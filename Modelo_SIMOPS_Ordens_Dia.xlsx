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'BASELINE'!$A$1:$U$558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hidden="1" width="6" customWidth="1" min="11" max="11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atualizada, com os mesmos cabeçalhos).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K3" s="8">
        <f>COUNTIF($J$9:$J$158,"SIM")</f>
        <v/>
      </c>
    </row>
    <row r="4">
      <c r="A4" s="2" t="inlineStr">
        <is>
          <t>Ordens encerradas ficam de fora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</row>
    <row r="5">
      <c r="G5" s="6" t="inlineStr">
        <is>
          <t>HH total</t>
        </is>
      </c>
      <c r="I5" s="7">
        <f>SUM($F$9:$F$158)</f>
        <v/>
      </c>
    </row>
    <row r="6">
      <c r="A6" s="9">
        <f>IF(CALC!$D$1&gt;150,"ATENÇÃO: "&amp;CALC!$D$1&amp;" operações no dia, mas a lista mostra só 150. Estenda as fórmulas para baixo.","")</f>
        <v/>
      </c>
    </row>
    <row r="8" ht="22" customHeight="1">
      <c r="A8" s="10" t="inlineStr">
        <is>
          <t>#</t>
        </is>
      </c>
      <c r="B8" s="11" t="inlineStr">
        <is>
          <t>Ordem</t>
        </is>
      </c>
      <c r="C8" s="10" t="inlineStr">
        <is>
          <t>Op.</t>
        </is>
      </c>
      <c r="D8" s="11" t="inlineStr">
        <is>
          <t>Descrição da ordem</t>
        </is>
      </c>
      <c r="E8" s="11" t="inlineStr">
        <is>
          <t>Descrição da operação</t>
        </is>
      </c>
      <c r="F8" s="10" t="inlineStr">
        <is>
          <t>HH</t>
        </is>
      </c>
      <c r="G8" s="11" t="inlineStr">
        <is>
          <t>Centro de trabalho</t>
        </is>
      </c>
      <c r="H8" s="11" t="inlineStr">
        <is>
          <t>Local de instalação</t>
        </is>
      </c>
      <c r="I8" s="11" t="inlineStr">
        <is>
          <t>Denominação do LI</t>
        </is>
      </c>
      <c r="J8" s="10" t="inlineStr">
        <is>
          <t>Break-in</t>
        </is>
      </c>
      <c r="K8" s="11" t="inlineStr">
        <is>
          <t>lin</t>
        </is>
      </c>
    </row>
    <row r="9" ht="17" customHeight="1">
      <c r="A9" s="12">
        <f>IF($K9="","",1)</f>
        <v/>
      </c>
      <c r="B9" s="13">
        <f>IF($K9="","",IF(INDEX(BASELINE!$A$2:$ZZ$3001,$K9,CALC!$H$1)="","",INDEX(BASELINE!$A$2:$ZZ$3001,$K9,CALC!$H$1)))</f>
        <v/>
      </c>
      <c r="C9" s="12">
        <f>IF($K9="","",IF(INDEX(BASELINE!$A$2:$ZZ$3001,$K9,CALC!$I$1)="","",INDEX(BASELINE!$A$2:$ZZ$3001,$K9,CALC!$I$1)))</f>
        <v/>
      </c>
      <c r="D9" s="13">
        <f>IF($K9="","",IF(INDEX(BASELINE!$A$2:$ZZ$3001,$K9,CALC!$L$1)="","",INDEX(BASELINE!$A$2:$ZZ$3001,$K9,CALC!$L$1)))</f>
        <v/>
      </c>
      <c r="E9" s="13">
        <f>IF($K9="","",IF(INDEX(BASELINE!$A$2:$ZZ$3001,$K9,CALC!$K$1)="","",INDEX(BASELINE!$A$2:$ZZ$3001,$K9,CALC!$K$1)))</f>
        <v/>
      </c>
      <c r="F9" s="14">
        <f>IF($K9="","",IF(INDEX(BASELINE!$A$2:$ZZ$3001,$K9,CALC!$O$1)="","",INDEX(BASELINE!$A$2:$ZZ$3001,$K9,CALC!$O$1)))</f>
        <v/>
      </c>
      <c r="G9" s="13">
        <f>IF($K9="","",IF(INDEX(BASELINE!$A$2:$ZZ$3001,$K9,CALC!$J$1)="","",INDEX(BASELINE!$A$2:$ZZ$3001,$K9,CALC!$J$1)))</f>
        <v/>
      </c>
      <c r="H9" s="13">
        <f>IF($K9="","",IF(INDEX(BASELINE!$A$2:$ZZ$3001,$K9,CALC!$M$1)="","",INDEX(BASELINE!$A$2:$ZZ$3001,$K9,CALC!$M$1)))</f>
        <v/>
      </c>
      <c r="I9" s="13">
        <f>IF($K9="","",IF(INDEX(BASELINE!$A$2:$ZZ$3001,$K9,CALC!$N$1)="","",INDEX(BASELINE!$A$2:$ZZ$3001,$K9,CALC!$N$1)))</f>
        <v/>
      </c>
      <c r="J9" s="12">
        <f>IF($K9="","",IF(ISNUMBER(SEARCH("break",INDEX(BASELINE!$A$2:$ZZ$3001,$K9,CALC!$Q$1)&amp;"")),"SIM",""))</f>
        <v/>
      </c>
      <c r="K9" s="15">
        <f>IF(1&lt;=CALC!$D$1,MATCH(1,CALC!$B$2:$B$3001,0),"")</f>
        <v/>
      </c>
    </row>
    <row r="10" ht="17" customHeight="1">
      <c r="A10" s="12">
        <f>IF($K10="","",2)</f>
        <v/>
      </c>
      <c r="B10" s="13">
        <f>IF($K10="","",IF(INDEX(BASELINE!$A$2:$ZZ$3001,$K10,CALC!$H$1)="","",INDEX(BASELINE!$A$2:$ZZ$3001,$K10,CALC!$H$1)))</f>
        <v/>
      </c>
      <c r="C10" s="12">
        <f>IF($K10="","",IF(INDEX(BASELINE!$A$2:$ZZ$3001,$K10,CALC!$I$1)="","",INDEX(BASELINE!$A$2:$ZZ$3001,$K10,CALC!$I$1)))</f>
        <v/>
      </c>
      <c r="D10" s="13">
        <f>IF($K10="","",IF(INDEX(BASELINE!$A$2:$ZZ$3001,$K10,CALC!$L$1)="","",INDEX(BASELINE!$A$2:$ZZ$3001,$K10,CALC!$L$1)))</f>
        <v/>
      </c>
      <c r="E10" s="13">
        <f>IF($K10="","",IF(INDEX(BASELINE!$A$2:$ZZ$3001,$K10,CALC!$K$1)="","",INDEX(BASELINE!$A$2:$ZZ$3001,$K10,CALC!$K$1)))</f>
        <v/>
      </c>
      <c r="F10" s="14">
        <f>IF($K10="","",IF(INDEX(BASELINE!$A$2:$ZZ$3001,$K10,CALC!$O$1)="","",INDEX(BASELINE!$A$2:$ZZ$3001,$K10,CALC!$O$1)))</f>
        <v/>
      </c>
      <c r="G10" s="13">
        <f>IF($K10="","",IF(INDEX(BASELINE!$A$2:$ZZ$3001,$K10,CALC!$J$1)="","",INDEX(BASELINE!$A$2:$ZZ$3001,$K10,CALC!$J$1)))</f>
        <v/>
      </c>
      <c r="H10" s="13">
        <f>IF($K10="","",IF(INDEX(BASELINE!$A$2:$ZZ$3001,$K10,CALC!$M$1)="","",INDEX(BASELINE!$A$2:$ZZ$3001,$K10,CALC!$M$1)))</f>
        <v/>
      </c>
      <c r="I10" s="13">
        <f>IF($K10="","",IF(INDEX(BASELINE!$A$2:$ZZ$3001,$K10,CALC!$N$1)="","",INDEX(BASELINE!$A$2:$ZZ$3001,$K10,CALC!$N$1)))</f>
        <v/>
      </c>
      <c r="J10" s="12">
        <f>IF($K10="","",IF(ISNUMBER(SEARCH("break",INDEX(BASELINE!$A$2:$ZZ$3001,$K10,CALC!$Q$1)&amp;"")),"SIM",""))</f>
        <v/>
      </c>
      <c r="K10" s="15">
        <f>IF(2&lt;=CALC!$D$1,MATCH(2,CALC!$B$2:$B$3001,0),"")</f>
        <v/>
      </c>
    </row>
    <row r="11" ht="17" customHeight="1">
      <c r="A11" s="12">
        <f>IF($K11="","",3)</f>
        <v/>
      </c>
      <c r="B11" s="13">
        <f>IF($K11="","",IF(INDEX(BASELINE!$A$2:$ZZ$3001,$K11,CALC!$H$1)="","",INDEX(BASELINE!$A$2:$ZZ$3001,$K11,CALC!$H$1)))</f>
        <v/>
      </c>
      <c r="C11" s="12">
        <f>IF($K11="","",IF(INDEX(BASELINE!$A$2:$ZZ$3001,$K11,CALC!$I$1)="","",INDEX(BASELINE!$A$2:$ZZ$3001,$K11,CALC!$I$1)))</f>
        <v/>
      </c>
      <c r="D11" s="13">
        <f>IF($K11="","",IF(INDEX(BASELINE!$A$2:$ZZ$3001,$K11,CALC!$L$1)="","",INDEX(BASELINE!$A$2:$ZZ$3001,$K11,CALC!$L$1)))</f>
        <v/>
      </c>
      <c r="E11" s="13">
        <f>IF($K11="","",IF(INDEX(BASELINE!$A$2:$ZZ$3001,$K11,CALC!$K$1)="","",INDEX(BASELINE!$A$2:$ZZ$3001,$K11,CALC!$K$1)))</f>
        <v/>
      </c>
      <c r="F11" s="14">
        <f>IF($K11="","",IF(INDEX(BASELINE!$A$2:$ZZ$3001,$K11,CALC!$O$1)="","",INDEX(BASELINE!$A$2:$ZZ$3001,$K11,CALC!$O$1)))</f>
        <v/>
      </c>
      <c r="G11" s="13">
        <f>IF($K11="","",IF(INDEX(BASELINE!$A$2:$ZZ$3001,$K11,CALC!$J$1)="","",INDEX(BASELINE!$A$2:$ZZ$3001,$K11,CALC!$J$1)))</f>
        <v/>
      </c>
      <c r="H11" s="13">
        <f>IF($K11="","",IF(INDEX(BASELINE!$A$2:$ZZ$3001,$K11,CALC!$M$1)="","",INDEX(BASELINE!$A$2:$ZZ$3001,$K11,CALC!$M$1)))</f>
        <v/>
      </c>
      <c r="I11" s="13">
        <f>IF($K11="","",IF(INDEX(BASELINE!$A$2:$ZZ$3001,$K11,CALC!$N$1)="","",INDEX(BASELINE!$A$2:$ZZ$3001,$K11,CALC!$N$1)))</f>
        <v/>
      </c>
      <c r="J11" s="12">
        <f>IF($K11="","",IF(ISNUMBER(SEARCH("break",INDEX(BASELINE!$A$2:$ZZ$3001,$K11,CALC!$Q$1)&amp;"")),"SIM",""))</f>
        <v/>
      </c>
      <c r="K11" s="15">
        <f>IF(3&lt;=CALC!$D$1,MATCH(3,CALC!$B$2:$B$3001,0),"")</f>
        <v/>
      </c>
    </row>
    <row r="12" ht="17" customHeight="1">
      <c r="A12" s="12">
        <f>IF($K12="","",4)</f>
        <v/>
      </c>
      <c r="B12" s="13">
        <f>IF($K12="","",IF(INDEX(BASELINE!$A$2:$ZZ$3001,$K12,CALC!$H$1)="","",INDEX(BASELINE!$A$2:$ZZ$3001,$K12,CALC!$H$1)))</f>
        <v/>
      </c>
      <c r="C12" s="12">
        <f>IF($K12="","",IF(INDEX(BASELINE!$A$2:$ZZ$3001,$K12,CALC!$I$1)="","",INDEX(BASELINE!$A$2:$ZZ$3001,$K12,CALC!$I$1)))</f>
        <v/>
      </c>
      <c r="D12" s="13">
        <f>IF($K12="","",IF(INDEX(BASELINE!$A$2:$ZZ$3001,$K12,CALC!$L$1)="","",INDEX(BASELINE!$A$2:$ZZ$3001,$K12,CALC!$L$1)))</f>
        <v/>
      </c>
      <c r="E12" s="13">
        <f>IF($K12="","",IF(INDEX(BASELINE!$A$2:$ZZ$3001,$K12,CALC!$K$1)="","",INDEX(BASELINE!$A$2:$ZZ$3001,$K12,CALC!$K$1)))</f>
        <v/>
      </c>
      <c r="F12" s="14">
        <f>IF($K12="","",IF(INDEX(BASELINE!$A$2:$ZZ$3001,$K12,CALC!$O$1)="","",INDEX(BASELINE!$A$2:$ZZ$3001,$K12,CALC!$O$1)))</f>
        <v/>
      </c>
      <c r="G12" s="13">
        <f>IF($K12="","",IF(INDEX(BASELINE!$A$2:$ZZ$3001,$K12,CALC!$J$1)="","",INDEX(BASELINE!$A$2:$ZZ$3001,$K12,CALC!$J$1)))</f>
        <v/>
      </c>
      <c r="H12" s="13">
        <f>IF($K12="","",IF(INDEX(BASELINE!$A$2:$ZZ$3001,$K12,CALC!$M$1)="","",INDEX(BASELINE!$A$2:$ZZ$3001,$K12,CALC!$M$1)))</f>
        <v/>
      </c>
      <c r="I12" s="13">
        <f>IF($K12="","",IF(INDEX(BASELINE!$A$2:$ZZ$3001,$K12,CALC!$N$1)="","",INDEX(BASELINE!$A$2:$ZZ$3001,$K12,CALC!$N$1)))</f>
        <v/>
      </c>
      <c r="J12" s="12">
        <f>IF($K12="","",IF(ISNUMBER(SEARCH("break",INDEX(BASELINE!$A$2:$ZZ$3001,$K12,CALC!$Q$1)&amp;"")),"SIM",""))</f>
        <v/>
      </c>
      <c r="K12" s="15">
        <f>IF(4&lt;=CALC!$D$1,MATCH(4,CALC!$B$2:$B$3001,0),"")</f>
        <v/>
      </c>
    </row>
    <row r="13" ht="17" customHeight="1">
      <c r="A13" s="12">
        <f>IF($K13="","",5)</f>
        <v/>
      </c>
      <c r="B13" s="13">
        <f>IF($K13="","",IF(INDEX(BASELINE!$A$2:$ZZ$3001,$K13,CALC!$H$1)="","",INDEX(BASELINE!$A$2:$ZZ$3001,$K13,CALC!$H$1)))</f>
        <v/>
      </c>
      <c r="C13" s="12">
        <f>IF($K13="","",IF(INDEX(BASELINE!$A$2:$ZZ$3001,$K13,CALC!$I$1)="","",INDEX(BASELINE!$A$2:$ZZ$3001,$K13,CALC!$I$1)))</f>
        <v/>
      </c>
      <c r="D13" s="13">
        <f>IF($K13="","",IF(INDEX(BASELINE!$A$2:$ZZ$3001,$K13,CALC!$L$1)="","",INDEX(BASELINE!$A$2:$ZZ$3001,$K13,CALC!$L$1)))</f>
        <v/>
      </c>
      <c r="E13" s="13">
        <f>IF($K13="","",IF(INDEX(BASELINE!$A$2:$ZZ$3001,$K13,CALC!$K$1)="","",INDEX(BASELINE!$A$2:$ZZ$3001,$K13,CALC!$K$1)))</f>
        <v/>
      </c>
      <c r="F13" s="14">
        <f>IF($K13="","",IF(INDEX(BASELINE!$A$2:$ZZ$3001,$K13,CALC!$O$1)="","",INDEX(BASELINE!$A$2:$ZZ$3001,$K13,CALC!$O$1)))</f>
        <v/>
      </c>
      <c r="G13" s="13">
        <f>IF($K13="","",IF(INDEX(BASELINE!$A$2:$ZZ$3001,$K13,CALC!$J$1)="","",INDEX(BASELINE!$A$2:$ZZ$3001,$K13,CALC!$J$1)))</f>
        <v/>
      </c>
      <c r="H13" s="13">
        <f>IF($K13="","",IF(INDEX(BASELINE!$A$2:$ZZ$3001,$K13,CALC!$M$1)="","",INDEX(BASELINE!$A$2:$ZZ$3001,$K13,CALC!$M$1)))</f>
        <v/>
      </c>
      <c r="I13" s="13">
        <f>IF($K13="","",IF(INDEX(BASELINE!$A$2:$ZZ$3001,$K13,CALC!$N$1)="","",INDEX(BASELINE!$A$2:$ZZ$3001,$K13,CALC!$N$1)))</f>
        <v/>
      </c>
      <c r="J13" s="12">
        <f>IF($K13="","",IF(ISNUMBER(SEARCH("break",INDEX(BASELINE!$A$2:$ZZ$3001,$K13,CALC!$Q$1)&amp;"")),"SIM",""))</f>
        <v/>
      </c>
      <c r="K13" s="15">
        <f>IF(5&lt;=CALC!$D$1,MATCH(5,CALC!$B$2:$B$3001,0),"")</f>
        <v/>
      </c>
    </row>
    <row r="14" ht="17" customHeight="1">
      <c r="A14" s="12">
        <f>IF($K14="","",6)</f>
        <v/>
      </c>
      <c r="B14" s="13">
        <f>IF($K14="","",IF(INDEX(BASELINE!$A$2:$ZZ$3001,$K14,CALC!$H$1)="","",INDEX(BASELINE!$A$2:$ZZ$3001,$K14,CALC!$H$1)))</f>
        <v/>
      </c>
      <c r="C14" s="12">
        <f>IF($K14="","",IF(INDEX(BASELINE!$A$2:$ZZ$3001,$K14,CALC!$I$1)="","",INDEX(BASELINE!$A$2:$ZZ$3001,$K14,CALC!$I$1)))</f>
        <v/>
      </c>
      <c r="D14" s="13">
        <f>IF($K14="","",IF(INDEX(BASELINE!$A$2:$ZZ$3001,$K14,CALC!$L$1)="","",INDEX(BASELINE!$A$2:$ZZ$3001,$K14,CALC!$L$1)))</f>
        <v/>
      </c>
      <c r="E14" s="13">
        <f>IF($K14="","",IF(INDEX(BASELINE!$A$2:$ZZ$3001,$K14,CALC!$K$1)="","",INDEX(BASELINE!$A$2:$ZZ$3001,$K14,CALC!$K$1)))</f>
        <v/>
      </c>
      <c r="F14" s="14">
        <f>IF($K14="","",IF(INDEX(BASELINE!$A$2:$ZZ$3001,$K14,CALC!$O$1)="","",INDEX(BASELINE!$A$2:$ZZ$3001,$K14,CALC!$O$1)))</f>
        <v/>
      </c>
      <c r="G14" s="13">
        <f>IF($K14="","",IF(INDEX(BASELINE!$A$2:$ZZ$3001,$K14,CALC!$J$1)="","",INDEX(BASELINE!$A$2:$ZZ$3001,$K14,CALC!$J$1)))</f>
        <v/>
      </c>
      <c r="H14" s="13">
        <f>IF($K14="","",IF(INDEX(BASELINE!$A$2:$ZZ$3001,$K14,CALC!$M$1)="","",INDEX(BASELINE!$A$2:$ZZ$3001,$K14,CALC!$M$1)))</f>
        <v/>
      </c>
      <c r="I14" s="13">
        <f>IF($K14="","",IF(INDEX(BASELINE!$A$2:$ZZ$3001,$K14,CALC!$N$1)="","",INDEX(BASELINE!$A$2:$ZZ$3001,$K14,CALC!$N$1)))</f>
        <v/>
      </c>
      <c r="J14" s="12">
        <f>IF($K14="","",IF(ISNUMBER(SEARCH("break",INDEX(BASELINE!$A$2:$ZZ$3001,$K14,CALC!$Q$1)&amp;"")),"SIM",""))</f>
        <v/>
      </c>
      <c r="K14" s="15">
        <f>IF(6&lt;=CALC!$D$1,MATCH(6,CALC!$B$2:$B$3001,0),"")</f>
        <v/>
      </c>
    </row>
    <row r="15" ht="17" customHeight="1">
      <c r="A15" s="12">
        <f>IF($K15="","",7)</f>
        <v/>
      </c>
      <c r="B15" s="13">
        <f>IF($K15="","",IF(INDEX(BASELINE!$A$2:$ZZ$3001,$K15,CALC!$H$1)="","",INDEX(BASELINE!$A$2:$ZZ$3001,$K15,CALC!$H$1)))</f>
        <v/>
      </c>
      <c r="C15" s="12">
        <f>IF($K15="","",IF(INDEX(BASELINE!$A$2:$ZZ$3001,$K15,CALC!$I$1)="","",INDEX(BASELINE!$A$2:$ZZ$3001,$K15,CALC!$I$1)))</f>
        <v/>
      </c>
      <c r="D15" s="13">
        <f>IF($K15="","",IF(INDEX(BASELINE!$A$2:$ZZ$3001,$K15,CALC!$L$1)="","",INDEX(BASELINE!$A$2:$ZZ$3001,$K15,CALC!$L$1)))</f>
        <v/>
      </c>
      <c r="E15" s="13">
        <f>IF($K15="","",IF(INDEX(BASELINE!$A$2:$ZZ$3001,$K15,CALC!$K$1)="","",INDEX(BASELINE!$A$2:$ZZ$3001,$K15,CALC!$K$1)))</f>
        <v/>
      </c>
      <c r="F15" s="14">
        <f>IF($K15="","",IF(INDEX(BASELINE!$A$2:$ZZ$3001,$K15,CALC!$O$1)="","",INDEX(BASELINE!$A$2:$ZZ$3001,$K15,CALC!$O$1)))</f>
        <v/>
      </c>
      <c r="G15" s="13">
        <f>IF($K15="","",IF(INDEX(BASELINE!$A$2:$ZZ$3001,$K15,CALC!$J$1)="","",INDEX(BASELINE!$A$2:$ZZ$3001,$K15,CALC!$J$1)))</f>
        <v/>
      </c>
      <c r="H15" s="13">
        <f>IF($K15="","",IF(INDEX(BASELINE!$A$2:$ZZ$3001,$K15,CALC!$M$1)="","",INDEX(BASELINE!$A$2:$ZZ$3001,$K15,CALC!$M$1)))</f>
        <v/>
      </c>
      <c r="I15" s="13">
        <f>IF($K15="","",IF(INDEX(BASELINE!$A$2:$ZZ$3001,$K15,CALC!$N$1)="","",INDEX(BASELINE!$A$2:$ZZ$3001,$K15,CALC!$N$1)))</f>
        <v/>
      </c>
      <c r="J15" s="12">
        <f>IF($K15="","",IF(ISNUMBER(SEARCH("break",INDEX(BASELINE!$A$2:$ZZ$3001,$K15,CALC!$Q$1)&amp;"")),"SIM",""))</f>
        <v/>
      </c>
      <c r="K15" s="15">
        <f>IF(7&lt;=CALC!$D$1,MATCH(7,CALC!$B$2:$B$3001,0),"")</f>
        <v/>
      </c>
    </row>
    <row r="16" ht="17" customHeight="1">
      <c r="A16" s="12">
        <f>IF($K16="","",8)</f>
        <v/>
      </c>
      <c r="B16" s="13">
        <f>IF($K16="","",IF(INDEX(BASELINE!$A$2:$ZZ$3001,$K16,CALC!$H$1)="","",INDEX(BASELINE!$A$2:$ZZ$3001,$K16,CALC!$H$1)))</f>
        <v/>
      </c>
      <c r="C16" s="12">
        <f>IF($K16="","",IF(INDEX(BASELINE!$A$2:$ZZ$3001,$K16,CALC!$I$1)="","",INDEX(BASELINE!$A$2:$ZZ$3001,$K16,CALC!$I$1)))</f>
        <v/>
      </c>
      <c r="D16" s="13">
        <f>IF($K16="","",IF(INDEX(BASELINE!$A$2:$ZZ$3001,$K16,CALC!$L$1)="","",INDEX(BASELINE!$A$2:$ZZ$3001,$K16,CALC!$L$1)))</f>
        <v/>
      </c>
      <c r="E16" s="13">
        <f>IF($K16="","",IF(INDEX(BASELINE!$A$2:$ZZ$3001,$K16,CALC!$K$1)="","",INDEX(BASELINE!$A$2:$ZZ$3001,$K16,CALC!$K$1)))</f>
        <v/>
      </c>
      <c r="F16" s="14">
        <f>IF($K16="","",IF(INDEX(BASELINE!$A$2:$ZZ$3001,$K16,CALC!$O$1)="","",INDEX(BASELINE!$A$2:$ZZ$3001,$K16,CALC!$O$1)))</f>
        <v/>
      </c>
      <c r="G16" s="13">
        <f>IF($K16="","",IF(INDEX(BASELINE!$A$2:$ZZ$3001,$K16,CALC!$J$1)="","",INDEX(BASELINE!$A$2:$ZZ$3001,$K16,CALC!$J$1)))</f>
        <v/>
      </c>
      <c r="H16" s="13">
        <f>IF($K16="","",IF(INDEX(BASELINE!$A$2:$ZZ$3001,$K16,CALC!$M$1)="","",INDEX(BASELINE!$A$2:$ZZ$3001,$K16,CALC!$M$1)))</f>
        <v/>
      </c>
      <c r="I16" s="13">
        <f>IF($K16="","",IF(INDEX(BASELINE!$A$2:$ZZ$3001,$K16,CALC!$N$1)="","",INDEX(BASELINE!$A$2:$ZZ$3001,$K16,CALC!$N$1)))</f>
        <v/>
      </c>
      <c r="J16" s="12">
        <f>IF($K16="","",IF(ISNUMBER(SEARCH("break",INDEX(BASELINE!$A$2:$ZZ$3001,$K16,CALC!$Q$1)&amp;"")),"SIM",""))</f>
        <v/>
      </c>
      <c r="K16" s="15">
        <f>IF(8&lt;=CALC!$D$1,MATCH(8,CALC!$B$2:$B$3001,0),"")</f>
        <v/>
      </c>
    </row>
    <row r="17" ht="17" customHeight="1">
      <c r="A17" s="12">
        <f>IF($K17="","",9)</f>
        <v/>
      </c>
      <c r="B17" s="13">
        <f>IF($K17="","",IF(INDEX(BASELINE!$A$2:$ZZ$3001,$K17,CALC!$H$1)="","",INDEX(BASELINE!$A$2:$ZZ$3001,$K17,CALC!$H$1)))</f>
        <v/>
      </c>
      <c r="C17" s="12">
        <f>IF($K17="","",IF(INDEX(BASELINE!$A$2:$ZZ$3001,$K17,CALC!$I$1)="","",INDEX(BASELINE!$A$2:$ZZ$3001,$K17,CALC!$I$1)))</f>
        <v/>
      </c>
      <c r="D17" s="13">
        <f>IF($K17="","",IF(INDEX(BASELINE!$A$2:$ZZ$3001,$K17,CALC!$L$1)="","",INDEX(BASELINE!$A$2:$ZZ$3001,$K17,CALC!$L$1)))</f>
        <v/>
      </c>
      <c r="E17" s="13">
        <f>IF($K17="","",IF(INDEX(BASELINE!$A$2:$ZZ$3001,$K17,CALC!$K$1)="","",INDEX(BASELINE!$A$2:$ZZ$3001,$K17,CALC!$K$1)))</f>
        <v/>
      </c>
      <c r="F17" s="14">
        <f>IF($K17="","",IF(INDEX(BASELINE!$A$2:$ZZ$3001,$K17,CALC!$O$1)="","",INDEX(BASELINE!$A$2:$ZZ$3001,$K17,CALC!$O$1)))</f>
        <v/>
      </c>
      <c r="G17" s="13">
        <f>IF($K17="","",IF(INDEX(BASELINE!$A$2:$ZZ$3001,$K17,CALC!$J$1)="","",INDEX(BASELINE!$A$2:$ZZ$3001,$K17,CALC!$J$1)))</f>
        <v/>
      </c>
      <c r="H17" s="13">
        <f>IF($K17="","",IF(INDEX(BASELINE!$A$2:$ZZ$3001,$K17,CALC!$M$1)="","",INDEX(BASELINE!$A$2:$ZZ$3001,$K17,CALC!$M$1)))</f>
        <v/>
      </c>
      <c r="I17" s="13">
        <f>IF($K17="","",IF(INDEX(BASELINE!$A$2:$ZZ$3001,$K17,CALC!$N$1)="","",INDEX(BASELINE!$A$2:$ZZ$3001,$K17,CALC!$N$1)))</f>
        <v/>
      </c>
      <c r="J17" s="12">
        <f>IF($K17="","",IF(ISNUMBER(SEARCH("break",INDEX(BASELINE!$A$2:$ZZ$3001,$K17,CALC!$Q$1)&amp;"")),"SIM",""))</f>
        <v/>
      </c>
      <c r="K17" s="15">
        <f>IF(9&lt;=CALC!$D$1,MATCH(9,CALC!$B$2:$B$3001,0),"")</f>
        <v/>
      </c>
    </row>
    <row r="18" ht="17" customHeight="1">
      <c r="A18" s="12">
        <f>IF($K18="","",10)</f>
        <v/>
      </c>
      <c r="B18" s="13">
        <f>IF($K18="","",IF(INDEX(BASELINE!$A$2:$ZZ$3001,$K18,CALC!$H$1)="","",INDEX(BASELINE!$A$2:$ZZ$3001,$K18,CALC!$H$1)))</f>
        <v/>
      </c>
      <c r="C18" s="12">
        <f>IF($K18="","",IF(INDEX(BASELINE!$A$2:$ZZ$3001,$K18,CALC!$I$1)="","",INDEX(BASELINE!$A$2:$ZZ$3001,$K18,CALC!$I$1)))</f>
        <v/>
      </c>
      <c r="D18" s="13">
        <f>IF($K18="","",IF(INDEX(BASELINE!$A$2:$ZZ$3001,$K18,CALC!$L$1)="","",INDEX(BASELINE!$A$2:$ZZ$3001,$K18,CALC!$L$1)))</f>
        <v/>
      </c>
      <c r="E18" s="13">
        <f>IF($K18="","",IF(INDEX(BASELINE!$A$2:$ZZ$3001,$K18,CALC!$K$1)="","",INDEX(BASELINE!$A$2:$ZZ$3001,$K18,CALC!$K$1)))</f>
        <v/>
      </c>
      <c r="F18" s="14">
        <f>IF($K18="","",IF(INDEX(BASELINE!$A$2:$ZZ$3001,$K18,CALC!$O$1)="","",INDEX(BASELINE!$A$2:$ZZ$3001,$K18,CALC!$O$1)))</f>
        <v/>
      </c>
      <c r="G18" s="13">
        <f>IF($K18="","",IF(INDEX(BASELINE!$A$2:$ZZ$3001,$K18,CALC!$J$1)="","",INDEX(BASELINE!$A$2:$ZZ$3001,$K18,CALC!$J$1)))</f>
        <v/>
      </c>
      <c r="H18" s="13">
        <f>IF($K18="","",IF(INDEX(BASELINE!$A$2:$ZZ$3001,$K18,CALC!$M$1)="","",INDEX(BASELINE!$A$2:$ZZ$3001,$K18,CALC!$M$1)))</f>
        <v/>
      </c>
      <c r="I18" s="13">
        <f>IF($K18="","",IF(INDEX(BASELINE!$A$2:$ZZ$3001,$K18,CALC!$N$1)="","",INDEX(BASELINE!$A$2:$ZZ$3001,$K18,CALC!$N$1)))</f>
        <v/>
      </c>
      <c r="J18" s="12">
        <f>IF($K18="","",IF(ISNUMBER(SEARCH("break",INDEX(BASELINE!$A$2:$ZZ$3001,$K18,CALC!$Q$1)&amp;"")),"SIM",""))</f>
        <v/>
      </c>
      <c r="K18" s="15">
        <f>IF(10&lt;=CALC!$D$1,MATCH(10,CALC!$B$2:$B$3001,0),"")</f>
        <v/>
      </c>
    </row>
    <row r="19" ht="17" customHeight="1">
      <c r="A19" s="12">
        <f>IF($K19="","",11)</f>
        <v/>
      </c>
      <c r="B19" s="13">
        <f>IF($K19="","",IF(INDEX(BASELINE!$A$2:$ZZ$3001,$K19,CALC!$H$1)="","",INDEX(BASELINE!$A$2:$ZZ$3001,$K19,CALC!$H$1)))</f>
        <v/>
      </c>
      <c r="C19" s="12">
        <f>IF($K19="","",IF(INDEX(BASELINE!$A$2:$ZZ$3001,$K19,CALC!$I$1)="","",INDEX(BASELINE!$A$2:$ZZ$3001,$K19,CALC!$I$1)))</f>
        <v/>
      </c>
      <c r="D19" s="13">
        <f>IF($K19="","",IF(INDEX(BASELINE!$A$2:$ZZ$3001,$K19,CALC!$L$1)="","",INDEX(BASELINE!$A$2:$ZZ$3001,$K19,CALC!$L$1)))</f>
        <v/>
      </c>
      <c r="E19" s="13">
        <f>IF($K19="","",IF(INDEX(BASELINE!$A$2:$ZZ$3001,$K19,CALC!$K$1)="","",INDEX(BASELINE!$A$2:$ZZ$3001,$K19,CALC!$K$1)))</f>
        <v/>
      </c>
      <c r="F19" s="14">
        <f>IF($K19="","",IF(INDEX(BASELINE!$A$2:$ZZ$3001,$K19,CALC!$O$1)="","",INDEX(BASELINE!$A$2:$ZZ$3001,$K19,CALC!$O$1)))</f>
        <v/>
      </c>
      <c r="G19" s="13">
        <f>IF($K19="","",IF(INDEX(BASELINE!$A$2:$ZZ$3001,$K19,CALC!$J$1)="","",INDEX(BASELINE!$A$2:$ZZ$3001,$K19,CALC!$J$1)))</f>
        <v/>
      </c>
      <c r="H19" s="13">
        <f>IF($K19="","",IF(INDEX(BASELINE!$A$2:$ZZ$3001,$K19,CALC!$M$1)="","",INDEX(BASELINE!$A$2:$ZZ$3001,$K19,CALC!$M$1)))</f>
        <v/>
      </c>
      <c r="I19" s="13">
        <f>IF($K19="","",IF(INDEX(BASELINE!$A$2:$ZZ$3001,$K19,CALC!$N$1)="","",INDEX(BASELINE!$A$2:$ZZ$3001,$K19,CALC!$N$1)))</f>
        <v/>
      </c>
      <c r="J19" s="12">
        <f>IF($K19="","",IF(ISNUMBER(SEARCH("break",INDEX(BASELINE!$A$2:$ZZ$3001,$K19,CALC!$Q$1)&amp;"")),"SIM",""))</f>
        <v/>
      </c>
      <c r="K19" s="15">
        <f>IF(11&lt;=CALC!$D$1,MATCH(11,CALC!$B$2:$B$3001,0),"")</f>
        <v/>
      </c>
    </row>
    <row r="20" ht="17" customHeight="1">
      <c r="A20" s="12">
        <f>IF($K20="","",12)</f>
        <v/>
      </c>
      <c r="B20" s="13">
        <f>IF($K20="","",IF(INDEX(BASELINE!$A$2:$ZZ$3001,$K20,CALC!$H$1)="","",INDEX(BASELINE!$A$2:$ZZ$3001,$K20,CALC!$H$1)))</f>
        <v/>
      </c>
      <c r="C20" s="12">
        <f>IF($K20="","",IF(INDEX(BASELINE!$A$2:$ZZ$3001,$K20,CALC!$I$1)="","",INDEX(BASELINE!$A$2:$ZZ$3001,$K20,CALC!$I$1)))</f>
        <v/>
      </c>
      <c r="D20" s="13">
        <f>IF($K20="","",IF(INDEX(BASELINE!$A$2:$ZZ$3001,$K20,CALC!$L$1)="","",INDEX(BASELINE!$A$2:$ZZ$3001,$K20,CALC!$L$1)))</f>
        <v/>
      </c>
      <c r="E20" s="13">
        <f>IF($K20="","",IF(INDEX(BASELINE!$A$2:$ZZ$3001,$K20,CALC!$K$1)="","",INDEX(BASELINE!$A$2:$ZZ$3001,$K20,CALC!$K$1)))</f>
        <v/>
      </c>
      <c r="F20" s="14">
        <f>IF($K20="","",IF(INDEX(BASELINE!$A$2:$ZZ$3001,$K20,CALC!$O$1)="","",INDEX(BASELINE!$A$2:$ZZ$3001,$K20,CALC!$O$1)))</f>
        <v/>
      </c>
      <c r="G20" s="13">
        <f>IF($K20="","",IF(INDEX(BASELINE!$A$2:$ZZ$3001,$K20,CALC!$J$1)="","",INDEX(BASELINE!$A$2:$ZZ$3001,$K20,CALC!$J$1)))</f>
        <v/>
      </c>
      <c r="H20" s="13">
        <f>IF($K20="","",IF(INDEX(BASELINE!$A$2:$ZZ$3001,$K20,CALC!$M$1)="","",INDEX(BASELINE!$A$2:$ZZ$3001,$K20,CALC!$M$1)))</f>
        <v/>
      </c>
      <c r="I20" s="13">
        <f>IF($K20="","",IF(INDEX(BASELINE!$A$2:$ZZ$3001,$K20,CALC!$N$1)="","",INDEX(BASELINE!$A$2:$ZZ$3001,$K20,CALC!$N$1)))</f>
        <v/>
      </c>
      <c r="J20" s="12">
        <f>IF($K20="","",IF(ISNUMBER(SEARCH("break",INDEX(BASELINE!$A$2:$ZZ$3001,$K20,CALC!$Q$1)&amp;"")),"SIM",""))</f>
        <v/>
      </c>
      <c r="K20" s="15">
        <f>IF(12&lt;=CALC!$D$1,MATCH(12,CALC!$B$2:$B$3001,0),"")</f>
        <v/>
      </c>
    </row>
    <row r="21" ht="17" customHeight="1">
      <c r="A21" s="12">
        <f>IF($K21="","",13)</f>
        <v/>
      </c>
      <c r="B21" s="13">
        <f>IF($K21="","",IF(INDEX(BASELINE!$A$2:$ZZ$3001,$K21,CALC!$H$1)="","",INDEX(BASELINE!$A$2:$ZZ$3001,$K21,CALC!$H$1)))</f>
        <v/>
      </c>
      <c r="C21" s="12">
        <f>IF($K21="","",IF(INDEX(BASELINE!$A$2:$ZZ$3001,$K21,CALC!$I$1)="","",INDEX(BASELINE!$A$2:$ZZ$3001,$K21,CALC!$I$1)))</f>
        <v/>
      </c>
      <c r="D21" s="13">
        <f>IF($K21="","",IF(INDEX(BASELINE!$A$2:$ZZ$3001,$K21,CALC!$L$1)="","",INDEX(BASELINE!$A$2:$ZZ$3001,$K21,CALC!$L$1)))</f>
        <v/>
      </c>
      <c r="E21" s="13">
        <f>IF($K21="","",IF(INDEX(BASELINE!$A$2:$ZZ$3001,$K21,CALC!$K$1)="","",INDEX(BASELINE!$A$2:$ZZ$3001,$K21,CALC!$K$1)))</f>
        <v/>
      </c>
      <c r="F21" s="14">
        <f>IF($K21="","",IF(INDEX(BASELINE!$A$2:$ZZ$3001,$K21,CALC!$O$1)="","",INDEX(BASELINE!$A$2:$ZZ$3001,$K21,CALC!$O$1)))</f>
        <v/>
      </c>
      <c r="G21" s="13">
        <f>IF($K21="","",IF(INDEX(BASELINE!$A$2:$ZZ$3001,$K21,CALC!$J$1)="","",INDEX(BASELINE!$A$2:$ZZ$3001,$K21,CALC!$J$1)))</f>
        <v/>
      </c>
      <c r="H21" s="13">
        <f>IF($K21="","",IF(INDEX(BASELINE!$A$2:$ZZ$3001,$K21,CALC!$M$1)="","",INDEX(BASELINE!$A$2:$ZZ$3001,$K21,CALC!$M$1)))</f>
        <v/>
      </c>
      <c r="I21" s="13">
        <f>IF($K21="","",IF(INDEX(BASELINE!$A$2:$ZZ$3001,$K21,CALC!$N$1)="","",INDEX(BASELINE!$A$2:$ZZ$3001,$K21,CALC!$N$1)))</f>
        <v/>
      </c>
      <c r="J21" s="12">
        <f>IF($K21="","",IF(ISNUMBER(SEARCH("break",INDEX(BASELINE!$A$2:$ZZ$3001,$K21,CALC!$Q$1)&amp;"")),"SIM",""))</f>
        <v/>
      </c>
      <c r="K21" s="15">
        <f>IF(13&lt;=CALC!$D$1,MATCH(13,CALC!$B$2:$B$3001,0),"")</f>
        <v/>
      </c>
    </row>
    <row r="22" ht="17" customHeight="1">
      <c r="A22" s="12">
        <f>IF($K22="","",14)</f>
        <v/>
      </c>
      <c r="B22" s="13">
        <f>IF($K22="","",IF(INDEX(BASELINE!$A$2:$ZZ$3001,$K22,CALC!$H$1)="","",INDEX(BASELINE!$A$2:$ZZ$3001,$K22,CALC!$H$1)))</f>
        <v/>
      </c>
      <c r="C22" s="12">
        <f>IF($K22="","",IF(INDEX(BASELINE!$A$2:$ZZ$3001,$K22,CALC!$I$1)="","",INDEX(BASELINE!$A$2:$ZZ$3001,$K22,CALC!$I$1)))</f>
        <v/>
      </c>
      <c r="D22" s="13">
        <f>IF($K22="","",IF(INDEX(BASELINE!$A$2:$ZZ$3001,$K22,CALC!$L$1)="","",INDEX(BASELINE!$A$2:$ZZ$3001,$K22,CALC!$L$1)))</f>
        <v/>
      </c>
      <c r="E22" s="13">
        <f>IF($K22="","",IF(INDEX(BASELINE!$A$2:$ZZ$3001,$K22,CALC!$K$1)="","",INDEX(BASELINE!$A$2:$ZZ$3001,$K22,CALC!$K$1)))</f>
        <v/>
      </c>
      <c r="F22" s="14">
        <f>IF($K22="","",IF(INDEX(BASELINE!$A$2:$ZZ$3001,$K22,CALC!$O$1)="","",INDEX(BASELINE!$A$2:$ZZ$3001,$K22,CALC!$O$1)))</f>
        <v/>
      </c>
      <c r="G22" s="13">
        <f>IF($K22="","",IF(INDEX(BASELINE!$A$2:$ZZ$3001,$K22,CALC!$J$1)="","",INDEX(BASELINE!$A$2:$ZZ$3001,$K22,CALC!$J$1)))</f>
        <v/>
      </c>
      <c r="H22" s="13">
        <f>IF($K22="","",IF(INDEX(BASELINE!$A$2:$ZZ$3001,$K22,CALC!$M$1)="","",INDEX(BASELINE!$A$2:$ZZ$3001,$K22,CALC!$M$1)))</f>
        <v/>
      </c>
      <c r="I22" s="13">
        <f>IF($K22="","",IF(INDEX(BASELINE!$A$2:$ZZ$3001,$K22,CALC!$N$1)="","",INDEX(BASELINE!$A$2:$ZZ$3001,$K22,CALC!$N$1)))</f>
        <v/>
      </c>
      <c r="J22" s="12">
        <f>IF($K22="","",IF(ISNUMBER(SEARCH("break",INDEX(BASELINE!$A$2:$ZZ$3001,$K22,CALC!$Q$1)&amp;"")),"SIM",""))</f>
        <v/>
      </c>
      <c r="K22" s="15">
        <f>IF(14&lt;=CALC!$D$1,MATCH(14,CALC!$B$2:$B$3001,0),"")</f>
        <v/>
      </c>
    </row>
    <row r="23" ht="17" customHeight="1">
      <c r="A23" s="12">
        <f>IF($K23="","",15)</f>
        <v/>
      </c>
      <c r="B23" s="13">
        <f>IF($K23="","",IF(INDEX(BASELINE!$A$2:$ZZ$3001,$K23,CALC!$H$1)="","",INDEX(BASELINE!$A$2:$ZZ$3001,$K23,CALC!$H$1)))</f>
        <v/>
      </c>
      <c r="C23" s="12">
        <f>IF($K23="","",IF(INDEX(BASELINE!$A$2:$ZZ$3001,$K23,CALC!$I$1)="","",INDEX(BASELINE!$A$2:$ZZ$3001,$K23,CALC!$I$1)))</f>
        <v/>
      </c>
      <c r="D23" s="13">
        <f>IF($K23="","",IF(INDEX(BASELINE!$A$2:$ZZ$3001,$K23,CALC!$L$1)="","",INDEX(BASELINE!$A$2:$ZZ$3001,$K23,CALC!$L$1)))</f>
        <v/>
      </c>
      <c r="E23" s="13">
        <f>IF($K23="","",IF(INDEX(BASELINE!$A$2:$ZZ$3001,$K23,CALC!$K$1)="","",INDEX(BASELINE!$A$2:$ZZ$3001,$K23,CALC!$K$1)))</f>
        <v/>
      </c>
      <c r="F23" s="14">
        <f>IF($K23="","",IF(INDEX(BASELINE!$A$2:$ZZ$3001,$K23,CALC!$O$1)="","",INDEX(BASELINE!$A$2:$ZZ$3001,$K23,CALC!$O$1)))</f>
        <v/>
      </c>
      <c r="G23" s="13">
        <f>IF($K23="","",IF(INDEX(BASELINE!$A$2:$ZZ$3001,$K23,CALC!$J$1)="","",INDEX(BASELINE!$A$2:$ZZ$3001,$K23,CALC!$J$1)))</f>
        <v/>
      </c>
      <c r="H23" s="13">
        <f>IF($K23="","",IF(INDEX(BASELINE!$A$2:$ZZ$3001,$K23,CALC!$M$1)="","",INDEX(BASELINE!$A$2:$ZZ$3001,$K23,CALC!$M$1)))</f>
        <v/>
      </c>
      <c r="I23" s="13">
        <f>IF($K23="","",IF(INDEX(BASELINE!$A$2:$ZZ$3001,$K23,CALC!$N$1)="","",INDEX(BASELINE!$A$2:$ZZ$3001,$K23,CALC!$N$1)))</f>
        <v/>
      </c>
      <c r="J23" s="12">
        <f>IF($K23="","",IF(ISNUMBER(SEARCH("break",INDEX(BASELINE!$A$2:$ZZ$3001,$K23,CALC!$Q$1)&amp;"")),"SIM",""))</f>
        <v/>
      </c>
      <c r="K23" s="15">
        <f>IF(15&lt;=CALC!$D$1,MATCH(15,CALC!$B$2:$B$3001,0),"")</f>
        <v/>
      </c>
    </row>
    <row r="24" ht="17" customHeight="1">
      <c r="A24" s="12">
        <f>IF($K24="","",16)</f>
        <v/>
      </c>
      <c r="B24" s="13">
        <f>IF($K24="","",IF(INDEX(BASELINE!$A$2:$ZZ$3001,$K24,CALC!$H$1)="","",INDEX(BASELINE!$A$2:$ZZ$3001,$K24,CALC!$H$1)))</f>
        <v/>
      </c>
      <c r="C24" s="12">
        <f>IF($K24="","",IF(INDEX(BASELINE!$A$2:$ZZ$3001,$K24,CALC!$I$1)="","",INDEX(BASELINE!$A$2:$ZZ$3001,$K24,CALC!$I$1)))</f>
        <v/>
      </c>
      <c r="D24" s="13">
        <f>IF($K24="","",IF(INDEX(BASELINE!$A$2:$ZZ$3001,$K24,CALC!$L$1)="","",INDEX(BASELINE!$A$2:$ZZ$3001,$K24,CALC!$L$1)))</f>
        <v/>
      </c>
      <c r="E24" s="13">
        <f>IF($K24="","",IF(INDEX(BASELINE!$A$2:$ZZ$3001,$K24,CALC!$K$1)="","",INDEX(BASELINE!$A$2:$ZZ$3001,$K24,CALC!$K$1)))</f>
        <v/>
      </c>
      <c r="F24" s="14">
        <f>IF($K24="","",IF(INDEX(BASELINE!$A$2:$ZZ$3001,$K24,CALC!$O$1)="","",INDEX(BASELINE!$A$2:$ZZ$3001,$K24,CALC!$O$1)))</f>
        <v/>
      </c>
      <c r="G24" s="13">
        <f>IF($K24="","",IF(INDEX(BASELINE!$A$2:$ZZ$3001,$K24,CALC!$J$1)="","",INDEX(BASELINE!$A$2:$ZZ$3001,$K24,CALC!$J$1)))</f>
        <v/>
      </c>
      <c r="H24" s="13">
        <f>IF($K24="","",IF(INDEX(BASELINE!$A$2:$ZZ$3001,$K24,CALC!$M$1)="","",INDEX(BASELINE!$A$2:$ZZ$3001,$K24,CALC!$M$1)))</f>
        <v/>
      </c>
      <c r="I24" s="13">
        <f>IF($K24="","",IF(INDEX(BASELINE!$A$2:$ZZ$3001,$K24,CALC!$N$1)="","",INDEX(BASELINE!$A$2:$ZZ$3001,$K24,CALC!$N$1)))</f>
        <v/>
      </c>
      <c r="J24" s="12">
        <f>IF($K24="","",IF(ISNUMBER(SEARCH("break",INDEX(BASELINE!$A$2:$ZZ$3001,$K24,CALC!$Q$1)&amp;"")),"SIM",""))</f>
        <v/>
      </c>
      <c r="K24" s="15">
        <f>IF(16&lt;=CALC!$D$1,MATCH(16,CALC!$B$2:$B$3001,0),"")</f>
        <v/>
      </c>
    </row>
    <row r="25" ht="17" customHeight="1">
      <c r="A25" s="12">
        <f>IF($K25="","",17)</f>
        <v/>
      </c>
      <c r="B25" s="13">
        <f>IF($K25="","",IF(INDEX(BASELINE!$A$2:$ZZ$3001,$K25,CALC!$H$1)="","",INDEX(BASELINE!$A$2:$ZZ$3001,$K25,CALC!$H$1)))</f>
        <v/>
      </c>
      <c r="C25" s="12">
        <f>IF($K25="","",IF(INDEX(BASELINE!$A$2:$ZZ$3001,$K25,CALC!$I$1)="","",INDEX(BASELINE!$A$2:$ZZ$3001,$K25,CALC!$I$1)))</f>
        <v/>
      </c>
      <c r="D25" s="13">
        <f>IF($K25="","",IF(INDEX(BASELINE!$A$2:$ZZ$3001,$K25,CALC!$L$1)="","",INDEX(BASELINE!$A$2:$ZZ$3001,$K25,CALC!$L$1)))</f>
        <v/>
      </c>
      <c r="E25" s="13">
        <f>IF($K25="","",IF(INDEX(BASELINE!$A$2:$ZZ$3001,$K25,CALC!$K$1)="","",INDEX(BASELINE!$A$2:$ZZ$3001,$K25,CALC!$K$1)))</f>
        <v/>
      </c>
      <c r="F25" s="14">
        <f>IF($K25="","",IF(INDEX(BASELINE!$A$2:$ZZ$3001,$K25,CALC!$O$1)="","",INDEX(BASELINE!$A$2:$ZZ$3001,$K25,CALC!$O$1)))</f>
        <v/>
      </c>
      <c r="G25" s="13">
        <f>IF($K25="","",IF(INDEX(BASELINE!$A$2:$ZZ$3001,$K25,CALC!$J$1)="","",INDEX(BASELINE!$A$2:$ZZ$3001,$K25,CALC!$J$1)))</f>
        <v/>
      </c>
      <c r="H25" s="13">
        <f>IF($K25="","",IF(INDEX(BASELINE!$A$2:$ZZ$3001,$K25,CALC!$M$1)="","",INDEX(BASELINE!$A$2:$ZZ$3001,$K25,CALC!$M$1)))</f>
        <v/>
      </c>
      <c r="I25" s="13">
        <f>IF($K25="","",IF(INDEX(BASELINE!$A$2:$ZZ$3001,$K25,CALC!$N$1)="","",INDEX(BASELINE!$A$2:$ZZ$3001,$K25,CALC!$N$1)))</f>
        <v/>
      </c>
      <c r="J25" s="12">
        <f>IF($K25="","",IF(ISNUMBER(SEARCH("break",INDEX(BASELINE!$A$2:$ZZ$3001,$K25,CALC!$Q$1)&amp;"")),"SIM",""))</f>
        <v/>
      </c>
      <c r="K25" s="15">
        <f>IF(17&lt;=CALC!$D$1,MATCH(17,CALC!$B$2:$B$3001,0),"")</f>
        <v/>
      </c>
    </row>
    <row r="26" ht="17" customHeight="1">
      <c r="A26" s="12">
        <f>IF($K26="","",18)</f>
        <v/>
      </c>
      <c r="B26" s="13">
        <f>IF($K26="","",IF(INDEX(BASELINE!$A$2:$ZZ$3001,$K26,CALC!$H$1)="","",INDEX(BASELINE!$A$2:$ZZ$3001,$K26,CALC!$H$1)))</f>
        <v/>
      </c>
      <c r="C26" s="12">
        <f>IF($K26="","",IF(INDEX(BASELINE!$A$2:$ZZ$3001,$K26,CALC!$I$1)="","",INDEX(BASELINE!$A$2:$ZZ$3001,$K26,CALC!$I$1)))</f>
        <v/>
      </c>
      <c r="D26" s="13">
        <f>IF($K26="","",IF(INDEX(BASELINE!$A$2:$ZZ$3001,$K26,CALC!$L$1)="","",INDEX(BASELINE!$A$2:$ZZ$3001,$K26,CALC!$L$1)))</f>
        <v/>
      </c>
      <c r="E26" s="13">
        <f>IF($K26="","",IF(INDEX(BASELINE!$A$2:$ZZ$3001,$K26,CALC!$K$1)="","",INDEX(BASELINE!$A$2:$ZZ$3001,$K26,CALC!$K$1)))</f>
        <v/>
      </c>
      <c r="F26" s="14">
        <f>IF($K26="","",IF(INDEX(BASELINE!$A$2:$ZZ$3001,$K26,CALC!$O$1)="","",INDEX(BASELINE!$A$2:$ZZ$3001,$K26,CALC!$O$1)))</f>
        <v/>
      </c>
      <c r="G26" s="13">
        <f>IF($K26="","",IF(INDEX(BASELINE!$A$2:$ZZ$3001,$K26,CALC!$J$1)="","",INDEX(BASELINE!$A$2:$ZZ$3001,$K26,CALC!$J$1)))</f>
        <v/>
      </c>
      <c r="H26" s="13">
        <f>IF($K26="","",IF(INDEX(BASELINE!$A$2:$ZZ$3001,$K26,CALC!$M$1)="","",INDEX(BASELINE!$A$2:$ZZ$3001,$K26,CALC!$M$1)))</f>
        <v/>
      </c>
      <c r="I26" s="13">
        <f>IF($K26="","",IF(INDEX(BASELINE!$A$2:$ZZ$3001,$K26,CALC!$N$1)="","",INDEX(BASELINE!$A$2:$ZZ$3001,$K26,CALC!$N$1)))</f>
        <v/>
      </c>
      <c r="J26" s="12">
        <f>IF($K26="","",IF(ISNUMBER(SEARCH("break",INDEX(BASELINE!$A$2:$ZZ$3001,$K26,CALC!$Q$1)&amp;"")),"SIM",""))</f>
        <v/>
      </c>
      <c r="K26" s="15">
        <f>IF(18&lt;=CALC!$D$1,MATCH(18,CALC!$B$2:$B$3001,0),"")</f>
        <v/>
      </c>
    </row>
    <row r="27" ht="17" customHeight="1">
      <c r="A27" s="12">
        <f>IF($K27="","",19)</f>
        <v/>
      </c>
      <c r="B27" s="13">
        <f>IF($K27="","",IF(INDEX(BASELINE!$A$2:$ZZ$3001,$K27,CALC!$H$1)="","",INDEX(BASELINE!$A$2:$ZZ$3001,$K27,CALC!$H$1)))</f>
        <v/>
      </c>
      <c r="C27" s="12">
        <f>IF($K27="","",IF(INDEX(BASELINE!$A$2:$ZZ$3001,$K27,CALC!$I$1)="","",INDEX(BASELINE!$A$2:$ZZ$3001,$K27,CALC!$I$1)))</f>
        <v/>
      </c>
      <c r="D27" s="13">
        <f>IF($K27="","",IF(INDEX(BASELINE!$A$2:$ZZ$3001,$K27,CALC!$L$1)="","",INDEX(BASELINE!$A$2:$ZZ$3001,$K27,CALC!$L$1)))</f>
        <v/>
      </c>
      <c r="E27" s="13">
        <f>IF($K27="","",IF(INDEX(BASELINE!$A$2:$ZZ$3001,$K27,CALC!$K$1)="","",INDEX(BASELINE!$A$2:$ZZ$3001,$K27,CALC!$K$1)))</f>
        <v/>
      </c>
      <c r="F27" s="14">
        <f>IF($K27="","",IF(INDEX(BASELINE!$A$2:$ZZ$3001,$K27,CALC!$O$1)="","",INDEX(BASELINE!$A$2:$ZZ$3001,$K27,CALC!$O$1)))</f>
        <v/>
      </c>
      <c r="G27" s="13">
        <f>IF($K27="","",IF(INDEX(BASELINE!$A$2:$ZZ$3001,$K27,CALC!$J$1)="","",INDEX(BASELINE!$A$2:$ZZ$3001,$K27,CALC!$J$1)))</f>
        <v/>
      </c>
      <c r="H27" s="13">
        <f>IF($K27="","",IF(INDEX(BASELINE!$A$2:$ZZ$3001,$K27,CALC!$M$1)="","",INDEX(BASELINE!$A$2:$ZZ$3001,$K27,CALC!$M$1)))</f>
        <v/>
      </c>
      <c r="I27" s="13">
        <f>IF($K27="","",IF(INDEX(BASELINE!$A$2:$ZZ$3001,$K27,CALC!$N$1)="","",INDEX(BASELINE!$A$2:$ZZ$3001,$K27,CALC!$N$1)))</f>
        <v/>
      </c>
      <c r="J27" s="12">
        <f>IF($K27="","",IF(ISNUMBER(SEARCH("break",INDEX(BASELINE!$A$2:$ZZ$3001,$K27,CALC!$Q$1)&amp;"")),"SIM",""))</f>
        <v/>
      </c>
      <c r="K27" s="15">
        <f>IF(19&lt;=CALC!$D$1,MATCH(19,CALC!$B$2:$B$3001,0),"")</f>
        <v/>
      </c>
    </row>
    <row r="28" ht="17" customHeight="1">
      <c r="A28" s="12">
        <f>IF($K28="","",20)</f>
        <v/>
      </c>
      <c r="B28" s="13">
        <f>IF($K28="","",IF(INDEX(BASELINE!$A$2:$ZZ$3001,$K28,CALC!$H$1)="","",INDEX(BASELINE!$A$2:$ZZ$3001,$K28,CALC!$H$1)))</f>
        <v/>
      </c>
      <c r="C28" s="12">
        <f>IF($K28="","",IF(INDEX(BASELINE!$A$2:$ZZ$3001,$K28,CALC!$I$1)="","",INDEX(BASELINE!$A$2:$ZZ$3001,$K28,CALC!$I$1)))</f>
        <v/>
      </c>
      <c r="D28" s="13">
        <f>IF($K28="","",IF(INDEX(BASELINE!$A$2:$ZZ$3001,$K28,CALC!$L$1)="","",INDEX(BASELINE!$A$2:$ZZ$3001,$K28,CALC!$L$1)))</f>
        <v/>
      </c>
      <c r="E28" s="13">
        <f>IF($K28="","",IF(INDEX(BASELINE!$A$2:$ZZ$3001,$K28,CALC!$K$1)="","",INDEX(BASELINE!$A$2:$ZZ$3001,$K28,CALC!$K$1)))</f>
        <v/>
      </c>
      <c r="F28" s="14">
        <f>IF($K28="","",IF(INDEX(BASELINE!$A$2:$ZZ$3001,$K28,CALC!$O$1)="","",INDEX(BASELINE!$A$2:$ZZ$3001,$K28,CALC!$O$1)))</f>
        <v/>
      </c>
      <c r="G28" s="13">
        <f>IF($K28="","",IF(INDEX(BASELINE!$A$2:$ZZ$3001,$K28,CALC!$J$1)="","",INDEX(BASELINE!$A$2:$ZZ$3001,$K28,CALC!$J$1)))</f>
        <v/>
      </c>
      <c r="H28" s="13">
        <f>IF($K28="","",IF(INDEX(BASELINE!$A$2:$ZZ$3001,$K28,CALC!$M$1)="","",INDEX(BASELINE!$A$2:$ZZ$3001,$K28,CALC!$M$1)))</f>
        <v/>
      </c>
      <c r="I28" s="13">
        <f>IF($K28="","",IF(INDEX(BASELINE!$A$2:$ZZ$3001,$K28,CALC!$N$1)="","",INDEX(BASELINE!$A$2:$ZZ$3001,$K28,CALC!$N$1)))</f>
        <v/>
      </c>
      <c r="J28" s="12">
        <f>IF($K28="","",IF(ISNUMBER(SEARCH("break",INDEX(BASELINE!$A$2:$ZZ$3001,$K28,CALC!$Q$1)&amp;"")),"SIM",""))</f>
        <v/>
      </c>
      <c r="K28" s="15">
        <f>IF(20&lt;=CALC!$D$1,MATCH(20,CALC!$B$2:$B$3001,0),"")</f>
        <v/>
      </c>
    </row>
    <row r="29" ht="17" customHeight="1">
      <c r="A29" s="12">
        <f>IF($K29="","",21)</f>
        <v/>
      </c>
      <c r="B29" s="13">
        <f>IF($K29="","",IF(INDEX(BASELINE!$A$2:$ZZ$3001,$K29,CALC!$H$1)="","",INDEX(BASELINE!$A$2:$ZZ$3001,$K29,CALC!$H$1)))</f>
        <v/>
      </c>
      <c r="C29" s="12">
        <f>IF($K29="","",IF(INDEX(BASELINE!$A$2:$ZZ$3001,$K29,CALC!$I$1)="","",INDEX(BASELINE!$A$2:$ZZ$3001,$K29,CALC!$I$1)))</f>
        <v/>
      </c>
      <c r="D29" s="13">
        <f>IF($K29="","",IF(INDEX(BASELINE!$A$2:$ZZ$3001,$K29,CALC!$L$1)="","",INDEX(BASELINE!$A$2:$ZZ$3001,$K29,CALC!$L$1)))</f>
        <v/>
      </c>
      <c r="E29" s="13">
        <f>IF($K29="","",IF(INDEX(BASELINE!$A$2:$ZZ$3001,$K29,CALC!$K$1)="","",INDEX(BASELINE!$A$2:$ZZ$3001,$K29,CALC!$K$1)))</f>
        <v/>
      </c>
      <c r="F29" s="14">
        <f>IF($K29="","",IF(INDEX(BASELINE!$A$2:$ZZ$3001,$K29,CALC!$O$1)="","",INDEX(BASELINE!$A$2:$ZZ$3001,$K29,CALC!$O$1)))</f>
        <v/>
      </c>
      <c r="G29" s="13">
        <f>IF($K29="","",IF(INDEX(BASELINE!$A$2:$ZZ$3001,$K29,CALC!$J$1)="","",INDEX(BASELINE!$A$2:$ZZ$3001,$K29,CALC!$J$1)))</f>
        <v/>
      </c>
      <c r="H29" s="13">
        <f>IF($K29="","",IF(INDEX(BASELINE!$A$2:$ZZ$3001,$K29,CALC!$M$1)="","",INDEX(BASELINE!$A$2:$ZZ$3001,$K29,CALC!$M$1)))</f>
        <v/>
      </c>
      <c r="I29" s="13">
        <f>IF($K29="","",IF(INDEX(BASELINE!$A$2:$ZZ$3001,$K29,CALC!$N$1)="","",INDEX(BASELINE!$A$2:$ZZ$3001,$K29,CALC!$N$1)))</f>
        <v/>
      </c>
      <c r="J29" s="12">
        <f>IF($K29="","",IF(ISNUMBER(SEARCH("break",INDEX(BASELINE!$A$2:$ZZ$3001,$K29,CALC!$Q$1)&amp;"")),"SIM",""))</f>
        <v/>
      </c>
      <c r="K29" s="15">
        <f>IF(21&lt;=CALC!$D$1,MATCH(21,CALC!$B$2:$B$3001,0),"")</f>
        <v/>
      </c>
    </row>
    <row r="30" ht="17" customHeight="1">
      <c r="A30" s="12">
        <f>IF($K30="","",22)</f>
        <v/>
      </c>
      <c r="B30" s="13">
        <f>IF($K30="","",IF(INDEX(BASELINE!$A$2:$ZZ$3001,$K30,CALC!$H$1)="","",INDEX(BASELINE!$A$2:$ZZ$3001,$K30,CALC!$H$1)))</f>
        <v/>
      </c>
      <c r="C30" s="12">
        <f>IF($K30="","",IF(INDEX(BASELINE!$A$2:$ZZ$3001,$K30,CALC!$I$1)="","",INDEX(BASELINE!$A$2:$ZZ$3001,$K30,CALC!$I$1)))</f>
        <v/>
      </c>
      <c r="D30" s="13">
        <f>IF($K30="","",IF(INDEX(BASELINE!$A$2:$ZZ$3001,$K30,CALC!$L$1)="","",INDEX(BASELINE!$A$2:$ZZ$3001,$K30,CALC!$L$1)))</f>
        <v/>
      </c>
      <c r="E30" s="13">
        <f>IF($K30="","",IF(INDEX(BASELINE!$A$2:$ZZ$3001,$K30,CALC!$K$1)="","",INDEX(BASELINE!$A$2:$ZZ$3001,$K30,CALC!$K$1)))</f>
        <v/>
      </c>
      <c r="F30" s="14">
        <f>IF($K30="","",IF(INDEX(BASELINE!$A$2:$ZZ$3001,$K30,CALC!$O$1)="","",INDEX(BASELINE!$A$2:$ZZ$3001,$K30,CALC!$O$1)))</f>
        <v/>
      </c>
      <c r="G30" s="13">
        <f>IF($K30="","",IF(INDEX(BASELINE!$A$2:$ZZ$3001,$K30,CALC!$J$1)="","",INDEX(BASELINE!$A$2:$ZZ$3001,$K30,CALC!$J$1)))</f>
        <v/>
      </c>
      <c r="H30" s="13">
        <f>IF($K30="","",IF(INDEX(BASELINE!$A$2:$ZZ$3001,$K30,CALC!$M$1)="","",INDEX(BASELINE!$A$2:$ZZ$3001,$K30,CALC!$M$1)))</f>
        <v/>
      </c>
      <c r="I30" s="13">
        <f>IF($K30="","",IF(INDEX(BASELINE!$A$2:$ZZ$3001,$K30,CALC!$N$1)="","",INDEX(BASELINE!$A$2:$ZZ$3001,$K30,CALC!$N$1)))</f>
        <v/>
      </c>
      <c r="J30" s="12">
        <f>IF($K30="","",IF(ISNUMBER(SEARCH("break",INDEX(BASELINE!$A$2:$ZZ$3001,$K30,CALC!$Q$1)&amp;"")),"SIM",""))</f>
        <v/>
      </c>
      <c r="K30" s="15">
        <f>IF(22&lt;=CALC!$D$1,MATCH(22,CALC!$B$2:$B$3001,0),"")</f>
        <v/>
      </c>
    </row>
    <row r="31" ht="17" customHeight="1">
      <c r="A31" s="12">
        <f>IF($K31="","",23)</f>
        <v/>
      </c>
      <c r="B31" s="13">
        <f>IF($K31="","",IF(INDEX(BASELINE!$A$2:$ZZ$3001,$K31,CALC!$H$1)="","",INDEX(BASELINE!$A$2:$ZZ$3001,$K31,CALC!$H$1)))</f>
        <v/>
      </c>
      <c r="C31" s="12">
        <f>IF($K31="","",IF(INDEX(BASELINE!$A$2:$ZZ$3001,$K31,CALC!$I$1)="","",INDEX(BASELINE!$A$2:$ZZ$3001,$K31,CALC!$I$1)))</f>
        <v/>
      </c>
      <c r="D31" s="13">
        <f>IF($K31="","",IF(INDEX(BASELINE!$A$2:$ZZ$3001,$K31,CALC!$L$1)="","",INDEX(BASELINE!$A$2:$ZZ$3001,$K31,CALC!$L$1)))</f>
        <v/>
      </c>
      <c r="E31" s="13">
        <f>IF($K31="","",IF(INDEX(BASELINE!$A$2:$ZZ$3001,$K31,CALC!$K$1)="","",INDEX(BASELINE!$A$2:$ZZ$3001,$K31,CALC!$K$1)))</f>
        <v/>
      </c>
      <c r="F31" s="14">
        <f>IF($K31="","",IF(INDEX(BASELINE!$A$2:$ZZ$3001,$K31,CALC!$O$1)="","",INDEX(BASELINE!$A$2:$ZZ$3001,$K31,CALC!$O$1)))</f>
        <v/>
      </c>
      <c r="G31" s="13">
        <f>IF($K31="","",IF(INDEX(BASELINE!$A$2:$ZZ$3001,$K31,CALC!$J$1)="","",INDEX(BASELINE!$A$2:$ZZ$3001,$K31,CALC!$J$1)))</f>
        <v/>
      </c>
      <c r="H31" s="13">
        <f>IF($K31="","",IF(INDEX(BASELINE!$A$2:$ZZ$3001,$K31,CALC!$M$1)="","",INDEX(BASELINE!$A$2:$ZZ$3001,$K31,CALC!$M$1)))</f>
        <v/>
      </c>
      <c r="I31" s="13">
        <f>IF($K31="","",IF(INDEX(BASELINE!$A$2:$ZZ$3001,$K31,CALC!$N$1)="","",INDEX(BASELINE!$A$2:$ZZ$3001,$K31,CALC!$N$1)))</f>
        <v/>
      </c>
      <c r="J31" s="12">
        <f>IF($K31="","",IF(ISNUMBER(SEARCH("break",INDEX(BASELINE!$A$2:$ZZ$3001,$K31,CALC!$Q$1)&amp;"")),"SIM",""))</f>
        <v/>
      </c>
      <c r="K31" s="15">
        <f>IF(23&lt;=CALC!$D$1,MATCH(23,CALC!$B$2:$B$3001,0),"")</f>
        <v/>
      </c>
    </row>
    <row r="32" ht="17" customHeight="1">
      <c r="A32" s="12">
        <f>IF($K32="","",24)</f>
        <v/>
      </c>
      <c r="B32" s="13">
        <f>IF($K32="","",IF(INDEX(BASELINE!$A$2:$ZZ$3001,$K32,CALC!$H$1)="","",INDEX(BASELINE!$A$2:$ZZ$3001,$K32,CALC!$H$1)))</f>
        <v/>
      </c>
      <c r="C32" s="12">
        <f>IF($K32="","",IF(INDEX(BASELINE!$A$2:$ZZ$3001,$K32,CALC!$I$1)="","",INDEX(BASELINE!$A$2:$ZZ$3001,$K32,CALC!$I$1)))</f>
        <v/>
      </c>
      <c r="D32" s="13">
        <f>IF($K32="","",IF(INDEX(BASELINE!$A$2:$ZZ$3001,$K32,CALC!$L$1)="","",INDEX(BASELINE!$A$2:$ZZ$3001,$K32,CALC!$L$1)))</f>
        <v/>
      </c>
      <c r="E32" s="13">
        <f>IF($K32="","",IF(INDEX(BASELINE!$A$2:$ZZ$3001,$K32,CALC!$K$1)="","",INDEX(BASELINE!$A$2:$ZZ$3001,$K32,CALC!$K$1)))</f>
        <v/>
      </c>
      <c r="F32" s="14">
        <f>IF($K32="","",IF(INDEX(BASELINE!$A$2:$ZZ$3001,$K32,CALC!$O$1)="","",INDEX(BASELINE!$A$2:$ZZ$3001,$K32,CALC!$O$1)))</f>
        <v/>
      </c>
      <c r="G32" s="13">
        <f>IF($K32="","",IF(INDEX(BASELINE!$A$2:$ZZ$3001,$K32,CALC!$J$1)="","",INDEX(BASELINE!$A$2:$ZZ$3001,$K32,CALC!$J$1)))</f>
        <v/>
      </c>
      <c r="H32" s="13">
        <f>IF($K32="","",IF(INDEX(BASELINE!$A$2:$ZZ$3001,$K32,CALC!$M$1)="","",INDEX(BASELINE!$A$2:$ZZ$3001,$K32,CALC!$M$1)))</f>
        <v/>
      </c>
      <c r="I32" s="13">
        <f>IF($K32="","",IF(INDEX(BASELINE!$A$2:$ZZ$3001,$K32,CALC!$N$1)="","",INDEX(BASELINE!$A$2:$ZZ$3001,$K32,CALC!$N$1)))</f>
        <v/>
      </c>
      <c r="J32" s="12">
        <f>IF($K32="","",IF(ISNUMBER(SEARCH("break",INDEX(BASELINE!$A$2:$ZZ$3001,$K32,CALC!$Q$1)&amp;"")),"SIM",""))</f>
        <v/>
      </c>
      <c r="K32" s="15">
        <f>IF(24&lt;=CALC!$D$1,MATCH(24,CALC!$B$2:$B$3001,0),"")</f>
        <v/>
      </c>
    </row>
    <row r="33" ht="17" customHeight="1">
      <c r="A33" s="12">
        <f>IF($K33="","",25)</f>
        <v/>
      </c>
      <c r="B33" s="13">
        <f>IF($K33="","",IF(INDEX(BASELINE!$A$2:$ZZ$3001,$K33,CALC!$H$1)="","",INDEX(BASELINE!$A$2:$ZZ$3001,$K33,CALC!$H$1)))</f>
        <v/>
      </c>
      <c r="C33" s="12">
        <f>IF($K33="","",IF(INDEX(BASELINE!$A$2:$ZZ$3001,$K33,CALC!$I$1)="","",INDEX(BASELINE!$A$2:$ZZ$3001,$K33,CALC!$I$1)))</f>
        <v/>
      </c>
      <c r="D33" s="13">
        <f>IF($K33="","",IF(INDEX(BASELINE!$A$2:$ZZ$3001,$K33,CALC!$L$1)="","",INDEX(BASELINE!$A$2:$ZZ$3001,$K33,CALC!$L$1)))</f>
        <v/>
      </c>
      <c r="E33" s="13">
        <f>IF($K33="","",IF(INDEX(BASELINE!$A$2:$ZZ$3001,$K33,CALC!$K$1)="","",INDEX(BASELINE!$A$2:$ZZ$3001,$K33,CALC!$K$1)))</f>
        <v/>
      </c>
      <c r="F33" s="14">
        <f>IF($K33="","",IF(INDEX(BASELINE!$A$2:$ZZ$3001,$K33,CALC!$O$1)="","",INDEX(BASELINE!$A$2:$ZZ$3001,$K33,CALC!$O$1)))</f>
        <v/>
      </c>
      <c r="G33" s="13">
        <f>IF($K33="","",IF(INDEX(BASELINE!$A$2:$ZZ$3001,$K33,CALC!$J$1)="","",INDEX(BASELINE!$A$2:$ZZ$3001,$K33,CALC!$J$1)))</f>
        <v/>
      </c>
      <c r="H33" s="13">
        <f>IF($K33="","",IF(INDEX(BASELINE!$A$2:$ZZ$3001,$K33,CALC!$M$1)="","",INDEX(BASELINE!$A$2:$ZZ$3001,$K33,CALC!$M$1)))</f>
        <v/>
      </c>
      <c r="I33" s="13">
        <f>IF($K33="","",IF(INDEX(BASELINE!$A$2:$ZZ$3001,$K33,CALC!$N$1)="","",INDEX(BASELINE!$A$2:$ZZ$3001,$K33,CALC!$N$1)))</f>
        <v/>
      </c>
      <c r="J33" s="12">
        <f>IF($K33="","",IF(ISNUMBER(SEARCH("break",INDEX(BASELINE!$A$2:$ZZ$3001,$K33,CALC!$Q$1)&amp;"")),"SIM",""))</f>
        <v/>
      </c>
      <c r="K33" s="15">
        <f>IF(25&lt;=CALC!$D$1,MATCH(25,CALC!$B$2:$B$3001,0),"")</f>
        <v/>
      </c>
    </row>
    <row r="34" ht="17" customHeight="1">
      <c r="A34" s="12">
        <f>IF($K34="","",26)</f>
        <v/>
      </c>
      <c r="B34" s="13">
        <f>IF($K34="","",IF(INDEX(BASELINE!$A$2:$ZZ$3001,$K34,CALC!$H$1)="","",INDEX(BASELINE!$A$2:$ZZ$3001,$K34,CALC!$H$1)))</f>
        <v/>
      </c>
      <c r="C34" s="12">
        <f>IF($K34="","",IF(INDEX(BASELINE!$A$2:$ZZ$3001,$K34,CALC!$I$1)="","",INDEX(BASELINE!$A$2:$ZZ$3001,$K34,CALC!$I$1)))</f>
        <v/>
      </c>
      <c r="D34" s="13">
        <f>IF($K34="","",IF(INDEX(BASELINE!$A$2:$ZZ$3001,$K34,CALC!$L$1)="","",INDEX(BASELINE!$A$2:$ZZ$3001,$K34,CALC!$L$1)))</f>
        <v/>
      </c>
      <c r="E34" s="13">
        <f>IF($K34="","",IF(INDEX(BASELINE!$A$2:$ZZ$3001,$K34,CALC!$K$1)="","",INDEX(BASELINE!$A$2:$ZZ$3001,$K34,CALC!$K$1)))</f>
        <v/>
      </c>
      <c r="F34" s="14">
        <f>IF($K34="","",IF(INDEX(BASELINE!$A$2:$ZZ$3001,$K34,CALC!$O$1)="","",INDEX(BASELINE!$A$2:$ZZ$3001,$K34,CALC!$O$1)))</f>
        <v/>
      </c>
      <c r="G34" s="13">
        <f>IF($K34="","",IF(INDEX(BASELINE!$A$2:$ZZ$3001,$K34,CALC!$J$1)="","",INDEX(BASELINE!$A$2:$ZZ$3001,$K34,CALC!$J$1)))</f>
        <v/>
      </c>
      <c r="H34" s="13">
        <f>IF($K34="","",IF(INDEX(BASELINE!$A$2:$ZZ$3001,$K34,CALC!$M$1)="","",INDEX(BASELINE!$A$2:$ZZ$3001,$K34,CALC!$M$1)))</f>
        <v/>
      </c>
      <c r="I34" s="13">
        <f>IF($K34="","",IF(INDEX(BASELINE!$A$2:$ZZ$3001,$K34,CALC!$N$1)="","",INDEX(BASELINE!$A$2:$ZZ$3001,$K34,CALC!$N$1)))</f>
        <v/>
      </c>
      <c r="J34" s="12">
        <f>IF($K34="","",IF(ISNUMBER(SEARCH("break",INDEX(BASELINE!$A$2:$ZZ$3001,$K34,CALC!$Q$1)&amp;"")),"SIM",""))</f>
        <v/>
      </c>
      <c r="K34" s="15">
        <f>IF(26&lt;=CALC!$D$1,MATCH(26,CALC!$B$2:$B$3001,0),"")</f>
        <v/>
      </c>
    </row>
    <row r="35" ht="17" customHeight="1">
      <c r="A35" s="12">
        <f>IF($K35="","",27)</f>
        <v/>
      </c>
      <c r="B35" s="13">
        <f>IF($K35="","",IF(INDEX(BASELINE!$A$2:$ZZ$3001,$K35,CALC!$H$1)="","",INDEX(BASELINE!$A$2:$ZZ$3001,$K35,CALC!$H$1)))</f>
        <v/>
      </c>
      <c r="C35" s="12">
        <f>IF($K35="","",IF(INDEX(BASELINE!$A$2:$ZZ$3001,$K35,CALC!$I$1)="","",INDEX(BASELINE!$A$2:$ZZ$3001,$K35,CALC!$I$1)))</f>
        <v/>
      </c>
      <c r="D35" s="13">
        <f>IF($K35="","",IF(INDEX(BASELINE!$A$2:$ZZ$3001,$K35,CALC!$L$1)="","",INDEX(BASELINE!$A$2:$ZZ$3001,$K35,CALC!$L$1)))</f>
        <v/>
      </c>
      <c r="E35" s="13">
        <f>IF($K35="","",IF(INDEX(BASELINE!$A$2:$ZZ$3001,$K35,CALC!$K$1)="","",INDEX(BASELINE!$A$2:$ZZ$3001,$K35,CALC!$K$1)))</f>
        <v/>
      </c>
      <c r="F35" s="14">
        <f>IF($K35="","",IF(INDEX(BASELINE!$A$2:$ZZ$3001,$K35,CALC!$O$1)="","",INDEX(BASELINE!$A$2:$ZZ$3001,$K35,CALC!$O$1)))</f>
        <v/>
      </c>
      <c r="G35" s="13">
        <f>IF($K35="","",IF(INDEX(BASELINE!$A$2:$ZZ$3001,$K35,CALC!$J$1)="","",INDEX(BASELINE!$A$2:$ZZ$3001,$K35,CALC!$J$1)))</f>
        <v/>
      </c>
      <c r="H35" s="13">
        <f>IF($K35="","",IF(INDEX(BASELINE!$A$2:$ZZ$3001,$K35,CALC!$M$1)="","",INDEX(BASELINE!$A$2:$ZZ$3001,$K35,CALC!$M$1)))</f>
        <v/>
      </c>
      <c r="I35" s="13">
        <f>IF($K35="","",IF(INDEX(BASELINE!$A$2:$ZZ$3001,$K35,CALC!$N$1)="","",INDEX(BASELINE!$A$2:$ZZ$3001,$K35,CALC!$N$1)))</f>
        <v/>
      </c>
      <c r="J35" s="12">
        <f>IF($K35="","",IF(ISNUMBER(SEARCH("break",INDEX(BASELINE!$A$2:$ZZ$3001,$K35,CALC!$Q$1)&amp;"")),"SIM",""))</f>
        <v/>
      </c>
      <c r="K35" s="15">
        <f>IF(27&lt;=CALC!$D$1,MATCH(27,CALC!$B$2:$B$3001,0),"")</f>
        <v/>
      </c>
    </row>
    <row r="36" ht="17" customHeight="1">
      <c r="A36" s="12">
        <f>IF($K36="","",28)</f>
        <v/>
      </c>
      <c r="B36" s="13">
        <f>IF($K36="","",IF(INDEX(BASELINE!$A$2:$ZZ$3001,$K36,CALC!$H$1)="","",INDEX(BASELINE!$A$2:$ZZ$3001,$K36,CALC!$H$1)))</f>
        <v/>
      </c>
      <c r="C36" s="12">
        <f>IF($K36="","",IF(INDEX(BASELINE!$A$2:$ZZ$3001,$K36,CALC!$I$1)="","",INDEX(BASELINE!$A$2:$ZZ$3001,$K36,CALC!$I$1)))</f>
        <v/>
      </c>
      <c r="D36" s="13">
        <f>IF($K36="","",IF(INDEX(BASELINE!$A$2:$ZZ$3001,$K36,CALC!$L$1)="","",INDEX(BASELINE!$A$2:$ZZ$3001,$K36,CALC!$L$1)))</f>
        <v/>
      </c>
      <c r="E36" s="13">
        <f>IF($K36="","",IF(INDEX(BASELINE!$A$2:$ZZ$3001,$K36,CALC!$K$1)="","",INDEX(BASELINE!$A$2:$ZZ$3001,$K36,CALC!$K$1)))</f>
        <v/>
      </c>
      <c r="F36" s="14">
        <f>IF($K36="","",IF(INDEX(BASELINE!$A$2:$ZZ$3001,$K36,CALC!$O$1)="","",INDEX(BASELINE!$A$2:$ZZ$3001,$K36,CALC!$O$1)))</f>
        <v/>
      </c>
      <c r="G36" s="13">
        <f>IF($K36="","",IF(INDEX(BASELINE!$A$2:$ZZ$3001,$K36,CALC!$J$1)="","",INDEX(BASELINE!$A$2:$ZZ$3001,$K36,CALC!$J$1)))</f>
        <v/>
      </c>
      <c r="H36" s="13">
        <f>IF($K36="","",IF(INDEX(BASELINE!$A$2:$ZZ$3001,$K36,CALC!$M$1)="","",INDEX(BASELINE!$A$2:$ZZ$3001,$K36,CALC!$M$1)))</f>
        <v/>
      </c>
      <c r="I36" s="13">
        <f>IF($K36="","",IF(INDEX(BASELINE!$A$2:$ZZ$3001,$K36,CALC!$N$1)="","",INDEX(BASELINE!$A$2:$ZZ$3001,$K36,CALC!$N$1)))</f>
        <v/>
      </c>
      <c r="J36" s="12">
        <f>IF($K36="","",IF(ISNUMBER(SEARCH("break",INDEX(BASELINE!$A$2:$ZZ$3001,$K36,CALC!$Q$1)&amp;"")),"SIM",""))</f>
        <v/>
      </c>
      <c r="K36" s="15">
        <f>IF(28&lt;=CALC!$D$1,MATCH(28,CALC!$B$2:$B$3001,0),"")</f>
        <v/>
      </c>
    </row>
    <row r="37" ht="17" customHeight="1">
      <c r="A37" s="12">
        <f>IF($K37="","",29)</f>
        <v/>
      </c>
      <c r="B37" s="13">
        <f>IF($K37="","",IF(INDEX(BASELINE!$A$2:$ZZ$3001,$K37,CALC!$H$1)="","",INDEX(BASELINE!$A$2:$ZZ$3001,$K37,CALC!$H$1)))</f>
        <v/>
      </c>
      <c r="C37" s="12">
        <f>IF($K37="","",IF(INDEX(BASELINE!$A$2:$ZZ$3001,$K37,CALC!$I$1)="","",INDEX(BASELINE!$A$2:$ZZ$3001,$K37,CALC!$I$1)))</f>
        <v/>
      </c>
      <c r="D37" s="13">
        <f>IF($K37="","",IF(INDEX(BASELINE!$A$2:$ZZ$3001,$K37,CALC!$L$1)="","",INDEX(BASELINE!$A$2:$ZZ$3001,$K37,CALC!$L$1)))</f>
        <v/>
      </c>
      <c r="E37" s="13">
        <f>IF($K37="","",IF(INDEX(BASELINE!$A$2:$ZZ$3001,$K37,CALC!$K$1)="","",INDEX(BASELINE!$A$2:$ZZ$3001,$K37,CALC!$K$1)))</f>
        <v/>
      </c>
      <c r="F37" s="14">
        <f>IF($K37="","",IF(INDEX(BASELINE!$A$2:$ZZ$3001,$K37,CALC!$O$1)="","",INDEX(BASELINE!$A$2:$ZZ$3001,$K37,CALC!$O$1)))</f>
        <v/>
      </c>
      <c r="G37" s="13">
        <f>IF($K37="","",IF(INDEX(BASELINE!$A$2:$ZZ$3001,$K37,CALC!$J$1)="","",INDEX(BASELINE!$A$2:$ZZ$3001,$K37,CALC!$J$1)))</f>
        <v/>
      </c>
      <c r="H37" s="13">
        <f>IF($K37="","",IF(INDEX(BASELINE!$A$2:$ZZ$3001,$K37,CALC!$M$1)="","",INDEX(BASELINE!$A$2:$ZZ$3001,$K37,CALC!$M$1)))</f>
        <v/>
      </c>
      <c r="I37" s="13">
        <f>IF($K37="","",IF(INDEX(BASELINE!$A$2:$ZZ$3001,$K37,CALC!$N$1)="","",INDEX(BASELINE!$A$2:$ZZ$3001,$K37,CALC!$N$1)))</f>
        <v/>
      </c>
      <c r="J37" s="12">
        <f>IF($K37="","",IF(ISNUMBER(SEARCH("break",INDEX(BASELINE!$A$2:$ZZ$3001,$K37,CALC!$Q$1)&amp;"")),"SIM",""))</f>
        <v/>
      </c>
      <c r="K37" s="15">
        <f>IF(29&lt;=CALC!$D$1,MATCH(29,CALC!$B$2:$B$3001,0),"")</f>
        <v/>
      </c>
    </row>
    <row r="38" ht="17" customHeight="1">
      <c r="A38" s="12">
        <f>IF($K38="","",30)</f>
        <v/>
      </c>
      <c r="B38" s="13">
        <f>IF($K38="","",IF(INDEX(BASELINE!$A$2:$ZZ$3001,$K38,CALC!$H$1)="","",INDEX(BASELINE!$A$2:$ZZ$3001,$K38,CALC!$H$1)))</f>
        <v/>
      </c>
      <c r="C38" s="12">
        <f>IF($K38="","",IF(INDEX(BASELINE!$A$2:$ZZ$3001,$K38,CALC!$I$1)="","",INDEX(BASELINE!$A$2:$ZZ$3001,$K38,CALC!$I$1)))</f>
        <v/>
      </c>
      <c r="D38" s="13">
        <f>IF($K38="","",IF(INDEX(BASELINE!$A$2:$ZZ$3001,$K38,CALC!$L$1)="","",INDEX(BASELINE!$A$2:$ZZ$3001,$K38,CALC!$L$1)))</f>
        <v/>
      </c>
      <c r="E38" s="13">
        <f>IF($K38="","",IF(INDEX(BASELINE!$A$2:$ZZ$3001,$K38,CALC!$K$1)="","",INDEX(BASELINE!$A$2:$ZZ$3001,$K38,CALC!$K$1)))</f>
        <v/>
      </c>
      <c r="F38" s="14">
        <f>IF($K38="","",IF(INDEX(BASELINE!$A$2:$ZZ$3001,$K38,CALC!$O$1)="","",INDEX(BASELINE!$A$2:$ZZ$3001,$K38,CALC!$O$1)))</f>
        <v/>
      </c>
      <c r="G38" s="13">
        <f>IF($K38="","",IF(INDEX(BASELINE!$A$2:$ZZ$3001,$K38,CALC!$J$1)="","",INDEX(BASELINE!$A$2:$ZZ$3001,$K38,CALC!$J$1)))</f>
        <v/>
      </c>
      <c r="H38" s="13">
        <f>IF($K38="","",IF(INDEX(BASELINE!$A$2:$ZZ$3001,$K38,CALC!$M$1)="","",INDEX(BASELINE!$A$2:$ZZ$3001,$K38,CALC!$M$1)))</f>
        <v/>
      </c>
      <c r="I38" s="13">
        <f>IF($K38="","",IF(INDEX(BASELINE!$A$2:$ZZ$3001,$K38,CALC!$N$1)="","",INDEX(BASELINE!$A$2:$ZZ$3001,$K38,CALC!$N$1)))</f>
        <v/>
      </c>
      <c r="J38" s="12">
        <f>IF($K38="","",IF(ISNUMBER(SEARCH("break",INDEX(BASELINE!$A$2:$ZZ$3001,$K38,CALC!$Q$1)&amp;"")),"SIM",""))</f>
        <v/>
      </c>
      <c r="K38" s="15">
        <f>IF(30&lt;=CALC!$D$1,MATCH(30,CALC!$B$2:$B$3001,0),"")</f>
        <v/>
      </c>
    </row>
    <row r="39" ht="17" customHeight="1">
      <c r="A39" s="12">
        <f>IF($K39="","",31)</f>
        <v/>
      </c>
      <c r="B39" s="13">
        <f>IF($K39="","",IF(INDEX(BASELINE!$A$2:$ZZ$3001,$K39,CALC!$H$1)="","",INDEX(BASELINE!$A$2:$ZZ$3001,$K39,CALC!$H$1)))</f>
        <v/>
      </c>
      <c r="C39" s="12">
        <f>IF($K39="","",IF(INDEX(BASELINE!$A$2:$ZZ$3001,$K39,CALC!$I$1)="","",INDEX(BASELINE!$A$2:$ZZ$3001,$K39,CALC!$I$1)))</f>
        <v/>
      </c>
      <c r="D39" s="13">
        <f>IF($K39="","",IF(INDEX(BASELINE!$A$2:$ZZ$3001,$K39,CALC!$L$1)="","",INDEX(BASELINE!$A$2:$ZZ$3001,$K39,CALC!$L$1)))</f>
        <v/>
      </c>
      <c r="E39" s="13">
        <f>IF($K39="","",IF(INDEX(BASELINE!$A$2:$ZZ$3001,$K39,CALC!$K$1)="","",INDEX(BASELINE!$A$2:$ZZ$3001,$K39,CALC!$K$1)))</f>
        <v/>
      </c>
      <c r="F39" s="14">
        <f>IF($K39="","",IF(INDEX(BASELINE!$A$2:$ZZ$3001,$K39,CALC!$O$1)="","",INDEX(BASELINE!$A$2:$ZZ$3001,$K39,CALC!$O$1)))</f>
        <v/>
      </c>
      <c r="G39" s="13">
        <f>IF($K39="","",IF(INDEX(BASELINE!$A$2:$ZZ$3001,$K39,CALC!$J$1)="","",INDEX(BASELINE!$A$2:$ZZ$3001,$K39,CALC!$J$1)))</f>
        <v/>
      </c>
      <c r="H39" s="13">
        <f>IF($K39="","",IF(INDEX(BASELINE!$A$2:$ZZ$3001,$K39,CALC!$M$1)="","",INDEX(BASELINE!$A$2:$ZZ$3001,$K39,CALC!$M$1)))</f>
        <v/>
      </c>
      <c r="I39" s="13">
        <f>IF($K39="","",IF(INDEX(BASELINE!$A$2:$ZZ$3001,$K39,CALC!$N$1)="","",INDEX(BASELINE!$A$2:$ZZ$3001,$K39,CALC!$N$1)))</f>
        <v/>
      </c>
      <c r="J39" s="12">
        <f>IF($K39="","",IF(ISNUMBER(SEARCH("break",INDEX(BASELINE!$A$2:$ZZ$3001,$K39,CALC!$Q$1)&amp;"")),"SIM",""))</f>
        <v/>
      </c>
      <c r="K39" s="15">
        <f>IF(31&lt;=CALC!$D$1,MATCH(31,CALC!$B$2:$B$3001,0),"")</f>
        <v/>
      </c>
    </row>
    <row r="40" ht="17" customHeight="1">
      <c r="A40" s="12">
        <f>IF($K40="","",32)</f>
        <v/>
      </c>
      <c r="B40" s="13">
        <f>IF($K40="","",IF(INDEX(BASELINE!$A$2:$ZZ$3001,$K40,CALC!$H$1)="","",INDEX(BASELINE!$A$2:$ZZ$3001,$K40,CALC!$H$1)))</f>
        <v/>
      </c>
      <c r="C40" s="12">
        <f>IF($K40="","",IF(INDEX(BASELINE!$A$2:$ZZ$3001,$K40,CALC!$I$1)="","",INDEX(BASELINE!$A$2:$ZZ$3001,$K40,CALC!$I$1)))</f>
        <v/>
      </c>
      <c r="D40" s="13">
        <f>IF($K40="","",IF(INDEX(BASELINE!$A$2:$ZZ$3001,$K40,CALC!$L$1)="","",INDEX(BASELINE!$A$2:$ZZ$3001,$K40,CALC!$L$1)))</f>
        <v/>
      </c>
      <c r="E40" s="13">
        <f>IF($K40="","",IF(INDEX(BASELINE!$A$2:$ZZ$3001,$K40,CALC!$K$1)="","",INDEX(BASELINE!$A$2:$ZZ$3001,$K40,CALC!$K$1)))</f>
        <v/>
      </c>
      <c r="F40" s="14">
        <f>IF($K40="","",IF(INDEX(BASELINE!$A$2:$ZZ$3001,$K40,CALC!$O$1)="","",INDEX(BASELINE!$A$2:$ZZ$3001,$K40,CALC!$O$1)))</f>
        <v/>
      </c>
      <c r="G40" s="13">
        <f>IF($K40="","",IF(INDEX(BASELINE!$A$2:$ZZ$3001,$K40,CALC!$J$1)="","",INDEX(BASELINE!$A$2:$ZZ$3001,$K40,CALC!$J$1)))</f>
        <v/>
      </c>
      <c r="H40" s="13">
        <f>IF($K40="","",IF(INDEX(BASELINE!$A$2:$ZZ$3001,$K40,CALC!$M$1)="","",INDEX(BASELINE!$A$2:$ZZ$3001,$K40,CALC!$M$1)))</f>
        <v/>
      </c>
      <c r="I40" s="13">
        <f>IF($K40="","",IF(INDEX(BASELINE!$A$2:$ZZ$3001,$K40,CALC!$N$1)="","",INDEX(BASELINE!$A$2:$ZZ$3001,$K40,CALC!$N$1)))</f>
        <v/>
      </c>
      <c r="J40" s="12">
        <f>IF($K40="","",IF(ISNUMBER(SEARCH("break",INDEX(BASELINE!$A$2:$ZZ$3001,$K40,CALC!$Q$1)&amp;"")),"SIM",""))</f>
        <v/>
      </c>
      <c r="K40" s="15">
        <f>IF(32&lt;=CALC!$D$1,MATCH(32,CALC!$B$2:$B$3001,0),"")</f>
        <v/>
      </c>
    </row>
    <row r="41" ht="17" customHeight="1">
      <c r="A41" s="12">
        <f>IF($K41="","",33)</f>
        <v/>
      </c>
      <c r="B41" s="13">
        <f>IF($K41="","",IF(INDEX(BASELINE!$A$2:$ZZ$3001,$K41,CALC!$H$1)="","",INDEX(BASELINE!$A$2:$ZZ$3001,$K41,CALC!$H$1)))</f>
        <v/>
      </c>
      <c r="C41" s="12">
        <f>IF($K41="","",IF(INDEX(BASELINE!$A$2:$ZZ$3001,$K41,CALC!$I$1)="","",INDEX(BASELINE!$A$2:$ZZ$3001,$K41,CALC!$I$1)))</f>
        <v/>
      </c>
      <c r="D41" s="13">
        <f>IF($K41="","",IF(INDEX(BASELINE!$A$2:$ZZ$3001,$K41,CALC!$L$1)="","",INDEX(BASELINE!$A$2:$ZZ$3001,$K41,CALC!$L$1)))</f>
        <v/>
      </c>
      <c r="E41" s="13">
        <f>IF($K41="","",IF(INDEX(BASELINE!$A$2:$ZZ$3001,$K41,CALC!$K$1)="","",INDEX(BASELINE!$A$2:$ZZ$3001,$K41,CALC!$K$1)))</f>
        <v/>
      </c>
      <c r="F41" s="14">
        <f>IF($K41="","",IF(INDEX(BASELINE!$A$2:$ZZ$3001,$K41,CALC!$O$1)="","",INDEX(BASELINE!$A$2:$ZZ$3001,$K41,CALC!$O$1)))</f>
        <v/>
      </c>
      <c r="G41" s="13">
        <f>IF($K41="","",IF(INDEX(BASELINE!$A$2:$ZZ$3001,$K41,CALC!$J$1)="","",INDEX(BASELINE!$A$2:$ZZ$3001,$K41,CALC!$J$1)))</f>
        <v/>
      </c>
      <c r="H41" s="13">
        <f>IF($K41="","",IF(INDEX(BASELINE!$A$2:$ZZ$3001,$K41,CALC!$M$1)="","",INDEX(BASELINE!$A$2:$ZZ$3001,$K41,CALC!$M$1)))</f>
        <v/>
      </c>
      <c r="I41" s="13">
        <f>IF($K41="","",IF(INDEX(BASELINE!$A$2:$ZZ$3001,$K41,CALC!$N$1)="","",INDEX(BASELINE!$A$2:$ZZ$3001,$K41,CALC!$N$1)))</f>
        <v/>
      </c>
      <c r="J41" s="12">
        <f>IF($K41="","",IF(ISNUMBER(SEARCH("break",INDEX(BASELINE!$A$2:$ZZ$3001,$K41,CALC!$Q$1)&amp;"")),"SIM",""))</f>
        <v/>
      </c>
      <c r="K41" s="15">
        <f>IF(33&lt;=CALC!$D$1,MATCH(33,CALC!$B$2:$B$3001,0),"")</f>
        <v/>
      </c>
    </row>
    <row r="42" ht="17" customHeight="1">
      <c r="A42" s="12">
        <f>IF($K42="","",34)</f>
        <v/>
      </c>
      <c r="B42" s="13">
        <f>IF($K42="","",IF(INDEX(BASELINE!$A$2:$ZZ$3001,$K42,CALC!$H$1)="","",INDEX(BASELINE!$A$2:$ZZ$3001,$K42,CALC!$H$1)))</f>
        <v/>
      </c>
      <c r="C42" s="12">
        <f>IF($K42="","",IF(INDEX(BASELINE!$A$2:$ZZ$3001,$K42,CALC!$I$1)="","",INDEX(BASELINE!$A$2:$ZZ$3001,$K42,CALC!$I$1)))</f>
        <v/>
      </c>
      <c r="D42" s="13">
        <f>IF($K42="","",IF(INDEX(BASELINE!$A$2:$ZZ$3001,$K42,CALC!$L$1)="","",INDEX(BASELINE!$A$2:$ZZ$3001,$K42,CALC!$L$1)))</f>
        <v/>
      </c>
      <c r="E42" s="13">
        <f>IF($K42="","",IF(INDEX(BASELINE!$A$2:$ZZ$3001,$K42,CALC!$K$1)="","",INDEX(BASELINE!$A$2:$ZZ$3001,$K42,CALC!$K$1)))</f>
        <v/>
      </c>
      <c r="F42" s="14">
        <f>IF($K42="","",IF(INDEX(BASELINE!$A$2:$ZZ$3001,$K42,CALC!$O$1)="","",INDEX(BASELINE!$A$2:$ZZ$3001,$K42,CALC!$O$1)))</f>
        <v/>
      </c>
      <c r="G42" s="13">
        <f>IF($K42="","",IF(INDEX(BASELINE!$A$2:$ZZ$3001,$K42,CALC!$J$1)="","",INDEX(BASELINE!$A$2:$ZZ$3001,$K42,CALC!$J$1)))</f>
        <v/>
      </c>
      <c r="H42" s="13">
        <f>IF($K42="","",IF(INDEX(BASELINE!$A$2:$ZZ$3001,$K42,CALC!$M$1)="","",INDEX(BASELINE!$A$2:$ZZ$3001,$K42,CALC!$M$1)))</f>
        <v/>
      </c>
      <c r="I42" s="13">
        <f>IF($K42="","",IF(INDEX(BASELINE!$A$2:$ZZ$3001,$K42,CALC!$N$1)="","",INDEX(BASELINE!$A$2:$ZZ$3001,$K42,CALC!$N$1)))</f>
        <v/>
      </c>
      <c r="J42" s="12">
        <f>IF($K42="","",IF(ISNUMBER(SEARCH("break",INDEX(BASELINE!$A$2:$ZZ$3001,$K42,CALC!$Q$1)&amp;"")),"SIM",""))</f>
        <v/>
      </c>
      <c r="K42" s="15">
        <f>IF(34&lt;=CALC!$D$1,MATCH(34,CALC!$B$2:$B$3001,0),"")</f>
        <v/>
      </c>
    </row>
    <row r="43" ht="17" customHeight="1">
      <c r="A43" s="12">
        <f>IF($K43="","",35)</f>
        <v/>
      </c>
      <c r="B43" s="13">
        <f>IF($K43="","",IF(INDEX(BASELINE!$A$2:$ZZ$3001,$K43,CALC!$H$1)="","",INDEX(BASELINE!$A$2:$ZZ$3001,$K43,CALC!$H$1)))</f>
        <v/>
      </c>
      <c r="C43" s="12">
        <f>IF($K43="","",IF(INDEX(BASELINE!$A$2:$ZZ$3001,$K43,CALC!$I$1)="","",INDEX(BASELINE!$A$2:$ZZ$3001,$K43,CALC!$I$1)))</f>
        <v/>
      </c>
      <c r="D43" s="13">
        <f>IF($K43="","",IF(INDEX(BASELINE!$A$2:$ZZ$3001,$K43,CALC!$L$1)="","",INDEX(BASELINE!$A$2:$ZZ$3001,$K43,CALC!$L$1)))</f>
        <v/>
      </c>
      <c r="E43" s="13">
        <f>IF($K43="","",IF(INDEX(BASELINE!$A$2:$ZZ$3001,$K43,CALC!$K$1)="","",INDEX(BASELINE!$A$2:$ZZ$3001,$K43,CALC!$K$1)))</f>
        <v/>
      </c>
      <c r="F43" s="14">
        <f>IF($K43="","",IF(INDEX(BASELINE!$A$2:$ZZ$3001,$K43,CALC!$O$1)="","",INDEX(BASELINE!$A$2:$ZZ$3001,$K43,CALC!$O$1)))</f>
        <v/>
      </c>
      <c r="G43" s="13">
        <f>IF($K43="","",IF(INDEX(BASELINE!$A$2:$ZZ$3001,$K43,CALC!$J$1)="","",INDEX(BASELINE!$A$2:$ZZ$3001,$K43,CALC!$J$1)))</f>
        <v/>
      </c>
      <c r="H43" s="13">
        <f>IF($K43="","",IF(INDEX(BASELINE!$A$2:$ZZ$3001,$K43,CALC!$M$1)="","",INDEX(BASELINE!$A$2:$ZZ$3001,$K43,CALC!$M$1)))</f>
        <v/>
      </c>
      <c r="I43" s="13">
        <f>IF($K43="","",IF(INDEX(BASELINE!$A$2:$ZZ$3001,$K43,CALC!$N$1)="","",INDEX(BASELINE!$A$2:$ZZ$3001,$K43,CALC!$N$1)))</f>
        <v/>
      </c>
      <c r="J43" s="12">
        <f>IF($K43="","",IF(ISNUMBER(SEARCH("break",INDEX(BASELINE!$A$2:$ZZ$3001,$K43,CALC!$Q$1)&amp;"")),"SIM",""))</f>
        <v/>
      </c>
      <c r="K43" s="15">
        <f>IF(35&lt;=CALC!$D$1,MATCH(35,CALC!$B$2:$B$3001,0),"")</f>
        <v/>
      </c>
    </row>
    <row r="44" ht="17" customHeight="1">
      <c r="A44" s="12">
        <f>IF($K44="","",36)</f>
        <v/>
      </c>
      <c r="B44" s="13">
        <f>IF($K44="","",IF(INDEX(BASELINE!$A$2:$ZZ$3001,$K44,CALC!$H$1)="","",INDEX(BASELINE!$A$2:$ZZ$3001,$K44,CALC!$H$1)))</f>
        <v/>
      </c>
      <c r="C44" s="12">
        <f>IF($K44="","",IF(INDEX(BASELINE!$A$2:$ZZ$3001,$K44,CALC!$I$1)="","",INDEX(BASELINE!$A$2:$ZZ$3001,$K44,CALC!$I$1)))</f>
        <v/>
      </c>
      <c r="D44" s="13">
        <f>IF($K44="","",IF(INDEX(BASELINE!$A$2:$ZZ$3001,$K44,CALC!$L$1)="","",INDEX(BASELINE!$A$2:$ZZ$3001,$K44,CALC!$L$1)))</f>
        <v/>
      </c>
      <c r="E44" s="13">
        <f>IF($K44="","",IF(INDEX(BASELINE!$A$2:$ZZ$3001,$K44,CALC!$K$1)="","",INDEX(BASELINE!$A$2:$ZZ$3001,$K44,CALC!$K$1)))</f>
        <v/>
      </c>
      <c r="F44" s="14">
        <f>IF($K44="","",IF(INDEX(BASELINE!$A$2:$ZZ$3001,$K44,CALC!$O$1)="","",INDEX(BASELINE!$A$2:$ZZ$3001,$K44,CALC!$O$1)))</f>
        <v/>
      </c>
      <c r="G44" s="13">
        <f>IF($K44="","",IF(INDEX(BASELINE!$A$2:$ZZ$3001,$K44,CALC!$J$1)="","",INDEX(BASELINE!$A$2:$ZZ$3001,$K44,CALC!$J$1)))</f>
        <v/>
      </c>
      <c r="H44" s="13">
        <f>IF($K44="","",IF(INDEX(BASELINE!$A$2:$ZZ$3001,$K44,CALC!$M$1)="","",INDEX(BASELINE!$A$2:$ZZ$3001,$K44,CALC!$M$1)))</f>
        <v/>
      </c>
      <c r="I44" s="13">
        <f>IF($K44="","",IF(INDEX(BASELINE!$A$2:$ZZ$3001,$K44,CALC!$N$1)="","",INDEX(BASELINE!$A$2:$ZZ$3001,$K44,CALC!$N$1)))</f>
        <v/>
      </c>
      <c r="J44" s="12">
        <f>IF($K44="","",IF(ISNUMBER(SEARCH("break",INDEX(BASELINE!$A$2:$ZZ$3001,$K44,CALC!$Q$1)&amp;"")),"SIM",""))</f>
        <v/>
      </c>
      <c r="K44" s="15">
        <f>IF(36&lt;=CALC!$D$1,MATCH(36,CALC!$B$2:$B$3001,0),"")</f>
        <v/>
      </c>
    </row>
    <row r="45" ht="17" customHeight="1">
      <c r="A45" s="12">
        <f>IF($K45="","",37)</f>
        <v/>
      </c>
      <c r="B45" s="13">
        <f>IF($K45="","",IF(INDEX(BASELINE!$A$2:$ZZ$3001,$K45,CALC!$H$1)="","",INDEX(BASELINE!$A$2:$ZZ$3001,$K45,CALC!$H$1)))</f>
        <v/>
      </c>
      <c r="C45" s="12">
        <f>IF($K45="","",IF(INDEX(BASELINE!$A$2:$ZZ$3001,$K45,CALC!$I$1)="","",INDEX(BASELINE!$A$2:$ZZ$3001,$K45,CALC!$I$1)))</f>
        <v/>
      </c>
      <c r="D45" s="13">
        <f>IF($K45="","",IF(INDEX(BASELINE!$A$2:$ZZ$3001,$K45,CALC!$L$1)="","",INDEX(BASELINE!$A$2:$ZZ$3001,$K45,CALC!$L$1)))</f>
        <v/>
      </c>
      <c r="E45" s="13">
        <f>IF($K45="","",IF(INDEX(BASELINE!$A$2:$ZZ$3001,$K45,CALC!$K$1)="","",INDEX(BASELINE!$A$2:$ZZ$3001,$K45,CALC!$K$1)))</f>
        <v/>
      </c>
      <c r="F45" s="14">
        <f>IF($K45="","",IF(INDEX(BASELINE!$A$2:$ZZ$3001,$K45,CALC!$O$1)="","",INDEX(BASELINE!$A$2:$ZZ$3001,$K45,CALC!$O$1)))</f>
        <v/>
      </c>
      <c r="G45" s="13">
        <f>IF($K45="","",IF(INDEX(BASELINE!$A$2:$ZZ$3001,$K45,CALC!$J$1)="","",INDEX(BASELINE!$A$2:$ZZ$3001,$K45,CALC!$J$1)))</f>
        <v/>
      </c>
      <c r="H45" s="13">
        <f>IF($K45="","",IF(INDEX(BASELINE!$A$2:$ZZ$3001,$K45,CALC!$M$1)="","",INDEX(BASELINE!$A$2:$ZZ$3001,$K45,CALC!$M$1)))</f>
        <v/>
      </c>
      <c r="I45" s="13">
        <f>IF($K45="","",IF(INDEX(BASELINE!$A$2:$ZZ$3001,$K45,CALC!$N$1)="","",INDEX(BASELINE!$A$2:$ZZ$3001,$K45,CALC!$N$1)))</f>
        <v/>
      </c>
      <c r="J45" s="12">
        <f>IF($K45="","",IF(ISNUMBER(SEARCH("break",INDEX(BASELINE!$A$2:$ZZ$3001,$K45,CALC!$Q$1)&amp;"")),"SIM",""))</f>
        <v/>
      </c>
      <c r="K45" s="15">
        <f>IF(37&lt;=CALC!$D$1,MATCH(37,CALC!$B$2:$B$3001,0),"")</f>
        <v/>
      </c>
    </row>
    <row r="46" ht="17" customHeight="1">
      <c r="A46" s="12">
        <f>IF($K46="","",38)</f>
        <v/>
      </c>
      <c r="B46" s="13">
        <f>IF($K46="","",IF(INDEX(BASELINE!$A$2:$ZZ$3001,$K46,CALC!$H$1)="","",INDEX(BASELINE!$A$2:$ZZ$3001,$K46,CALC!$H$1)))</f>
        <v/>
      </c>
      <c r="C46" s="12">
        <f>IF($K46="","",IF(INDEX(BASELINE!$A$2:$ZZ$3001,$K46,CALC!$I$1)="","",INDEX(BASELINE!$A$2:$ZZ$3001,$K46,CALC!$I$1)))</f>
        <v/>
      </c>
      <c r="D46" s="13">
        <f>IF($K46="","",IF(INDEX(BASELINE!$A$2:$ZZ$3001,$K46,CALC!$L$1)="","",INDEX(BASELINE!$A$2:$ZZ$3001,$K46,CALC!$L$1)))</f>
        <v/>
      </c>
      <c r="E46" s="13">
        <f>IF($K46="","",IF(INDEX(BASELINE!$A$2:$ZZ$3001,$K46,CALC!$K$1)="","",INDEX(BASELINE!$A$2:$ZZ$3001,$K46,CALC!$K$1)))</f>
        <v/>
      </c>
      <c r="F46" s="14">
        <f>IF($K46="","",IF(INDEX(BASELINE!$A$2:$ZZ$3001,$K46,CALC!$O$1)="","",INDEX(BASELINE!$A$2:$ZZ$3001,$K46,CALC!$O$1)))</f>
        <v/>
      </c>
      <c r="G46" s="13">
        <f>IF($K46="","",IF(INDEX(BASELINE!$A$2:$ZZ$3001,$K46,CALC!$J$1)="","",INDEX(BASELINE!$A$2:$ZZ$3001,$K46,CALC!$J$1)))</f>
        <v/>
      </c>
      <c r="H46" s="13">
        <f>IF($K46="","",IF(INDEX(BASELINE!$A$2:$ZZ$3001,$K46,CALC!$M$1)="","",INDEX(BASELINE!$A$2:$ZZ$3001,$K46,CALC!$M$1)))</f>
        <v/>
      </c>
      <c r="I46" s="13">
        <f>IF($K46="","",IF(INDEX(BASELINE!$A$2:$ZZ$3001,$K46,CALC!$N$1)="","",INDEX(BASELINE!$A$2:$ZZ$3001,$K46,CALC!$N$1)))</f>
        <v/>
      </c>
      <c r="J46" s="12">
        <f>IF($K46="","",IF(ISNUMBER(SEARCH("break",INDEX(BASELINE!$A$2:$ZZ$3001,$K46,CALC!$Q$1)&amp;"")),"SIM",""))</f>
        <v/>
      </c>
      <c r="K46" s="15">
        <f>IF(38&lt;=CALC!$D$1,MATCH(38,CALC!$B$2:$B$3001,0),"")</f>
        <v/>
      </c>
    </row>
    <row r="47" ht="17" customHeight="1">
      <c r="A47" s="12">
        <f>IF($K47="","",39)</f>
        <v/>
      </c>
      <c r="B47" s="13">
        <f>IF($K47="","",IF(INDEX(BASELINE!$A$2:$ZZ$3001,$K47,CALC!$H$1)="","",INDEX(BASELINE!$A$2:$ZZ$3001,$K47,CALC!$H$1)))</f>
        <v/>
      </c>
      <c r="C47" s="12">
        <f>IF($K47="","",IF(INDEX(BASELINE!$A$2:$ZZ$3001,$K47,CALC!$I$1)="","",INDEX(BASELINE!$A$2:$ZZ$3001,$K47,CALC!$I$1)))</f>
        <v/>
      </c>
      <c r="D47" s="13">
        <f>IF($K47="","",IF(INDEX(BASELINE!$A$2:$ZZ$3001,$K47,CALC!$L$1)="","",INDEX(BASELINE!$A$2:$ZZ$3001,$K47,CALC!$L$1)))</f>
        <v/>
      </c>
      <c r="E47" s="13">
        <f>IF($K47="","",IF(INDEX(BASELINE!$A$2:$ZZ$3001,$K47,CALC!$K$1)="","",INDEX(BASELINE!$A$2:$ZZ$3001,$K47,CALC!$K$1)))</f>
        <v/>
      </c>
      <c r="F47" s="14">
        <f>IF($K47="","",IF(INDEX(BASELINE!$A$2:$ZZ$3001,$K47,CALC!$O$1)="","",INDEX(BASELINE!$A$2:$ZZ$3001,$K47,CALC!$O$1)))</f>
        <v/>
      </c>
      <c r="G47" s="13">
        <f>IF($K47="","",IF(INDEX(BASELINE!$A$2:$ZZ$3001,$K47,CALC!$J$1)="","",INDEX(BASELINE!$A$2:$ZZ$3001,$K47,CALC!$J$1)))</f>
        <v/>
      </c>
      <c r="H47" s="13">
        <f>IF($K47="","",IF(INDEX(BASELINE!$A$2:$ZZ$3001,$K47,CALC!$M$1)="","",INDEX(BASELINE!$A$2:$ZZ$3001,$K47,CALC!$M$1)))</f>
        <v/>
      </c>
      <c r="I47" s="13">
        <f>IF($K47="","",IF(INDEX(BASELINE!$A$2:$ZZ$3001,$K47,CALC!$N$1)="","",INDEX(BASELINE!$A$2:$ZZ$3001,$K47,CALC!$N$1)))</f>
        <v/>
      </c>
      <c r="J47" s="12">
        <f>IF($K47="","",IF(ISNUMBER(SEARCH("break",INDEX(BASELINE!$A$2:$ZZ$3001,$K47,CALC!$Q$1)&amp;"")),"SIM",""))</f>
        <v/>
      </c>
      <c r="K47" s="15">
        <f>IF(39&lt;=CALC!$D$1,MATCH(39,CALC!$B$2:$B$3001,0),"")</f>
        <v/>
      </c>
    </row>
    <row r="48" ht="17" customHeight="1">
      <c r="A48" s="12">
        <f>IF($K48="","",40)</f>
        <v/>
      </c>
      <c r="B48" s="13">
        <f>IF($K48="","",IF(INDEX(BASELINE!$A$2:$ZZ$3001,$K48,CALC!$H$1)="","",INDEX(BASELINE!$A$2:$ZZ$3001,$K48,CALC!$H$1)))</f>
        <v/>
      </c>
      <c r="C48" s="12">
        <f>IF($K48="","",IF(INDEX(BASELINE!$A$2:$ZZ$3001,$K48,CALC!$I$1)="","",INDEX(BASELINE!$A$2:$ZZ$3001,$K48,CALC!$I$1)))</f>
        <v/>
      </c>
      <c r="D48" s="13">
        <f>IF($K48="","",IF(INDEX(BASELINE!$A$2:$ZZ$3001,$K48,CALC!$L$1)="","",INDEX(BASELINE!$A$2:$ZZ$3001,$K48,CALC!$L$1)))</f>
        <v/>
      </c>
      <c r="E48" s="13">
        <f>IF($K48="","",IF(INDEX(BASELINE!$A$2:$ZZ$3001,$K48,CALC!$K$1)="","",INDEX(BASELINE!$A$2:$ZZ$3001,$K48,CALC!$K$1)))</f>
        <v/>
      </c>
      <c r="F48" s="14">
        <f>IF($K48="","",IF(INDEX(BASELINE!$A$2:$ZZ$3001,$K48,CALC!$O$1)="","",INDEX(BASELINE!$A$2:$ZZ$3001,$K48,CALC!$O$1)))</f>
        <v/>
      </c>
      <c r="G48" s="13">
        <f>IF($K48="","",IF(INDEX(BASELINE!$A$2:$ZZ$3001,$K48,CALC!$J$1)="","",INDEX(BASELINE!$A$2:$ZZ$3001,$K48,CALC!$J$1)))</f>
        <v/>
      </c>
      <c r="H48" s="13">
        <f>IF($K48="","",IF(INDEX(BASELINE!$A$2:$ZZ$3001,$K48,CALC!$M$1)="","",INDEX(BASELINE!$A$2:$ZZ$3001,$K48,CALC!$M$1)))</f>
        <v/>
      </c>
      <c r="I48" s="13">
        <f>IF($K48="","",IF(INDEX(BASELINE!$A$2:$ZZ$3001,$K48,CALC!$N$1)="","",INDEX(BASELINE!$A$2:$ZZ$3001,$K48,CALC!$N$1)))</f>
        <v/>
      </c>
      <c r="J48" s="12">
        <f>IF($K48="","",IF(ISNUMBER(SEARCH("break",INDEX(BASELINE!$A$2:$ZZ$3001,$K48,CALC!$Q$1)&amp;"")),"SIM",""))</f>
        <v/>
      </c>
      <c r="K48" s="15">
        <f>IF(40&lt;=CALC!$D$1,MATCH(40,CALC!$B$2:$B$3001,0),"")</f>
        <v/>
      </c>
    </row>
    <row r="49" ht="17" customHeight="1">
      <c r="A49" s="12">
        <f>IF($K49="","",41)</f>
        <v/>
      </c>
      <c r="B49" s="13">
        <f>IF($K49="","",IF(INDEX(BASELINE!$A$2:$ZZ$3001,$K49,CALC!$H$1)="","",INDEX(BASELINE!$A$2:$ZZ$3001,$K49,CALC!$H$1)))</f>
        <v/>
      </c>
      <c r="C49" s="12">
        <f>IF($K49="","",IF(INDEX(BASELINE!$A$2:$ZZ$3001,$K49,CALC!$I$1)="","",INDEX(BASELINE!$A$2:$ZZ$3001,$K49,CALC!$I$1)))</f>
        <v/>
      </c>
      <c r="D49" s="13">
        <f>IF($K49="","",IF(INDEX(BASELINE!$A$2:$ZZ$3001,$K49,CALC!$L$1)="","",INDEX(BASELINE!$A$2:$ZZ$3001,$K49,CALC!$L$1)))</f>
        <v/>
      </c>
      <c r="E49" s="13">
        <f>IF($K49="","",IF(INDEX(BASELINE!$A$2:$ZZ$3001,$K49,CALC!$K$1)="","",INDEX(BASELINE!$A$2:$ZZ$3001,$K49,CALC!$K$1)))</f>
        <v/>
      </c>
      <c r="F49" s="14">
        <f>IF($K49="","",IF(INDEX(BASELINE!$A$2:$ZZ$3001,$K49,CALC!$O$1)="","",INDEX(BASELINE!$A$2:$ZZ$3001,$K49,CALC!$O$1)))</f>
        <v/>
      </c>
      <c r="G49" s="13">
        <f>IF($K49="","",IF(INDEX(BASELINE!$A$2:$ZZ$3001,$K49,CALC!$J$1)="","",INDEX(BASELINE!$A$2:$ZZ$3001,$K49,CALC!$J$1)))</f>
        <v/>
      </c>
      <c r="H49" s="13">
        <f>IF($K49="","",IF(INDEX(BASELINE!$A$2:$ZZ$3001,$K49,CALC!$M$1)="","",INDEX(BASELINE!$A$2:$ZZ$3001,$K49,CALC!$M$1)))</f>
        <v/>
      </c>
      <c r="I49" s="13">
        <f>IF($K49="","",IF(INDEX(BASELINE!$A$2:$ZZ$3001,$K49,CALC!$N$1)="","",INDEX(BASELINE!$A$2:$ZZ$3001,$K49,CALC!$N$1)))</f>
        <v/>
      </c>
      <c r="J49" s="12">
        <f>IF($K49="","",IF(ISNUMBER(SEARCH("break",INDEX(BASELINE!$A$2:$ZZ$3001,$K49,CALC!$Q$1)&amp;"")),"SIM",""))</f>
        <v/>
      </c>
      <c r="K49" s="15">
        <f>IF(41&lt;=CALC!$D$1,MATCH(41,CALC!$B$2:$B$3001,0),"")</f>
        <v/>
      </c>
    </row>
    <row r="50" ht="17" customHeight="1">
      <c r="A50" s="12">
        <f>IF($K50="","",42)</f>
        <v/>
      </c>
      <c r="B50" s="13">
        <f>IF($K50="","",IF(INDEX(BASELINE!$A$2:$ZZ$3001,$K50,CALC!$H$1)="","",INDEX(BASELINE!$A$2:$ZZ$3001,$K50,CALC!$H$1)))</f>
        <v/>
      </c>
      <c r="C50" s="12">
        <f>IF($K50="","",IF(INDEX(BASELINE!$A$2:$ZZ$3001,$K50,CALC!$I$1)="","",INDEX(BASELINE!$A$2:$ZZ$3001,$K50,CALC!$I$1)))</f>
        <v/>
      </c>
      <c r="D50" s="13">
        <f>IF($K50="","",IF(INDEX(BASELINE!$A$2:$ZZ$3001,$K50,CALC!$L$1)="","",INDEX(BASELINE!$A$2:$ZZ$3001,$K50,CALC!$L$1)))</f>
        <v/>
      </c>
      <c r="E50" s="13">
        <f>IF($K50="","",IF(INDEX(BASELINE!$A$2:$ZZ$3001,$K50,CALC!$K$1)="","",INDEX(BASELINE!$A$2:$ZZ$3001,$K50,CALC!$K$1)))</f>
        <v/>
      </c>
      <c r="F50" s="14">
        <f>IF($K50="","",IF(INDEX(BASELINE!$A$2:$ZZ$3001,$K50,CALC!$O$1)="","",INDEX(BASELINE!$A$2:$ZZ$3001,$K50,CALC!$O$1)))</f>
        <v/>
      </c>
      <c r="G50" s="13">
        <f>IF($K50="","",IF(INDEX(BASELINE!$A$2:$ZZ$3001,$K50,CALC!$J$1)="","",INDEX(BASELINE!$A$2:$ZZ$3001,$K50,CALC!$J$1)))</f>
        <v/>
      </c>
      <c r="H50" s="13">
        <f>IF($K50="","",IF(INDEX(BASELINE!$A$2:$ZZ$3001,$K50,CALC!$M$1)="","",INDEX(BASELINE!$A$2:$ZZ$3001,$K50,CALC!$M$1)))</f>
        <v/>
      </c>
      <c r="I50" s="13">
        <f>IF($K50="","",IF(INDEX(BASELINE!$A$2:$ZZ$3001,$K50,CALC!$N$1)="","",INDEX(BASELINE!$A$2:$ZZ$3001,$K50,CALC!$N$1)))</f>
        <v/>
      </c>
      <c r="J50" s="12">
        <f>IF($K50="","",IF(ISNUMBER(SEARCH("break",INDEX(BASELINE!$A$2:$ZZ$3001,$K50,CALC!$Q$1)&amp;"")),"SIM",""))</f>
        <v/>
      </c>
      <c r="K50" s="15">
        <f>IF(42&lt;=CALC!$D$1,MATCH(42,CALC!$B$2:$B$3001,0),"")</f>
        <v/>
      </c>
    </row>
    <row r="51" ht="17" customHeight="1">
      <c r="A51" s="12">
        <f>IF($K51="","",43)</f>
        <v/>
      </c>
      <c r="B51" s="13">
        <f>IF($K51="","",IF(INDEX(BASELINE!$A$2:$ZZ$3001,$K51,CALC!$H$1)="","",INDEX(BASELINE!$A$2:$ZZ$3001,$K51,CALC!$H$1)))</f>
        <v/>
      </c>
      <c r="C51" s="12">
        <f>IF($K51="","",IF(INDEX(BASELINE!$A$2:$ZZ$3001,$K51,CALC!$I$1)="","",INDEX(BASELINE!$A$2:$ZZ$3001,$K51,CALC!$I$1)))</f>
        <v/>
      </c>
      <c r="D51" s="13">
        <f>IF($K51="","",IF(INDEX(BASELINE!$A$2:$ZZ$3001,$K51,CALC!$L$1)="","",INDEX(BASELINE!$A$2:$ZZ$3001,$K51,CALC!$L$1)))</f>
        <v/>
      </c>
      <c r="E51" s="13">
        <f>IF($K51="","",IF(INDEX(BASELINE!$A$2:$ZZ$3001,$K51,CALC!$K$1)="","",INDEX(BASELINE!$A$2:$ZZ$3001,$K51,CALC!$K$1)))</f>
        <v/>
      </c>
      <c r="F51" s="14">
        <f>IF($K51="","",IF(INDEX(BASELINE!$A$2:$ZZ$3001,$K51,CALC!$O$1)="","",INDEX(BASELINE!$A$2:$ZZ$3001,$K51,CALC!$O$1)))</f>
        <v/>
      </c>
      <c r="G51" s="13">
        <f>IF($K51="","",IF(INDEX(BASELINE!$A$2:$ZZ$3001,$K51,CALC!$J$1)="","",INDEX(BASELINE!$A$2:$ZZ$3001,$K51,CALC!$J$1)))</f>
        <v/>
      </c>
      <c r="H51" s="13">
        <f>IF($K51="","",IF(INDEX(BASELINE!$A$2:$ZZ$3001,$K51,CALC!$M$1)="","",INDEX(BASELINE!$A$2:$ZZ$3001,$K51,CALC!$M$1)))</f>
        <v/>
      </c>
      <c r="I51" s="13">
        <f>IF($K51="","",IF(INDEX(BASELINE!$A$2:$ZZ$3001,$K51,CALC!$N$1)="","",INDEX(BASELINE!$A$2:$ZZ$3001,$K51,CALC!$N$1)))</f>
        <v/>
      </c>
      <c r="J51" s="12">
        <f>IF($K51="","",IF(ISNUMBER(SEARCH("break",INDEX(BASELINE!$A$2:$ZZ$3001,$K51,CALC!$Q$1)&amp;"")),"SIM",""))</f>
        <v/>
      </c>
      <c r="K51" s="15">
        <f>IF(43&lt;=CALC!$D$1,MATCH(43,CALC!$B$2:$B$3001,0),"")</f>
        <v/>
      </c>
    </row>
    <row r="52" ht="17" customHeight="1">
      <c r="A52" s="12">
        <f>IF($K52="","",44)</f>
        <v/>
      </c>
      <c r="B52" s="13">
        <f>IF($K52="","",IF(INDEX(BASELINE!$A$2:$ZZ$3001,$K52,CALC!$H$1)="","",INDEX(BASELINE!$A$2:$ZZ$3001,$K52,CALC!$H$1)))</f>
        <v/>
      </c>
      <c r="C52" s="12">
        <f>IF($K52="","",IF(INDEX(BASELINE!$A$2:$ZZ$3001,$K52,CALC!$I$1)="","",INDEX(BASELINE!$A$2:$ZZ$3001,$K52,CALC!$I$1)))</f>
        <v/>
      </c>
      <c r="D52" s="13">
        <f>IF($K52="","",IF(INDEX(BASELINE!$A$2:$ZZ$3001,$K52,CALC!$L$1)="","",INDEX(BASELINE!$A$2:$ZZ$3001,$K52,CALC!$L$1)))</f>
        <v/>
      </c>
      <c r="E52" s="13">
        <f>IF($K52="","",IF(INDEX(BASELINE!$A$2:$ZZ$3001,$K52,CALC!$K$1)="","",INDEX(BASELINE!$A$2:$ZZ$3001,$K52,CALC!$K$1)))</f>
        <v/>
      </c>
      <c r="F52" s="14">
        <f>IF($K52="","",IF(INDEX(BASELINE!$A$2:$ZZ$3001,$K52,CALC!$O$1)="","",INDEX(BASELINE!$A$2:$ZZ$3001,$K52,CALC!$O$1)))</f>
        <v/>
      </c>
      <c r="G52" s="13">
        <f>IF($K52="","",IF(INDEX(BASELINE!$A$2:$ZZ$3001,$K52,CALC!$J$1)="","",INDEX(BASELINE!$A$2:$ZZ$3001,$K52,CALC!$J$1)))</f>
        <v/>
      </c>
      <c r="H52" s="13">
        <f>IF($K52="","",IF(INDEX(BASELINE!$A$2:$ZZ$3001,$K52,CALC!$M$1)="","",INDEX(BASELINE!$A$2:$ZZ$3001,$K52,CALC!$M$1)))</f>
        <v/>
      </c>
      <c r="I52" s="13">
        <f>IF($K52="","",IF(INDEX(BASELINE!$A$2:$ZZ$3001,$K52,CALC!$N$1)="","",INDEX(BASELINE!$A$2:$ZZ$3001,$K52,CALC!$N$1)))</f>
        <v/>
      </c>
      <c r="J52" s="12">
        <f>IF($K52="","",IF(ISNUMBER(SEARCH("break",INDEX(BASELINE!$A$2:$ZZ$3001,$K52,CALC!$Q$1)&amp;"")),"SIM",""))</f>
        <v/>
      </c>
      <c r="K52" s="15">
        <f>IF(44&lt;=CALC!$D$1,MATCH(44,CALC!$B$2:$B$3001,0),"")</f>
        <v/>
      </c>
    </row>
    <row r="53" ht="17" customHeight="1">
      <c r="A53" s="12">
        <f>IF($K53="","",45)</f>
        <v/>
      </c>
      <c r="B53" s="13">
        <f>IF($K53="","",IF(INDEX(BASELINE!$A$2:$ZZ$3001,$K53,CALC!$H$1)="","",INDEX(BASELINE!$A$2:$ZZ$3001,$K53,CALC!$H$1)))</f>
        <v/>
      </c>
      <c r="C53" s="12">
        <f>IF($K53="","",IF(INDEX(BASELINE!$A$2:$ZZ$3001,$K53,CALC!$I$1)="","",INDEX(BASELINE!$A$2:$ZZ$3001,$K53,CALC!$I$1)))</f>
        <v/>
      </c>
      <c r="D53" s="13">
        <f>IF($K53="","",IF(INDEX(BASELINE!$A$2:$ZZ$3001,$K53,CALC!$L$1)="","",INDEX(BASELINE!$A$2:$ZZ$3001,$K53,CALC!$L$1)))</f>
        <v/>
      </c>
      <c r="E53" s="13">
        <f>IF($K53="","",IF(INDEX(BASELINE!$A$2:$ZZ$3001,$K53,CALC!$K$1)="","",INDEX(BASELINE!$A$2:$ZZ$3001,$K53,CALC!$K$1)))</f>
        <v/>
      </c>
      <c r="F53" s="14">
        <f>IF($K53="","",IF(INDEX(BASELINE!$A$2:$ZZ$3001,$K53,CALC!$O$1)="","",INDEX(BASELINE!$A$2:$ZZ$3001,$K53,CALC!$O$1)))</f>
        <v/>
      </c>
      <c r="G53" s="13">
        <f>IF($K53="","",IF(INDEX(BASELINE!$A$2:$ZZ$3001,$K53,CALC!$J$1)="","",INDEX(BASELINE!$A$2:$ZZ$3001,$K53,CALC!$J$1)))</f>
        <v/>
      </c>
      <c r="H53" s="13">
        <f>IF($K53="","",IF(INDEX(BASELINE!$A$2:$ZZ$3001,$K53,CALC!$M$1)="","",INDEX(BASELINE!$A$2:$ZZ$3001,$K53,CALC!$M$1)))</f>
        <v/>
      </c>
      <c r="I53" s="13">
        <f>IF($K53="","",IF(INDEX(BASELINE!$A$2:$ZZ$3001,$K53,CALC!$N$1)="","",INDEX(BASELINE!$A$2:$ZZ$3001,$K53,CALC!$N$1)))</f>
        <v/>
      </c>
      <c r="J53" s="12">
        <f>IF($K53="","",IF(ISNUMBER(SEARCH("break",INDEX(BASELINE!$A$2:$ZZ$3001,$K53,CALC!$Q$1)&amp;"")),"SIM",""))</f>
        <v/>
      </c>
      <c r="K53" s="15">
        <f>IF(45&lt;=CALC!$D$1,MATCH(45,CALC!$B$2:$B$3001,0),"")</f>
        <v/>
      </c>
    </row>
    <row r="54" ht="17" customHeight="1">
      <c r="A54" s="12">
        <f>IF($K54="","",46)</f>
        <v/>
      </c>
      <c r="B54" s="13">
        <f>IF($K54="","",IF(INDEX(BASELINE!$A$2:$ZZ$3001,$K54,CALC!$H$1)="","",INDEX(BASELINE!$A$2:$ZZ$3001,$K54,CALC!$H$1)))</f>
        <v/>
      </c>
      <c r="C54" s="12">
        <f>IF($K54="","",IF(INDEX(BASELINE!$A$2:$ZZ$3001,$K54,CALC!$I$1)="","",INDEX(BASELINE!$A$2:$ZZ$3001,$K54,CALC!$I$1)))</f>
        <v/>
      </c>
      <c r="D54" s="13">
        <f>IF($K54="","",IF(INDEX(BASELINE!$A$2:$ZZ$3001,$K54,CALC!$L$1)="","",INDEX(BASELINE!$A$2:$ZZ$3001,$K54,CALC!$L$1)))</f>
        <v/>
      </c>
      <c r="E54" s="13">
        <f>IF($K54="","",IF(INDEX(BASELINE!$A$2:$ZZ$3001,$K54,CALC!$K$1)="","",INDEX(BASELINE!$A$2:$ZZ$3001,$K54,CALC!$K$1)))</f>
        <v/>
      </c>
      <c r="F54" s="14">
        <f>IF($K54="","",IF(INDEX(BASELINE!$A$2:$ZZ$3001,$K54,CALC!$O$1)="","",INDEX(BASELINE!$A$2:$ZZ$3001,$K54,CALC!$O$1)))</f>
        <v/>
      </c>
      <c r="G54" s="13">
        <f>IF($K54="","",IF(INDEX(BASELINE!$A$2:$ZZ$3001,$K54,CALC!$J$1)="","",INDEX(BASELINE!$A$2:$ZZ$3001,$K54,CALC!$J$1)))</f>
        <v/>
      </c>
      <c r="H54" s="13">
        <f>IF($K54="","",IF(INDEX(BASELINE!$A$2:$ZZ$3001,$K54,CALC!$M$1)="","",INDEX(BASELINE!$A$2:$ZZ$3001,$K54,CALC!$M$1)))</f>
        <v/>
      </c>
      <c r="I54" s="13">
        <f>IF($K54="","",IF(INDEX(BASELINE!$A$2:$ZZ$3001,$K54,CALC!$N$1)="","",INDEX(BASELINE!$A$2:$ZZ$3001,$K54,CALC!$N$1)))</f>
        <v/>
      </c>
      <c r="J54" s="12">
        <f>IF($K54="","",IF(ISNUMBER(SEARCH("break",INDEX(BASELINE!$A$2:$ZZ$3001,$K54,CALC!$Q$1)&amp;"")),"SIM",""))</f>
        <v/>
      </c>
      <c r="K54" s="15">
        <f>IF(46&lt;=CALC!$D$1,MATCH(46,CALC!$B$2:$B$3001,0),"")</f>
        <v/>
      </c>
    </row>
    <row r="55" ht="17" customHeight="1">
      <c r="A55" s="12">
        <f>IF($K55="","",47)</f>
        <v/>
      </c>
      <c r="B55" s="13">
        <f>IF($K55="","",IF(INDEX(BASELINE!$A$2:$ZZ$3001,$K55,CALC!$H$1)="","",INDEX(BASELINE!$A$2:$ZZ$3001,$K55,CALC!$H$1)))</f>
        <v/>
      </c>
      <c r="C55" s="12">
        <f>IF($K55="","",IF(INDEX(BASELINE!$A$2:$ZZ$3001,$K55,CALC!$I$1)="","",INDEX(BASELINE!$A$2:$ZZ$3001,$K55,CALC!$I$1)))</f>
        <v/>
      </c>
      <c r="D55" s="13">
        <f>IF($K55="","",IF(INDEX(BASELINE!$A$2:$ZZ$3001,$K55,CALC!$L$1)="","",INDEX(BASELINE!$A$2:$ZZ$3001,$K55,CALC!$L$1)))</f>
        <v/>
      </c>
      <c r="E55" s="13">
        <f>IF($K55="","",IF(INDEX(BASELINE!$A$2:$ZZ$3001,$K55,CALC!$K$1)="","",INDEX(BASELINE!$A$2:$ZZ$3001,$K55,CALC!$K$1)))</f>
        <v/>
      </c>
      <c r="F55" s="14">
        <f>IF($K55="","",IF(INDEX(BASELINE!$A$2:$ZZ$3001,$K55,CALC!$O$1)="","",INDEX(BASELINE!$A$2:$ZZ$3001,$K55,CALC!$O$1)))</f>
        <v/>
      </c>
      <c r="G55" s="13">
        <f>IF($K55="","",IF(INDEX(BASELINE!$A$2:$ZZ$3001,$K55,CALC!$J$1)="","",INDEX(BASELINE!$A$2:$ZZ$3001,$K55,CALC!$J$1)))</f>
        <v/>
      </c>
      <c r="H55" s="13">
        <f>IF($K55="","",IF(INDEX(BASELINE!$A$2:$ZZ$3001,$K55,CALC!$M$1)="","",INDEX(BASELINE!$A$2:$ZZ$3001,$K55,CALC!$M$1)))</f>
        <v/>
      </c>
      <c r="I55" s="13">
        <f>IF($K55="","",IF(INDEX(BASELINE!$A$2:$ZZ$3001,$K55,CALC!$N$1)="","",INDEX(BASELINE!$A$2:$ZZ$3001,$K55,CALC!$N$1)))</f>
        <v/>
      </c>
      <c r="J55" s="12">
        <f>IF($K55="","",IF(ISNUMBER(SEARCH("break",INDEX(BASELINE!$A$2:$ZZ$3001,$K55,CALC!$Q$1)&amp;"")),"SIM",""))</f>
        <v/>
      </c>
      <c r="K55" s="15">
        <f>IF(47&lt;=CALC!$D$1,MATCH(47,CALC!$B$2:$B$3001,0),"")</f>
        <v/>
      </c>
    </row>
    <row r="56" ht="17" customHeight="1">
      <c r="A56" s="12">
        <f>IF($K56="","",48)</f>
        <v/>
      </c>
      <c r="B56" s="13">
        <f>IF($K56="","",IF(INDEX(BASELINE!$A$2:$ZZ$3001,$K56,CALC!$H$1)="","",INDEX(BASELINE!$A$2:$ZZ$3001,$K56,CALC!$H$1)))</f>
        <v/>
      </c>
      <c r="C56" s="12">
        <f>IF($K56="","",IF(INDEX(BASELINE!$A$2:$ZZ$3001,$K56,CALC!$I$1)="","",INDEX(BASELINE!$A$2:$ZZ$3001,$K56,CALC!$I$1)))</f>
        <v/>
      </c>
      <c r="D56" s="13">
        <f>IF($K56="","",IF(INDEX(BASELINE!$A$2:$ZZ$3001,$K56,CALC!$L$1)="","",INDEX(BASELINE!$A$2:$ZZ$3001,$K56,CALC!$L$1)))</f>
        <v/>
      </c>
      <c r="E56" s="13">
        <f>IF($K56="","",IF(INDEX(BASELINE!$A$2:$ZZ$3001,$K56,CALC!$K$1)="","",INDEX(BASELINE!$A$2:$ZZ$3001,$K56,CALC!$K$1)))</f>
        <v/>
      </c>
      <c r="F56" s="14">
        <f>IF($K56="","",IF(INDEX(BASELINE!$A$2:$ZZ$3001,$K56,CALC!$O$1)="","",INDEX(BASELINE!$A$2:$ZZ$3001,$K56,CALC!$O$1)))</f>
        <v/>
      </c>
      <c r="G56" s="13">
        <f>IF($K56="","",IF(INDEX(BASELINE!$A$2:$ZZ$3001,$K56,CALC!$J$1)="","",INDEX(BASELINE!$A$2:$ZZ$3001,$K56,CALC!$J$1)))</f>
        <v/>
      </c>
      <c r="H56" s="13">
        <f>IF($K56="","",IF(INDEX(BASELINE!$A$2:$ZZ$3001,$K56,CALC!$M$1)="","",INDEX(BASELINE!$A$2:$ZZ$3001,$K56,CALC!$M$1)))</f>
        <v/>
      </c>
      <c r="I56" s="13">
        <f>IF($K56="","",IF(INDEX(BASELINE!$A$2:$ZZ$3001,$K56,CALC!$N$1)="","",INDEX(BASELINE!$A$2:$ZZ$3001,$K56,CALC!$N$1)))</f>
        <v/>
      </c>
      <c r="J56" s="12">
        <f>IF($K56="","",IF(ISNUMBER(SEARCH("break",INDEX(BASELINE!$A$2:$ZZ$3001,$K56,CALC!$Q$1)&amp;"")),"SIM",""))</f>
        <v/>
      </c>
      <c r="K56" s="15">
        <f>IF(48&lt;=CALC!$D$1,MATCH(48,CALC!$B$2:$B$3001,0),"")</f>
        <v/>
      </c>
    </row>
    <row r="57" ht="17" customHeight="1">
      <c r="A57" s="12">
        <f>IF($K57="","",49)</f>
        <v/>
      </c>
      <c r="B57" s="13">
        <f>IF($K57="","",IF(INDEX(BASELINE!$A$2:$ZZ$3001,$K57,CALC!$H$1)="","",INDEX(BASELINE!$A$2:$ZZ$3001,$K57,CALC!$H$1)))</f>
        <v/>
      </c>
      <c r="C57" s="12">
        <f>IF($K57="","",IF(INDEX(BASELINE!$A$2:$ZZ$3001,$K57,CALC!$I$1)="","",INDEX(BASELINE!$A$2:$ZZ$3001,$K57,CALC!$I$1)))</f>
        <v/>
      </c>
      <c r="D57" s="13">
        <f>IF($K57="","",IF(INDEX(BASELINE!$A$2:$ZZ$3001,$K57,CALC!$L$1)="","",INDEX(BASELINE!$A$2:$ZZ$3001,$K57,CALC!$L$1)))</f>
        <v/>
      </c>
      <c r="E57" s="13">
        <f>IF($K57="","",IF(INDEX(BASELINE!$A$2:$ZZ$3001,$K57,CALC!$K$1)="","",INDEX(BASELINE!$A$2:$ZZ$3001,$K57,CALC!$K$1)))</f>
        <v/>
      </c>
      <c r="F57" s="14">
        <f>IF($K57="","",IF(INDEX(BASELINE!$A$2:$ZZ$3001,$K57,CALC!$O$1)="","",INDEX(BASELINE!$A$2:$ZZ$3001,$K57,CALC!$O$1)))</f>
        <v/>
      </c>
      <c r="G57" s="13">
        <f>IF($K57="","",IF(INDEX(BASELINE!$A$2:$ZZ$3001,$K57,CALC!$J$1)="","",INDEX(BASELINE!$A$2:$ZZ$3001,$K57,CALC!$J$1)))</f>
        <v/>
      </c>
      <c r="H57" s="13">
        <f>IF($K57="","",IF(INDEX(BASELINE!$A$2:$ZZ$3001,$K57,CALC!$M$1)="","",INDEX(BASELINE!$A$2:$ZZ$3001,$K57,CALC!$M$1)))</f>
        <v/>
      </c>
      <c r="I57" s="13">
        <f>IF($K57="","",IF(INDEX(BASELINE!$A$2:$ZZ$3001,$K57,CALC!$N$1)="","",INDEX(BASELINE!$A$2:$ZZ$3001,$K57,CALC!$N$1)))</f>
        <v/>
      </c>
      <c r="J57" s="12">
        <f>IF($K57="","",IF(ISNUMBER(SEARCH("break",INDEX(BASELINE!$A$2:$ZZ$3001,$K57,CALC!$Q$1)&amp;"")),"SIM",""))</f>
        <v/>
      </c>
      <c r="K57" s="15">
        <f>IF(49&lt;=CALC!$D$1,MATCH(49,CALC!$B$2:$B$3001,0),"")</f>
        <v/>
      </c>
    </row>
    <row r="58" ht="17" customHeight="1">
      <c r="A58" s="12">
        <f>IF($K58="","",50)</f>
        <v/>
      </c>
      <c r="B58" s="13">
        <f>IF($K58="","",IF(INDEX(BASELINE!$A$2:$ZZ$3001,$K58,CALC!$H$1)="","",INDEX(BASELINE!$A$2:$ZZ$3001,$K58,CALC!$H$1)))</f>
        <v/>
      </c>
      <c r="C58" s="12">
        <f>IF($K58="","",IF(INDEX(BASELINE!$A$2:$ZZ$3001,$K58,CALC!$I$1)="","",INDEX(BASELINE!$A$2:$ZZ$3001,$K58,CALC!$I$1)))</f>
        <v/>
      </c>
      <c r="D58" s="13">
        <f>IF($K58="","",IF(INDEX(BASELINE!$A$2:$ZZ$3001,$K58,CALC!$L$1)="","",INDEX(BASELINE!$A$2:$ZZ$3001,$K58,CALC!$L$1)))</f>
        <v/>
      </c>
      <c r="E58" s="13">
        <f>IF($K58="","",IF(INDEX(BASELINE!$A$2:$ZZ$3001,$K58,CALC!$K$1)="","",INDEX(BASELINE!$A$2:$ZZ$3001,$K58,CALC!$K$1)))</f>
        <v/>
      </c>
      <c r="F58" s="14">
        <f>IF($K58="","",IF(INDEX(BASELINE!$A$2:$ZZ$3001,$K58,CALC!$O$1)="","",INDEX(BASELINE!$A$2:$ZZ$3001,$K58,CALC!$O$1)))</f>
        <v/>
      </c>
      <c r="G58" s="13">
        <f>IF($K58="","",IF(INDEX(BASELINE!$A$2:$ZZ$3001,$K58,CALC!$J$1)="","",INDEX(BASELINE!$A$2:$ZZ$3001,$K58,CALC!$J$1)))</f>
        <v/>
      </c>
      <c r="H58" s="13">
        <f>IF($K58="","",IF(INDEX(BASELINE!$A$2:$ZZ$3001,$K58,CALC!$M$1)="","",INDEX(BASELINE!$A$2:$ZZ$3001,$K58,CALC!$M$1)))</f>
        <v/>
      </c>
      <c r="I58" s="13">
        <f>IF($K58="","",IF(INDEX(BASELINE!$A$2:$ZZ$3001,$K58,CALC!$N$1)="","",INDEX(BASELINE!$A$2:$ZZ$3001,$K58,CALC!$N$1)))</f>
        <v/>
      </c>
      <c r="J58" s="12">
        <f>IF($K58="","",IF(ISNUMBER(SEARCH("break",INDEX(BASELINE!$A$2:$ZZ$3001,$K58,CALC!$Q$1)&amp;"")),"SIM",""))</f>
        <v/>
      </c>
      <c r="K58" s="15">
        <f>IF(50&lt;=CALC!$D$1,MATCH(50,CALC!$B$2:$B$3001,0),"")</f>
        <v/>
      </c>
    </row>
    <row r="59" ht="17" customHeight="1">
      <c r="A59" s="12">
        <f>IF($K59="","",51)</f>
        <v/>
      </c>
      <c r="B59" s="13">
        <f>IF($K59="","",IF(INDEX(BASELINE!$A$2:$ZZ$3001,$K59,CALC!$H$1)="","",INDEX(BASELINE!$A$2:$ZZ$3001,$K59,CALC!$H$1)))</f>
        <v/>
      </c>
      <c r="C59" s="12">
        <f>IF($K59="","",IF(INDEX(BASELINE!$A$2:$ZZ$3001,$K59,CALC!$I$1)="","",INDEX(BASELINE!$A$2:$ZZ$3001,$K59,CALC!$I$1)))</f>
        <v/>
      </c>
      <c r="D59" s="13">
        <f>IF($K59="","",IF(INDEX(BASELINE!$A$2:$ZZ$3001,$K59,CALC!$L$1)="","",INDEX(BASELINE!$A$2:$ZZ$3001,$K59,CALC!$L$1)))</f>
        <v/>
      </c>
      <c r="E59" s="13">
        <f>IF($K59="","",IF(INDEX(BASELINE!$A$2:$ZZ$3001,$K59,CALC!$K$1)="","",INDEX(BASELINE!$A$2:$ZZ$3001,$K59,CALC!$K$1)))</f>
        <v/>
      </c>
      <c r="F59" s="14">
        <f>IF($K59="","",IF(INDEX(BASELINE!$A$2:$ZZ$3001,$K59,CALC!$O$1)="","",INDEX(BASELINE!$A$2:$ZZ$3001,$K59,CALC!$O$1)))</f>
        <v/>
      </c>
      <c r="G59" s="13">
        <f>IF($K59="","",IF(INDEX(BASELINE!$A$2:$ZZ$3001,$K59,CALC!$J$1)="","",INDEX(BASELINE!$A$2:$ZZ$3001,$K59,CALC!$J$1)))</f>
        <v/>
      </c>
      <c r="H59" s="13">
        <f>IF($K59="","",IF(INDEX(BASELINE!$A$2:$ZZ$3001,$K59,CALC!$M$1)="","",INDEX(BASELINE!$A$2:$ZZ$3001,$K59,CALC!$M$1)))</f>
        <v/>
      </c>
      <c r="I59" s="13">
        <f>IF($K59="","",IF(INDEX(BASELINE!$A$2:$ZZ$3001,$K59,CALC!$N$1)="","",INDEX(BASELINE!$A$2:$ZZ$3001,$K59,CALC!$N$1)))</f>
        <v/>
      </c>
      <c r="J59" s="12">
        <f>IF($K59="","",IF(ISNUMBER(SEARCH("break",INDEX(BASELINE!$A$2:$ZZ$3001,$K59,CALC!$Q$1)&amp;"")),"SIM",""))</f>
        <v/>
      </c>
      <c r="K59" s="15">
        <f>IF(51&lt;=CALC!$D$1,MATCH(51,CALC!$B$2:$B$3001,0),"")</f>
        <v/>
      </c>
    </row>
    <row r="60" ht="17" customHeight="1">
      <c r="A60" s="12">
        <f>IF($K60="","",52)</f>
        <v/>
      </c>
      <c r="B60" s="13">
        <f>IF($K60="","",IF(INDEX(BASELINE!$A$2:$ZZ$3001,$K60,CALC!$H$1)="","",INDEX(BASELINE!$A$2:$ZZ$3001,$K60,CALC!$H$1)))</f>
        <v/>
      </c>
      <c r="C60" s="12">
        <f>IF($K60="","",IF(INDEX(BASELINE!$A$2:$ZZ$3001,$K60,CALC!$I$1)="","",INDEX(BASELINE!$A$2:$ZZ$3001,$K60,CALC!$I$1)))</f>
        <v/>
      </c>
      <c r="D60" s="13">
        <f>IF($K60="","",IF(INDEX(BASELINE!$A$2:$ZZ$3001,$K60,CALC!$L$1)="","",INDEX(BASELINE!$A$2:$ZZ$3001,$K60,CALC!$L$1)))</f>
        <v/>
      </c>
      <c r="E60" s="13">
        <f>IF($K60="","",IF(INDEX(BASELINE!$A$2:$ZZ$3001,$K60,CALC!$K$1)="","",INDEX(BASELINE!$A$2:$ZZ$3001,$K60,CALC!$K$1)))</f>
        <v/>
      </c>
      <c r="F60" s="14">
        <f>IF($K60="","",IF(INDEX(BASELINE!$A$2:$ZZ$3001,$K60,CALC!$O$1)="","",INDEX(BASELINE!$A$2:$ZZ$3001,$K60,CALC!$O$1)))</f>
        <v/>
      </c>
      <c r="G60" s="13">
        <f>IF($K60="","",IF(INDEX(BASELINE!$A$2:$ZZ$3001,$K60,CALC!$J$1)="","",INDEX(BASELINE!$A$2:$ZZ$3001,$K60,CALC!$J$1)))</f>
        <v/>
      </c>
      <c r="H60" s="13">
        <f>IF($K60="","",IF(INDEX(BASELINE!$A$2:$ZZ$3001,$K60,CALC!$M$1)="","",INDEX(BASELINE!$A$2:$ZZ$3001,$K60,CALC!$M$1)))</f>
        <v/>
      </c>
      <c r="I60" s="13">
        <f>IF($K60="","",IF(INDEX(BASELINE!$A$2:$ZZ$3001,$K60,CALC!$N$1)="","",INDEX(BASELINE!$A$2:$ZZ$3001,$K60,CALC!$N$1)))</f>
        <v/>
      </c>
      <c r="J60" s="12">
        <f>IF($K60="","",IF(ISNUMBER(SEARCH("break",INDEX(BASELINE!$A$2:$ZZ$3001,$K60,CALC!$Q$1)&amp;"")),"SIM",""))</f>
        <v/>
      </c>
      <c r="K60" s="15">
        <f>IF(52&lt;=CALC!$D$1,MATCH(52,CALC!$B$2:$B$3001,0),"")</f>
        <v/>
      </c>
    </row>
    <row r="61" ht="17" customHeight="1">
      <c r="A61" s="12">
        <f>IF($K61="","",53)</f>
        <v/>
      </c>
      <c r="B61" s="13">
        <f>IF($K61="","",IF(INDEX(BASELINE!$A$2:$ZZ$3001,$K61,CALC!$H$1)="","",INDEX(BASELINE!$A$2:$ZZ$3001,$K61,CALC!$H$1)))</f>
        <v/>
      </c>
      <c r="C61" s="12">
        <f>IF($K61="","",IF(INDEX(BASELINE!$A$2:$ZZ$3001,$K61,CALC!$I$1)="","",INDEX(BASELINE!$A$2:$ZZ$3001,$K61,CALC!$I$1)))</f>
        <v/>
      </c>
      <c r="D61" s="13">
        <f>IF($K61="","",IF(INDEX(BASELINE!$A$2:$ZZ$3001,$K61,CALC!$L$1)="","",INDEX(BASELINE!$A$2:$ZZ$3001,$K61,CALC!$L$1)))</f>
        <v/>
      </c>
      <c r="E61" s="13">
        <f>IF($K61="","",IF(INDEX(BASELINE!$A$2:$ZZ$3001,$K61,CALC!$K$1)="","",INDEX(BASELINE!$A$2:$ZZ$3001,$K61,CALC!$K$1)))</f>
        <v/>
      </c>
      <c r="F61" s="14">
        <f>IF($K61="","",IF(INDEX(BASELINE!$A$2:$ZZ$3001,$K61,CALC!$O$1)="","",INDEX(BASELINE!$A$2:$ZZ$3001,$K61,CALC!$O$1)))</f>
        <v/>
      </c>
      <c r="G61" s="13">
        <f>IF($K61="","",IF(INDEX(BASELINE!$A$2:$ZZ$3001,$K61,CALC!$J$1)="","",INDEX(BASELINE!$A$2:$ZZ$3001,$K61,CALC!$J$1)))</f>
        <v/>
      </c>
      <c r="H61" s="13">
        <f>IF($K61="","",IF(INDEX(BASELINE!$A$2:$ZZ$3001,$K61,CALC!$M$1)="","",INDEX(BASELINE!$A$2:$ZZ$3001,$K61,CALC!$M$1)))</f>
        <v/>
      </c>
      <c r="I61" s="13">
        <f>IF($K61="","",IF(INDEX(BASELINE!$A$2:$ZZ$3001,$K61,CALC!$N$1)="","",INDEX(BASELINE!$A$2:$ZZ$3001,$K61,CALC!$N$1)))</f>
        <v/>
      </c>
      <c r="J61" s="12">
        <f>IF($K61="","",IF(ISNUMBER(SEARCH("break",INDEX(BASELINE!$A$2:$ZZ$3001,$K61,CALC!$Q$1)&amp;"")),"SIM",""))</f>
        <v/>
      </c>
      <c r="K61" s="15">
        <f>IF(53&lt;=CALC!$D$1,MATCH(53,CALC!$B$2:$B$3001,0),"")</f>
        <v/>
      </c>
    </row>
    <row r="62" ht="17" customHeight="1">
      <c r="A62" s="12">
        <f>IF($K62="","",54)</f>
        <v/>
      </c>
      <c r="B62" s="13">
        <f>IF($K62="","",IF(INDEX(BASELINE!$A$2:$ZZ$3001,$K62,CALC!$H$1)="","",INDEX(BASELINE!$A$2:$ZZ$3001,$K62,CALC!$H$1)))</f>
        <v/>
      </c>
      <c r="C62" s="12">
        <f>IF($K62="","",IF(INDEX(BASELINE!$A$2:$ZZ$3001,$K62,CALC!$I$1)="","",INDEX(BASELINE!$A$2:$ZZ$3001,$K62,CALC!$I$1)))</f>
        <v/>
      </c>
      <c r="D62" s="13">
        <f>IF($K62="","",IF(INDEX(BASELINE!$A$2:$ZZ$3001,$K62,CALC!$L$1)="","",INDEX(BASELINE!$A$2:$ZZ$3001,$K62,CALC!$L$1)))</f>
        <v/>
      </c>
      <c r="E62" s="13">
        <f>IF($K62="","",IF(INDEX(BASELINE!$A$2:$ZZ$3001,$K62,CALC!$K$1)="","",INDEX(BASELINE!$A$2:$ZZ$3001,$K62,CALC!$K$1)))</f>
        <v/>
      </c>
      <c r="F62" s="14">
        <f>IF($K62="","",IF(INDEX(BASELINE!$A$2:$ZZ$3001,$K62,CALC!$O$1)="","",INDEX(BASELINE!$A$2:$ZZ$3001,$K62,CALC!$O$1)))</f>
        <v/>
      </c>
      <c r="G62" s="13">
        <f>IF($K62="","",IF(INDEX(BASELINE!$A$2:$ZZ$3001,$K62,CALC!$J$1)="","",INDEX(BASELINE!$A$2:$ZZ$3001,$K62,CALC!$J$1)))</f>
        <v/>
      </c>
      <c r="H62" s="13">
        <f>IF($K62="","",IF(INDEX(BASELINE!$A$2:$ZZ$3001,$K62,CALC!$M$1)="","",INDEX(BASELINE!$A$2:$ZZ$3001,$K62,CALC!$M$1)))</f>
        <v/>
      </c>
      <c r="I62" s="13">
        <f>IF($K62="","",IF(INDEX(BASELINE!$A$2:$ZZ$3001,$K62,CALC!$N$1)="","",INDEX(BASELINE!$A$2:$ZZ$3001,$K62,CALC!$N$1)))</f>
        <v/>
      </c>
      <c r="J62" s="12">
        <f>IF($K62="","",IF(ISNUMBER(SEARCH("break",INDEX(BASELINE!$A$2:$ZZ$3001,$K62,CALC!$Q$1)&amp;"")),"SIM",""))</f>
        <v/>
      </c>
      <c r="K62" s="15">
        <f>IF(54&lt;=CALC!$D$1,MATCH(54,CALC!$B$2:$B$3001,0),"")</f>
        <v/>
      </c>
    </row>
    <row r="63" ht="17" customHeight="1">
      <c r="A63" s="12">
        <f>IF($K63="","",55)</f>
        <v/>
      </c>
      <c r="B63" s="13">
        <f>IF($K63="","",IF(INDEX(BASELINE!$A$2:$ZZ$3001,$K63,CALC!$H$1)="","",INDEX(BASELINE!$A$2:$ZZ$3001,$K63,CALC!$H$1)))</f>
        <v/>
      </c>
      <c r="C63" s="12">
        <f>IF($K63="","",IF(INDEX(BASELINE!$A$2:$ZZ$3001,$K63,CALC!$I$1)="","",INDEX(BASELINE!$A$2:$ZZ$3001,$K63,CALC!$I$1)))</f>
        <v/>
      </c>
      <c r="D63" s="13">
        <f>IF($K63="","",IF(INDEX(BASELINE!$A$2:$ZZ$3001,$K63,CALC!$L$1)="","",INDEX(BASELINE!$A$2:$ZZ$3001,$K63,CALC!$L$1)))</f>
        <v/>
      </c>
      <c r="E63" s="13">
        <f>IF($K63="","",IF(INDEX(BASELINE!$A$2:$ZZ$3001,$K63,CALC!$K$1)="","",INDEX(BASELINE!$A$2:$ZZ$3001,$K63,CALC!$K$1)))</f>
        <v/>
      </c>
      <c r="F63" s="14">
        <f>IF($K63="","",IF(INDEX(BASELINE!$A$2:$ZZ$3001,$K63,CALC!$O$1)="","",INDEX(BASELINE!$A$2:$ZZ$3001,$K63,CALC!$O$1)))</f>
        <v/>
      </c>
      <c r="G63" s="13">
        <f>IF($K63="","",IF(INDEX(BASELINE!$A$2:$ZZ$3001,$K63,CALC!$J$1)="","",INDEX(BASELINE!$A$2:$ZZ$3001,$K63,CALC!$J$1)))</f>
        <v/>
      </c>
      <c r="H63" s="13">
        <f>IF($K63="","",IF(INDEX(BASELINE!$A$2:$ZZ$3001,$K63,CALC!$M$1)="","",INDEX(BASELINE!$A$2:$ZZ$3001,$K63,CALC!$M$1)))</f>
        <v/>
      </c>
      <c r="I63" s="13">
        <f>IF($K63="","",IF(INDEX(BASELINE!$A$2:$ZZ$3001,$K63,CALC!$N$1)="","",INDEX(BASELINE!$A$2:$ZZ$3001,$K63,CALC!$N$1)))</f>
        <v/>
      </c>
      <c r="J63" s="12">
        <f>IF($K63="","",IF(ISNUMBER(SEARCH("break",INDEX(BASELINE!$A$2:$ZZ$3001,$K63,CALC!$Q$1)&amp;"")),"SIM",""))</f>
        <v/>
      </c>
      <c r="K63" s="15">
        <f>IF(55&lt;=CALC!$D$1,MATCH(55,CALC!$B$2:$B$3001,0),"")</f>
        <v/>
      </c>
    </row>
    <row r="64" ht="17" customHeight="1">
      <c r="A64" s="12">
        <f>IF($K64="","",56)</f>
        <v/>
      </c>
      <c r="B64" s="13">
        <f>IF($K64="","",IF(INDEX(BASELINE!$A$2:$ZZ$3001,$K64,CALC!$H$1)="","",INDEX(BASELINE!$A$2:$ZZ$3001,$K64,CALC!$H$1)))</f>
        <v/>
      </c>
      <c r="C64" s="12">
        <f>IF($K64="","",IF(INDEX(BASELINE!$A$2:$ZZ$3001,$K64,CALC!$I$1)="","",INDEX(BASELINE!$A$2:$ZZ$3001,$K64,CALC!$I$1)))</f>
        <v/>
      </c>
      <c r="D64" s="13">
        <f>IF($K64="","",IF(INDEX(BASELINE!$A$2:$ZZ$3001,$K64,CALC!$L$1)="","",INDEX(BASELINE!$A$2:$ZZ$3001,$K64,CALC!$L$1)))</f>
        <v/>
      </c>
      <c r="E64" s="13">
        <f>IF($K64="","",IF(INDEX(BASELINE!$A$2:$ZZ$3001,$K64,CALC!$K$1)="","",INDEX(BASELINE!$A$2:$ZZ$3001,$K64,CALC!$K$1)))</f>
        <v/>
      </c>
      <c r="F64" s="14">
        <f>IF($K64="","",IF(INDEX(BASELINE!$A$2:$ZZ$3001,$K64,CALC!$O$1)="","",INDEX(BASELINE!$A$2:$ZZ$3001,$K64,CALC!$O$1)))</f>
        <v/>
      </c>
      <c r="G64" s="13">
        <f>IF($K64="","",IF(INDEX(BASELINE!$A$2:$ZZ$3001,$K64,CALC!$J$1)="","",INDEX(BASELINE!$A$2:$ZZ$3001,$K64,CALC!$J$1)))</f>
        <v/>
      </c>
      <c r="H64" s="13">
        <f>IF($K64="","",IF(INDEX(BASELINE!$A$2:$ZZ$3001,$K64,CALC!$M$1)="","",INDEX(BASELINE!$A$2:$ZZ$3001,$K64,CALC!$M$1)))</f>
        <v/>
      </c>
      <c r="I64" s="13">
        <f>IF($K64="","",IF(INDEX(BASELINE!$A$2:$ZZ$3001,$K64,CALC!$N$1)="","",INDEX(BASELINE!$A$2:$ZZ$3001,$K64,CALC!$N$1)))</f>
        <v/>
      </c>
      <c r="J64" s="12">
        <f>IF($K64="","",IF(ISNUMBER(SEARCH("break",INDEX(BASELINE!$A$2:$ZZ$3001,$K64,CALC!$Q$1)&amp;"")),"SIM",""))</f>
        <v/>
      </c>
      <c r="K64" s="15">
        <f>IF(56&lt;=CALC!$D$1,MATCH(56,CALC!$B$2:$B$3001,0),"")</f>
        <v/>
      </c>
    </row>
    <row r="65" ht="17" customHeight="1">
      <c r="A65" s="12">
        <f>IF($K65="","",57)</f>
        <v/>
      </c>
      <c r="B65" s="13">
        <f>IF($K65="","",IF(INDEX(BASELINE!$A$2:$ZZ$3001,$K65,CALC!$H$1)="","",INDEX(BASELINE!$A$2:$ZZ$3001,$K65,CALC!$H$1)))</f>
        <v/>
      </c>
      <c r="C65" s="12">
        <f>IF($K65="","",IF(INDEX(BASELINE!$A$2:$ZZ$3001,$K65,CALC!$I$1)="","",INDEX(BASELINE!$A$2:$ZZ$3001,$K65,CALC!$I$1)))</f>
        <v/>
      </c>
      <c r="D65" s="13">
        <f>IF($K65="","",IF(INDEX(BASELINE!$A$2:$ZZ$3001,$K65,CALC!$L$1)="","",INDEX(BASELINE!$A$2:$ZZ$3001,$K65,CALC!$L$1)))</f>
        <v/>
      </c>
      <c r="E65" s="13">
        <f>IF($K65="","",IF(INDEX(BASELINE!$A$2:$ZZ$3001,$K65,CALC!$K$1)="","",INDEX(BASELINE!$A$2:$ZZ$3001,$K65,CALC!$K$1)))</f>
        <v/>
      </c>
      <c r="F65" s="14">
        <f>IF($K65="","",IF(INDEX(BASELINE!$A$2:$ZZ$3001,$K65,CALC!$O$1)="","",INDEX(BASELINE!$A$2:$ZZ$3001,$K65,CALC!$O$1)))</f>
        <v/>
      </c>
      <c r="G65" s="13">
        <f>IF($K65="","",IF(INDEX(BASELINE!$A$2:$ZZ$3001,$K65,CALC!$J$1)="","",INDEX(BASELINE!$A$2:$ZZ$3001,$K65,CALC!$J$1)))</f>
        <v/>
      </c>
      <c r="H65" s="13">
        <f>IF($K65="","",IF(INDEX(BASELINE!$A$2:$ZZ$3001,$K65,CALC!$M$1)="","",INDEX(BASELINE!$A$2:$ZZ$3001,$K65,CALC!$M$1)))</f>
        <v/>
      </c>
      <c r="I65" s="13">
        <f>IF($K65="","",IF(INDEX(BASELINE!$A$2:$ZZ$3001,$K65,CALC!$N$1)="","",INDEX(BASELINE!$A$2:$ZZ$3001,$K65,CALC!$N$1)))</f>
        <v/>
      </c>
      <c r="J65" s="12">
        <f>IF($K65="","",IF(ISNUMBER(SEARCH("break",INDEX(BASELINE!$A$2:$ZZ$3001,$K65,CALC!$Q$1)&amp;"")),"SIM",""))</f>
        <v/>
      </c>
      <c r="K65" s="15">
        <f>IF(57&lt;=CALC!$D$1,MATCH(57,CALC!$B$2:$B$3001,0),"")</f>
        <v/>
      </c>
    </row>
    <row r="66" ht="17" customHeight="1">
      <c r="A66" s="12">
        <f>IF($K66="","",58)</f>
        <v/>
      </c>
      <c r="B66" s="13">
        <f>IF($K66="","",IF(INDEX(BASELINE!$A$2:$ZZ$3001,$K66,CALC!$H$1)="","",INDEX(BASELINE!$A$2:$ZZ$3001,$K66,CALC!$H$1)))</f>
        <v/>
      </c>
      <c r="C66" s="12">
        <f>IF($K66="","",IF(INDEX(BASELINE!$A$2:$ZZ$3001,$K66,CALC!$I$1)="","",INDEX(BASELINE!$A$2:$ZZ$3001,$K66,CALC!$I$1)))</f>
        <v/>
      </c>
      <c r="D66" s="13">
        <f>IF($K66="","",IF(INDEX(BASELINE!$A$2:$ZZ$3001,$K66,CALC!$L$1)="","",INDEX(BASELINE!$A$2:$ZZ$3001,$K66,CALC!$L$1)))</f>
        <v/>
      </c>
      <c r="E66" s="13">
        <f>IF($K66="","",IF(INDEX(BASELINE!$A$2:$ZZ$3001,$K66,CALC!$K$1)="","",INDEX(BASELINE!$A$2:$ZZ$3001,$K66,CALC!$K$1)))</f>
        <v/>
      </c>
      <c r="F66" s="14">
        <f>IF($K66="","",IF(INDEX(BASELINE!$A$2:$ZZ$3001,$K66,CALC!$O$1)="","",INDEX(BASELINE!$A$2:$ZZ$3001,$K66,CALC!$O$1)))</f>
        <v/>
      </c>
      <c r="G66" s="13">
        <f>IF($K66="","",IF(INDEX(BASELINE!$A$2:$ZZ$3001,$K66,CALC!$J$1)="","",INDEX(BASELINE!$A$2:$ZZ$3001,$K66,CALC!$J$1)))</f>
        <v/>
      </c>
      <c r="H66" s="13">
        <f>IF($K66="","",IF(INDEX(BASELINE!$A$2:$ZZ$3001,$K66,CALC!$M$1)="","",INDEX(BASELINE!$A$2:$ZZ$3001,$K66,CALC!$M$1)))</f>
        <v/>
      </c>
      <c r="I66" s="13">
        <f>IF($K66="","",IF(INDEX(BASELINE!$A$2:$ZZ$3001,$K66,CALC!$N$1)="","",INDEX(BASELINE!$A$2:$ZZ$3001,$K66,CALC!$N$1)))</f>
        <v/>
      </c>
      <c r="J66" s="12">
        <f>IF($K66="","",IF(ISNUMBER(SEARCH("break",INDEX(BASELINE!$A$2:$ZZ$3001,$K66,CALC!$Q$1)&amp;"")),"SIM",""))</f>
        <v/>
      </c>
      <c r="K66" s="15">
        <f>IF(58&lt;=CALC!$D$1,MATCH(58,CALC!$B$2:$B$3001,0),"")</f>
        <v/>
      </c>
    </row>
    <row r="67" ht="17" customHeight="1">
      <c r="A67" s="12">
        <f>IF($K67="","",59)</f>
        <v/>
      </c>
      <c r="B67" s="13">
        <f>IF($K67="","",IF(INDEX(BASELINE!$A$2:$ZZ$3001,$K67,CALC!$H$1)="","",INDEX(BASELINE!$A$2:$ZZ$3001,$K67,CALC!$H$1)))</f>
        <v/>
      </c>
      <c r="C67" s="12">
        <f>IF($K67="","",IF(INDEX(BASELINE!$A$2:$ZZ$3001,$K67,CALC!$I$1)="","",INDEX(BASELINE!$A$2:$ZZ$3001,$K67,CALC!$I$1)))</f>
        <v/>
      </c>
      <c r="D67" s="13">
        <f>IF($K67="","",IF(INDEX(BASELINE!$A$2:$ZZ$3001,$K67,CALC!$L$1)="","",INDEX(BASELINE!$A$2:$ZZ$3001,$K67,CALC!$L$1)))</f>
        <v/>
      </c>
      <c r="E67" s="13">
        <f>IF($K67="","",IF(INDEX(BASELINE!$A$2:$ZZ$3001,$K67,CALC!$K$1)="","",INDEX(BASELINE!$A$2:$ZZ$3001,$K67,CALC!$K$1)))</f>
        <v/>
      </c>
      <c r="F67" s="14">
        <f>IF($K67="","",IF(INDEX(BASELINE!$A$2:$ZZ$3001,$K67,CALC!$O$1)="","",INDEX(BASELINE!$A$2:$ZZ$3001,$K67,CALC!$O$1)))</f>
        <v/>
      </c>
      <c r="G67" s="13">
        <f>IF($K67="","",IF(INDEX(BASELINE!$A$2:$ZZ$3001,$K67,CALC!$J$1)="","",INDEX(BASELINE!$A$2:$ZZ$3001,$K67,CALC!$J$1)))</f>
        <v/>
      </c>
      <c r="H67" s="13">
        <f>IF($K67="","",IF(INDEX(BASELINE!$A$2:$ZZ$3001,$K67,CALC!$M$1)="","",INDEX(BASELINE!$A$2:$ZZ$3001,$K67,CALC!$M$1)))</f>
        <v/>
      </c>
      <c r="I67" s="13">
        <f>IF($K67="","",IF(INDEX(BASELINE!$A$2:$ZZ$3001,$K67,CALC!$N$1)="","",INDEX(BASELINE!$A$2:$ZZ$3001,$K67,CALC!$N$1)))</f>
        <v/>
      </c>
      <c r="J67" s="12">
        <f>IF($K67="","",IF(ISNUMBER(SEARCH("break",INDEX(BASELINE!$A$2:$ZZ$3001,$K67,CALC!$Q$1)&amp;"")),"SIM",""))</f>
        <v/>
      </c>
      <c r="K67" s="15">
        <f>IF(59&lt;=CALC!$D$1,MATCH(59,CALC!$B$2:$B$3001,0),"")</f>
        <v/>
      </c>
    </row>
    <row r="68" ht="17" customHeight="1">
      <c r="A68" s="12">
        <f>IF($K68="","",60)</f>
        <v/>
      </c>
      <c r="B68" s="13">
        <f>IF($K68="","",IF(INDEX(BASELINE!$A$2:$ZZ$3001,$K68,CALC!$H$1)="","",INDEX(BASELINE!$A$2:$ZZ$3001,$K68,CALC!$H$1)))</f>
        <v/>
      </c>
      <c r="C68" s="12">
        <f>IF($K68="","",IF(INDEX(BASELINE!$A$2:$ZZ$3001,$K68,CALC!$I$1)="","",INDEX(BASELINE!$A$2:$ZZ$3001,$K68,CALC!$I$1)))</f>
        <v/>
      </c>
      <c r="D68" s="13">
        <f>IF($K68="","",IF(INDEX(BASELINE!$A$2:$ZZ$3001,$K68,CALC!$L$1)="","",INDEX(BASELINE!$A$2:$ZZ$3001,$K68,CALC!$L$1)))</f>
        <v/>
      </c>
      <c r="E68" s="13">
        <f>IF($K68="","",IF(INDEX(BASELINE!$A$2:$ZZ$3001,$K68,CALC!$K$1)="","",INDEX(BASELINE!$A$2:$ZZ$3001,$K68,CALC!$K$1)))</f>
        <v/>
      </c>
      <c r="F68" s="14">
        <f>IF($K68="","",IF(INDEX(BASELINE!$A$2:$ZZ$3001,$K68,CALC!$O$1)="","",INDEX(BASELINE!$A$2:$ZZ$3001,$K68,CALC!$O$1)))</f>
        <v/>
      </c>
      <c r="G68" s="13">
        <f>IF($K68="","",IF(INDEX(BASELINE!$A$2:$ZZ$3001,$K68,CALC!$J$1)="","",INDEX(BASELINE!$A$2:$ZZ$3001,$K68,CALC!$J$1)))</f>
        <v/>
      </c>
      <c r="H68" s="13">
        <f>IF($K68="","",IF(INDEX(BASELINE!$A$2:$ZZ$3001,$K68,CALC!$M$1)="","",INDEX(BASELINE!$A$2:$ZZ$3001,$K68,CALC!$M$1)))</f>
        <v/>
      </c>
      <c r="I68" s="13">
        <f>IF($K68="","",IF(INDEX(BASELINE!$A$2:$ZZ$3001,$K68,CALC!$N$1)="","",INDEX(BASELINE!$A$2:$ZZ$3001,$K68,CALC!$N$1)))</f>
        <v/>
      </c>
      <c r="J68" s="12">
        <f>IF($K68="","",IF(ISNUMBER(SEARCH("break",INDEX(BASELINE!$A$2:$ZZ$3001,$K68,CALC!$Q$1)&amp;"")),"SIM",""))</f>
        <v/>
      </c>
      <c r="K68" s="15">
        <f>IF(60&lt;=CALC!$D$1,MATCH(60,CALC!$B$2:$B$3001,0),"")</f>
        <v/>
      </c>
    </row>
    <row r="69" ht="17" customHeight="1">
      <c r="A69" s="12">
        <f>IF($K69="","",61)</f>
        <v/>
      </c>
      <c r="B69" s="13">
        <f>IF($K69="","",IF(INDEX(BASELINE!$A$2:$ZZ$3001,$K69,CALC!$H$1)="","",INDEX(BASELINE!$A$2:$ZZ$3001,$K69,CALC!$H$1)))</f>
        <v/>
      </c>
      <c r="C69" s="12">
        <f>IF($K69="","",IF(INDEX(BASELINE!$A$2:$ZZ$3001,$K69,CALC!$I$1)="","",INDEX(BASELINE!$A$2:$ZZ$3001,$K69,CALC!$I$1)))</f>
        <v/>
      </c>
      <c r="D69" s="13">
        <f>IF($K69="","",IF(INDEX(BASELINE!$A$2:$ZZ$3001,$K69,CALC!$L$1)="","",INDEX(BASELINE!$A$2:$ZZ$3001,$K69,CALC!$L$1)))</f>
        <v/>
      </c>
      <c r="E69" s="13">
        <f>IF($K69="","",IF(INDEX(BASELINE!$A$2:$ZZ$3001,$K69,CALC!$K$1)="","",INDEX(BASELINE!$A$2:$ZZ$3001,$K69,CALC!$K$1)))</f>
        <v/>
      </c>
      <c r="F69" s="14">
        <f>IF($K69="","",IF(INDEX(BASELINE!$A$2:$ZZ$3001,$K69,CALC!$O$1)="","",INDEX(BASELINE!$A$2:$ZZ$3001,$K69,CALC!$O$1)))</f>
        <v/>
      </c>
      <c r="G69" s="13">
        <f>IF($K69="","",IF(INDEX(BASELINE!$A$2:$ZZ$3001,$K69,CALC!$J$1)="","",INDEX(BASELINE!$A$2:$ZZ$3001,$K69,CALC!$J$1)))</f>
        <v/>
      </c>
      <c r="H69" s="13">
        <f>IF($K69="","",IF(INDEX(BASELINE!$A$2:$ZZ$3001,$K69,CALC!$M$1)="","",INDEX(BASELINE!$A$2:$ZZ$3001,$K69,CALC!$M$1)))</f>
        <v/>
      </c>
      <c r="I69" s="13">
        <f>IF($K69="","",IF(INDEX(BASELINE!$A$2:$ZZ$3001,$K69,CALC!$N$1)="","",INDEX(BASELINE!$A$2:$ZZ$3001,$K69,CALC!$N$1)))</f>
        <v/>
      </c>
      <c r="J69" s="12">
        <f>IF($K69="","",IF(ISNUMBER(SEARCH("break",INDEX(BASELINE!$A$2:$ZZ$3001,$K69,CALC!$Q$1)&amp;"")),"SIM",""))</f>
        <v/>
      </c>
      <c r="K69" s="15">
        <f>IF(61&lt;=CALC!$D$1,MATCH(61,CALC!$B$2:$B$3001,0),"")</f>
        <v/>
      </c>
    </row>
    <row r="70" ht="17" customHeight="1">
      <c r="A70" s="12">
        <f>IF($K70="","",62)</f>
        <v/>
      </c>
      <c r="B70" s="13">
        <f>IF($K70="","",IF(INDEX(BASELINE!$A$2:$ZZ$3001,$K70,CALC!$H$1)="","",INDEX(BASELINE!$A$2:$ZZ$3001,$K70,CALC!$H$1)))</f>
        <v/>
      </c>
      <c r="C70" s="12">
        <f>IF($K70="","",IF(INDEX(BASELINE!$A$2:$ZZ$3001,$K70,CALC!$I$1)="","",INDEX(BASELINE!$A$2:$ZZ$3001,$K70,CALC!$I$1)))</f>
        <v/>
      </c>
      <c r="D70" s="13">
        <f>IF($K70="","",IF(INDEX(BASELINE!$A$2:$ZZ$3001,$K70,CALC!$L$1)="","",INDEX(BASELINE!$A$2:$ZZ$3001,$K70,CALC!$L$1)))</f>
        <v/>
      </c>
      <c r="E70" s="13">
        <f>IF($K70="","",IF(INDEX(BASELINE!$A$2:$ZZ$3001,$K70,CALC!$K$1)="","",INDEX(BASELINE!$A$2:$ZZ$3001,$K70,CALC!$K$1)))</f>
        <v/>
      </c>
      <c r="F70" s="14">
        <f>IF($K70="","",IF(INDEX(BASELINE!$A$2:$ZZ$3001,$K70,CALC!$O$1)="","",INDEX(BASELINE!$A$2:$ZZ$3001,$K70,CALC!$O$1)))</f>
        <v/>
      </c>
      <c r="G70" s="13">
        <f>IF($K70="","",IF(INDEX(BASELINE!$A$2:$ZZ$3001,$K70,CALC!$J$1)="","",INDEX(BASELINE!$A$2:$ZZ$3001,$K70,CALC!$J$1)))</f>
        <v/>
      </c>
      <c r="H70" s="13">
        <f>IF($K70="","",IF(INDEX(BASELINE!$A$2:$ZZ$3001,$K70,CALC!$M$1)="","",INDEX(BASELINE!$A$2:$ZZ$3001,$K70,CALC!$M$1)))</f>
        <v/>
      </c>
      <c r="I70" s="13">
        <f>IF($K70="","",IF(INDEX(BASELINE!$A$2:$ZZ$3001,$K70,CALC!$N$1)="","",INDEX(BASELINE!$A$2:$ZZ$3001,$K70,CALC!$N$1)))</f>
        <v/>
      </c>
      <c r="J70" s="12">
        <f>IF($K70="","",IF(ISNUMBER(SEARCH("break",INDEX(BASELINE!$A$2:$ZZ$3001,$K70,CALC!$Q$1)&amp;"")),"SIM",""))</f>
        <v/>
      </c>
      <c r="K70" s="15">
        <f>IF(62&lt;=CALC!$D$1,MATCH(62,CALC!$B$2:$B$3001,0),"")</f>
        <v/>
      </c>
    </row>
    <row r="71" ht="17" customHeight="1">
      <c r="A71" s="12">
        <f>IF($K71="","",63)</f>
        <v/>
      </c>
      <c r="B71" s="13">
        <f>IF($K71="","",IF(INDEX(BASELINE!$A$2:$ZZ$3001,$K71,CALC!$H$1)="","",INDEX(BASELINE!$A$2:$ZZ$3001,$K71,CALC!$H$1)))</f>
        <v/>
      </c>
      <c r="C71" s="12">
        <f>IF($K71="","",IF(INDEX(BASELINE!$A$2:$ZZ$3001,$K71,CALC!$I$1)="","",INDEX(BASELINE!$A$2:$ZZ$3001,$K71,CALC!$I$1)))</f>
        <v/>
      </c>
      <c r="D71" s="13">
        <f>IF($K71="","",IF(INDEX(BASELINE!$A$2:$ZZ$3001,$K71,CALC!$L$1)="","",INDEX(BASELINE!$A$2:$ZZ$3001,$K71,CALC!$L$1)))</f>
        <v/>
      </c>
      <c r="E71" s="13">
        <f>IF($K71="","",IF(INDEX(BASELINE!$A$2:$ZZ$3001,$K71,CALC!$K$1)="","",INDEX(BASELINE!$A$2:$ZZ$3001,$K71,CALC!$K$1)))</f>
        <v/>
      </c>
      <c r="F71" s="14">
        <f>IF($K71="","",IF(INDEX(BASELINE!$A$2:$ZZ$3001,$K71,CALC!$O$1)="","",INDEX(BASELINE!$A$2:$ZZ$3001,$K71,CALC!$O$1)))</f>
        <v/>
      </c>
      <c r="G71" s="13">
        <f>IF($K71="","",IF(INDEX(BASELINE!$A$2:$ZZ$3001,$K71,CALC!$J$1)="","",INDEX(BASELINE!$A$2:$ZZ$3001,$K71,CALC!$J$1)))</f>
        <v/>
      </c>
      <c r="H71" s="13">
        <f>IF($K71="","",IF(INDEX(BASELINE!$A$2:$ZZ$3001,$K71,CALC!$M$1)="","",INDEX(BASELINE!$A$2:$ZZ$3001,$K71,CALC!$M$1)))</f>
        <v/>
      </c>
      <c r="I71" s="13">
        <f>IF($K71="","",IF(INDEX(BASELINE!$A$2:$ZZ$3001,$K71,CALC!$N$1)="","",INDEX(BASELINE!$A$2:$ZZ$3001,$K71,CALC!$N$1)))</f>
        <v/>
      </c>
      <c r="J71" s="12">
        <f>IF($K71="","",IF(ISNUMBER(SEARCH("break",INDEX(BASELINE!$A$2:$ZZ$3001,$K71,CALC!$Q$1)&amp;"")),"SIM",""))</f>
        <v/>
      </c>
      <c r="K71" s="15">
        <f>IF(63&lt;=CALC!$D$1,MATCH(63,CALC!$B$2:$B$3001,0),"")</f>
        <v/>
      </c>
    </row>
    <row r="72" ht="17" customHeight="1">
      <c r="A72" s="12">
        <f>IF($K72="","",64)</f>
        <v/>
      </c>
      <c r="B72" s="13">
        <f>IF($K72="","",IF(INDEX(BASELINE!$A$2:$ZZ$3001,$K72,CALC!$H$1)="","",INDEX(BASELINE!$A$2:$ZZ$3001,$K72,CALC!$H$1)))</f>
        <v/>
      </c>
      <c r="C72" s="12">
        <f>IF($K72="","",IF(INDEX(BASELINE!$A$2:$ZZ$3001,$K72,CALC!$I$1)="","",INDEX(BASELINE!$A$2:$ZZ$3001,$K72,CALC!$I$1)))</f>
        <v/>
      </c>
      <c r="D72" s="13">
        <f>IF($K72="","",IF(INDEX(BASELINE!$A$2:$ZZ$3001,$K72,CALC!$L$1)="","",INDEX(BASELINE!$A$2:$ZZ$3001,$K72,CALC!$L$1)))</f>
        <v/>
      </c>
      <c r="E72" s="13">
        <f>IF($K72="","",IF(INDEX(BASELINE!$A$2:$ZZ$3001,$K72,CALC!$K$1)="","",INDEX(BASELINE!$A$2:$ZZ$3001,$K72,CALC!$K$1)))</f>
        <v/>
      </c>
      <c r="F72" s="14">
        <f>IF($K72="","",IF(INDEX(BASELINE!$A$2:$ZZ$3001,$K72,CALC!$O$1)="","",INDEX(BASELINE!$A$2:$ZZ$3001,$K72,CALC!$O$1)))</f>
        <v/>
      </c>
      <c r="G72" s="13">
        <f>IF($K72="","",IF(INDEX(BASELINE!$A$2:$ZZ$3001,$K72,CALC!$J$1)="","",INDEX(BASELINE!$A$2:$ZZ$3001,$K72,CALC!$J$1)))</f>
        <v/>
      </c>
      <c r="H72" s="13">
        <f>IF($K72="","",IF(INDEX(BASELINE!$A$2:$ZZ$3001,$K72,CALC!$M$1)="","",INDEX(BASELINE!$A$2:$ZZ$3001,$K72,CALC!$M$1)))</f>
        <v/>
      </c>
      <c r="I72" s="13">
        <f>IF($K72="","",IF(INDEX(BASELINE!$A$2:$ZZ$3001,$K72,CALC!$N$1)="","",INDEX(BASELINE!$A$2:$ZZ$3001,$K72,CALC!$N$1)))</f>
        <v/>
      </c>
      <c r="J72" s="12">
        <f>IF($K72="","",IF(ISNUMBER(SEARCH("break",INDEX(BASELINE!$A$2:$ZZ$3001,$K72,CALC!$Q$1)&amp;"")),"SIM",""))</f>
        <v/>
      </c>
      <c r="K72" s="15">
        <f>IF(64&lt;=CALC!$D$1,MATCH(64,CALC!$B$2:$B$3001,0),"")</f>
        <v/>
      </c>
    </row>
    <row r="73" ht="17" customHeight="1">
      <c r="A73" s="12">
        <f>IF($K73="","",65)</f>
        <v/>
      </c>
      <c r="B73" s="13">
        <f>IF($K73="","",IF(INDEX(BASELINE!$A$2:$ZZ$3001,$K73,CALC!$H$1)="","",INDEX(BASELINE!$A$2:$ZZ$3001,$K73,CALC!$H$1)))</f>
        <v/>
      </c>
      <c r="C73" s="12">
        <f>IF($K73="","",IF(INDEX(BASELINE!$A$2:$ZZ$3001,$K73,CALC!$I$1)="","",INDEX(BASELINE!$A$2:$ZZ$3001,$K73,CALC!$I$1)))</f>
        <v/>
      </c>
      <c r="D73" s="13">
        <f>IF($K73="","",IF(INDEX(BASELINE!$A$2:$ZZ$3001,$K73,CALC!$L$1)="","",INDEX(BASELINE!$A$2:$ZZ$3001,$K73,CALC!$L$1)))</f>
        <v/>
      </c>
      <c r="E73" s="13">
        <f>IF($K73="","",IF(INDEX(BASELINE!$A$2:$ZZ$3001,$K73,CALC!$K$1)="","",INDEX(BASELINE!$A$2:$ZZ$3001,$K73,CALC!$K$1)))</f>
        <v/>
      </c>
      <c r="F73" s="14">
        <f>IF($K73="","",IF(INDEX(BASELINE!$A$2:$ZZ$3001,$K73,CALC!$O$1)="","",INDEX(BASELINE!$A$2:$ZZ$3001,$K73,CALC!$O$1)))</f>
        <v/>
      </c>
      <c r="G73" s="13">
        <f>IF($K73="","",IF(INDEX(BASELINE!$A$2:$ZZ$3001,$K73,CALC!$J$1)="","",INDEX(BASELINE!$A$2:$ZZ$3001,$K73,CALC!$J$1)))</f>
        <v/>
      </c>
      <c r="H73" s="13">
        <f>IF($K73="","",IF(INDEX(BASELINE!$A$2:$ZZ$3001,$K73,CALC!$M$1)="","",INDEX(BASELINE!$A$2:$ZZ$3001,$K73,CALC!$M$1)))</f>
        <v/>
      </c>
      <c r="I73" s="13">
        <f>IF($K73="","",IF(INDEX(BASELINE!$A$2:$ZZ$3001,$K73,CALC!$N$1)="","",INDEX(BASELINE!$A$2:$ZZ$3001,$K73,CALC!$N$1)))</f>
        <v/>
      </c>
      <c r="J73" s="12">
        <f>IF($K73="","",IF(ISNUMBER(SEARCH("break",INDEX(BASELINE!$A$2:$ZZ$3001,$K73,CALC!$Q$1)&amp;"")),"SIM",""))</f>
        <v/>
      </c>
      <c r="K73" s="15">
        <f>IF(65&lt;=CALC!$D$1,MATCH(65,CALC!$B$2:$B$3001,0),"")</f>
        <v/>
      </c>
    </row>
    <row r="74" ht="17" customHeight="1">
      <c r="A74" s="12">
        <f>IF($K74="","",66)</f>
        <v/>
      </c>
      <c r="B74" s="13">
        <f>IF($K74="","",IF(INDEX(BASELINE!$A$2:$ZZ$3001,$K74,CALC!$H$1)="","",INDEX(BASELINE!$A$2:$ZZ$3001,$K74,CALC!$H$1)))</f>
        <v/>
      </c>
      <c r="C74" s="12">
        <f>IF($K74="","",IF(INDEX(BASELINE!$A$2:$ZZ$3001,$K74,CALC!$I$1)="","",INDEX(BASELINE!$A$2:$ZZ$3001,$K74,CALC!$I$1)))</f>
        <v/>
      </c>
      <c r="D74" s="13">
        <f>IF($K74="","",IF(INDEX(BASELINE!$A$2:$ZZ$3001,$K74,CALC!$L$1)="","",INDEX(BASELINE!$A$2:$ZZ$3001,$K74,CALC!$L$1)))</f>
        <v/>
      </c>
      <c r="E74" s="13">
        <f>IF($K74="","",IF(INDEX(BASELINE!$A$2:$ZZ$3001,$K74,CALC!$K$1)="","",INDEX(BASELINE!$A$2:$ZZ$3001,$K74,CALC!$K$1)))</f>
        <v/>
      </c>
      <c r="F74" s="14">
        <f>IF($K74="","",IF(INDEX(BASELINE!$A$2:$ZZ$3001,$K74,CALC!$O$1)="","",INDEX(BASELINE!$A$2:$ZZ$3001,$K74,CALC!$O$1)))</f>
        <v/>
      </c>
      <c r="G74" s="13">
        <f>IF($K74="","",IF(INDEX(BASELINE!$A$2:$ZZ$3001,$K74,CALC!$J$1)="","",INDEX(BASELINE!$A$2:$ZZ$3001,$K74,CALC!$J$1)))</f>
        <v/>
      </c>
      <c r="H74" s="13">
        <f>IF($K74="","",IF(INDEX(BASELINE!$A$2:$ZZ$3001,$K74,CALC!$M$1)="","",INDEX(BASELINE!$A$2:$ZZ$3001,$K74,CALC!$M$1)))</f>
        <v/>
      </c>
      <c r="I74" s="13">
        <f>IF($K74="","",IF(INDEX(BASELINE!$A$2:$ZZ$3001,$K74,CALC!$N$1)="","",INDEX(BASELINE!$A$2:$ZZ$3001,$K74,CALC!$N$1)))</f>
        <v/>
      </c>
      <c r="J74" s="12">
        <f>IF($K74="","",IF(ISNUMBER(SEARCH("break",INDEX(BASELINE!$A$2:$ZZ$3001,$K74,CALC!$Q$1)&amp;"")),"SIM",""))</f>
        <v/>
      </c>
      <c r="K74" s="15">
        <f>IF(66&lt;=CALC!$D$1,MATCH(66,CALC!$B$2:$B$3001,0),"")</f>
        <v/>
      </c>
    </row>
    <row r="75" ht="17" customHeight="1">
      <c r="A75" s="12">
        <f>IF($K75="","",67)</f>
        <v/>
      </c>
      <c r="B75" s="13">
        <f>IF($K75="","",IF(INDEX(BASELINE!$A$2:$ZZ$3001,$K75,CALC!$H$1)="","",INDEX(BASELINE!$A$2:$ZZ$3001,$K75,CALC!$H$1)))</f>
        <v/>
      </c>
      <c r="C75" s="12">
        <f>IF($K75="","",IF(INDEX(BASELINE!$A$2:$ZZ$3001,$K75,CALC!$I$1)="","",INDEX(BASELINE!$A$2:$ZZ$3001,$K75,CALC!$I$1)))</f>
        <v/>
      </c>
      <c r="D75" s="13">
        <f>IF($K75="","",IF(INDEX(BASELINE!$A$2:$ZZ$3001,$K75,CALC!$L$1)="","",INDEX(BASELINE!$A$2:$ZZ$3001,$K75,CALC!$L$1)))</f>
        <v/>
      </c>
      <c r="E75" s="13">
        <f>IF($K75="","",IF(INDEX(BASELINE!$A$2:$ZZ$3001,$K75,CALC!$K$1)="","",INDEX(BASELINE!$A$2:$ZZ$3001,$K75,CALC!$K$1)))</f>
        <v/>
      </c>
      <c r="F75" s="14">
        <f>IF($K75="","",IF(INDEX(BASELINE!$A$2:$ZZ$3001,$K75,CALC!$O$1)="","",INDEX(BASELINE!$A$2:$ZZ$3001,$K75,CALC!$O$1)))</f>
        <v/>
      </c>
      <c r="G75" s="13">
        <f>IF($K75="","",IF(INDEX(BASELINE!$A$2:$ZZ$3001,$K75,CALC!$J$1)="","",INDEX(BASELINE!$A$2:$ZZ$3001,$K75,CALC!$J$1)))</f>
        <v/>
      </c>
      <c r="H75" s="13">
        <f>IF($K75="","",IF(INDEX(BASELINE!$A$2:$ZZ$3001,$K75,CALC!$M$1)="","",INDEX(BASELINE!$A$2:$ZZ$3001,$K75,CALC!$M$1)))</f>
        <v/>
      </c>
      <c r="I75" s="13">
        <f>IF($K75="","",IF(INDEX(BASELINE!$A$2:$ZZ$3001,$K75,CALC!$N$1)="","",INDEX(BASELINE!$A$2:$ZZ$3001,$K75,CALC!$N$1)))</f>
        <v/>
      </c>
      <c r="J75" s="12">
        <f>IF($K75="","",IF(ISNUMBER(SEARCH("break",INDEX(BASELINE!$A$2:$ZZ$3001,$K75,CALC!$Q$1)&amp;"")),"SIM",""))</f>
        <v/>
      </c>
      <c r="K75" s="15">
        <f>IF(67&lt;=CALC!$D$1,MATCH(67,CALC!$B$2:$B$3001,0),"")</f>
        <v/>
      </c>
    </row>
    <row r="76" ht="17" customHeight="1">
      <c r="A76" s="12">
        <f>IF($K76="","",68)</f>
        <v/>
      </c>
      <c r="B76" s="13">
        <f>IF($K76="","",IF(INDEX(BASELINE!$A$2:$ZZ$3001,$K76,CALC!$H$1)="","",INDEX(BASELINE!$A$2:$ZZ$3001,$K76,CALC!$H$1)))</f>
        <v/>
      </c>
      <c r="C76" s="12">
        <f>IF($K76="","",IF(INDEX(BASELINE!$A$2:$ZZ$3001,$K76,CALC!$I$1)="","",INDEX(BASELINE!$A$2:$ZZ$3001,$K76,CALC!$I$1)))</f>
        <v/>
      </c>
      <c r="D76" s="13">
        <f>IF($K76="","",IF(INDEX(BASELINE!$A$2:$ZZ$3001,$K76,CALC!$L$1)="","",INDEX(BASELINE!$A$2:$ZZ$3001,$K76,CALC!$L$1)))</f>
        <v/>
      </c>
      <c r="E76" s="13">
        <f>IF($K76="","",IF(INDEX(BASELINE!$A$2:$ZZ$3001,$K76,CALC!$K$1)="","",INDEX(BASELINE!$A$2:$ZZ$3001,$K76,CALC!$K$1)))</f>
        <v/>
      </c>
      <c r="F76" s="14">
        <f>IF($K76="","",IF(INDEX(BASELINE!$A$2:$ZZ$3001,$K76,CALC!$O$1)="","",INDEX(BASELINE!$A$2:$ZZ$3001,$K76,CALC!$O$1)))</f>
        <v/>
      </c>
      <c r="G76" s="13">
        <f>IF($K76="","",IF(INDEX(BASELINE!$A$2:$ZZ$3001,$K76,CALC!$J$1)="","",INDEX(BASELINE!$A$2:$ZZ$3001,$K76,CALC!$J$1)))</f>
        <v/>
      </c>
      <c r="H76" s="13">
        <f>IF($K76="","",IF(INDEX(BASELINE!$A$2:$ZZ$3001,$K76,CALC!$M$1)="","",INDEX(BASELINE!$A$2:$ZZ$3001,$K76,CALC!$M$1)))</f>
        <v/>
      </c>
      <c r="I76" s="13">
        <f>IF($K76="","",IF(INDEX(BASELINE!$A$2:$ZZ$3001,$K76,CALC!$N$1)="","",INDEX(BASELINE!$A$2:$ZZ$3001,$K76,CALC!$N$1)))</f>
        <v/>
      </c>
      <c r="J76" s="12">
        <f>IF($K76="","",IF(ISNUMBER(SEARCH("break",INDEX(BASELINE!$A$2:$ZZ$3001,$K76,CALC!$Q$1)&amp;"")),"SIM",""))</f>
        <v/>
      </c>
      <c r="K76" s="15">
        <f>IF(68&lt;=CALC!$D$1,MATCH(68,CALC!$B$2:$B$3001,0),"")</f>
        <v/>
      </c>
    </row>
    <row r="77" ht="17" customHeight="1">
      <c r="A77" s="12">
        <f>IF($K77="","",69)</f>
        <v/>
      </c>
      <c r="B77" s="13">
        <f>IF($K77="","",IF(INDEX(BASELINE!$A$2:$ZZ$3001,$K77,CALC!$H$1)="","",INDEX(BASELINE!$A$2:$ZZ$3001,$K77,CALC!$H$1)))</f>
        <v/>
      </c>
      <c r="C77" s="12">
        <f>IF($K77="","",IF(INDEX(BASELINE!$A$2:$ZZ$3001,$K77,CALC!$I$1)="","",INDEX(BASELINE!$A$2:$ZZ$3001,$K77,CALC!$I$1)))</f>
        <v/>
      </c>
      <c r="D77" s="13">
        <f>IF($K77="","",IF(INDEX(BASELINE!$A$2:$ZZ$3001,$K77,CALC!$L$1)="","",INDEX(BASELINE!$A$2:$ZZ$3001,$K77,CALC!$L$1)))</f>
        <v/>
      </c>
      <c r="E77" s="13">
        <f>IF($K77="","",IF(INDEX(BASELINE!$A$2:$ZZ$3001,$K77,CALC!$K$1)="","",INDEX(BASELINE!$A$2:$ZZ$3001,$K77,CALC!$K$1)))</f>
        <v/>
      </c>
      <c r="F77" s="14">
        <f>IF($K77="","",IF(INDEX(BASELINE!$A$2:$ZZ$3001,$K77,CALC!$O$1)="","",INDEX(BASELINE!$A$2:$ZZ$3001,$K77,CALC!$O$1)))</f>
        <v/>
      </c>
      <c r="G77" s="13">
        <f>IF($K77="","",IF(INDEX(BASELINE!$A$2:$ZZ$3001,$K77,CALC!$J$1)="","",INDEX(BASELINE!$A$2:$ZZ$3001,$K77,CALC!$J$1)))</f>
        <v/>
      </c>
      <c r="H77" s="13">
        <f>IF($K77="","",IF(INDEX(BASELINE!$A$2:$ZZ$3001,$K77,CALC!$M$1)="","",INDEX(BASELINE!$A$2:$ZZ$3001,$K77,CALC!$M$1)))</f>
        <v/>
      </c>
      <c r="I77" s="13">
        <f>IF($K77="","",IF(INDEX(BASELINE!$A$2:$ZZ$3001,$K77,CALC!$N$1)="","",INDEX(BASELINE!$A$2:$ZZ$3001,$K77,CALC!$N$1)))</f>
        <v/>
      </c>
      <c r="J77" s="12">
        <f>IF($K77="","",IF(ISNUMBER(SEARCH("break",INDEX(BASELINE!$A$2:$ZZ$3001,$K77,CALC!$Q$1)&amp;"")),"SIM",""))</f>
        <v/>
      </c>
      <c r="K77" s="15">
        <f>IF(69&lt;=CALC!$D$1,MATCH(69,CALC!$B$2:$B$3001,0),"")</f>
        <v/>
      </c>
    </row>
    <row r="78" ht="17" customHeight="1">
      <c r="A78" s="12">
        <f>IF($K78="","",70)</f>
        <v/>
      </c>
      <c r="B78" s="13">
        <f>IF($K78="","",IF(INDEX(BASELINE!$A$2:$ZZ$3001,$K78,CALC!$H$1)="","",INDEX(BASELINE!$A$2:$ZZ$3001,$K78,CALC!$H$1)))</f>
        <v/>
      </c>
      <c r="C78" s="12">
        <f>IF($K78="","",IF(INDEX(BASELINE!$A$2:$ZZ$3001,$K78,CALC!$I$1)="","",INDEX(BASELINE!$A$2:$ZZ$3001,$K78,CALC!$I$1)))</f>
        <v/>
      </c>
      <c r="D78" s="13">
        <f>IF($K78="","",IF(INDEX(BASELINE!$A$2:$ZZ$3001,$K78,CALC!$L$1)="","",INDEX(BASELINE!$A$2:$ZZ$3001,$K78,CALC!$L$1)))</f>
        <v/>
      </c>
      <c r="E78" s="13">
        <f>IF($K78="","",IF(INDEX(BASELINE!$A$2:$ZZ$3001,$K78,CALC!$K$1)="","",INDEX(BASELINE!$A$2:$ZZ$3001,$K78,CALC!$K$1)))</f>
        <v/>
      </c>
      <c r="F78" s="14">
        <f>IF($K78="","",IF(INDEX(BASELINE!$A$2:$ZZ$3001,$K78,CALC!$O$1)="","",INDEX(BASELINE!$A$2:$ZZ$3001,$K78,CALC!$O$1)))</f>
        <v/>
      </c>
      <c r="G78" s="13">
        <f>IF($K78="","",IF(INDEX(BASELINE!$A$2:$ZZ$3001,$K78,CALC!$J$1)="","",INDEX(BASELINE!$A$2:$ZZ$3001,$K78,CALC!$J$1)))</f>
        <v/>
      </c>
      <c r="H78" s="13">
        <f>IF($K78="","",IF(INDEX(BASELINE!$A$2:$ZZ$3001,$K78,CALC!$M$1)="","",INDEX(BASELINE!$A$2:$ZZ$3001,$K78,CALC!$M$1)))</f>
        <v/>
      </c>
      <c r="I78" s="13">
        <f>IF($K78="","",IF(INDEX(BASELINE!$A$2:$ZZ$3001,$K78,CALC!$N$1)="","",INDEX(BASELINE!$A$2:$ZZ$3001,$K78,CALC!$N$1)))</f>
        <v/>
      </c>
      <c r="J78" s="12">
        <f>IF($K78="","",IF(ISNUMBER(SEARCH("break",INDEX(BASELINE!$A$2:$ZZ$3001,$K78,CALC!$Q$1)&amp;"")),"SIM",""))</f>
        <v/>
      </c>
      <c r="K78" s="15">
        <f>IF(70&lt;=CALC!$D$1,MATCH(70,CALC!$B$2:$B$3001,0),"")</f>
        <v/>
      </c>
    </row>
    <row r="79" ht="17" customHeight="1">
      <c r="A79" s="12">
        <f>IF($K79="","",71)</f>
        <v/>
      </c>
      <c r="B79" s="13">
        <f>IF($K79="","",IF(INDEX(BASELINE!$A$2:$ZZ$3001,$K79,CALC!$H$1)="","",INDEX(BASELINE!$A$2:$ZZ$3001,$K79,CALC!$H$1)))</f>
        <v/>
      </c>
      <c r="C79" s="12">
        <f>IF($K79="","",IF(INDEX(BASELINE!$A$2:$ZZ$3001,$K79,CALC!$I$1)="","",INDEX(BASELINE!$A$2:$ZZ$3001,$K79,CALC!$I$1)))</f>
        <v/>
      </c>
      <c r="D79" s="13">
        <f>IF($K79="","",IF(INDEX(BASELINE!$A$2:$ZZ$3001,$K79,CALC!$L$1)="","",INDEX(BASELINE!$A$2:$ZZ$3001,$K79,CALC!$L$1)))</f>
        <v/>
      </c>
      <c r="E79" s="13">
        <f>IF($K79="","",IF(INDEX(BASELINE!$A$2:$ZZ$3001,$K79,CALC!$K$1)="","",INDEX(BASELINE!$A$2:$ZZ$3001,$K79,CALC!$K$1)))</f>
        <v/>
      </c>
      <c r="F79" s="14">
        <f>IF($K79="","",IF(INDEX(BASELINE!$A$2:$ZZ$3001,$K79,CALC!$O$1)="","",INDEX(BASELINE!$A$2:$ZZ$3001,$K79,CALC!$O$1)))</f>
        <v/>
      </c>
      <c r="G79" s="13">
        <f>IF($K79="","",IF(INDEX(BASELINE!$A$2:$ZZ$3001,$K79,CALC!$J$1)="","",INDEX(BASELINE!$A$2:$ZZ$3001,$K79,CALC!$J$1)))</f>
        <v/>
      </c>
      <c r="H79" s="13">
        <f>IF($K79="","",IF(INDEX(BASELINE!$A$2:$ZZ$3001,$K79,CALC!$M$1)="","",INDEX(BASELINE!$A$2:$ZZ$3001,$K79,CALC!$M$1)))</f>
        <v/>
      </c>
      <c r="I79" s="13">
        <f>IF($K79="","",IF(INDEX(BASELINE!$A$2:$ZZ$3001,$K79,CALC!$N$1)="","",INDEX(BASELINE!$A$2:$ZZ$3001,$K79,CALC!$N$1)))</f>
        <v/>
      </c>
      <c r="J79" s="12">
        <f>IF($K79="","",IF(ISNUMBER(SEARCH("break",INDEX(BASELINE!$A$2:$ZZ$3001,$K79,CALC!$Q$1)&amp;"")),"SIM",""))</f>
        <v/>
      </c>
      <c r="K79" s="15">
        <f>IF(71&lt;=CALC!$D$1,MATCH(71,CALC!$B$2:$B$3001,0),"")</f>
        <v/>
      </c>
    </row>
    <row r="80" ht="17" customHeight="1">
      <c r="A80" s="12">
        <f>IF($K80="","",72)</f>
        <v/>
      </c>
      <c r="B80" s="13">
        <f>IF($K80="","",IF(INDEX(BASELINE!$A$2:$ZZ$3001,$K80,CALC!$H$1)="","",INDEX(BASELINE!$A$2:$ZZ$3001,$K80,CALC!$H$1)))</f>
        <v/>
      </c>
      <c r="C80" s="12">
        <f>IF($K80="","",IF(INDEX(BASELINE!$A$2:$ZZ$3001,$K80,CALC!$I$1)="","",INDEX(BASELINE!$A$2:$ZZ$3001,$K80,CALC!$I$1)))</f>
        <v/>
      </c>
      <c r="D80" s="13">
        <f>IF($K80="","",IF(INDEX(BASELINE!$A$2:$ZZ$3001,$K80,CALC!$L$1)="","",INDEX(BASELINE!$A$2:$ZZ$3001,$K80,CALC!$L$1)))</f>
        <v/>
      </c>
      <c r="E80" s="13">
        <f>IF($K80="","",IF(INDEX(BASELINE!$A$2:$ZZ$3001,$K80,CALC!$K$1)="","",INDEX(BASELINE!$A$2:$ZZ$3001,$K80,CALC!$K$1)))</f>
        <v/>
      </c>
      <c r="F80" s="14">
        <f>IF($K80="","",IF(INDEX(BASELINE!$A$2:$ZZ$3001,$K80,CALC!$O$1)="","",INDEX(BASELINE!$A$2:$ZZ$3001,$K80,CALC!$O$1)))</f>
        <v/>
      </c>
      <c r="G80" s="13">
        <f>IF($K80="","",IF(INDEX(BASELINE!$A$2:$ZZ$3001,$K80,CALC!$J$1)="","",INDEX(BASELINE!$A$2:$ZZ$3001,$K80,CALC!$J$1)))</f>
        <v/>
      </c>
      <c r="H80" s="13">
        <f>IF($K80="","",IF(INDEX(BASELINE!$A$2:$ZZ$3001,$K80,CALC!$M$1)="","",INDEX(BASELINE!$A$2:$ZZ$3001,$K80,CALC!$M$1)))</f>
        <v/>
      </c>
      <c r="I80" s="13">
        <f>IF($K80="","",IF(INDEX(BASELINE!$A$2:$ZZ$3001,$K80,CALC!$N$1)="","",INDEX(BASELINE!$A$2:$ZZ$3001,$K80,CALC!$N$1)))</f>
        <v/>
      </c>
      <c r="J80" s="12">
        <f>IF($K80="","",IF(ISNUMBER(SEARCH("break",INDEX(BASELINE!$A$2:$ZZ$3001,$K80,CALC!$Q$1)&amp;"")),"SIM",""))</f>
        <v/>
      </c>
      <c r="K80" s="15">
        <f>IF(72&lt;=CALC!$D$1,MATCH(72,CALC!$B$2:$B$3001,0),"")</f>
        <v/>
      </c>
    </row>
    <row r="81" ht="17" customHeight="1">
      <c r="A81" s="12">
        <f>IF($K81="","",73)</f>
        <v/>
      </c>
      <c r="B81" s="13">
        <f>IF($K81="","",IF(INDEX(BASELINE!$A$2:$ZZ$3001,$K81,CALC!$H$1)="","",INDEX(BASELINE!$A$2:$ZZ$3001,$K81,CALC!$H$1)))</f>
        <v/>
      </c>
      <c r="C81" s="12">
        <f>IF($K81="","",IF(INDEX(BASELINE!$A$2:$ZZ$3001,$K81,CALC!$I$1)="","",INDEX(BASELINE!$A$2:$ZZ$3001,$K81,CALC!$I$1)))</f>
        <v/>
      </c>
      <c r="D81" s="13">
        <f>IF($K81="","",IF(INDEX(BASELINE!$A$2:$ZZ$3001,$K81,CALC!$L$1)="","",INDEX(BASELINE!$A$2:$ZZ$3001,$K81,CALC!$L$1)))</f>
        <v/>
      </c>
      <c r="E81" s="13">
        <f>IF($K81="","",IF(INDEX(BASELINE!$A$2:$ZZ$3001,$K81,CALC!$K$1)="","",INDEX(BASELINE!$A$2:$ZZ$3001,$K81,CALC!$K$1)))</f>
        <v/>
      </c>
      <c r="F81" s="14">
        <f>IF($K81="","",IF(INDEX(BASELINE!$A$2:$ZZ$3001,$K81,CALC!$O$1)="","",INDEX(BASELINE!$A$2:$ZZ$3001,$K81,CALC!$O$1)))</f>
        <v/>
      </c>
      <c r="G81" s="13">
        <f>IF($K81="","",IF(INDEX(BASELINE!$A$2:$ZZ$3001,$K81,CALC!$J$1)="","",INDEX(BASELINE!$A$2:$ZZ$3001,$K81,CALC!$J$1)))</f>
        <v/>
      </c>
      <c r="H81" s="13">
        <f>IF($K81="","",IF(INDEX(BASELINE!$A$2:$ZZ$3001,$K81,CALC!$M$1)="","",INDEX(BASELINE!$A$2:$ZZ$3001,$K81,CALC!$M$1)))</f>
        <v/>
      </c>
      <c r="I81" s="13">
        <f>IF($K81="","",IF(INDEX(BASELINE!$A$2:$ZZ$3001,$K81,CALC!$N$1)="","",INDEX(BASELINE!$A$2:$ZZ$3001,$K81,CALC!$N$1)))</f>
        <v/>
      </c>
      <c r="J81" s="12">
        <f>IF($K81="","",IF(ISNUMBER(SEARCH("break",INDEX(BASELINE!$A$2:$ZZ$3001,$K81,CALC!$Q$1)&amp;"")),"SIM",""))</f>
        <v/>
      </c>
      <c r="K81" s="15">
        <f>IF(73&lt;=CALC!$D$1,MATCH(73,CALC!$B$2:$B$3001,0),"")</f>
        <v/>
      </c>
    </row>
    <row r="82" ht="17" customHeight="1">
      <c r="A82" s="12">
        <f>IF($K82="","",74)</f>
        <v/>
      </c>
      <c r="B82" s="13">
        <f>IF($K82="","",IF(INDEX(BASELINE!$A$2:$ZZ$3001,$K82,CALC!$H$1)="","",INDEX(BASELINE!$A$2:$ZZ$3001,$K82,CALC!$H$1)))</f>
        <v/>
      </c>
      <c r="C82" s="12">
        <f>IF($K82="","",IF(INDEX(BASELINE!$A$2:$ZZ$3001,$K82,CALC!$I$1)="","",INDEX(BASELINE!$A$2:$ZZ$3001,$K82,CALC!$I$1)))</f>
        <v/>
      </c>
      <c r="D82" s="13">
        <f>IF($K82="","",IF(INDEX(BASELINE!$A$2:$ZZ$3001,$K82,CALC!$L$1)="","",INDEX(BASELINE!$A$2:$ZZ$3001,$K82,CALC!$L$1)))</f>
        <v/>
      </c>
      <c r="E82" s="13">
        <f>IF($K82="","",IF(INDEX(BASELINE!$A$2:$ZZ$3001,$K82,CALC!$K$1)="","",INDEX(BASELINE!$A$2:$ZZ$3001,$K82,CALC!$K$1)))</f>
        <v/>
      </c>
      <c r="F82" s="14">
        <f>IF($K82="","",IF(INDEX(BASELINE!$A$2:$ZZ$3001,$K82,CALC!$O$1)="","",INDEX(BASELINE!$A$2:$ZZ$3001,$K82,CALC!$O$1)))</f>
        <v/>
      </c>
      <c r="G82" s="13">
        <f>IF($K82="","",IF(INDEX(BASELINE!$A$2:$ZZ$3001,$K82,CALC!$J$1)="","",INDEX(BASELINE!$A$2:$ZZ$3001,$K82,CALC!$J$1)))</f>
        <v/>
      </c>
      <c r="H82" s="13">
        <f>IF($K82="","",IF(INDEX(BASELINE!$A$2:$ZZ$3001,$K82,CALC!$M$1)="","",INDEX(BASELINE!$A$2:$ZZ$3001,$K82,CALC!$M$1)))</f>
        <v/>
      </c>
      <c r="I82" s="13">
        <f>IF($K82="","",IF(INDEX(BASELINE!$A$2:$ZZ$3001,$K82,CALC!$N$1)="","",INDEX(BASELINE!$A$2:$ZZ$3001,$K82,CALC!$N$1)))</f>
        <v/>
      </c>
      <c r="J82" s="12">
        <f>IF($K82="","",IF(ISNUMBER(SEARCH("break",INDEX(BASELINE!$A$2:$ZZ$3001,$K82,CALC!$Q$1)&amp;"")),"SIM",""))</f>
        <v/>
      </c>
      <c r="K82" s="15">
        <f>IF(74&lt;=CALC!$D$1,MATCH(74,CALC!$B$2:$B$3001,0),"")</f>
        <v/>
      </c>
    </row>
    <row r="83" ht="17" customHeight="1">
      <c r="A83" s="12">
        <f>IF($K83="","",75)</f>
        <v/>
      </c>
      <c r="B83" s="13">
        <f>IF($K83="","",IF(INDEX(BASELINE!$A$2:$ZZ$3001,$K83,CALC!$H$1)="","",INDEX(BASELINE!$A$2:$ZZ$3001,$K83,CALC!$H$1)))</f>
        <v/>
      </c>
      <c r="C83" s="12">
        <f>IF($K83="","",IF(INDEX(BASELINE!$A$2:$ZZ$3001,$K83,CALC!$I$1)="","",INDEX(BASELINE!$A$2:$ZZ$3001,$K83,CALC!$I$1)))</f>
        <v/>
      </c>
      <c r="D83" s="13">
        <f>IF($K83="","",IF(INDEX(BASELINE!$A$2:$ZZ$3001,$K83,CALC!$L$1)="","",INDEX(BASELINE!$A$2:$ZZ$3001,$K83,CALC!$L$1)))</f>
        <v/>
      </c>
      <c r="E83" s="13">
        <f>IF($K83="","",IF(INDEX(BASELINE!$A$2:$ZZ$3001,$K83,CALC!$K$1)="","",INDEX(BASELINE!$A$2:$ZZ$3001,$K83,CALC!$K$1)))</f>
        <v/>
      </c>
      <c r="F83" s="14">
        <f>IF($K83="","",IF(INDEX(BASELINE!$A$2:$ZZ$3001,$K83,CALC!$O$1)="","",INDEX(BASELINE!$A$2:$ZZ$3001,$K83,CALC!$O$1)))</f>
        <v/>
      </c>
      <c r="G83" s="13">
        <f>IF($K83="","",IF(INDEX(BASELINE!$A$2:$ZZ$3001,$K83,CALC!$J$1)="","",INDEX(BASELINE!$A$2:$ZZ$3001,$K83,CALC!$J$1)))</f>
        <v/>
      </c>
      <c r="H83" s="13">
        <f>IF($K83="","",IF(INDEX(BASELINE!$A$2:$ZZ$3001,$K83,CALC!$M$1)="","",INDEX(BASELINE!$A$2:$ZZ$3001,$K83,CALC!$M$1)))</f>
        <v/>
      </c>
      <c r="I83" s="13">
        <f>IF($K83="","",IF(INDEX(BASELINE!$A$2:$ZZ$3001,$K83,CALC!$N$1)="","",INDEX(BASELINE!$A$2:$ZZ$3001,$K83,CALC!$N$1)))</f>
        <v/>
      </c>
      <c r="J83" s="12">
        <f>IF($K83="","",IF(ISNUMBER(SEARCH("break",INDEX(BASELINE!$A$2:$ZZ$3001,$K83,CALC!$Q$1)&amp;"")),"SIM",""))</f>
        <v/>
      </c>
      <c r="K83" s="15">
        <f>IF(75&lt;=CALC!$D$1,MATCH(75,CALC!$B$2:$B$3001,0),"")</f>
        <v/>
      </c>
    </row>
    <row r="84" ht="17" customHeight="1">
      <c r="A84" s="12">
        <f>IF($K84="","",76)</f>
        <v/>
      </c>
      <c r="B84" s="13">
        <f>IF($K84="","",IF(INDEX(BASELINE!$A$2:$ZZ$3001,$K84,CALC!$H$1)="","",INDEX(BASELINE!$A$2:$ZZ$3001,$K84,CALC!$H$1)))</f>
        <v/>
      </c>
      <c r="C84" s="12">
        <f>IF($K84="","",IF(INDEX(BASELINE!$A$2:$ZZ$3001,$K84,CALC!$I$1)="","",INDEX(BASELINE!$A$2:$ZZ$3001,$K84,CALC!$I$1)))</f>
        <v/>
      </c>
      <c r="D84" s="13">
        <f>IF($K84="","",IF(INDEX(BASELINE!$A$2:$ZZ$3001,$K84,CALC!$L$1)="","",INDEX(BASELINE!$A$2:$ZZ$3001,$K84,CALC!$L$1)))</f>
        <v/>
      </c>
      <c r="E84" s="13">
        <f>IF($K84="","",IF(INDEX(BASELINE!$A$2:$ZZ$3001,$K84,CALC!$K$1)="","",INDEX(BASELINE!$A$2:$ZZ$3001,$K84,CALC!$K$1)))</f>
        <v/>
      </c>
      <c r="F84" s="14">
        <f>IF($K84="","",IF(INDEX(BASELINE!$A$2:$ZZ$3001,$K84,CALC!$O$1)="","",INDEX(BASELINE!$A$2:$ZZ$3001,$K84,CALC!$O$1)))</f>
        <v/>
      </c>
      <c r="G84" s="13">
        <f>IF($K84="","",IF(INDEX(BASELINE!$A$2:$ZZ$3001,$K84,CALC!$J$1)="","",INDEX(BASELINE!$A$2:$ZZ$3001,$K84,CALC!$J$1)))</f>
        <v/>
      </c>
      <c r="H84" s="13">
        <f>IF($K84="","",IF(INDEX(BASELINE!$A$2:$ZZ$3001,$K84,CALC!$M$1)="","",INDEX(BASELINE!$A$2:$ZZ$3001,$K84,CALC!$M$1)))</f>
        <v/>
      </c>
      <c r="I84" s="13">
        <f>IF($K84="","",IF(INDEX(BASELINE!$A$2:$ZZ$3001,$K84,CALC!$N$1)="","",INDEX(BASELINE!$A$2:$ZZ$3001,$K84,CALC!$N$1)))</f>
        <v/>
      </c>
      <c r="J84" s="12">
        <f>IF($K84="","",IF(ISNUMBER(SEARCH("break",INDEX(BASELINE!$A$2:$ZZ$3001,$K84,CALC!$Q$1)&amp;"")),"SIM",""))</f>
        <v/>
      </c>
      <c r="K84" s="15">
        <f>IF(76&lt;=CALC!$D$1,MATCH(76,CALC!$B$2:$B$3001,0),"")</f>
        <v/>
      </c>
    </row>
    <row r="85" ht="17" customHeight="1">
      <c r="A85" s="12">
        <f>IF($K85="","",77)</f>
        <v/>
      </c>
      <c r="B85" s="13">
        <f>IF($K85="","",IF(INDEX(BASELINE!$A$2:$ZZ$3001,$K85,CALC!$H$1)="","",INDEX(BASELINE!$A$2:$ZZ$3001,$K85,CALC!$H$1)))</f>
        <v/>
      </c>
      <c r="C85" s="12">
        <f>IF($K85="","",IF(INDEX(BASELINE!$A$2:$ZZ$3001,$K85,CALC!$I$1)="","",INDEX(BASELINE!$A$2:$ZZ$3001,$K85,CALC!$I$1)))</f>
        <v/>
      </c>
      <c r="D85" s="13">
        <f>IF($K85="","",IF(INDEX(BASELINE!$A$2:$ZZ$3001,$K85,CALC!$L$1)="","",INDEX(BASELINE!$A$2:$ZZ$3001,$K85,CALC!$L$1)))</f>
        <v/>
      </c>
      <c r="E85" s="13">
        <f>IF($K85="","",IF(INDEX(BASELINE!$A$2:$ZZ$3001,$K85,CALC!$K$1)="","",INDEX(BASELINE!$A$2:$ZZ$3001,$K85,CALC!$K$1)))</f>
        <v/>
      </c>
      <c r="F85" s="14">
        <f>IF($K85="","",IF(INDEX(BASELINE!$A$2:$ZZ$3001,$K85,CALC!$O$1)="","",INDEX(BASELINE!$A$2:$ZZ$3001,$K85,CALC!$O$1)))</f>
        <v/>
      </c>
      <c r="G85" s="13">
        <f>IF($K85="","",IF(INDEX(BASELINE!$A$2:$ZZ$3001,$K85,CALC!$J$1)="","",INDEX(BASELINE!$A$2:$ZZ$3001,$K85,CALC!$J$1)))</f>
        <v/>
      </c>
      <c r="H85" s="13">
        <f>IF($K85="","",IF(INDEX(BASELINE!$A$2:$ZZ$3001,$K85,CALC!$M$1)="","",INDEX(BASELINE!$A$2:$ZZ$3001,$K85,CALC!$M$1)))</f>
        <v/>
      </c>
      <c r="I85" s="13">
        <f>IF($K85="","",IF(INDEX(BASELINE!$A$2:$ZZ$3001,$K85,CALC!$N$1)="","",INDEX(BASELINE!$A$2:$ZZ$3001,$K85,CALC!$N$1)))</f>
        <v/>
      </c>
      <c r="J85" s="12">
        <f>IF($K85="","",IF(ISNUMBER(SEARCH("break",INDEX(BASELINE!$A$2:$ZZ$3001,$K85,CALC!$Q$1)&amp;"")),"SIM",""))</f>
        <v/>
      </c>
      <c r="K85" s="15">
        <f>IF(77&lt;=CALC!$D$1,MATCH(77,CALC!$B$2:$B$3001,0),"")</f>
        <v/>
      </c>
    </row>
    <row r="86" ht="17" customHeight="1">
      <c r="A86" s="12">
        <f>IF($K86="","",78)</f>
        <v/>
      </c>
      <c r="B86" s="13">
        <f>IF($K86="","",IF(INDEX(BASELINE!$A$2:$ZZ$3001,$K86,CALC!$H$1)="","",INDEX(BASELINE!$A$2:$ZZ$3001,$K86,CALC!$H$1)))</f>
        <v/>
      </c>
      <c r="C86" s="12">
        <f>IF($K86="","",IF(INDEX(BASELINE!$A$2:$ZZ$3001,$K86,CALC!$I$1)="","",INDEX(BASELINE!$A$2:$ZZ$3001,$K86,CALC!$I$1)))</f>
        <v/>
      </c>
      <c r="D86" s="13">
        <f>IF($K86="","",IF(INDEX(BASELINE!$A$2:$ZZ$3001,$K86,CALC!$L$1)="","",INDEX(BASELINE!$A$2:$ZZ$3001,$K86,CALC!$L$1)))</f>
        <v/>
      </c>
      <c r="E86" s="13">
        <f>IF($K86="","",IF(INDEX(BASELINE!$A$2:$ZZ$3001,$K86,CALC!$K$1)="","",INDEX(BASELINE!$A$2:$ZZ$3001,$K86,CALC!$K$1)))</f>
        <v/>
      </c>
      <c r="F86" s="14">
        <f>IF($K86="","",IF(INDEX(BASELINE!$A$2:$ZZ$3001,$K86,CALC!$O$1)="","",INDEX(BASELINE!$A$2:$ZZ$3001,$K86,CALC!$O$1)))</f>
        <v/>
      </c>
      <c r="G86" s="13">
        <f>IF($K86="","",IF(INDEX(BASELINE!$A$2:$ZZ$3001,$K86,CALC!$J$1)="","",INDEX(BASELINE!$A$2:$ZZ$3001,$K86,CALC!$J$1)))</f>
        <v/>
      </c>
      <c r="H86" s="13">
        <f>IF($K86="","",IF(INDEX(BASELINE!$A$2:$ZZ$3001,$K86,CALC!$M$1)="","",INDEX(BASELINE!$A$2:$ZZ$3001,$K86,CALC!$M$1)))</f>
        <v/>
      </c>
      <c r="I86" s="13">
        <f>IF($K86="","",IF(INDEX(BASELINE!$A$2:$ZZ$3001,$K86,CALC!$N$1)="","",INDEX(BASELINE!$A$2:$ZZ$3001,$K86,CALC!$N$1)))</f>
        <v/>
      </c>
      <c r="J86" s="12">
        <f>IF($K86="","",IF(ISNUMBER(SEARCH("break",INDEX(BASELINE!$A$2:$ZZ$3001,$K86,CALC!$Q$1)&amp;"")),"SIM",""))</f>
        <v/>
      </c>
      <c r="K86" s="15">
        <f>IF(78&lt;=CALC!$D$1,MATCH(78,CALC!$B$2:$B$3001,0),"")</f>
        <v/>
      </c>
    </row>
    <row r="87" ht="17" customHeight="1">
      <c r="A87" s="12">
        <f>IF($K87="","",79)</f>
        <v/>
      </c>
      <c r="B87" s="13">
        <f>IF($K87="","",IF(INDEX(BASELINE!$A$2:$ZZ$3001,$K87,CALC!$H$1)="","",INDEX(BASELINE!$A$2:$ZZ$3001,$K87,CALC!$H$1)))</f>
        <v/>
      </c>
      <c r="C87" s="12">
        <f>IF($K87="","",IF(INDEX(BASELINE!$A$2:$ZZ$3001,$K87,CALC!$I$1)="","",INDEX(BASELINE!$A$2:$ZZ$3001,$K87,CALC!$I$1)))</f>
        <v/>
      </c>
      <c r="D87" s="13">
        <f>IF($K87="","",IF(INDEX(BASELINE!$A$2:$ZZ$3001,$K87,CALC!$L$1)="","",INDEX(BASELINE!$A$2:$ZZ$3001,$K87,CALC!$L$1)))</f>
        <v/>
      </c>
      <c r="E87" s="13">
        <f>IF($K87="","",IF(INDEX(BASELINE!$A$2:$ZZ$3001,$K87,CALC!$K$1)="","",INDEX(BASELINE!$A$2:$ZZ$3001,$K87,CALC!$K$1)))</f>
        <v/>
      </c>
      <c r="F87" s="14">
        <f>IF($K87="","",IF(INDEX(BASELINE!$A$2:$ZZ$3001,$K87,CALC!$O$1)="","",INDEX(BASELINE!$A$2:$ZZ$3001,$K87,CALC!$O$1)))</f>
        <v/>
      </c>
      <c r="G87" s="13">
        <f>IF($K87="","",IF(INDEX(BASELINE!$A$2:$ZZ$3001,$K87,CALC!$J$1)="","",INDEX(BASELINE!$A$2:$ZZ$3001,$K87,CALC!$J$1)))</f>
        <v/>
      </c>
      <c r="H87" s="13">
        <f>IF($K87="","",IF(INDEX(BASELINE!$A$2:$ZZ$3001,$K87,CALC!$M$1)="","",INDEX(BASELINE!$A$2:$ZZ$3001,$K87,CALC!$M$1)))</f>
        <v/>
      </c>
      <c r="I87" s="13">
        <f>IF($K87="","",IF(INDEX(BASELINE!$A$2:$ZZ$3001,$K87,CALC!$N$1)="","",INDEX(BASELINE!$A$2:$ZZ$3001,$K87,CALC!$N$1)))</f>
        <v/>
      </c>
      <c r="J87" s="12">
        <f>IF($K87="","",IF(ISNUMBER(SEARCH("break",INDEX(BASELINE!$A$2:$ZZ$3001,$K87,CALC!$Q$1)&amp;"")),"SIM",""))</f>
        <v/>
      </c>
      <c r="K87" s="15">
        <f>IF(79&lt;=CALC!$D$1,MATCH(79,CALC!$B$2:$B$3001,0),"")</f>
        <v/>
      </c>
    </row>
    <row r="88" ht="17" customHeight="1">
      <c r="A88" s="12">
        <f>IF($K88="","",80)</f>
        <v/>
      </c>
      <c r="B88" s="13">
        <f>IF($K88="","",IF(INDEX(BASELINE!$A$2:$ZZ$3001,$K88,CALC!$H$1)="","",INDEX(BASELINE!$A$2:$ZZ$3001,$K88,CALC!$H$1)))</f>
        <v/>
      </c>
      <c r="C88" s="12">
        <f>IF($K88="","",IF(INDEX(BASELINE!$A$2:$ZZ$3001,$K88,CALC!$I$1)="","",INDEX(BASELINE!$A$2:$ZZ$3001,$K88,CALC!$I$1)))</f>
        <v/>
      </c>
      <c r="D88" s="13">
        <f>IF($K88="","",IF(INDEX(BASELINE!$A$2:$ZZ$3001,$K88,CALC!$L$1)="","",INDEX(BASELINE!$A$2:$ZZ$3001,$K88,CALC!$L$1)))</f>
        <v/>
      </c>
      <c r="E88" s="13">
        <f>IF($K88="","",IF(INDEX(BASELINE!$A$2:$ZZ$3001,$K88,CALC!$K$1)="","",INDEX(BASELINE!$A$2:$ZZ$3001,$K88,CALC!$K$1)))</f>
        <v/>
      </c>
      <c r="F88" s="14">
        <f>IF($K88="","",IF(INDEX(BASELINE!$A$2:$ZZ$3001,$K88,CALC!$O$1)="","",INDEX(BASELINE!$A$2:$ZZ$3001,$K88,CALC!$O$1)))</f>
        <v/>
      </c>
      <c r="G88" s="13">
        <f>IF($K88="","",IF(INDEX(BASELINE!$A$2:$ZZ$3001,$K88,CALC!$J$1)="","",INDEX(BASELINE!$A$2:$ZZ$3001,$K88,CALC!$J$1)))</f>
        <v/>
      </c>
      <c r="H88" s="13">
        <f>IF($K88="","",IF(INDEX(BASELINE!$A$2:$ZZ$3001,$K88,CALC!$M$1)="","",INDEX(BASELINE!$A$2:$ZZ$3001,$K88,CALC!$M$1)))</f>
        <v/>
      </c>
      <c r="I88" s="13">
        <f>IF($K88="","",IF(INDEX(BASELINE!$A$2:$ZZ$3001,$K88,CALC!$N$1)="","",INDEX(BASELINE!$A$2:$ZZ$3001,$K88,CALC!$N$1)))</f>
        <v/>
      </c>
      <c r="J88" s="12">
        <f>IF($K88="","",IF(ISNUMBER(SEARCH("break",INDEX(BASELINE!$A$2:$ZZ$3001,$K88,CALC!$Q$1)&amp;"")),"SIM",""))</f>
        <v/>
      </c>
      <c r="K88" s="15">
        <f>IF(80&lt;=CALC!$D$1,MATCH(80,CALC!$B$2:$B$3001,0),"")</f>
        <v/>
      </c>
    </row>
    <row r="89" ht="17" customHeight="1">
      <c r="A89" s="12">
        <f>IF($K89="","",81)</f>
        <v/>
      </c>
      <c r="B89" s="13">
        <f>IF($K89="","",IF(INDEX(BASELINE!$A$2:$ZZ$3001,$K89,CALC!$H$1)="","",INDEX(BASELINE!$A$2:$ZZ$3001,$K89,CALC!$H$1)))</f>
        <v/>
      </c>
      <c r="C89" s="12">
        <f>IF($K89="","",IF(INDEX(BASELINE!$A$2:$ZZ$3001,$K89,CALC!$I$1)="","",INDEX(BASELINE!$A$2:$ZZ$3001,$K89,CALC!$I$1)))</f>
        <v/>
      </c>
      <c r="D89" s="13">
        <f>IF($K89="","",IF(INDEX(BASELINE!$A$2:$ZZ$3001,$K89,CALC!$L$1)="","",INDEX(BASELINE!$A$2:$ZZ$3001,$K89,CALC!$L$1)))</f>
        <v/>
      </c>
      <c r="E89" s="13">
        <f>IF($K89="","",IF(INDEX(BASELINE!$A$2:$ZZ$3001,$K89,CALC!$K$1)="","",INDEX(BASELINE!$A$2:$ZZ$3001,$K89,CALC!$K$1)))</f>
        <v/>
      </c>
      <c r="F89" s="14">
        <f>IF($K89="","",IF(INDEX(BASELINE!$A$2:$ZZ$3001,$K89,CALC!$O$1)="","",INDEX(BASELINE!$A$2:$ZZ$3001,$K89,CALC!$O$1)))</f>
        <v/>
      </c>
      <c r="G89" s="13">
        <f>IF($K89="","",IF(INDEX(BASELINE!$A$2:$ZZ$3001,$K89,CALC!$J$1)="","",INDEX(BASELINE!$A$2:$ZZ$3001,$K89,CALC!$J$1)))</f>
        <v/>
      </c>
      <c r="H89" s="13">
        <f>IF($K89="","",IF(INDEX(BASELINE!$A$2:$ZZ$3001,$K89,CALC!$M$1)="","",INDEX(BASELINE!$A$2:$ZZ$3001,$K89,CALC!$M$1)))</f>
        <v/>
      </c>
      <c r="I89" s="13">
        <f>IF($K89="","",IF(INDEX(BASELINE!$A$2:$ZZ$3001,$K89,CALC!$N$1)="","",INDEX(BASELINE!$A$2:$ZZ$3001,$K89,CALC!$N$1)))</f>
        <v/>
      </c>
      <c r="J89" s="12">
        <f>IF($K89="","",IF(ISNUMBER(SEARCH("break",INDEX(BASELINE!$A$2:$ZZ$3001,$K89,CALC!$Q$1)&amp;"")),"SIM",""))</f>
        <v/>
      </c>
      <c r="K89" s="15">
        <f>IF(81&lt;=CALC!$D$1,MATCH(81,CALC!$B$2:$B$3001,0),"")</f>
        <v/>
      </c>
    </row>
    <row r="90" ht="17" customHeight="1">
      <c r="A90" s="12">
        <f>IF($K90="","",82)</f>
        <v/>
      </c>
      <c r="B90" s="13">
        <f>IF($K90="","",IF(INDEX(BASELINE!$A$2:$ZZ$3001,$K90,CALC!$H$1)="","",INDEX(BASELINE!$A$2:$ZZ$3001,$K90,CALC!$H$1)))</f>
        <v/>
      </c>
      <c r="C90" s="12">
        <f>IF($K90="","",IF(INDEX(BASELINE!$A$2:$ZZ$3001,$K90,CALC!$I$1)="","",INDEX(BASELINE!$A$2:$ZZ$3001,$K90,CALC!$I$1)))</f>
        <v/>
      </c>
      <c r="D90" s="13">
        <f>IF($K90="","",IF(INDEX(BASELINE!$A$2:$ZZ$3001,$K90,CALC!$L$1)="","",INDEX(BASELINE!$A$2:$ZZ$3001,$K90,CALC!$L$1)))</f>
        <v/>
      </c>
      <c r="E90" s="13">
        <f>IF($K90="","",IF(INDEX(BASELINE!$A$2:$ZZ$3001,$K90,CALC!$K$1)="","",INDEX(BASELINE!$A$2:$ZZ$3001,$K90,CALC!$K$1)))</f>
        <v/>
      </c>
      <c r="F90" s="14">
        <f>IF($K90="","",IF(INDEX(BASELINE!$A$2:$ZZ$3001,$K90,CALC!$O$1)="","",INDEX(BASELINE!$A$2:$ZZ$3001,$K90,CALC!$O$1)))</f>
        <v/>
      </c>
      <c r="G90" s="13">
        <f>IF($K90="","",IF(INDEX(BASELINE!$A$2:$ZZ$3001,$K90,CALC!$J$1)="","",INDEX(BASELINE!$A$2:$ZZ$3001,$K90,CALC!$J$1)))</f>
        <v/>
      </c>
      <c r="H90" s="13">
        <f>IF($K90="","",IF(INDEX(BASELINE!$A$2:$ZZ$3001,$K90,CALC!$M$1)="","",INDEX(BASELINE!$A$2:$ZZ$3001,$K90,CALC!$M$1)))</f>
        <v/>
      </c>
      <c r="I90" s="13">
        <f>IF($K90="","",IF(INDEX(BASELINE!$A$2:$ZZ$3001,$K90,CALC!$N$1)="","",INDEX(BASELINE!$A$2:$ZZ$3001,$K90,CALC!$N$1)))</f>
        <v/>
      </c>
      <c r="J90" s="12">
        <f>IF($K90="","",IF(ISNUMBER(SEARCH("break",INDEX(BASELINE!$A$2:$ZZ$3001,$K90,CALC!$Q$1)&amp;"")),"SIM",""))</f>
        <v/>
      </c>
      <c r="K90" s="15">
        <f>IF(82&lt;=CALC!$D$1,MATCH(82,CALC!$B$2:$B$3001,0),"")</f>
        <v/>
      </c>
    </row>
    <row r="91" ht="17" customHeight="1">
      <c r="A91" s="12">
        <f>IF($K91="","",83)</f>
        <v/>
      </c>
      <c r="B91" s="13">
        <f>IF($K91="","",IF(INDEX(BASELINE!$A$2:$ZZ$3001,$K91,CALC!$H$1)="","",INDEX(BASELINE!$A$2:$ZZ$3001,$K91,CALC!$H$1)))</f>
        <v/>
      </c>
      <c r="C91" s="12">
        <f>IF($K91="","",IF(INDEX(BASELINE!$A$2:$ZZ$3001,$K91,CALC!$I$1)="","",INDEX(BASELINE!$A$2:$ZZ$3001,$K91,CALC!$I$1)))</f>
        <v/>
      </c>
      <c r="D91" s="13">
        <f>IF($K91="","",IF(INDEX(BASELINE!$A$2:$ZZ$3001,$K91,CALC!$L$1)="","",INDEX(BASELINE!$A$2:$ZZ$3001,$K91,CALC!$L$1)))</f>
        <v/>
      </c>
      <c r="E91" s="13">
        <f>IF($K91="","",IF(INDEX(BASELINE!$A$2:$ZZ$3001,$K91,CALC!$K$1)="","",INDEX(BASELINE!$A$2:$ZZ$3001,$K91,CALC!$K$1)))</f>
        <v/>
      </c>
      <c r="F91" s="14">
        <f>IF($K91="","",IF(INDEX(BASELINE!$A$2:$ZZ$3001,$K91,CALC!$O$1)="","",INDEX(BASELINE!$A$2:$ZZ$3001,$K91,CALC!$O$1)))</f>
        <v/>
      </c>
      <c r="G91" s="13">
        <f>IF($K91="","",IF(INDEX(BASELINE!$A$2:$ZZ$3001,$K91,CALC!$J$1)="","",INDEX(BASELINE!$A$2:$ZZ$3001,$K91,CALC!$J$1)))</f>
        <v/>
      </c>
      <c r="H91" s="13">
        <f>IF($K91="","",IF(INDEX(BASELINE!$A$2:$ZZ$3001,$K91,CALC!$M$1)="","",INDEX(BASELINE!$A$2:$ZZ$3001,$K91,CALC!$M$1)))</f>
        <v/>
      </c>
      <c r="I91" s="13">
        <f>IF($K91="","",IF(INDEX(BASELINE!$A$2:$ZZ$3001,$K91,CALC!$N$1)="","",INDEX(BASELINE!$A$2:$ZZ$3001,$K91,CALC!$N$1)))</f>
        <v/>
      </c>
      <c r="J91" s="12">
        <f>IF($K91="","",IF(ISNUMBER(SEARCH("break",INDEX(BASELINE!$A$2:$ZZ$3001,$K91,CALC!$Q$1)&amp;"")),"SIM",""))</f>
        <v/>
      </c>
      <c r="K91" s="15">
        <f>IF(83&lt;=CALC!$D$1,MATCH(83,CALC!$B$2:$B$3001,0),"")</f>
        <v/>
      </c>
    </row>
    <row r="92" ht="17" customHeight="1">
      <c r="A92" s="12">
        <f>IF($K92="","",84)</f>
        <v/>
      </c>
      <c r="B92" s="13">
        <f>IF($K92="","",IF(INDEX(BASELINE!$A$2:$ZZ$3001,$K92,CALC!$H$1)="","",INDEX(BASELINE!$A$2:$ZZ$3001,$K92,CALC!$H$1)))</f>
        <v/>
      </c>
      <c r="C92" s="12">
        <f>IF($K92="","",IF(INDEX(BASELINE!$A$2:$ZZ$3001,$K92,CALC!$I$1)="","",INDEX(BASELINE!$A$2:$ZZ$3001,$K92,CALC!$I$1)))</f>
        <v/>
      </c>
      <c r="D92" s="13">
        <f>IF($K92="","",IF(INDEX(BASELINE!$A$2:$ZZ$3001,$K92,CALC!$L$1)="","",INDEX(BASELINE!$A$2:$ZZ$3001,$K92,CALC!$L$1)))</f>
        <v/>
      </c>
      <c r="E92" s="13">
        <f>IF($K92="","",IF(INDEX(BASELINE!$A$2:$ZZ$3001,$K92,CALC!$K$1)="","",INDEX(BASELINE!$A$2:$ZZ$3001,$K92,CALC!$K$1)))</f>
        <v/>
      </c>
      <c r="F92" s="14">
        <f>IF($K92="","",IF(INDEX(BASELINE!$A$2:$ZZ$3001,$K92,CALC!$O$1)="","",INDEX(BASELINE!$A$2:$ZZ$3001,$K92,CALC!$O$1)))</f>
        <v/>
      </c>
      <c r="G92" s="13">
        <f>IF($K92="","",IF(INDEX(BASELINE!$A$2:$ZZ$3001,$K92,CALC!$J$1)="","",INDEX(BASELINE!$A$2:$ZZ$3001,$K92,CALC!$J$1)))</f>
        <v/>
      </c>
      <c r="H92" s="13">
        <f>IF($K92="","",IF(INDEX(BASELINE!$A$2:$ZZ$3001,$K92,CALC!$M$1)="","",INDEX(BASELINE!$A$2:$ZZ$3001,$K92,CALC!$M$1)))</f>
        <v/>
      </c>
      <c r="I92" s="13">
        <f>IF($K92="","",IF(INDEX(BASELINE!$A$2:$ZZ$3001,$K92,CALC!$N$1)="","",INDEX(BASELINE!$A$2:$ZZ$3001,$K92,CALC!$N$1)))</f>
        <v/>
      </c>
      <c r="J92" s="12">
        <f>IF($K92="","",IF(ISNUMBER(SEARCH("break",INDEX(BASELINE!$A$2:$ZZ$3001,$K92,CALC!$Q$1)&amp;"")),"SIM",""))</f>
        <v/>
      </c>
      <c r="K92" s="15">
        <f>IF(84&lt;=CALC!$D$1,MATCH(84,CALC!$B$2:$B$3001,0),"")</f>
        <v/>
      </c>
    </row>
    <row r="93" ht="17" customHeight="1">
      <c r="A93" s="12">
        <f>IF($K93="","",85)</f>
        <v/>
      </c>
      <c r="B93" s="13">
        <f>IF($K93="","",IF(INDEX(BASELINE!$A$2:$ZZ$3001,$K93,CALC!$H$1)="","",INDEX(BASELINE!$A$2:$ZZ$3001,$K93,CALC!$H$1)))</f>
        <v/>
      </c>
      <c r="C93" s="12">
        <f>IF($K93="","",IF(INDEX(BASELINE!$A$2:$ZZ$3001,$K93,CALC!$I$1)="","",INDEX(BASELINE!$A$2:$ZZ$3001,$K93,CALC!$I$1)))</f>
        <v/>
      </c>
      <c r="D93" s="13">
        <f>IF($K93="","",IF(INDEX(BASELINE!$A$2:$ZZ$3001,$K93,CALC!$L$1)="","",INDEX(BASELINE!$A$2:$ZZ$3001,$K93,CALC!$L$1)))</f>
        <v/>
      </c>
      <c r="E93" s="13">
        <f>IF($K93="","",IF(INDEX(BASELINE!$A$2:$ZZ$3001,$K93,CALC!$K$1)="","",INDEX(BASELINE!$A$2:$ZZ$3001,$K93,CALC!$K$1)))</f>
        <v/>
      </c>
      <c r="F93" s="14">
        <f>IF($K93="","",IF(INDEX(BASELINE!$A$2:$ZZ$3001,$K93,CALC!$O$1)="","",INDEX(BASELINE!$A$2:$ZZ$3001,$K93,CALC!$O$1)))</f>
        <v/>
      </c>
      <c r="G93" s="13">
        <f>IF($K93="","",IF(INDEX(BASELINE!$A$2:$ZZ$3001,$K93,CALC!$J$1)="","",INDEX(BASELINE!$A$2:$ZZ$3001,$K93,CALC!$J$1)))</f>
        <v/>
      </c>
      <c r="H93" s="13">
        <f>IF($K93="","",IF(INDEX(BASELINE!$A$2:$ZZ$3001,$K93,CALC!$M$1)="","",INDEX(BASELINE!$A$2:$ZZ$3001,$K93,CALC!$M$1)))</f>
        <v/>
      </c>
      <c r="I93" s="13">
        <f>IF($K93="","",IF(INDEX(BASELINE!$A$2:$ZZ$3001,$K93,CALC!$N$1)="","",INDEX(BASELINE!$A$2:$ZZ$3001,$K93,CALC!$N$1)))</f>
        <v/>
      </c>
      <c r="J93" s="12">
        <f>IF($K93="","",IF(ISNUMBER(SEARCH("break",INDEX(BASELINE!$A$2:$ZZ$3001,$K93,CALC!$Q$1)&amp;"")),"SIM",""))</f>
        <v/>
      </c>
      <c r="K93" s="15">
        <f>IF(85&lt;=CALC!$D$1,MATCH(85,CALC!$B$2:$B$3001,0),"")</f>
        <v/>
      </c>
    </row>
    <row r="94" ht="17" customHeight="1">
      <c r="A94" s="12">
        <f>IF($K94="","",86)</f>
        <v/>
      </c>
      <c r="B94" s="13">
        <f>IF($K94="","",IF(INDEX(BASELINE!$A$2:$ZZ$3001,$K94,CALC!$H$1)="","",INDEX(BASELINE!$A$2:$ZZ$3001,$K94,CALC!$H$1)))</f>
        <v/>
      </c>
      <c r="C94" s="12">
        <f>IF($K94="","",IF(INDEX(BASELINE!$A$2:$ZZ$3001,$K94,CALC!$I$1)="","",INDEX(BASELINE!$A$2:$ZZ$3001,$K94,CALC!$I$1)))</f>
        <v/>
      </c>
      <c r="D94" s="13">
        <f>IF($K94="","",IF(INDEX(BASELINE!$A$2:$ZZ$3001,$K94,CALC!$L$1)="","",INDEX(BASELINE!$A$2:$ZZ$3001,$K94,CALC!$L$1)))</f>
        <v/>
      </c>
      <c r="E94" s="13">
        <f>IF($K94="","",IF(INDEX(BASELINE!$A$2:$ZZ$3001,$K94,CALC!$K$1)="","",INDEX(BASELINE!$A$2:$ZZ$3001,$K94,CALC!$K$1)))</f>
        <v/>
      </c>
      <c r="F94" s="14">
        <f>IF($K94="","",IF(INDEX(BASELINE!$A$2:$ZZ$3001,$K94,CALC!$O$1)="","",INDEX(BASELINE!$A$2:$ZZ$3001,$K94,CALC!$O$1)))</f>
        <v/>
      </c>
      <c r="G94" s="13">
        <f>IF($K94="","",IF(INDEX(BASELINE!$A$2:$ZZ$3001,$K94,CALC!$J$1)="","",INDEX(BASELINE!$A$2:$ZZ$3001,$K94,CALC!$J$1)))</f>
        <v/>
      </c>
      <c r="H94" s="13">
        <f>IF($K94="","",IF(INDEX(BASELINE!$A$2:$ZZ$3001,$K94,CALC!$M$1)="","",INDEX(BASELINE!$A$2:$ZZ$3001,$K94,CALC!$M$1)))</f>
        <v/>
      </c>
      <c r="I94" s="13">
        <f>IF($K94="","",IF(INDEX(BASELINE!$A$2:$ZZ$3001,$K94,CALC!$N$1)="","",INDEX(BASELINE!$A$2:$ZZ$3001,$K94,CALC!$N$1)))</f>
        <v/>
      </c>
      <c r="J94" s="12">
        <f>IF($K94="","",IF(ISNUMBER(SEARCH("break",INDEX(BASELINE!$A$2:$ZZ$3001,$K94,CALC!$Q$1)&amp;"")),"SIM",""))</f>
        <v/>
      </c>
      <c r="K94" s="15">
        <f>IF(86&lt;=CALC!$D$1,MATCH(86,CALC!$B$2:$B$3001,0),"")</f>
        <v/>
      </c>
    </row>
    <row r="95" ht="17" customHeight="1">
      <c r="A95" s="12">
        <f>IF($K95="","",87)</f>
        <v/>
      </c>
      <c r="B95" s="13">
        <f>IF($K95="","",IF(INDEX(BASELINE!$A$2:$ZZ$3001,$K95,CALC!$H$1)="","",INDEX(BASELINE!$A$2:$ZZ$3001,$K95,CALC!$H$1)))</f>
        <v/>
      </c>
      <c r="C95" s="12">
        <f>IF($K95="","",IF(INDEX(BASELINE!$A$2:$ZZ$3001,$K95,CALC!$I$1)="","",INDEX(BASELINE!$A$2:$ZZ$3001,$K95,CALC!$I$1)))</f>
        <v/>
      </c>
      <c r="D95" s="13">
        <f>IF($K95="","",IF(INDEX(BASELINE!$A$2:$ZZ$3001,$K95,CALC!$L$1)="","",INDEX(BASELINE!$A$2:$ZZ$3001,$K95,CALC!$L$1)))</f>
        <v/>
      </c>
      <c r="E95" s="13">
        <f>IF($K95="","",IF(INDEX(BASELINE!$A$2:$ZZ$3001,$K95,CALC!$K$1)="","",INDEX(BASELINE!$A$2:$ZZ$3001,$K95,CALC!$K$1)))</f>
        <v/>
      </c>
      <c r="F95" s="14">
        <f>IF($K95="","",IF(INDEX(BASELINE!$A$2:$ZZ$3001,$K95,CALC!$O$1)="","",INDEX(BASELINE!$A$2:$ZZ$3001,$K95,CALC!$O$1)))</f>
        <v/>
      </c>
      <c r="G95" s="13">
        <f>IF($K95="","",IF(INDEX(BASELINE!$A$2:$ZZ$3001,$K95,CALC!$J$1)="","",INDEX(BASELINE!$A$2:$ZZ$3001,$K95,CALC!$J$1)))</f>
        <v/>
      </c>
      <c r="H95" s="13">
        <f>IF($K95="","",IF(INDEX(BASELINE!$A$2:$ZZ$3001,$K95,CALC!$M$1)="","",INDEX(BASELINE!$A$2:$ZZ$3001,$K95,CALC!$M$1)))</f>
        <v/>
      </c>
      <c r="I95" s="13">
        <f>IF($K95="","",IF(INDEX(BASELINE!$A$2:$ZZ$3001,$K95,CALC!$N$1)="","",INDEX(BASELINE!$A$2:$ZZ$3001,$K95,CALC!$N$1)))</f>
        <v/>
      </c>
      <c r="J95" s="12">
        <f>IF($K95="","",IF(ISNUMBER(SEARCH("break",INDEX(BASELINE!$A$2:$ZZ$3001,$K95,CALC!$Q$1)&amp;"")),"SIM",""))</f>
        <v/>
      </c>
      <c r="K95" s="15">
        <f>IF(87&lt;=CALC!$D$1,MATCH(87,CALC!$B$2:$B$3001,0),"")</f>
        <v/>
      </c>
    </row>
    <row r="96" ht="17" customHeight="1">
      <c r="A96" s="12">
        <f>IF($K96="","",88)</f>
        <v/>
      </c>
      <c r="B96" s="13">
        <f>IF($K96="","",IF(INDEX(BASELINE!$A$2:$ZZ$3001,$K96,CALC!$H$1)="","",INDEX(BASELINE!$A$2:$ZZ$3001,$K96,CALC!$H$1)))</f>
        <v/>
      </c>
      <c r="C96" s="12">
        <f>IF($K96="","",IF(INDEX(BASELINE!$A$2:$ZZ$3001,$K96,CALC!$I$1)="","",INDEX(BASELINE!$A$2:$ZZ$3001,$K96,CALC!$I$1)))</f>
        <v/>
      </c>
      <c r="D96" s="13">
        <f>IF($K96="","",IF(INDEX(BASELINE!$A$2:$ZZ$3001,$K96,CALC!$L$1)="","",INDEX(BASELINE!$A$2:$ZZ$3001,$K96,CALC!$L$1)))</f>
        <v/>
      </c>
      <c r="E96" s="13">
        <f>IF($K96="","",IF(INDEX(BASELINE!$A$2:$ZZ$3001,$K96,CALC!$K$1)="","",INDEX(BASELINE!$A$2:$ZZ$3001,$K96,CALC!$K$1)))</f>
        <v/>
      </c>
      <c r="F96" s="14">
        <f>IF($K96="","",IF(INDEX(BASELINE!$A$2:$ZZ$3001,$K96,CALC!$O$1)="","",INDEX(BASELINE!$A$2:$ZZ$3001,$K96,CALC!$O$1)))</f>
        <v/>
      </c>
      <c r="G96" s="13">
        <f>IF($K96="","",IF(INDEX(BASELINE!$A$2:$ZZ$3001,$K96,CALC!$J$1)="","",INDEX(BASELINE!$A$2:$ZZ$3001,$K96,CALC!$J$1)))</f>
        <v/>
      </c>
      <c r="H96" s="13">
        <f>IF($K96="","",IF(INDEX(BASELINE!$A$2:$ZZ$3001,$K96,CALC!$M$1)="","",INDEX(BASELINE!$A$2:$ZZ$3001,$K96,CALC!$M$1)))</f>
        <v/>
      </c>
      <c r="I96" s="13">
        <f>IF($K96="","",IF(INDEX(BASELINE!$A$2:$ZZ$3001,$K96,CALC!$N$1)="","",INDEX(BASELINE!$A$2:$ZZ$3001,$K96,CALC!$N$1)))</f>
        <v/>
      </c>
      <c r="J96" s="12">
        <f>IF($K96="","",IF(ISNUMBER(SEARCH("break",INDEX(BASELINE!$A$2:$ZZ$3001,$K96,CALC!$Q$1)&amp;"")),"SIM",""))</f>
        <v/>
      </c>
      <c r="K96" s="15">
        <f>IF(88&lt;=CALC!$D$1,MATCH(88,CALC!$B$2:$B$3001,0),"")</f>
        <v/>
      </c>
    </row>
    <row r="97" ht="17" customHeight="1">
      <c r="A97" s="12">
        <f>IF($K97="","",89)</f>
        <v/>
      </c>
      <c r="B97" s="13">
        <f>IF($K97="","",IF(INDEX(BASELINE!$A$2:$ZZ$3001,$K97,CALC!$H$1)="","",INDEX(BASELINE!$A$2:$ZZ$3001,$K97,CALC!$H$1)))</f>
        <v/>
      </c>
      <c r="C97" s="12">
        <f>IF($K97="","",IF(INDEX(BASELINE!$A$2:$ZZ$3001,$K97,CALC!$I$1)="","",INDEX(BASELINE!$A$2:$ZZ$3001,$K97,CALC!$I$1)))</f>
        <v/>
      </c>
      <c r="D97" s="13">
        <f>IF($K97="","",IF(INDEX(BASELINE!$A$2:$ZZ$3001,$K97,CALC!$L$1)="","",INDEX(BASELINE!$A$2:$ZZ$3001,$K97,CALC!$L$1)))</f>
        <v/>
      </c>
      <c r="E97" s="13">
        <f>IF($K97="","",IF(INDEX(BASELINE!$A$2:$ZZ$3001,$K97,CALC!$K$1)="","",INDEX(BASELINE!$A$2:$ZZ$3001,$K97,CALC!$K$1)))</f>
        <v/>
      </c>
      <c r="F97" s="14">
        <f>IF($K97="","",IF(INDEX(BASELINE!$A$2:$ZZ$3001,$K97,CALC!$O$1)="","",INDEX(BASELINE!$A$2:$ZZ$3001,$K97,CALC!$O$1)))</f>
        <v/>
      </c>
      <c r="G97" s="13">
        <f>IF($K97="","",IF(INDEX(BASELINE!$A$2:$ZZ$3001,$K97,CALC!$J$1)="","",INDEX(BASELINE!$A$2:$ZZ$3001,$K97,CALC!$J$1)))</f>
        <v/>
      </c>
      <c r="H97" s="13">
        <f>IF($K97="","",IF(INDEX(BASELINE!$A$2:$ZZ$3001,$K97,CALC!$M$1)="","",INDEX(BASELINE!$A$2:$ZZ$3001,$K97,CALC!$M$1)))</f>
        <v/>
      </c>
      <c r="I97" s="13">
        <f>IF($K97="","",IF(INDEX(BASELINE!$A$2:$ZZ$3001,$K97,CALC!$N$1)="","",INDEX(BASELINE!$A$2:$ZZ$3001,$K97,CALC!$N$1)))</f>
        <v/>
      </c>
      <c r="J97" s="12">
        <f>IF($K97="","",IF(ISNUMBER(SEARCH("break",INDEX(BASELINE!$A$2:$ZZ$3001,$K97,CALC!$Q$1)&amp;"")),"SIM",""))</f>
        <v/>
      </c>
      <c r="K97" s="15">
        <f>IF(89&lt;=CALC!$D$1,MATCH(89,CALC!$B$2:$B$3001,0),"")</f>
        <v/>
      </c>
    </row>
    <row r="98" ht="17" customHeight="1">
      <c r="A98" s="12">
        <f>IF($K98="","",90)</f>
        <v/>
      </c>
      <c r="B98" s="13">
        <f>IF($K98="","",IF(INDEX(BASELINE!$A$2:$ZZ$3001,$K98,CALC!$H$1)="","",INDEX(BASELINE!$A$2:$ZZ$3001,$K98,CALC!$H$1)))</f>
        <v/>
      </c>
      <c r="C98" s="12">
        <f>IF($K98="","",IF(INDEX(BASELINE!$A$2:$ZZ$3001,$K98,CALC!$I$1)="","",INDEX(BASELINE!$A$2:$ZZ$3001,$K98,CALC!$I$1)))</f>
        <v/>
      </c>
      <c r="D98" s="13">
        <f>IF($K98="","",IF(INDEX(BASELINE!$A$2:$ZZ$3001,$K98,CALC!$L$1)="","",INDEX(BASELINE!$A$2:$ZZ$3001,$K98,CALC!$L$1)))</f>
        <v/>
      </c>
      <c r="E98" s="13">
        <f>IF($K98="","",IF(INDEX(BASELINE!$A$2:$ZZ$3001,$K98,CALC!$K$1)="","",INDEX(BASELINE!$A$2:$ZZ$3001,$K98,CALC!$K$1)))</f>
        <v/>
      </c>
      <c r="F98" s="14">
        <f>IF($K98="","",IF(INDEX(BASELINE!$A$2:$ZZ$3001,$K98,CALC!$O$1)="","",INDEX(BASELINE!$A$2:$ZZ$3001,$K98,CALC!$O$1)))</f>
        <v/>
      </c>
      <c r="G98" s="13">
        <f>IF($K98="","",IF(INDEX(BASELINE!$A$2:$ZZ$3001,$K98,CALC!$J$1)="","",INDEX(BASELINE!$A$2:$ZZ$3001,$K98,CALC!$J$1)))</f>
        <v/>
      </c>
      <c r="H98" s="13">
        <f>IF($K98="","",IF(INDEX(BASELINE!$A$2:$ZZ$3001,$K98,CALC!$M$1)="","",INDEX(BASELINE!$A$2:$ZZ$3001,$K98,CALC!$M$1)))</f>
        <v/>
      </c>
      <c r="I98" s="13">
        <f>IF($K98="","",IF(INDEX(BASELINE!$A$2:$ZZ$3001,$K98,CALC!$N$1)="","",INDEX(BASELINE!$A$2:$ZZ$3001,$K98,CALC!$N$1)))</f>
        <v/>
      </c>
      <c r="J98" s="12">
        <f>IF($K98="","",IF(ISNUMBER(SEARCH("break",INDEX(BASELINE!$A$2:$ZZ$3001,$K98,CALC!$Q$1)&amp;"")),"SIM",""))</f>
        <v/>
      </c>
      <c r="K98" s="15">
        <f>IF(90&lt;=CALC!$D$1,MATCH(90,CALC!$B$2:$B$3001,0),"")</f>
        <v/>
      </c>
    </row>
    <row r="99" ht="17" customHeight="1">
      <c r="A99" s="12">
        <f>IF($K99="","",91)</f>
        <v/>
      </c>
      <c r="B99" s="13">
        <f>IF($K99="","",IF(INDEX(BASELINE!$A$2:$ZZ$3001,$K99,CALC!$H$1)="","",INDEX(BASELINE!$A$2:$ZZ$3001,$K99,CALC!$H$1)))</f>
        <v/>
      </c>
      <c r="C99" s="12">
        <f>IF($K99="","",IF(INDEX(BASELINE!$A$2:$ZZ$3001,$K99,CALC!$I$1)="","",INDEX(BASELINE!$A$2:$ZZ$3001,$K99,CALC!$I$1)))</f>
        <v/>
      </c>
      <c r="D99" s="13">
        <f>IF($K99="","",IF(INDEX(BASELINE!$A$2:$ZZ$3001,$K99,CALC!$L$1)="","",INDEX(BASELINE!$A$2:$ZZ$3001,$K99,CALC!$L$1)))</f>
        <v/>
      </c>
      <c r="E99" s="13">
        <f>IF($K99="","",IF(INDEX(BASELINE!$A$2:$ZZ$3001,$K99,CALC!$K$1)="","",INDEX(BASELINE!$A$2:$ZZ$3001,$K99,CALC!$K$1)))</f>
        <v/>
      </c>
      <c r="F99" s="14">
        <f>IF($K99="","",IF(INDEX(BASELINE!$A$2:$ZZ$3001,$K99,CALC!$O$1)="","",INDEX(BASELINE!$A$2:$ZZ$3001,$K99,CALC!$O$1)))</f>
        <v/>
      </c>
      <c r="G99" s="13">
        <f>IF($K99="","",IF(INDEX(BASELINE!$A$2:$ZZ$3001,$K99,CALC!$J$1)="","",INDEX(BASELINE!$A$2:$ZZ$3001,$K99,CALC!$J$1)))</f>
        <v/>
      </c>
      <c r="H99" s="13">
        <f>IF($K99="","",IF(INDEX(BASELINE!$A$2:$ZZ$3001,$K99,CALC!$M$1)="","",INDEX(BASELINE!$A$2:$ZZ$3001,$K99,CALC!$M$1)))</f>
        <v/>
      </c>
      <c r="I99" s="13">
        <f>IF($K99="","",IF(INDEX(BASELINE!$A$2:$ZZ$3001,$K99,CALC!$N$1)="","",INDEX(BASELINE!$A$2:$ZZ$3001,$K99,CALC!$N$1)))</f>
        <v/>
      </c>
      <c r="J99" s="12">
        <f>IF($K99="","",IF(ISNUMBER(SEARCH("break",INDEX(BASELINE!$A$2:$ZZ$3001,$K99,CALC!$Q$1)&amp;"")),"SIM",""))</f>
        <v/>
      </c>
      <c r="K99" s="15">
        <f>IF(91&lt;=CALC!$D$1,MATCH(91,CALC!$B$2:$B$3001,0),"")</f>
        <v/>
      </c>
    </row>
    <row r="100" ht="17" customHeight="1">
      <c r="A100" s="12">
        <f>IF($K100="","",92)</f>
        <v/>
      </c>
      <c r="B100" s="13">
        <f>IF($K100="","",IF(INDEX(BASELINE!$A$2:$ZZ$3001,$K100,CALC!$H$1)="","",INDEX(BASELINE!$A$2:$ZZ$3001,$K100,CALC!$H$1)))</f>
        <v/>
      </c>
      <c r="C100" s="12">
        <f>IF($K100="","",IF(INDEX(BASELINE!$A$2:$ZZ$3001,$K100,CALC!$I$1)="","",INDEX(BASELINE!$A$2:$ZZ$3001,$K100,CALC!$I$1)))</f>
        <v/>
      </c>
      <c r="D100" s="13">
        <f>IF($K100="","",IF(INDEX(BASELINE!$A$2:$ZZ$3001,$K100,CALC!$L$1)="","",INDEX(BASELINE!$A$2:$ZZ$3001,$K100,CALC!$L$1)))</f>
        <v/>
      </c>
      <c r="E100" s="13">
        <f>IF($K100="","",IF(INDEX(BASELINE!$A$2:$ZZ$3001,$K100,CALC!$K$1)="","",INDEX(BASELINE!$A$2:$ZZ$3001,$K100,CALC!$K$1)))</f>
        <v/>
      </c>
      <c r="F100" s="14">
        <f>IF($K100="","",IF(INDEX(BASELINE!$A$2:$ZZ$3001,$K100,CALC!$O$1)="","",INDEX(BASELINE!$A$2:$ZZ$3001,$K100,CALC!$O$1)))</f>
        <v/>
      </c>
      <c r="G100" s="13">
        <f>IF($K100="","",IF(INDEX(BASELINE!$A$2:$ZZ$3001,$K100,CALC!$J$1)="","",INDEX(BASELINE!$A$2:$ZZ$3001,$K100,CALC!$J$1)))</f>
        <v/>
      </c>
      <c r="H100" s="13">
        <f>IF($K100="","",IF(INDEX(BASELINE!$A$2:$ZZ$3001,$K100,CALC!$M$1)="","",INDEX(BASELINE!$A$2:$ZZ$3001,$K100,CALC!$M$1)))</f>
        <v/>
      </c>
      <c r="I100" s="13">
        <f>IF($K100="","",IF(INDEX(BASELINE!$A$2:$ZZ$3001,$K100,CALC!$N$1)="","",INDEX(BASELINE!$A$2:$ZZ$3001,$K100,CALC!$N$1)))</f>
        <v/>
      </c>
      <c r="J100" s="12">
        <f>IF($K100="","",IF(ISNUMBER(SEARCH("break",INDEX(BASELINE!$A$2:$ZZ$3001,$K100,CALC!$Q$1)&amp;"")),"SIM",""))</f>
        <v/>
      </c>
      <c r="K100" s="15">
        <f>IF(92&lt;=CALC!$D$1,MATCH(92,CALC!$B$2:$B$3001,0),"")</f>
        <v/>
      </c>
    </row>
    <row r="101" ht="17" customHeight="1">
      <c r="A101" s="12">
        <f>IF($K101="","",93)</f>
        <v/>
      </c>
      <c r="B101" s="13">
        <f>IF($K101="","",IF(INDEX(BASELINE!$A$2:$ZZ$3001,$K101,CALC!$H$1)="","",INDEX(BASELINE!$A$2:$ZZ$3001,$K101,CALC!$H$1)))</f>
        <v/>
      </c>
      <c r="C101" s="12">
        <f>IF($K101="","",IF(INDEX(BASELINE!$A$2:$ZZ$3001,$K101,CALC!$I$1)="","",INDEX(BASELINE!$A$2:$ZZ$3001,$K101,CALC!$I$1)))</f>
        <v/>
      </c>
      <c r="D101" s="13">
        <f>IF($K101="","",IF(INDEX(BASELINE!$A$2:$ZZ$3001,$K101,CALC!$L$1)="","",INDEX(BASELINE!$A$2:$ZZ$3001,$K101,CALC!$L$1)))</f>
        <v/>
      </c>
      <c r="E101" s="13">
        <f>IF($K101="","",IF(INDEX(BASELINE!$A$2:$ZZ$3001,$K101,CALC!$K$1)="","",INDEX(BASELINE!$A$2:$ZZ$3001,$K101,CALC!$K$1)))</f>
        <v/>
      </c>
      <c r="F101" s="14">
        <f>IF($K101="","",IF(INDEX(BASELINE!$A$2:$ZZ$3001,$K101,CALC!$O$1)="","",INDEX(BASELINE!$A$2:$ZZ$3001,$K101,CALC!$O$1)))</f>
        <v/>
      </c>
      <c r="G101" s="13">
        <f>IF($K101="","",IF(INDEX(BASELINE!$A$2:$ZZ$3001,$K101,CALC!$J$1)="","",INDEX(BASELINE!$A$2:$ZZ$3001,$K101,CALC!$J$1)))</f>
        <v/>
      </c>
      <c r="H101" s="13">
        <f>IF($K101="","",IF(INDEX(BASELINE!$A$2:$ZZ$3001,$K101,CALC!$M$1)="","",INDEX(BASELINE!$A$2:$ZZ$3001,$K101,CALC!$M$1)))</f>
        <v/>
      </c>
      <c r="I101" s="13">
        <f>IF($K101="","",IF(INDEX(BASELINE!$A$2:$ZZ$3001,$K101,CALC!$N$1)="","",INDEX(BASELINE!$A$2:$ZZ$3001,$K101,CALC!$N$1)))</f>
        <v/>
      </c>
      <c r="J101" s="12">
        <f>IF($K101="","",IF(ISNUMBER(SEARCH("break",INDEX(BASELINE!$A$2:$ZZ$3001,$K101,CALC!$Q$1)&amp;"")),"SIM",""))</f>
        <v/>
      </c>
      <c r="K101" s="15">
        <f>IF(93&lt;=CALC!$D$1,MATCH(93,CALC!$B$2:$B$3001,0),"")</f>
        <v/>
      </c>
    </row>
    <row r="102" ht="17" customHeight="1">
      <c r="A102" s="12">
        <f>IF($K102="","",94)</f>
        <v/>
      </c>
      <c r="B102" s="13">
        <f>IF($K102="","",IF(INDEX(BASELINE!$A$2:$ZZ$3001,$K102,CALC!$H$1)="","",INDEX(BASELINE!$A$2:$ZZ$3001,$K102,CALC!$H$1)))</f>
        <v/>
      </c>
      <c r="C102" s="12">
        <f>IF($K102="","",IF(INDEX(BASELINE!$A$2:$ZZ$3001,$K102,CALC!$I$1)="","",INDEX(BASELINE!$A$2:$ZZ$3001,$K102,CALC!$I$1)))</f>
        <v/>
      </c>
      <c r="D102" s="13">
        <f>IF($K102="","",IF(INDEX(BASELINE!$A$2:$ZZ$3001,$K102,CALC!$L$1)="","",INDEX(BASELINE!$A$2:$ZZ$3001,$K102,CALC!$L$1)))</f>
        <v/>
      </c>
      <c r="E102" s="13">
        <f>IF($K102="","",IF(INDEX(BASELINE!$A$2:$ZZ$3001,$K102,CALC!$K$1)="","",INDEX(BASELINE!$A$2:$ZZ$3001,$K102,CALC!$K$1)))</f>
        <v/>
      </c>
      <c r="F102" s="14">
        <f>IF($K102="","",IF(INDEX(BASELINE!$A$2:$ZZ$3001,$K102,CALC!$O$1)="","",INDEX(BASELINE!$A$2:$ZZ$3001,$K102,CALC!$O$1)))</f>
        <v/>
      </c>
      <c r="G102" s="13">
        <f>IF($K102="","",IF(INDEX(BASELINE!$A$2:$ZZ$3001,$K102,CALC!$J$1)="","",INDEX(BASELINE!$A$2:$ZZ$3001,$K102,CALC!$J$1)))</f>
        <v/>
      </c>
      <c r="H102" s="13">
        <f>IF($K102="","",IF(INDEX(BASELINE!$A$2:$ZZ$3001,$K102,CALC!$M$1)="","",INDEX(BASELINE!$A$2:$ZZ$3001,$K102,CALC!$M$1)))</f>
        <v/>
      </c>
      <c r="I102" s="13">
        <f>IF($K102="","",IF(INDEX(BASELINE!$A$2:$ZZ$3001,$K102,CALC!$N$1)="","",INDEX(BASELINE!$A$2:$ZZ$3001,$K102,CALC!$N$1)))</f>
        <v/>
      </c>
      <c r="J102" s="12">
        <f>IF($K102="","",IF(ISNUMBER(SEARCH("break",INDEX(BASELINE!$A$2:$ZZ$3001,$K102,CALC!$Q$1)&amp;"")),"SIM",""))</f>
        <v/>
      </c>
      <c r="K102" s="15">
        <f>IF(94&lt;=CALC!$D$1,MATCH(94,CALC!$B$2:$B$3001,0),"")</f>
        <v/>
      </c>
    </row>
    <row r="103" ht="17" customHeight="1">
      <c r="A103" s="12">
        <f>IF($K103="","",95)</f>
        <v/>
      </c>
      <c r="B103" s="13">
        <f>IF($K103="","",IF(INDEX(BASELINE!$A$2:$ZZ$3001,$K103,CALC!$H$1)="","",INDEX(BASELINE!$A$2:$ZZ$3001,$K103,CALC!$H$1)))</f>
        <v/>
      </c>
      <c r="C103" s="12">
        <f>IF($K103="","",IF(INDEX(BASELINE!$A$2:$ZZ$3001,$K103,CALC!$I$1)="","",INDEX(BASELINE!$A$2:$ZZ$3001,$K103,CALC!$I$1)))</f>
        <v/>
      </c>
      <c r="D103" s="13">
        <f>IF($K103="","",IF(INDEX(BASELINE!$A$2:$ZZ$3001,$K103,CALC!$L$1)="","",INDEX(BASELINE!$A$2:$ZZ$3001,$K103,CALC!$L$1)))</f>
        <v/>
      </c>
      <c r="E103" s="13">
        <f>IF($K103="","",IF(INDEX(BASELINE!$A$2:$ZZ$3001,$K103,CALC!$K$1)="","",INDEX(BASELINE!$A$2:$ZZ$3001,$K103,CALC!$K$1)))</f>
        <v/>
      </c>
      <c r="F103" s="14">
        <f>IF($K103="","",IF(INDEX(BASELINE!$A$2:$ZZ$3001,$K103,CALC!$O$1)="","",INDEX(BASELINE!$A$2:$ZZ$3001,$K103,CALC!$O$1)))</f>
        <v/>
      </c>
      <c r="G103" s="13">
        <f>IF($K103="","",IF(INDEX(BASELINE!$A$2:$ZZ$3001,$K103,CALC!$J$1)="","",INDEX(BASELINE!$A$2:$ZZ$3001,$K103,CALC!$J$1)))</f>
        <v/>
      </c>
      <c r="H103" s="13">
        <f>IF($K103="","",IF(INDEX(BASELINE!$A$2:$ZZ$3001,$K103,CALC!$M$1)="","",INDEX(BASELINE!$A$2:$ZZ$3001,$K103,CALC!$M$1)))</f>
        <v/>
      </c>
      <c r="I103" s="13">
        <f>IF($K103="","",IF(INDEX(BASELINE!$A$2:$ZZ$3001,$K103,CALC!$N$1)="","",INDEX(BASELINE!$A$2:$ZZ$3001,$K103,CALC!$N$1)))</f>
        <v/>
      </c>
      <c r="J103" s="12">
        <f>IF($K103="","",IF(ISNUMBER(SEARCH("break",INDEX(BASELINE!$A$2:$ZZ$3001,$K103,CALC!$Q$1)&amp;"")),"SIM",""))</f>
        <v/>
      </c>
      <c r="K103" s="15">
        <f>IF(95&lt;=CALC!$D$1,MATCH(95,CALC!$B$2:$B$3001,0),"")</f>
        <v/>
      </c>
    </row>
    <row r="104" ht="17" customHeight="1">
      <c r="A104" s="12">
        <f>IF($K104="","",96)</f>
        <v/>
      </c>
      <c r="B104" s="13">
        <f>IF($K104="","",IF(INDEX(BASELINE!$A$2:$ZZ$3001,$K104,CALC!$H$1)="","",INDEX(BASELINE!$A$2:$ZZ$3001,$K104,CALC!$H$1)))</f>
        <v/>
      </c>
      <c r="C104" s="12">
        <f>IF($K104="","",IF(INDEX(BASELINE!$A$2:$ZZ$3001,$K104,CALC!$I$1)="","",INDEX(BASELINE!$A$2:$ZZ$3001,$K104,CALC!$I$1)))</f>
        <v/>
      </c>
      <c r="D104" s="13">
        <f>IF($K104="","",IF(INDEX(BASELINE!$A$2:$ZZ$3001,$K104,CALC!$L$1)="","",INDEX(BASELINE!$A$2:$ZZ$3001,$K104,CALC!$L$1)))</f>
        <v/>
      </c>
      <c r="E104" s="13">
        <f>IF($K104="","",IF(INDEX(BASELINE!$A$2:$ZZ$3001,$K104,CALC!$K$1)="","",INDEX(BASELINE!$A$2:$ZZ$3001,$K104,CALC!$K$1)))</f>
        <v/>
      </c>
      <c r="F104" s="14">
        <f>IF($K104="","",IF(INDEX(BASELINE!$A$2:$ZZ$3001,$K104,CALC!$O$1)="","",INDEX(BASELINE!$A$2:$ZZ$3001,$K104,CALC!$O$1)))</f>
        <v/>
      </c>
      <c r="G104" s="13">
        <f>IF($K104="","",IF(INDEX(BASELINE!$A$2:$ZZ$3001,$K104,CALC!$J$1)="","",INDEX(BASELINE!$A$2:$ZZ$3001,$K104,CALC!$J$1)))</f>
        <v/>
      </c>
      <c r="H104" s="13">
        <f>IF($K104="","",IF(INDEX(BASELINE!$A$2:$ZZ$3001,$K104,CALC!$M$1)="","",INDEX(BASELINE!$A$2:$ZZ$3001,$K104,CALC!$M$1)))</f>
        <v/>
      </c>
      <c r="I104" s="13">
        <f>IF($K104="","",IF(INDEX(BASELINE!$A$2:$ZZ$3001,$K104,CALC!$N$1)="","",INDEX(BASELINE!$A$2:$ZZ$3001,$K104,CALC!$N$1)))</f>
        <v/>
      </c>
      <c r="J104" s="12">
        <f>IF($K104="","",IF(ISNUMBER(SEARCH("break",INDEX(BASELINE!$A$2:$ZZ$3001,$K104,CALC!$Q$1)&amp;"")),"SIM",""))</f>
        <v/>
      </c>
      <c r="K104" s="15">
        <f>IF(96&lt;=CALC!$D$1,MATCH(96,CALC!$B$2:$B$3001,0),"")</f>
        <v/>
      </c>
    </row>
    <row r="105" ht="17" customHeight="1">
      <c r="A105" s="12">
        <f>IF($K105="","",97)</f>
        <v/>
      </c>
      <c r="B105" s="13">
        <f>IF($K105="","",IF(INDEX(BASELINE!$A$2:$ZZ$3001,$K105,CALC!$H$1)="","",INDEX(BASELINE!$A$2:$ZZ$3001,$K105,CALC!$H$1)))</f>
        <v/>
      </c>
      <c r="C105" s="12">
        <f>IF($K105="","",IF(INDEX(BASELINE!$A$2:$ZZ$3001,$K105,CALC!$I$1)="","",INDEX(BASELINE!$A$2:$ZZ$3001,$K105,CALC!$I$1)))</f>
        <v/>
      </c>
      <c r="D105" s="13">
        <f>IF($K105="","",IF(INDEX(BASELINE!$A$2:$ZZ$3001,$K105,CALC!$L$1)="","",INDEX(BASELINE!$A$2:$ZZ$3001,$K105,CALC!$L$1)))</f>
        <v/>
      </c>
      <c r="E105" s="13">
        <f>IF($K105="","",IF(INDEX(BASELINE!$A$2:$ZZ$3001,$K105,CALC!$K$1)="","",INDEX(BASELINE!$A$2:$ZZ$3001,$K105,CALC!$K$1)))</f>
        <v/>
      </c>
      <c r="F105" s="14">
        <f>IF($K105="","",IF(INDEX(BASELINE!$A$2:$ZZ$3001,$K105,CALC!$O$1)="","",INDEX(BASELINE!$A$2:$ZZ$3001,$K105,CALC!$O$1)))</f>
        <v/>
      </c>
      <c r="G105" s="13">
        <f>IF($K105="","",IF(INDEX(BASELINE!$A$2:$ZZ$3001,$K105,CALC!$J$1)="","",INDEX(BASELINE!$A$2:$ZZ$3001,$K105,CALC!$J$1)))</f>
        <v/>
      </c>
      <c r="H105" s="13">
        <f>IF($K105="","",IF(INDEX(BASELINE!$A$2:$ZZ$3001,$K105,CALC!$M$1)="","",INDEX(BASELINE!$A$2:$ZZ$3001,$K105,CALC!$M$1)))</f>
        <v/>
      </c>
      <c r="I105" s="13">
        <f>IF($K105="","",IF(INDEX(BASELINE!$A$2:$ZZ$3001,$K105,CALC!$N$1)="","",INDEX(BASELINE!$A$2:$ZZ$3001,$K105,CALC!$N$1)))</f>
        <v/>
      </c>
      <c r="J105" s="12">
        <f>IF($K105="","",IF(ISNUMBER(SEARCH("break",INDEX(BASELINE!$A$2:$ZZ$3001,$K105,CALC!$Q$1)&amp;"")),"SIM",""))</f>
        <v/>
      </c>
      <c r="K105" s="15">
        <f>IF(97&lt;=CALC!$D$1,MATCH(97,CALC!$B$2:$B$3001,0),"")</f>
        <v/>
      </c>
    </row>
    <row r="106" ht="17" customHeight="1">
      <c r="A106" s="12">
        <f>IF($K106="","",98)</f>
        <v/>
      </c>
      <c r="B106" s="13">
        <f>IF($K106="","",IF(INDEX(BASELINE!$A$2:$ZZ$3001,$K106,CALC!$H$1)="","",INDEX(BASELINE!$A$2:$ZZ$3001,$K106,CALC!$H$1)))</f>
        <v/>
      </c>
      <c r="C106" s="12">
        <f>IF($K106="","",IF(INDEX(BASELINE!$A$2:$ZZ$3001,$K106,CALC!$I$1)="","",INDEX(BASELINE!$A$2:$ZZ$3001,$K106,CALC!$I$1)))</f>
        <v/>
      </c>
      <c r="D106" s="13">
        <f>IF($K106="","",IF(INDEX(BASELINE!$A$2:$ZZ$3001,$K106,CALC!$L$1)="","",INDEX(BASELINE!$A$2:$ZZ$3001,$K106,CALC!$L$1)))</f>
        <v/>
      </c>
      <c r="E106" s="13">
        <f>IF($K106="","",IF(INDEX(BASELINE!$A$2:$ZZ$3001,$K106,CALC!$K$1)="","",INDEX(BASELINE!$A$2:$ZZ$3001,$K106,CALC!$K$1)))</f>
        <v/>
      </c>
      <c r="F106" s="14">
        <f>IF($K106="","",IF(INDEX(BASELINE!$A$2:$ZZ$3001,$K106,CALC!$O$1)="","",INDEX(BASELINE!$A$2:$ZZ$3001,$K106,CALC!$O$1)))</f>
        <v/>
      </c>
      <c r="G106" s="13">
        <f>IF($K106="","",IF(INDEX(BASELINE!$A$2:$ZZ$3001,$K106,CALC!$J$1)="","",INDEX(BASELINE!$A$2:$ZZ$3001,$K106,CALC!$J$1)))</f>
        <v/>
      </c>
      <c r="H106" s="13">
        <f>IF($K106="","",IF(INDEX(BASELINE!$A$2:$ZZ$3001,$K106,CALC!$M$1)="","",INDEX(BASELINE!$A$2:$ZZ$3001,$K106,CALC!$M$1)))</f>
        <v/>
      </c>
      <c r="I106" s="13">
        <f>IF($K106="","",IF(INDEX(BASELINE!$A$2:$ZZ$3001,$K106,CALC!$N$1)="","",INDEX(BASELINE!$A$2:$ZZ$3001,$K106,CALC!$N$1)))</f>
        <v/>
      </c>
      <c r="J106" s="12">
        <f>IF($K106="","",IF(ISNUMBER(SEARCH("break",INDEX(BASELINE!$A$2:$ZZ$3001,$K106,CALC!$Q$1)&amp;"")),"SIM",""))</f>
        <v/>
      </c>
      <c r="K106" s="15">
        <f>IF(98&lt;=CALC!$D$1,MATCH(98,CALC!$B$2:$B$3001,0),"")</f>
        <v/>
      </c>
    </row>
    <row r="107" ht="17" customHeight="1">
      <c r="A107" s="12">
        <f>IF($K107="","",99)</f>
        <v/>
      </c>
      <c r="B107" s="13">
        <f>IF($K107="","",IF(INDEX(BASELINE!$A$2:$ZZ$3001,$K107,CALC!$H$1)="","",INDEX(BASELINE!$A$2:$ZZ$3001,$K107,CALC!$H$1)))</f>
        <v/>
      </c>
      <c r="C107" s="12">
        <f>IF($K107="","",IF(INDEX(BASELINE!$A$2:$ZZ$3001,$K107,CALC!$I$1)="","",INDEX(BASELINE!$A$2:$ZZ$3001,$K107,CALC!$I$1)))</f>
        <v/>
      </c>
      <c r="D107" s="13">
        <f>IF($K107="","",IF(INDEX(BASELINE!$A$2:$ZZ$3001,$K107,CALC!$L$1)="","",INDEX(BASELINE!$A$2:$ZZ$3001,$K107,CALC!$L$1)))</f>
        <v/>
      </c>
      <c r="E107" s="13">
        <f>IF($K107="","",IF(INDEX(BASELINE!$A$2:$ZZ$3001,$K107,CALC!$K$1)="","",INDEX(BASELINE!$A$2:$ZZ$3001,$K107,CALC!$K$1)))</f>
        <v/>
      </c>
      <c r="F107" s="14">
        <f>IF($K107="","",IF(INDEX(BASELINE!$A$2:$ZZ$3001,$K107,CALC!$O$1)="","",INDEX(BASELINE!$A$2:$ZZ$3001,$K107,CALC!$O$1)))</f>
        <v/>
      </c>
      <c r="G107" s="13">
        <f>IF($K107="","",IF(INDEX(BASELINE!$A$2:$ZZ$3001,$K107,CALC!$J$1)="","",INDEX(BASELINE!$A$2:$ZZ$3001,$K107,CALC!$J$1)))</f>
        <v/>
      </c>
      <c r="H107" s="13">
        <f>IF($K107="","",IF(INDEX(BASELINE!$A$2:$ZZ$3001,$K107,CALC!$M$1)="","",INDEX(BASELINE!$A$2:$ZZ$3001,$K107,CALC!$M$1)))</f>
        <v/>
      </c>
      <c r="I107" s="13">
        <f>IF($K107="","",IF(INDEX(BASELINE!$A$2:$ZZ$3001,$K107,CALC!$N$1)="","",INDEX(BASELINE!$A$2:$ZZ$3001,$K107,CALC!$N$1)))</f>
        <v/>
      </c>
      <c r="J107" s="12">
        <f>IF($K107="","",IF(ISNUMBER(SEARCH("break",INDEX(BASELINE!$A$2:$ZZ$3001,$K107,CALC!$Q$1)&amp;"")),"SIM",""))</f>
        <v/>
      </c>
      <c r="K107" s="15">
        <f>IF(99&lt;=CALC!$D$1,MATCH(99,CALC!$B$2:$B$3001,0),"")</f>
        <v/>
      </c>
    </row>
    <row r="108" ht="17" customHeight="1">
      <c r="A108" s="12">
        <f>IF($K108="","",100)</f>
        <v/>
      </c>
      <c r="B108" s="13">
        <f>IF($K108="","",IF(INDEX(BASELINE!$A$2:$ZZ$3001,$K108,CALC!$H$1)="","",INDEX(BASELINE!$A$2:$ZZ$3001,$K108,CALC!$H$1)))</f>
        <v/>
      </c>
      <c r="C108" s="12">
        <f>IF($K108="","",IF(INDEX(BASELINE!$A$2:$ZZ$3001,$K108,CALC!$I$1)="","",INDEX(BASELINE!$A$2:$ZZ$3001,$K108,CALC!$I$1)))</f>
        <v/>
      </c>
      <c r="D108" s="13">
        <f>IF($K108="","",IF(INDEX(BASELINE!$A$2:$ZZ$3001,$K108,CALC!$L$1)="","",INDEX(BASELINE!$A$2:$ZZ$3001,$K108,CALC!$L$1)))</f>
        <v/>
      </c>
      <c r="E108" s="13">
        <f>IF($K108="","",IF(INDEX(BASELINE!$A$2:$ZZ$3001,$K108,CALC!$K$1)="","",INDEX(BASELINE!$A$2:$ZZ$3001,$K108,CALC!$K$1)))</f>
        <v/>
      </c>
      <c r="F108" s="14">
        <f>IF($K108="","",IF(INDEX(BASELINE!$A$2:$ZZ$3001,$K108,CALC!$O$1)="","",INDEX(BASELINE!$A$2:$ZZ$3001,$K108,CALC!$O$1)))</f>
        <v/>
      </c>
      <c r="G108" s="13">
        <f>IF($K108="","",IF(INDEX(BASELINE!$A$2:$ZZ$3001,$K108,CALC!$J$1)="","",INDEX(BASELINE!$A$2:$ZZ$3001,$K108,CALC!$J$1)))</f>
        <v/>
      </c>
      <c r="H108" s="13">
        <f>IF($K108="","",IF(INDEX(BASELINE!$A$2:$ZZ$3001,$K108,CALC!$M$1)="","",INDEX(BASELINE!$A$2:$ZZ$3001,$K108,CALC!$M$1)))</f>
        <v/>
      </c>
      <c r="I108" s="13">
        <f>IF($K108="","",IF(INDEX(BASELINE!$A$2:$ZZ$3001,$K108,CALC!$N$1)="","",INDEX(BASELINE!$A$2:$ZZ$3001,$K108,CALC!$N$1)))</f>
        <v/>
      </c>
      <c r="J108" s="12">
        <f>IF($K108="","",IF(ISNUMBER(SEARCH("break",INDEX(BASELINE!$A$2:$ZZ$3001,$K108,CALC!$Q$1)&amp;"")),"SIM",""))</f>
        <v/>
      </c>
      <c r="K108" s="15">
        <f>IF(100&lt;=CALC!$D$1,MATCH(100,CALC!$B$2:$B$3001,0),"")</f>
        <v/>
      </c>
    </row>
    <row r="109" ht="17" customHeight="1">
      <c r="A109" s="12">
        <f>IF($K109="","",101)</f>
        <v/>
      </c>
      <c r="B109" s="13">
        <f>IF($K109="","",IF(INDEX(BASELINE!$A$2:$ZZ$3001,$K109,CALC!$H$1)="","",INDEX(BASELINE!$A$2:$ZZ$3001,$K109,CALC!$H$1)))</f>
        <v/>
      </c>
      <c r="C109" s="12">
        <f>IF($K109="","",IF(INDEX(BASELINE!$A$2:$ZZ$3001,$K109,CALC!$I$1)="","",INDEX(BASELINE!$A$2:$ZZ$3001,$K109,CALC!$I$1)))</f>
        <v/>
      </c>
      <c r="D109" s="13">
        <f>IF($K109="","",IF(INDEX(BASELINE!$A$2:$ZZ$3001,$K109,CALC!$L$1)="","",INDEX(BASELINE!$A$2:$ZZ$3001,$K109,CALC!$L$1)))</f>
        <v/>
      </c>
      <c r="E109" s="13">
        <f>IF($K109="","",IF(INDEX(BASELINE!$A$2:$ZZ$3001,$K109,CALC!$K$1)="","",INDEX(BASELINE!$A$2:$ZZ$3001,$K109,CALC!$K$1)))</f>
        <v/>
      </c>
      <c r="F109" s="14">
        <f>IF($K109="","",IF(INDEX(BASELINE!$A$2:$ZZ$3001,$K109,CALC!$O$1)="","",INDEX(BASELINE!$A$2:$ZZ$3001,$K109,CALC!$O$1)))</f>
        <v/>
      </c>
      <c r="G109" s="13">
        <f>IF($K109="","",IF(INDEX(BASELINE!$A$2:$ZZ$3001,$K109,CALC!$J$1)="","",INDEX(BASELINE!$A$2:$ZZ$3001,$K109,CALC!$J$1)))</f>
        <v/>
      </c>
      <c r="H109" s="13">
        <f>IF($K109="","",IF(INDEX(BASELINE!$A$2:$ZZ$3001,$K109,CALC!$M$1)="","",INDEX(BASELINE!$A$2:$ZZ$3001,$K109,CALC!$M$1)))</f>
        <v/>
      </c>
      <c r="I109" s="13">
        <f>IF($K109="","",IF(INDEX(BASELINE!$A$2:$ZZ$3001,$K109,CALC!$N$1)="","",INDEX(BASELINE!$A$2:$ZZ$3001,$K109,CALC!$N$1)))</f>
        <v/>
      </c>
      <c r="J109" s="12">
        <f>IF($K109="","",IF(ISNUMBER(SEARCH("break",INDEX(BASELINE!$A$2:$ZZ$3001,$K109,CALC!$Q$1)&amp;"")),"SIM",""))</f>
        <v/>
      </c>
      <c r="K109" s="15">
        <f>IF(101&lt;=CALC!$D$1,MATCH(101,CALC!$B$2:$B$3001,0),"")</f>
        <v/>
      </c>
    </row>
    <row r="110" ht="17" customHeight="1">
      <c r="A110" s="12">
        <f>IF($K110="","",102)</f>
        <v/>
      </c>
      <c r="B110" s="13">
        <f>IF($K110="","",IF(INDEX(BASELINE!$A$2:$ZZ$3001,$K110,CALC!$H$1)="","",INDEX(BASELINE!$A$2:$ZZ$3001,$K110,CALC!$H$1)))</f>
        <v/>
      </c>
      <c r="C110" s="12">
        <f>IF($K110="","",IF(INDEX(BASELINE!$A$2:$ZZ$3001,$K110,CALC!$I$1)="","",INDEX(BASELINE!$A$2:$ZZ$3001,$K110,CALC!$I$1)))</f>
        <v/>
      </c>
      <c r="D110" s="13">
        <f>IF($K110="","",IF(INDEX(BASELINE!$A$2:$ZZ$3001,$K110,CALC!$L$1)="","",INDEX(BASELINE!$A$2:$ZZ$3001,$K110,CALC!$L$1)))</f>
        <v/>
      </c>
      <c r="E110" s="13">
        <f>IF($K110="","",IF(INDEX(BASELINE!$A$2:$ZZ$3001,$K110,CALC!$K$1)="","",INDEX(BASELINE!$A$2:$ZZ$3001,$K110,CALC!$K$1)))</f>
        <v/>
      </c>
      <c r="F110" s="14">
        <f>IF($K110="","",IF(INDEX(BASELINE!$A$2:$ZZ$3001,$K110,CALC!$O$1)="","",INDEX(BASELINE!$A$2:$ZZ$3001,$K110,CALC!$O$1)))</f>
        <v/>
      </c>
      <c r="G110" s="13">
        <f>IF($K110="","",IF(INDEX(BASELINE!$A$2:$ZZ$3001,$K110,CALC!$J$1)="","",INDEX(BASELINE!$A$2:$ZZ$3001,$K110,CALC!$J$1)))</f>
        <v/>
      </c>
      <c r="H110" s="13">
        <f>IF($K110="","",IF(INDEX(BASELINE!$A$2:$ZZ$3001,$K110,CALC!$M$1)="","",INDEX(BASELINE!$A$2:$ZZ$3001,$K110,CALC!$M$1)))</f>
        <v/>
      </c>
      <c r="I110" s="13">
        <f>IF($K110="","",IF(INDEX(BASELINE!$A$2:$ZZ$3001,$K110,CALC!$N$1)="","",INDEX(BASELINE!$A$2:$ZZ$3001,$K110,CALC!$N$1)))</f>
        <v/>
      </c>
      <c r="J110" s="12">
        <f>IF($K110="","",IF(ISNUMBER(SEARCH("break",INDEX(BASELINE!$A$2:$ZZ$3001,$K110,CALC!$Q$1)&amp;"")),"SIM",""))</f>
        <v/>
      </c>
      <c r="K110" s="15">
        <f>IF(102&lt;=CALC!$D$1,MATCH(102,CALC!$B$2:$B$3001,0),"")</f>
        <v/>
      </c>
    </row>
    <row r="111" ht="17" customHeight="1">
      <c r="A111" s="12">
        <f>IF($K111="","",103)</f>
        <v/>
      </c>
      <c r="B111" s="13">
        <f>IF($K111="","",IF(INDEX(BASELINE!$A$2:$ZZ$3001,$K111,CALC!$H$1)="","",INDEX(BASELINE!$A$2:$ZZ$3001,$K111,CALC!$H$1)))</f>
        <v/>
      </c>
      <c r="C111" s="12">
        <f>IF($K111="","",IF(INDEX(BASELINE!$A$2:$ZZ$3001,$K111,CALC!$I$1)="","",INDEX(BASELINE!$A$2:$ZZ$3001,$K111,CALC!$I$1)))</f>
        <v/>
      </c>
      <c r="D111" s="13">
        <f>IF($K111="","",IF(INDEX(BASELINE!$A$2:$ZZ$3001,$K111,CALC!$L$1)="","",INDEX(BASELINE!$A$2:$ZZ$3001,$K111,CALC!$L$1)))</f>
        <v/>
      </c>
      <c r="E111" s="13">
        <f>IF($K111="","",IF(INDEX(BASELINE!$A$2:$ZZ$3001,$K111,CALC!$K$1)="","",INDEX(BASELINE!$A$2:$ZZ$3001,$K111,CALC!$K$1)))</f>
        <v/>
      </c>
      <c r="F111" s="14">
        <f>IF($K111="","",IF(INDEX(BASELINE!$A$2:$ZZ$3001,$K111,CALC!$O$1)="","",INDEX(BASELINE!$A$2:$ZZ$3001,$K111,CALC!$O$1)))</f>
        <v/>
      </c>
      <c r="G111" s="13">
        <f>IF($K111="","",IF(INDEX(BASELINE!$A$2:$ZZ$3001,$K111,CALC!$J$1)="","",INDEX(BASELINE!$A$2:$ZZ$3001,$K111,CALC!$J$1)))</f>
        <v/>
      </c>
      <c r="H111" s="13">
        <f>IF($K111="","",IF(INDEX(BASELINE!$A$2:$ZZ$3001,$K111,CALC!$M$1)="","",INDEX(BASELINE!$A$2:$ZZ$3001,$K111,CALC!$M$1)))</f>
        <v/>
      </c>
      <c r="I111" s="13">
        <f>IF($K111="","",IF(INDEX(BASELINE!$A$2:$ZZ$3001,$K111,CALC!$N$1)="","",INDEX(BASELINE!$A$2:$ZZ$3001,$K111,CALC!$N$1)))</f>
        <v/>
      </c>
      <c r="J111" s="12">
        <f>IF($K111="","",IF(ISNUMBER(SEARCH("break",INDEX(BASELINE!$A$2:$ZZ$3001,$K111,CALC!$Q$1)&amp;"")),"SIM",""))</f>
        <v/>
      </c>
      <c r="K111" s="15">
        <f>IF(103&lt;=CALC!$D$1,MATCH(103,CALC!$B$2:$B$3001,0),"")</f>
        <v/>
      </c>
    </row>
    <row r="112" ht="17" customHeight="1">
      <c r="A112" s="12">
        <f>IF($K112="","",104)</f>
        <v/>
      </c>
      <c r="B112" s="13">
        <f>IF($K112="","",IF(INDEX(BASELINE!$A$2:$ZZ$3001,$K112,CALC!$H$1)="","",INDEX(BASELINE!$A$2:$ZZ$3001,$K112,CALC!$H$1)))</f>
        <v/>
      </c>
      <c r="C112" s="12">
        <f>IF($K112="","",IF(INDEX(BASELINE!$A$2:$ZZ$3001,$K112,CALC!$I$1)="","",INDEX(BASELINE!$A$2:$ZZ$3001,$K112,CALC!$I$1)))</f>
        <v/>
      </c>
      <c r="D112" s="13">
        <f>IF($K112="","",IF(INDEX(BASELINE!$A$2:$ZZ$3001,$K112,CALC!$L$1)="","",INDEX(BASELINE!$A$2:$ZZ$3001,$K112,CALC!$L$1)))</f>
        <v/>
      </c>
      <c r="E112" s="13">
        <f>IF($K112="","",IF(INDEX(BASELINE!$A$2:$ZZ$3001,$K112,CALC!$K$1)="","",INDEX(BASELINE!$A$2:$ZZ$3001,$K112,CALC!$K$1)))</f>
        <v/>
      </c>
      <c r="F112" s="14">
        <f>IF($K112="","",IF(INDEX(BASELINE!$A$2:$ZZ$3001,$K112,CALC!$O$1)="","",INDEX(BASELINE!$A$2:$ZZ$3001,$K112,CALC!$O$1)))</f>
        <v/>
      </c>
      <c r="G112" s="13">
        <f>IF($K112="","",IF(INDEX(BASELINE!$A$2:$ZZ$3001,$K112,CALC!$J$1)="","",INDEX(BASELINE!$A$2:$ZZ$3001,$K112,CALC!$J$1)))</f>
        <v/>
      </c>
      <c r="H112" s="13">
        <f>IF($K112="","",IF(INDEX(BASELINE!$A$2:$ZZ$3001,$K112,CALC!$M$1)="","",INDEX(BASELINE!$A$2:$ZZ$3001,$K112,CALC!$M$1)))</f>
        <v/>
      </c>
      <c r="I112" s="13">
        <f>IF($K112="","",IF(INDEX(BASELINE!$A$2:$ZZ$3001,$K112,CALC!$N$1)="","",INDEX(BASELINE!$A$2:$ZZ$3001,$K112,CALC!$N$1)))</f>
        <v/>
      </c>
      <c r="J112" s="12">
        <f>IF($K112="","",IF(ISNUMBER(SEARCH("break",INDEX(BASELINE!$A$2:$ZZ$3001,$K112,CALC!$Q$1)&amp;"")),"SIM",""))</f>
        <v/>
      </c>
      <c r="K112" s="15">
        <f>IF(104&lt;=CALC!$D$1,MATCH(104,CALC!$B$2:$B$3001,0),"")</f>
        <v/>
      </c>
    </row>
    <row r="113" ht="17" customHeight="1">
      <c r="A113" s="12">
        <f>IF($K113="","",105)</f>
        <v/>
      </c>
      <c r="B113" s="13">
        <f>IF($K113="","",IF(INDEX(BASELINE!$A$2:$ZZ$3001,$K113,CALC!$H$1)="","",INDEX(BASELINE!$A$2:$ZZ$3001,$K113,CALC!$H$1)))</f>
        <v/>
      </c>
      <c r="C113" s="12">
        <f>IF($K113="","",IF(INDEX(BASELINE!$A$2:$ZZ$3001,$K113,CALC!$I$1)="","",INDEX(BASELINE!$A$2:$ZZ$3001,$K113,CALC!$I$1)))</f>
        <v/>
      </c>
      <c r="D113" s="13">
        <f>IF($K113="","",IF(INDEX(BASELINE!$A$2:$ZZ$3001,$K113,CALC!$L$1)="","",INDEX(BASELINE!$A$2:$ZZ$3001,$K113,CALC!$L$1)))</f>
        <v/>
      </c>
      <c r="E113" s="13">
        <f>IF($K113="","",IF(INDEX(BASELINE!$A$2:$ZZ$3001,$K113,CALC!$K$1)="","",INDEX(BASELINE!$A$2:$ZZ$3001,$K113,CALC!$K$1)))</f>
        <v/>
      </c>
      <c r="F113" s="14">
        <f>IF($K113="","",IF(INDEX(BASELINE!$A$2:$ZZ$3001,$K113,CALC!$O$1)="","",INDEX(BASELINE!$A$2:$ZZ$3001,$K113,CALC!$O$1)))</f>
        <v/>
      </c>
      <c r="G113" s="13">
        <f>IF($K113="","",IF(INDEX(BASELINE!$A$2:$ZZ$3001,$K113,CALC!$J$1)="","",INDEX(BASELINE!$A$2:$ZZ$3001,$K113,CALC!$J$1)))</f>
        <v/>
      </c>
      <c r="H113" s="13">
        <f>IF($K113="","",IF(INDEX(BASELINE!$A$2:$ZZ$3001,$K113,CALC!$M$1)="","",INDEX(BASELINE!$A$2:$ZZ$3001,$K113,CALC!$M$1)))</f>
        <v/>
      </c>
      <c r="I113" s="13">
        <f>IF($K113="","",IF(INDEX(BASELINE!$A$2:$ZZ$3001,$K113,CALC!$N$1)="","",INDEX(BASELINE!$A$2:$ZZ$3001,$K113,CALC!$N$1)))</f>
        <v/>
      </c>
      <c r="J113" s="12">
        <f>IF($K113="","",IF(ISNUMBER(SEARCH("break",INDEX(BASELINE!$A$2:$ZZ$3001,$K113,CALC!$Q$1)&amp;"")),"SIM",""))</f>
        <v/>
      </c>
      <c r="K113" s="15">
        <f>IF(105&lt;=CALC!$D$1,MATCH(105,CALC!$B$2:$B$3001,0),"")</f>
        <v/>
      </c>
    </row>
    <row r="114" ht="17" customHeight="1">
      <c r="A114" s="12">
        <f>IF($K114="","",106)</f>
        <v/>
      </c>
      <c r="B114" s="13">
        <f>IF($K114="","",IF(INDEX(BASELINE!$A$2:$ZZ$3001,$K114,CALC!$H$1)="","",INDEX(BASELINE!$A$2:$ZZ$3001,$K114,CALC!$H$1)))</f>
        <v/>
      </c>
      <c r="C114" s="12">
        <f>IF($K114="","",IF(INDEX(BASELINE!$A$2:$ZZ$3001,$K114,CALC!$I$1)="","",INDEX(BASELINE!$A$2:$ZZ$3001,$K114,CALC!$I$1)))</f>
        <v/>
      </c>
      <c r="D114" s="13">
        <f>IF($K114="","",IF(INDEX(BASELINE!$A$2:$ZZ$3001,$K114,CALC!$L$1)="","",INDEX(BASELINE!$A$2:$ZZ$3001,$K114,CALC!$L$1)))</f>
        <v/>
      </c>
      <c r="E114" s="13">
        <f>IF($K114="","",IF(INDEX(BASELINE!$A$2:$ZZ$3001,$K114,CALC!$K$1)="","",INDEX(BASELINE!$A$2:$ZZ$3001,$K114,CALC!$K$1)))</f>
        <v/>
      </c>
      <c r="F114" s="14">
        <f>IF($K114="","",IF(INDEX(BASELINE!$A$2:$ZZ$3001,$K114,CALC!$O$1)="","",INDEX(BASELINE!$A$2:$ZZ$3001,$K114,CALC!$O$1)))</f>
        <v/>
      </c>
      <c r="G114" s="13">
        <f>IF($K114="","",IF(INDEX(BASELINE!$A$2:$ZZ$3001,$K114,CALC!$J$1)="","",INDEX(BASELINE!$A$2:$ZZ$3001,$K114,CALC!$J$1)))</f>
        <v/>
      </c>
      <c r="H114" s="13">
        <f>IF($K114="","",IF(INDEX(BASELINE!$A$2:$ZZ$3001,$K114,CALC!$M$1)="","",INDEX(BASELINE!$A$2:$ZZ$3001,$K114,CALC!$M$1)))</f>
        <v/>
      </c>
      <c r="I114" s="13">
        <f>IF($K114="","",IF(INDEX(BASELINE!$A$2:$ZZ$3001,$K114,CALC!$N$1)="","",INDEX(BASELINE!$A$2:$ZZ$3001,$K114,CALC!$N$1)))</f>
        <v/>
      </c>
      <c r="J114" s="12">
        <f>IF($K114="","",IF(ISNUMBER(SEARCH("break",INDEX(BASELINE!$A$2:$ZZ$3001,$K114,CALC!$Q$1)&amp;"")),"SIM",""))</f>
        <v/>
      </c>
      <c r="K114" s="15">
        <f>IF(106&lt;=CALC!$D$1,MATCH(106,CALC!$B$2:$B$3001,0),"")</f>
        <v/>
      </c>
    </row>
    <row r="115" ht="17" customHeight="1">
      <c r="A115" s="12">
        <f>IF($K115="","",107)</f>
        <v/>
      </c>
      <c r="B115" s="13">
        <f>IF($K115="","",IF(INDEX(BASELINE!$A$2:$ZZ$3001,$K115,CALC!$H$1)="","",INDEX(BASELINE!$A$2:$ZZ$3001,$K115,CALC!$H$1)))</f>
        <v/>
      </c>
      <c r="C115" s="12">
        <f>IF($K115="","",IF(INDEX(BASELINE!$A$2:$ZZ$3001,$K115,CALC!$I$1)="","",INDEX(BASELINE!$A$2:$ZZ$3001,$K115,CALC!$I$1)))</f>
        <v/>
      </c>
      <c r="D115" s="13">
        <f>IF($K115="","",IF(INDEX(BASELINE!$A$2:$ZZ$3001,$K115,CALC!$L$1)="","",INDEX(BASELINE!$A$2:$ZZ$3001,$K115,CALC!$L$1)))</f>
        <v/>
      </c>
      <c r="E115" s="13">
        <f>IF($K115="","",IF(INDEX(BASELINE!$A$2:$ZZ$3001,$K115,CALC!$K$1)="","",INDEX(BASELINE!$A$2:$ZZ$3001,$K115,CALC!$K$1)))</f>
        <v/>
      </c>
      <c r="F115" s="14">
        <f>IF($K115="","",IF(INDEX(BASELINE!$A$2:$ZZ$3001,$K115,CALC!$O$1)="","",INDEX(BASELINE!$A$2:$ZZ$3001,$K115,CALC!$O$1)))</f>
        <v/>
      </c>
      <c r="G115" s="13">
        <f>IF($K115="","",IF(INDEX(BASELINE!$A$2:$ZZ$3001,$K115,CALC!$J$1)="","",INDEX(BASELINE!$A$2:$ZZ$3001,$K115,CALC!$J$1)))</f>
        <v/>
      </c>
      <c r="H115" s="13">
        <f>IF($K115="","",IF(INDEX(BASELINE!$A$2:$ZZ$3001,$K115,CALC!$M$1)="","",INDEX(BASELINE!$A$2:$ZZ$3001,$K115,CALC!$M$1)))</f>
        <v/>
      </c>
      <c r="I115" s="13">
        <f>IF($K115="","",IF(INDEX(BASELINE!$A$2:$ZZ$3001,$K115,CALC!$N$1)="","",INDEX(BASELINE!$A$2:$ZZ$3001,$K115,CALC!$N$1)))</f>
        <v/>
      </c>
      <c r="J115" s="12">
        <f>IF($K115="","",IF(ISNUMBER(SEARCH("break",INDEX(BASELINE!$A$2:$ZZ$3001,$K115,CALC!$Q$1)&amp;"")),"SIM",""))</f>
        <v/>
      </c>
      <c r="K115" s="15">
        <f>IF(107&lt;=CALC!$D$1,MATCH(107,CALC!$B$2:$B$3001,0),"")</f>
        <v/>
      </c>
    </row>
    <row r="116" ht="17" customHeight="1">
      <c r="A116" s="12">
        <f>IF($K116="","",108)</f>
        <v/>
      </c>
      <c r="B116" s="13">
        <f>IF($K116="","",IF(INDEX(BASELINE!$A$2:$ZZ$3001,$K116,CALC!$H$1)="","",INDEX(BASELINE!$A$2:$ZZ$3001,$K116,CALC!$H$1)))</f>
        <v/>
      </c>
      <c r="C116" s="12">
        <f>IF($K116="","",IF(INDEX(BASELINE!$A$2:$ZZ$3001,$K116,CALC!$I$1)="","",INDEX(BASELINE!$A$2:$ZZ$3001,$K116,CALC!$I$1)))</f>
        <v/>
      </c>
      <c r="D116" s="13">
        <f>IF($K116="","",IF(INDEX(BASELINE!$A$2:$ZZ$3001,$K116,CALC!$L$1)="","",INDEX(BASELINE!$A$2:$ZZ$3001,$K116,CALC!$L$1)))</f>
        <v/>
      </c>
      <c r="E116" s="13">
        <f>IF($K116="","",IF(INDEX(BASELINE!$A$2:$ZZ$3001,$K116,CALC!$K$1)="","",INDEX(BASELINE!$A$2:$ZZ$3001,$K116,CALC!$K$1)))</f>
        <v/>
      </c>
      <c r="F116" s="14">
        <f>IF($K116="","",IF(INDEX(BASELINE!$A$2:$ZZ$3001,$K116,CALC!$O$1)="","",INDEX(BASELINE!$A$2:$ZZ$3001,$K116,CALC!$O$1)))</f>
        <v/>
      </c>
      <c r="G116" s="13">
        <f>IF($K116="","",IF(INDEX(BASELINE!$A$2:$ZZ$3001,$K116,CALC!$J$1)="","",INDEX(BASELINE!$A$2:$ZZ$3001,$K116,CALC!$J$1)))</f>
        <v/>
      </c>
      <c r="H116" s="13">
        <f>IF($K116="","",IF(INDEX(BASELINE!$A$2:$ZZ$3001,$K116,CALC!$M$1)="","",INDEX(BASELINE!$A$2:$ZZ$3001,$K116,CALC!$M$1)))</f>
        <v/>
      </c>
      <c r="I116" s="13">
        <f>IF($K116="","",IF(INDEX(BASELINE!$A$2:$ZZ$3001,$K116,CALC!$N$1)="","",INDEX(BASELINE!$A$2:$ZZ$3001,$K116,CALC!$N$1)))</f>
        <v/>
      </c>
      <c r="J116" s="12">
        <f>IF($K116="","",IF(ISNUMBER(SEARCH("break",INDEX(BASELINE!$A$2:$ZZ$3001,$K116,CALC!$Q$1)&amp;"")),"SIM",""))</f>
        <v/>
      </c>
      <c r="K116" s="15">
        <f>IF(108&lt;=CALC!$D$1,MATCH(108,CALC!$B$2:$B$3001,0),"")</f>
        <v/>
      </c>
    </row>
    <row r="117" ht="17" customHeight="1">
      <c r="A117" s="12">
        <f>IF($K117="","",109)</f>
        <v/>
      </c>
      <c r="B117" s="13">
        <f>IF($K117="","",IF(INDEX(BASELINE!$A$2:$ZZ$3001,$K117,CALC!$H$1)="","",INDEX(BASELINE!$A$2:$ZZ$3001,$K117,CALC!$H$1)))</f>
        <v/>
      </c>
      <c r="C117" s="12">
        <f>IF($K117="","",IF(INDEX(BASELINE!$A$2:$ZZ$3001,$K117,CALC!$I$1)="","",INDEX(BASELINE!$A$2:$ZZ$3001,$K117,CALC!$I$1)))</f>
        <v/>
      </c>
      <c r="D117" s="13">
        <f>IF($K117="","",IF(INDEX(BASELINE!$A$2:$ZZ$3001,$K117,CALC!$L$1)="","",INDEX(BASELINE!$A$2:$ZZ$3001,$K117,CALC!$L$1)))</f>
        <v/>
      </c>
      <c r="E117" s="13">
        <f>IF($K117="","",IF(INDEX(BASELINE!$A$2:$ZZ$3001,$K117,CALC!$K$1)="","",INDEX(BASELINE!$A$2:$ZZ$3001,$K117,CALC!$K$1)))</f>
        <v/>
      </c>
      <c r="F117" s="14">
        <f>IF($K117="","",IF(INDEX(BASELINE!$A$2:$ZZ$3001,$K117,CALC!$O$1)="","",INDEX(BASELINE!$A$2:$ZZ$3001,$K117,CALC!$O$1)))</f>
        <v/>
      </c>
      <c r="G117" s="13">
        <f>IF($K117="","",IF(INDEX(BASELINE!$A$2:$ZZ$3001,$K117,CALC!$J$1)="","",INDEX(BASELINE!$A$2:$ZZ$3001,$K117,CALC!$J$1)))</f>
        <v/>
      </c>
      <c r="H117" s="13">
        <f>IF($K117="","",IF(INDEX(BASELINE!$A$2:$ZZ$3001,$K117,CALC!$M$1)="","",INDEX(BASELINE!$A$2:$ZZ$3001,$K117,CALC!$M$1)))</f>
        <v/>
      </c>
      <c r="I117" s="13">
        <f>IF($K117="","",IF(INDEX(BASELINE!$A$2:$ZZ$3001,$K117,CALC!$N$1)="","",INDEX(BASELINE!$A$2:$ZZ$3001,$K117,CALC!$N$1)))</f>
        <v/>
      </c>
      <c r="J117" s="12">
        <f>IF($K117="","",IF(ISNUMBER(SEARCH("break",INDEX(BASELINE!$A$2:$ZZ$3001,$K117,CALC!$Q$1)&amp;"")),"SIM",""))</f>
        <v/>
      </c>
      <c r="K117" s="15">
        <f>IF(109&lt;=CALC!$D$1,MATCH(109,CALC!$B$2:$B$3001,0),"")</f>
        <v/>
      </c>
    </row>
    <row r="118" ht="17" customHeight="1">
      <c r="A118" s="12">
        <f>IF($K118="","",110)</f>
        <v/>
      </c>
      <c r="B118" s="13">
        <f>IF($K118="","",IF(INDEX(BASELINE!$A$2:$ZZ$3001,$K118,CALC!$H$1)="","",INDEX(BASELINE!$A$2:$ZZ$3001,$K118,CALC!$H$1)))</f>
        <v/>
      </c>
      <c r="C118" s="12">
        <f>IF($K118="","",IF(INDEX(BASELINE!$A$2:$ZZ$3001,$K118,CALC!$I$1)="","",INDEX(BASELINE!$A$2:$ZZ$3001,$K118,CALC!$I$1)))</f>
        <v/>
      </c>
      <c r="D118" s="13">
        <f>IF($K118="","",IF(INDEX(BASELINE!$A$2:$ZZ$3001,$K118,CALC!$L$1)="","",INDEX(BASELINE!$A$2:$ZZ$3001,$K118,CALC!$L$1)))</f>
        <v/>
      </c>
      <c r="E118" s="13">
        <f>IF($K118="","",IF(INDEX(BASELINE!$A$2:$ZZ$3001,$K118,CALC!$K$1)="","",INDEX(BASELINE!$A$2:$ZZ$3001,$K118,CALC!$K$1)))</f>
        <v/>
      </c>
      <c r="F118" s="14">
        <f>IF($K118="","",IF(INDEX(BASELINE!$A$2:$ZZ$3001,$K118,CALC!$O$1)="","",INDEX(BASELINE!$A$2:$ZZ$3001,$K118,CALC!$O$1)))</f>
        <v/>
      </c>
      <c r="G118" s="13">
        <f>IF($K118="","",IF(INDEX(BASELINE!$A$2:$ZZ$3001,$K118,CALC!$J$1)="","",INDEX(BASELINE!$A$2:$ZZ$3001,$K118,CALC!$J$1)))</f>
        <v/>
      </c>
      <c r="H118" s="13">
        <f>IF($K118="","",IF(INDEX(BASELINE!$A$2:$ZZ$3001,$K118,CALC!$M$1)="","",INDEX(BASELINE!$A$2:$ZZ$3001,$K118,CALC!$M$1)))</f>
        <v/>
      </c>
      <c r="I118" s="13">
        <f>IF($K118="","",IF(INDEX(BASELINE!$A$2:$ZZ$3001,$K118,CALC!$N$1)="","",INDEX(BASELINE!$A$2:$ZZ$3001,$K118,CALC!$N$1)))</f>
        <v/>
      </c>
      <c r="J118" s="12">
        <f>IF($K118="","",IF(ISNUMBER(SEARCH("break",INDEX(BASELINE!$A$2:$ZZ$3001,$K118,CALC!$Q$1)&amp;"")),"SIM",""))</f>
        <v/>
      </c>
      <c r="K118" s="15">
        <f>IF(110&lt;=CALC!$D$1,MATCH(110,CALC!$B$2:$B$3001,0),"")</f>
        <v/>
      </c>
    </row>
    <row r="119" ht="17" customHeight="1">
      <c r="A119" s="12">
        <f>IF($K119="","",111)</f>
        <v/>
      </c>
      <c r="B119" s="13">
        <f>IF($K119="","",IF(INDEX(BASELINE!$A$2:$ZZ$3001,$K119,CALC!$H$1)="","",INDEX(BASELINE!$A$2:$ZZ$3001,$K119,CALC!$H$1)))</f>
        <v/>
      </c>
      <c r="C119" s="12">
        <f>IF($K119="","",IF(INDEX(BASELINE!$A$2:$ZZ$3001,$K119,CALC!$I$1)="","",INDEX(BASELINE!$A$2:$ZZ$3001,$K119,CALC!$I$1)))</f>
        <v/>
      </c>
      <c r="D119" s="13">
        <f>IF($K119="","",IF(INDEX(BASELINE!$A$2:$ZZ$3001,$K119,CALC!$L$1)="","",INDEX(BASELINE!$A$2:$ZZ$3001,$K119,CALC!$L$1)))</f>
        <v/>
      </c>
      <c r="E119" s="13">
        <f>IF($K119="","",IF(INDEX(BASELINE!$A$2:$ZZ$3001,$K119,CALC!$K$1)="","",INDEX(BASELINE!$A$2:$ZZ$3001,$K119,CALC!$K$1)))</f>
        <v/>
      </c>
      <c r="F119" s="14">
        <f>IF($K119="","",IF(INDEX(BASELINE!$A$2:$ZZ$3001,$K119,CALC!$O$1)="","",INDEX(BASELINE!$A$2:$ZZ$3001,$K119,CALC!$O$1)))</f>
        <v/>
      </c>
      <c r="G119" s="13">
        <f>IF($K119="","",IF(INDEX(BASELINE!$A$2:$ZZ$3001,$K119,CALC!$J$1)="","",INDEX(BASELINE!$A$2:$ZZ$3001,$K119,CALC!$J$1)))</f>
        <v/>
      </c>
      <c r="H119" s="13">
        <f>IF($K119="","",IF(INDEX(BASELINE!$A$2:$ZZ$3001,$K119,CALC!$M$1)="","",INDEX(BASELINE!$A$2:$ZZ$3001,$K119,CALC!$M$1)))</f>
        <v/>
      </c>
      <c r="I119" s="13">
        <f>IF($K119="","",IF(INDEX(BASELINE!$A$2:$ZZ$3001,$K119,CALC!$N$1)="","",INDEX(BASELINE!$A$2:$ZZ$3001,$K119,CALC!$N$1)))</f>
        <v/>
      </c>
      <c r="J119" s="12">
        <f>IF($K119="","",IF(ISNUMBER(SEARCH("break",INDEX(BASELINE!$A$2:$ZZ$3001,$K119,CALC!$Q$1)&amp;"")),"SIM",""))</f>
        <v/>
      </c>
      <c r="K119" s="15">
        <f>IF(111&lt;=CALC!$D$1,MATCH(111,CALC!$B$2:$B$3001,0),"")</f>
        <v/>
      </c>
    </row>
    <row r="120" ht="17" customHeight="1">
      <c r="A120" s="12">
        <f>IF($K120="","",112)</f>
        <v/>
      </c>
      <c r="B120" s="13">
        <f>IF($K120="","",IF(INDEX(BASELINE!$A$2:$ZZ$3001,$K120,CALC!$H$1)="","",INDEX(BASELINE!$A$2:$ZZ$3001,$K120,CALC!$H$1)))</f>
        <v/>
      </c>
      <c r="C120" s="12">
        <f>IF($K120="","",IF(INDEX(BASELINE!$A$2:$ZZ$3001,$K120,CALC!$I$1)="","",INDEX(BASELINE!$A$2:$ZZ$3001,$K120,CALC!$I$1)))</f>
        <v/>
      </c>
      <c r="D120" s="13">
        <f>IF($K120="","",IF(INDEX(BASELINE!$A$2:$ZZ$3001,$K120,CALC!$L$1)="","",INDEX(BASELINE!$A$2:$ZZ$3001,$K120,CALC!$L$1)))</f>
        <v/>
      </c>
      <c r="E120" s="13">
        <f>IF($K120="","",IF(INDEX(BASELINE!$A$2:$ZZ$3001,$K120,CALC!$K$1)="","",INDEX(BASELINE!$A$2:$ZZ$3001,$K120,CALC!$K$1)))</f>
        <v/>
      </c>
      <c r="F120" s="14">
        <f>IF($K120="","",IF(INDEX(BASELINE!$A$2:$ZZ$3001,$K120,CALC!$O$1)="","",INDEX(BASELINE!$A$2:$ZZ$3001,$K120,CALC!$O$1)))</f>
        <v/>
      </c>
      <c r="G120" s="13">
        <f>IF($K120="","",IF(INDEX(BASELINE!$A$2:$ZZ$3001,$K120,CALC!$J$1)="","",INDEX(BASELINE!$A$2:$ZZ$3001,$K120,CALC!$J$1)))</f>
        <v/>
      </c>
      <c r="H120" s="13">
        <f>IF($K120="","",IF(INDEX(BASELINE!$A$2:$ZZ$3001,$K120,CALC!$M$1)="","",INDEX(BASELINE!$A$2:$ZZ$3001,$K120,CALC!$M$1)))</f>
        <v/>
      </c>
      <c r="I120" s="13">
        <f>IF($K120="","",IF(INDEX(BASELINE!$A$2:$ZZ$3001,$K120,CALC!$N$1)="","",INDEX(BASELINE!$A$2:$ZZ$3001,$K120,CALC!$N$1)))</f>
        <v/>
      </c>
      <c r="J120" s="12">
        <f>IF($K120="","",IF(ISNUMBER(SEARCH("break",INDEX(BASELINE!$A$2:$ZZ$3001,$K120,CALC!$Q$1)&amp;"")),"SIM",""))</f>
        <v/>
      </c>
      <c r="K120" s="15">
        <f>IF(112&lt;=CALC!$D$1,MATCH(112,CALC!$B$2:$B$3001,0),"")</f>
        <v/>
      </c>
    </row>
    <row r="121" ht="17" customHeight="1">
      <c r="A121" s="12">
        <f>IF($K121="","",113)</f>
        <v/>
      </c>
      <c r="B121" s="13">
        <f>IF($K121="","",IF(INDEX(BASELINE!$A$2:$ZZ$3001,$K121,CALC!$H$1)="","",INDEX(BASELINE!$A$2:$ZZ$3001,$K121,CALC!$H$1)))</f>
        <v/>
      </c>
      <c r="C121" s="12">
        <f>IF($K121="","",IF(INDEX(BASELINE!$A$2:$ZZ$3001,$K121,CALC!$I$1)="","",INDEX(BASELINE!$A$2:$ZZ$3001,$K121,CALC!$I$1)))</f>
        <v/>
      </c>
      <c r="D121" s="13">
        <f>IF($K121="","",IF(INDEX(BASELINE!$A$2:$ZZ$3001,$K121,CALC!$L$1)="","",INDEX(BASELINE!$A$2:$ZZ$3001,$K121,CALC!$L$1)))</f>
        <v/>
      </c>
      <c r="E121" s="13">
        <f>IF($K121="","",IF(INDEX(BASELINE!$A$2:$ZZ$3001,$K121,CALC!$K$1)="","",INDEX(BASELINE!$A$2:$ZZ$3001,$K121,CALC!$K$1)))</f>
        <v/>
      </c>
      <c r="F121" s="14">
        <f>IF($K121="","",IF(INDEX(BASELINE!$A$2:$ZZ$3001,$K121,CALC!$O$1)="","",INDEX(BASELINE!$A$2:$ZZ$3001,$K121,CALC!$O$1)))</f>
        <v/>
      </c>
      <c r="G121" s="13">
        <f>IF($K121="","",IF(INDEX(BASELINE!$A$2:$ZZ$3001,$K121,CALC!$J$1)="","",INDEX(BASELINE!$A$2:$ZZ$3001,$K121,CALC!$J$1)))</f>
        <v/>
      </c>
      <c r="H121" s="13">
        <f>IF($K121="","",IF(INDEX(BASELINE!$A$2:$ZZ$3001,$K121,CALC!$M$1)="","",INDEX(BASELINE!$A$2:$ZZ$3001,$K121,CALC!$M$1)))</f>
        <v/>
      </c>
      <c r="I121" s="13">
        <f>IF($K121="","",IF(INDEX(BASELINE!$A$2:$ZZ$3001,$K121,CALC!$N$1)="","",INDEX(BASELINE!$A$2:$ZZ$3001,$K121,CALC!$N$1)))</f>
        <v/>
      </c>
      <c r="J121" s="12">
        <f>IF($K121="","",IF(ISNUMBER(SEARCH("break",INDEX(BASELINE!$A$2:$ZZ$3001,$K121,CALC!$Q$1)&amp;"")),"SIM",""))</f>
        <v/>
      </c>
      <c r="K121" s="15">
        <f>IF(113&lt;=CALC!$D$1,MATCH(113,CALC!$B$2:$B$3001,0),"")</f>
        <v/>
      </c>
    </row>
    <row r="122" ht="17" customHeight="1">
      <c r="A122" s="12">
        <f>IF($K122="","",114)</f>
        <v/>
      </c>
      <c r="B122" s="13">
        <f>IF($K122="","",IF(INDEX(BASELINE!$A$2:$ZZ$3001,$K122,CALC!$H$1)="","",INDEX(BASELINE!$A$2:$ZZ$3001,$K122,CALC!$H$1)))</f>
        <v/>
      </c>
      <c r="C122" s="12">
        <f>IF($K122="","",IF(INDEX(BASELINE!$A$2:$ZZ$3001,$K122,CALC!$I$1)="","",INDEX(BASELINE!$A$2:$ZZ$3001,$K122,CALC!$I$1)))</f>
        <v/>
      </c>
      <c r="D122" s="13">
        <f>IF($K122="","",IF(INDEX(BASELINE!$A$2:$ZZ$3001,$K122,CALC!$L$1)="","",INDEX(BASELINE!$A$2:$ZZ$3001,$K122,CALC!$L$1)))</f>
        <v/>
      </c>
      <c r="E122" s="13">
        <f>IF($K122="","",IF(INDEX(BASELINE!$A$2:$ZZ$3001,$K122,CALC!$K$1)="","",INDEX(BASELINE!$A$2:$ZZ$3001,$K122,CALC!$K$1)))</f>
        <v/>
      </c>
      <c r="F122" s="14">
        <f>IF($K122="","",IF(INDEX(BASELINE!$A$2:$ZZ$3001,$K122,CALC!$O$1)="","",INDEX(BASELINE!$A$2:$ZZ$3001,$K122,CALC!$O$1)))</f>
        <v/>
      </c>
      <c r="G122" s="13">
        <f>IF($K122="","",IF(INDEX(BASELINE!$A$2:$ZZ$3001,$K122,CALC!$J$1)="","",INDEX(BASELINE!$A$2:$ZZ$3001,$K122,CALC!$J$1)))</f>
        <v/>
      </c>
      <c r="H122" s="13">
        <f>IF($K122="","",IF(INDEX(BASELINE!$A$2:$ZZ$3001,$K122,CALC!$M$1)="","",INDEX(BASELINE!$A$2:$ZZ$3001,$K122,CALC!$M$1)))</f>
        <v/>
      </c>
      <c r="I122" s="13">
        <f>IF($K122="","",IF(INDEX(BASELINE!$A$2:$ZZ$3001,$K122,CALC!$N$1)="","",INDEX(BASELINE!$A$2:$ZZ$3001,$K122,CALC!$N$1)))</f>
        <v/>
      </c>
      <c r="J122" s="12">
        <f>IF($K122="","",IF(ISNUMBER(SEARCH("break",INDEX(BASELINE!$A$2:$ZZ$3001,$K122,CALC!$Q$1)&amp;"")),"SIM",""))</f>
        <v/>
      </c>
      <c r="K122" s="15">
        <f>IF(114&lt;=CALC!$D$1,MATCH(114,CALC!$B$2:$B$3001,0),"")</f>
        <v/>
      </c>
    </row>
    <row r="123" ht="17" customHeight="1">
      <c r="A123" s="12">
        <f>IF($K123="","",115)</f>
        <v/>
      </c>
      <c r="B123" s="13">
        <f>IF($K123="","",IF(INDEX(BASELINE!$A$2:$ZZ$3001,$K123,CALC!$H$1)="","",INDEX(BASELINE!$A$2:$ZZ$3001,$K123,CALC!$H$1)))</f>
        <v/>
      </c>
      <c r="C123" s="12">
        <f>IF($K123="","",IF(INDEX(BASELINE!$A$2:$ZZ$3001,$K123,CALC!$I$1)="","",INDEX(BASELINE!$A$2:$ZZ$3001,$K123,CALC!$I$1)))</f>
        <v/>
      </c>
      <c r="D123" s="13">
        <f>IF($K123="","",IF(INDEX(BASELINE!$A$2:$ZZ$3001,$K123,CALC!$L$1)="","",INDEX(BASELINE!$A$2:$ZZ$3001,$K123,CALC!$L$1)))</f>
        <v/>
      </c>
      <c r="E123" s="13">
        <f>IF($K123="","",IF(INDEX(BASELINE!$A$2:$ZZ$3001,$K123,CALC!$K$1)="","",INDEX(BASELINE!$A$2:$ZZ$3001,$K123,CALC!$K$1)))</f>
        <v/>
      </c>
      <c r="F123" s="14">
        <f>IF($K123="","",IF(INDEX(BASELINE!$A$2:$ZZ$3001,$K123,CALC!$O$1)="","",INDEX(BASELINE!$A$2:$ZZ$3001,$K123,CALC!$O$1)))</f>
        <v/>
      </c>
      <c r="G123" s="13">
        <f>IF($K123="","",IF(INDEX(BASELINE!$A$2:$ZZ$3001,$K123,CALC!$J$1)="","",INDEX(BASELINE!$A$2:$ZZ$3001,$K123,CALC!$J$1)))</f>
        <v/>
      </c>
      <c r="H123" s="13">
        <f>IF($K123="","",IF(INDEX(BASELINE!$A$2:$ZZ$3001,$K123,CALC!$M$1)="","",INDEX(BASELINE!$A$2:$ZZ$3001,$K123,CALC!$M$1)))</f>
        <v/>
      </c>
      <c r="I123" s="13">
        <f>IF($K123="","",IF(INDEX(BASELINE!$A$2:$ZZ$3001,$K123,CALC!$N$1)="","",INDEX(BASELINE!$A$2:$ZZ$3001,$K123,CALC!$N$1)))</f>
        <v/>
      </c>
      <c r="J123" s="12">
        <f>IF($K123="","",IF(ISNUMBER(SEARCH("break",INDEX(BASELINE!$A$2:$ZZ$3001,$K123,CALC!$Q$1)&amp;"")),"SIM",""))</f>
        <v/>
      </c>
      <c r="K123" s="15">
        <f>IF(115&lt;=CALC!$D$1,MATCH(115,CALC!$B$2:$B$3001,0),"")</f>
        <v/>
      </c>
    </row>
    <row r="124" ht="17" customHeight="1">
      <c r="A124" s="12">
        <f>IF($K124="","",116)</f>
        <v/>
      </c>
      <c r="B124" s="13">
        <f>IF($K124="","",IF(INDEX(BASELINE!$A$2:$ZZ$3001,$K124,CALC!$H$1)="","",INDEX(BASELINE!$A$2:$ZZ$3001,$K124,CALC!$H$1)))</f>
        <v/>
      </c>
      <c r="C124" s="12">
        <f>IF($K124="","",IF(INDEX(BASELINE!$A$2:$ZZ$3001,$K124,CALC!$I$1)="","",INDEX(BASELINE!$A$2:$ZZ$3001,$K124,CALC!$I$1)))</f>
        <v/>
      </c>
      <c r="D124" s="13">
        <f>IF($K124="","",IF(INDEX(BASELINE!$A$2:$ZZ$3001,$K124,CALC!$L$1)="","",INDEX(BASELINE!$A$2:$ZZ$3001,$K124,CALC!$L$1)))</f>
        <v/>
      </c>
      <c r="E124" s="13">
        <f>IF($K124="","",IF(INDEX(BASELINE!$A$2:$ZZ$3001,$K124,CALC!$K$1)="","",INDEX(BASELINE!$A$2:$ZZ$3001,$K124,CALC!$K$1)))</f>
        <v/>
      </c>
      <c r="F124" s="14">
        <f>IF($K124="","",IF(INDEX(BASELINE!$A$2:$ZZ$3001,$K124,CALC!$O$1)="","",INDEX(BASELINE!$A$2:$ZZ$3001,$K124,CALC!$O$1)))</f>
        <v/>
      </c>
      <c r="G124" s="13">
        <f>IF($K124="","",IF(INDEX(BASELINE!$A$2:$ZZ$3001,$K124,CALC!$J$1)="","",INDEX(BASELINE!$A$2:$ZZ$3001,$K124,CALC!$J$1)))</f>
        <v/>
      </c>
      <c r="H124" s="13">
        <f>IF($K124="","",IF(INDEX(BASELINE!$A$2:$ZZ$3001,$K124,CALC!$M$1)="","",INDEX(BASELINE!$A$2:$ZZ$3001,$K124,CALC!$M$1)))</f>
        <v/>
      </c>
      <c r="I124" s="13">
        <f>IF($K124="","",IF(INDEX(BASELINE!$A$2:$ZZ$3001,$K124,CALC!$N$1)="","",INDEX(BASELINE!$A$2:$ZZ$3001,$K124,CALC!$N$1)))</f>
        <v/>
      </c>
      <c r="J124" s="12">
        <f>IF($K124="","",IF(ISNUMBER(SEARCH("break",INDEX(BASELINE!$A$2:$ZZ$3001,$K124,CALC!$Q$1)&amp;"")),"SIM",""))</f>
        <v/>
      </c>
      <c r="K124" s="15">
        <f>IF(116&lt;=CALC!$D$1,MATCH(116,CALC!$B$2:$B$3001,0),"")</f>
        <v/>
      </c>
    </row>
    <row r="125" ht="17" customHeight="1">
      <c r="A125" s="12">
        <f>IF($K125="","",117)</f>
        <v/>
      </c>
      <c r="B125" s="13">
        <f>IF($K125="","",IF(INDEX(BASELINE!$A$2:$ZZ$3001,$K125,CALC!$H$1)="","",INDEX(BASELINE!$A$2:$ZZ$3001,$K125,CALC!$H$1)))</f>
        <v/>
      </c>
      <c r="C125" s="12">
        <f>IF($K125="","",IF(INDEX(BASELINE!$A$2:$ZZ$3001,$K125,CALC!$I$1)="","",INDEX(BASELINE!$A$2:$ZZ$3001,$K125,CALC!$I$1)))</f>
        <v/>
      </c>
      <c r="D125" s="13">
        <f>IF($K125="","",IF(INDEX(BASELINE!$A$2:$ZZ$3001,$K125,CALC!$L$1)="","",INDEX(BASELINE!$A$2:$ZZ$3001,$K125,CALC!$L$1)))</f>
        <v/>
      </c>
      <c r="E125" s="13">
        <f>IF($K125="","",IF(INDEX(BASELINE!$A$2:$ZZ$3001,$K125,CALC!$K$1)="","",INDEX(BASELINE!$A$2:$ZZ$3001,$K125,CALC!$K$1)))</f>
        <v/>
      </c>
      <c r="F125" s="14">
        <f>IF($K125="","",IF(INDEX(BASELINE!$A$2:$ZZ$3001,$K125,CALC!$O$1)="","",INDEX(BASELINE!$A$2:$ZZ$3001,$K125,CALC!$O$1)))</f>
        <v/>
      </c>
      <c r="G125" s="13">
        <f>IF($K125="","",IF(INDEX(BASELINE!$A$2:$ZZ$3001,$K125,CALC!$J$1)="","",INDEX(BASELINE!$A$2:$ZZ$3001,$K125,CALC!$J$1)))</f>
        <v/>
      </c>
      <c r="H125" s="13">
        <f>IF($K125="","",IF(INDEX(BASELINE!$A$2:$ZZ$3001,$K125,CALC!$M$1)="","",INDEX(BASELINE!$A$2:$ZZ$3001,$K125,CALC!$M$1)))</f>
        <v/>
      </c>
      <c r="I125" s="13">
        <f>IF($K125="","",IF(INDEX(BASELINE!$A$2:$ZZ$3001,$K125,CALC!$N$1)="","",INDEX(BASELINE!$A$2:$ZZ$3001,$K125,CALC!$N$1)))</f>
        <v/>
      </c>
      <c r="J125" s="12">
        <f>IF($K125="","",IF(ISNUMBER(SEARCH("break",INDEX(BASELINE!$A$2:$ZZ$3001,$K125,CALC!$Q$1)&amp;"")),"SIM",""))</f>
        <v/>
      </c>
      <c r="K125" s="15">
        <f>IF(117&lt;=CALC!$D$1,MATCH(117,CALC!$B$2:$B$3001,0),"")</f>
        <v/>
      </c>
    </row>
    <row r="126" ht="17" customHeight="1">
      <c r="A126" s="12">
        <f>IF($K126="","",118)</f>
        <v/>
      </c>
      <c r="B126" s="13">
        <f>IF($K126="","",IF(INDEX(BASELINE!$A$2:$ZZ$3001,$K126,CALC!$H$1)="","",INDEX(BASELINE!$A$2:$ZZ$3001,$K126,CALC!$H$1)))</f>
        <v/>
      </c>
      <c r="C126" s="12">
        <f>IF($K126="","",IF(INDEX(BASELINE!$A$2:$ZZ$3001,$K126,CALC!$I$1)="","",INDEX(BASELINE!$A$2:$ZZ$3001,$K126,CALC!$I$1)))</f>
        <v/>
      </c>
      <c r="D126" s="13">
        <f>IF($K126="","",IF(INDEX(BASELINE!$A$2:$ZZ$3001,$K126,CALC!$L$1)="","",INDEX(BASELINE!$A$2:$ZZ$3001,$K126,CALC!$L$1)))</f>
        <v/>
      </c>
      <c r="E126" s="13">
        <f>IF($K126="","",IF(INDEX(BASELINE!$A$2:$ZZ$3001,$K126,CALC!$K$1)="","",INDEX(BASELINE!$A$2:$ZZ$3001,$K126,CALC!$K$1)))</f>
        <v/>
      </c>
      <c r="F126" s="14">
        <f>IF($K126="","",IF(INDEX(BASELINE!$A$2:$ZZ$3001,$K126,CALC!$O$1)="","",INDEX(BASELINE!$A$2:$ZZ$3001,$K126,CALC!$O$1)))</f>
        <v/>
      </c>
      <c r="G126" s="13">
        <f>IF($K126="","",IF(INDEX(BASELINE!$A$2:$ZZ$3001,$K126,CALC!$J$1)="","",INDEX(BASELINE!$A$2:$ZZ$3001,$K126,CALC!$J$1)))</f>
        <v/>
      </c>
      <c r="H126" s="13">
        <f>IF($K126="","",IF(INDEX(BASELINE!$A$2:$ZZ$3001,$K126,CALC!$M$1)="","",INDEX(BASELINE!$A$2:$ZZ$3001,$K126,CALC!$M$1)))</f>
        <v/>
      </c>
      <c r="I126" s="13">
        <f>IF($K126="","",IF(INDEX(BASELINE!$A$2:$ZZ$3001,$K126,CALC!$N$1)="","",INDEX(BASELINE!$A$2:$ZZ$3001,$K126,CALC!$N$1)))</f>
        <v/>
      </c>
      <c r="J126" s="12">
        <f>IF($K126="","",IF(ISNUMBER(SEARCH("break",INDEX(BASELINE!$A$2:$ZZ$3001,$K126,CALC!$Q$1)&amp;"")),"SIM",""))</f>
        <v/>
      </c>
      <c r="K126" s="15">
        <f>IF(118&lt;=CALC!$D$1,MATCH(118,CALC!$B$2:$B$3001,0),"")</f>
        <v/>
      </c>
    </row>
    <row r="127" ht="17" customHeight="1">
      <c r="A127" s="12">
        <f>IF($K127="","",119)</f>
        <v/>
      </c>
      <c r="B127" s="13">
        <f>IF($K127="","",IF(INDEX(BASELINE!$A$2:$ZZ$3001,$K127,CALC!$H$1)="","",INDEX(BASELINE!$A$2:$ZZ$3001,$K127,CALC!$H$1)))</f>
        <v/>
      </c>
      <c r="C127" s="12">
        <f>IF($K127="","",IF(INDEX(BASELINE!$A$2:$ZZ$3001,$K127,CALC!$I$1)="","",INDEX(BASELINE!$A$2:$ZZ$3001,$K127,CALC!$I$1)))</f>
        <v/>
      </c>
      <c r="D127" s="13">
        <f>IF($K127="","",IF(INDEX(BASELINE!$A$2:$ZZ$3001,$K127,CALC!$L$1)="","",INDEX(BASELINE!$A$2:$ZZ$3001,$K127,CALC!$L$1)))</f>
        <v/>
      </c>
      <c r="E127" s="13">
        <f>IF($K127="","",IF(INDEX(BASELINE!$A$2:$ZZ$3001,$K127,CALC!$K$1)="","",INDEX(BASELINE!$A$2:$ZZ$3001,$K127,CALC!$K$1)))</f>
        <v/>
      </c>
      <c r="F127" s="14">
        <f>IF($K127="","",IF(INDEX(BASELINE!$A$2:$ZZ$3001,$K127,CALC!$O$1)="","",INDEX(BASELINE!$A$2:$ZZ$3001,$K127,CALC!$O$1)))</f>
        <v/>
      </c>
      <c r="G127" s="13">
        <f>IF($K127="","",IF(INDEX(BASELINE!$A$2:$ZZ$3001,$K127,CALC!$J$1)="","",INDEX(BASELINE!$A$2:$ZZ$3001,$K127,CALC!$J$1)))</f>
        <v/>
      </c>
      <c r="H127" s="13">
        <f>IF($K127="","",IF(INDEX(BASELINE!$A$2:$ZZ$3001,$K127,CALC!$M$1)="","",INDEX(BASELINE!$A$2:$ZZ$3001,$K127,CALC!$M$1)))</f>
        <v/>
      </c>
      <c r="I127" s="13">
        <f>IF($K127="","",IF(INDEX(BASELINE!$A$2:$ZZ$3001,$K127,CALC!$N$1)="","",INDEX(BASELINE!$A$2:$ZZ$3001,$K127,CALC!$N$1)))</f>
        <v/>
      </c>
      <c r="J127" s="12">
        <f>IF($K127="","",IF(ISNUMBER(SEARCH("break",INDEX(BASELINE!$A$2:$ZZ$3001,$K127,CALC!$Q$1)&amp;"")),"SIM",""))</f>
        <v/>
      </c>
      <c r="K127" s="15">
        <f>IF(119&lt;=CALC!$D$1,MATCH(119,CALC!$B$2:$B$3001,0),"")</f>
        <v/>
      </c>
    </row>
    <row r="128" ht="17" customHeight="1">
      <c r="A128" s="12">
        <f>IF($K128="","",120)</f>
        <v/>
      </c>
      <c r="B128" s="13">
        <f>IF($K128="","",IF(INDEX(BASELINE!$A$2:$ZZ$3001,$K128,CALC!$H$1)="","",INDEX(BASELINE!$A$2:$ZZ$3001,$K128,CALC!$H$1)))</f>
        <v/>
      </c>
      <c r="C128" s="12">
        <f>IF($K128="","",IF(INDEX(BASELINE!$A$2:$ZZ$3001,$K128,CALC!$I$1)="","",INDEX(BASELINE!$A$2:$ZZ$3001,$K128,CALC!$I$1)))</f>
        <v/>
      </c>
      <c r="D128" s="13">
        <f>IF($K128="","",IF(INDEX(BASELINE!$A$2:$ZZ$3001,$K128,CALC!$L$1)="","",INDEX(BASELINE!$A$2:$ZZ$3001,$K128,CALC!$L$1)))</f>
        <v/>
      </c>
      <c r="E128" s="13">
        <f>IF($K128="","",IF(INDEX(BASELINE!$A$2:$ZZ$3001,$K128,CALC!$K$1)="","",INDEX(BASELINE!$A$2:$ZZ$3001,$K128,CALC!$K$1)))</f>
        <v/>
      </c>
      <c r="F128" s="14">
        <f>IF($K128="","",IF(INDEX(BASELINE!$A$2:$ZZ$3001,$K128,CALC!$O$1)="","",INDEX(BASELINE!$A$2:$ZZ$3001,$K128,CALC!$O$1)))</f>
        <v/>
      </c>
      <c r="G128" s="13">
        <f>IF($K128="","",IF(INDEX(BASELINE!$A$2:$ZZ$3001,$K128,CALC!$J$1)="","",INDEX(BASELINE!$A$2:$ZZ$3001,$K128,CALC!$J$1)))</f>
        <v/>
      </c>
      <c r="H128" s="13">
        <f>IF($K128="","",IF(INDEX(BASELINE!$A$2:$ZZ$3001,$K128,CALC!$M$1)="","",INDEX(BASELINE!$A$2:$ZZ$3001,$K128,CALC!$M$1)))</f>
        <v/>
      </c>
      <c r="I128" s="13">
        <f>IF($K128="","",IF(INDEX(BASELINE!$A$2:$ZZ$3001,$K128,CALC!$N$1)="","",INDEX(BASELINE!$A$2:$ZZ$3001,$K128,CALC!$N$1)))</f>
        <v/>
      </c>
      <c r="J128" s="12">
        <f>IF($K128="","",IF(ISNUMBER(SEARCH("break",INDEX(BASELINE!$A$2:$ZZ$3001,$K128,CALC!$Q$1)&amp;"")),"SIM",""))</f>
        <v/>
      </c>
      <c r="K128" s="15">
        <f>IF(120&lt;=CALC!$D$1,MATCH(120,CALC!$B$2:$B$3001,0),"")</f>
        <v/>
      </c>
    </row>
    <row r="129" ht="17" customHeight="1">
      <c r="A129" s="12">
        <f>IF($K129="","",121)</f>
        <v/>
      </c>
      <c r="B129" s="13">
        <f>IF($K129="","",IF(INDEX(BASELINE!$A$2:$ZZ$3001,$K129,CALC!$H$1)="","",INDEX(BASELINE!$A$2:$ZZ$3001,$K129,CALC!$H$1)))</f>
        <v/>
      </c>
      <c r="C129" s="12">
        <f>IF($K129="","",IF(INDEX(BASELINE!$A$2:$ZZ$3001,$K129,CALC!$I$1)="","",INDEX(BASELINE!$A$2:$ZZ$3001,$K129,CALC!$I$1)))</f>
        <v/>
      </c>
      <c r="D129" s="13">
        <f>IF($K129="","",IF(INDEX(BASELINE!$A$2:$ZZ$3001,$K129,CALC!$L$1)="","",INDEX(BASELINE!$A$2:$ZZ$3001,$K129,CALC!$L$1)))</f>
        <v/>
      </c>
      <c r="E129" s="13">
        <f>IF($K129="","",IF(INDEX(BASELINE!$A$2:$ZZ$3001,$K129,CALC!$K$1)="","",INDEX(BASELINE!$A$2:$ZZ$3001,$K129,CALC!$K$1)))</f>
        <v/>
      </c>
      <c r="F129" s="14">
        <f>IF($K129="","",IF(INDEX(BASELINE!$A$2:$ZZ$3001,$K129,CALC!$O$1)="","",INDEX(BASELINE!$A$2:$ZZ$3001,$K129,CALC!$O$1)))</f>
        <v/>
      </c>
      <c r="G129" s="13">
        <f>IF($K129="","",IF(INDEX(BASELINE!$A$2:$ZZ$3001,$K129,CALC!$J$1)="","",INDEX(BASELINE!$A$2:$ZZ$3001,$K129,CALC!$J$1)))</f>
        <v/>
      </c>
      <c r="H129" s="13">
        <f>IF($K129="","",IF(INDEX(BASELINE!$A$2:$ZZ$3001,$K129,CALC!$M$1)="","",INDEX(BASELINE!$A$2:$ZZ$3001,$K129,CALC!$M$1)))</f>
        <v/>
      </c>
      <c r="I129" s="13">
        <f>IF($K129="","",IF(INDEX(BASELINE!$A$2:$ZZ$3001,$K129,CALC!$N$1)="","",INDEX(BASELINE!$A$2:$ZZ$3001,$K129,CALC!$N$1)))</f>
        <v/>
      </c>
      <c r="J129" s="12">
        <f>IF($K129="","",IF(ISNUMBER(SEARCH("break",INDEX(BASELINE!$A$2:$ZZ$3001,$K129,CALC!$Q$1)&amp;"")),"SIM",""))</f>
        <v/>
      </c>
      <c r="K129" s="15">
        <f>IF(121&lt;=CALC!$D$1,MATCH(121,CALC!$B$2:$B$3001,0),"")</f>
        <v/>
      </c>
    </row>
    <row r="130" ht="17" customHeight="1">
      <c r="A130" s="12">
        <f>IF($K130="","",122)</f>
        <v/>
      </c>
      <c r="B130" s="13">
        <f>IF($K130="","",IF(INDEX(BASELINE!$A$2:$ZZ$3001,$K130,CALC!$H$1)="","",INDEX(BASELINE!$A$2:$ZZ$3001,$K130,CALC!$H$1)))</f>
        <v/>
      </c>
      <c r="C130" s="12">
        <f>IF($K130="","",IF(INDEX(BASELINE!$A$2:$ZZ$3001,$K130,CALC!$I$1)="","",INDEX(BASELINE!$A$2:$ZZ$3001,$K130,CALC!$I$1)))</f>
        <v/>
      </c>
      <c r="D130" s="13">
        <f>IF($K130="","",IF(INDEX(BASELINE!$A$2:$ZZ$3001,$K130,CALC!$L$1)="","",INDEX(BASELINE!$A$2:$ZZ$3001,$K130,CALC!$L$1)))</f>
        <v/>
      </c>
      <c r="E130" s="13">
        <f>IF($K130="","",IF(INDEX(BASELINE!$A$2:$ZZ$3001,$K130,CALC!$K$1)="","",INDEX(BASELINE!$A$2:$ZZ$3001,$K130,CALC!$K$1)))</f>
        <v/>
      </c>
      <c r="F130" s="14">
        <f>IF($K130="","",IF(INDEX(BASELINE!$A$2:$ZZ$3001,$K130,CALC!$O$1)="","",INDEX(BASELINE!$A$2:$ZZ$3001,$K130,CALC!$O$1)))</f>
        <v/>
      </c>
      <c r="G130" s="13">
        <f>IF($K130="","",IF(INDEX(BASELINE!$A$2:$ZZ$3001,$K130,CALC!$J$1)="","",INDEX(BASELINE!$A$2:$ZZ$3001,$K130,CALC!$J$1)))</f>
        <v/>
      </c>
      <c r="H130" s="13">
        <f>IF($K130="","",IF(INDEX(BASELINE!$A$2:$ZZ$3001,$K130,CALC!$M$1)="","",INDEX(BASELINE!$A$2:$ZZ$3001,$K130,CALC!$M$1)))</f>
        <v/>
      </c>
      <c r="I130" s="13">
        <f>IF($K130="","",IF(INDEX(BASELINE!$A$2:$ZZ$3001,$K130,CALC!$N$1)="","",INDEX(BASELINE!$A$2:$ZZ$3001,$K130,CALC!$N$1)))</f>
        <v/>
      </c>
      <c r="J130" s="12">
        <f>IF($K130="","",IF(ISNUMBER(SEARCH("break",INDEX(BASELINE!$A$2:$ZZ$3001,$K130,CALC!$Q$1)&amp;"")),"SIM",""))</f>
        <v/>
      </c>
      <c r="K130" s="15">
        <f>IF(122&lt;=CALC!$D$1,MATCH(122,CALC!$B$2:$B$3001,0),"")</f>
        <v/>
      </c>
    </row>
    <row r="131" ht="17" customHeight="1">
      <c r="A131" s="12">
        <f>IF($K131="","",123)</f>
        <v/>
      </c>
      <c r="B131" s="13">
        <f>IF($K131="","",IF(INDEX(BASELINE!$A$2:$ZZ$3001,$K131,CALC!$H$1)="","",INDEX(BASELINE!$A$2:$ZZ$3001,$K131,CALC!$H$1)))</f>
        <v/>
      </c>
      <c r="C131" s="12">
        <f>IF($K131="","",IF(INDEX(BASELINE!$A$2:$ZZ$3001,$K131,CALC!$I$1)="","",INDEX(BASELINE!$A$2:$ZZ$3001,$K131,CALC!$I$1)))</f>
        <v/>
      </c>
      <c r="D131" s="13">
        <f>IF($K131="","",IF(INDEX(BASELINE!$A$2:$ZZ$3001,$K131,CALC!$L$1)="","",INDEX(BASELINE!$A$2:$ZZ$3001,$K131,CALC!$L$1)))</f>
        <v/>
      </c>
      <c r="E131" s="13">
        <f>IF($K131="","",IF(INDEX(BASELINE!$A$2:$ZZ$3001,$K131,CALC!$K$1)="","",INDEX(BASELINE!$A$2:$ZZ$3001,$K131,CALC!$K$1)))</f>
        <v/>
      </c>
      <c r="F131" s="14">
        <f>IF($K131="","",IF(INDEX(BASELINE!$A$2:$ZZ$3001,$K131,CALC!$O$1)="","",INDEX(BASELINE!$A$2:$ZZ$3001,$K131,CALC!$O$1)))</f>
        <v/>
      </c>
      <c r="G131" s="13">
        <f>IF($K131="","",IF(INDEX(BASELINE!$A$2:$ZZ$3001,$K131,CALC!$J$1)="","",INDEX(BASELINE!$A$2:$ZZ$3001,$K131,CALC!$J$1)))</f>
        <v/>
      </c>
      <c r="H131" s="13">
        <f>IF($K131="","",IF(INDEX(BASELINE!$A$2:$ZZ$3001,$K131,CALC!$M$1)="","",INDEX(BASELINE!$A$2:$ZZ$3001,$K131,CALC!$M$1)))</f>
        <v/>
      </c>
      <c r="I131" s="13">
        <f>IF($K131="","",IF(INDEX(BASELINE!$A$2:$ZZ$3001,$K131,CALC!$N$1)="","",INDEX(BASELINE!$A$2:$ZZ$3001,$K131,CALC!$N$1)))</f>
        <v/>
      </c>
      <c r="J131" s="12">
        <f>IF($K131="","",IF(ISNUMBER(SEARCH("break",INDEX(BASELINE!$A$2:$ZZ$3001,$K131,CALC!$Q$1)&amp;"")),"SIM",""))</f>
        <v/>
      </c>
      <c r="K131" s="15">
        <f>IF(123&lt;=CALC!$D$1,MATCH(123,CALC!$B$2:$B$3001,0),"")</f>
        <v/>
      </c>
    </row>
    <row r="132" ht="17" customHeight="1">
      <c r="A132" s="12">
        <f>IF($K132="","",124)</f>
        <v/>
      </c>
      <c r="B132" s="13">
        <f>IF($K132="","",IF(INDEX(BASELINE!$A$2:$ZZ$3001,$K132,CALC!$H$1)="","",INDEX(BASELINE!$A$2:$ZZ$3001,$K132,CALC!$H$1)))</f>
        <v/>
      </c>
      <c r="C132" s="12">
        <f>IF($K132="","",IF(INDEX(BASELINE!$A$2:$ZZ$3001,$K132,CALC!$I$1)="","",INDEX(BASELINE!$A$2:$ZZ$3001,$K132,CALC!$I$1)))</f>
        <v/>
      </c>
      <c r="D132" s="13">
        <f>IF($K132="","",IF(INDEX(BASELINE!$A$2:$ZZ$3001,$K132,CALC!$L$1)="","",INDEX(BASELINE!$A$2:$ZZ$3001,$K132,CALC!$L$1)))</f>
        <v/>
      </c>
      <c r="E132" s="13">
        <f>IF($K132="","",IF(INDEX(BASELINE!$A$2:$ZZ$3001,$K132,CALC!$K$1)="","",INDEX(BASELINE!$A$2:$ZZ$3001,$K132,CALC!$K$1)))</f>
        <v/>
      </c>
      <c r="F132" s="14">
        <f>IF($K132="","",IF(INDEX(BASELINE!$A$2:$ZZ$3001,$K132,CALC!$O$1)="","",INDEX(BASELINE!$A$2:$ZZ$3001,$K132,CALC!$O$1)))</f>
        <v/>
      </c>
      <c r="G132" s="13">
        <f>IF($K132="","",IF(INDEX(BASELINE!$A$2:$ZZ$3001,$K132,CALC!$J$1)="","",INDEX(BASELINE!$A$2:$ZZ$3001,$K132,CALC!$J$1)))</f>
        <v/>
      </c>
      <c r="H132" s="13">
        <f>IF($K132="","",IF(INDEX(BASELINE!$A$2:$ZZ$3001,$K132,CALC!$M$1)="","",INDEX(BASELINE!$A$2:$ZZ$3001,$K132,CALC!$M$1)))</f>
        <v/>
      </c>
      <c r="I132" s="13">
        <f>IF($K132="","",IF(INDEX(BASELINE!$A$2:$ZZ$3001,$K132,CALC!$N$1)="","",INDEX(BASELINE!$A$2:$ZZ$3001,$K132,CALC!$N$1)))</f>
        <v/>
      </c>
      <c r="J132" s="12">
        <f>IF($K132="","",IF(ISNUMBER(SEARCH("break",INDEX(BASELINE!$A$2:$ZZ$3001,$K132,CALC!$Q$1)&amp;"")),"SIM",""))</f>
        <v/>
      </c>
      <c r="K132" s="15">
        <f>IF(124&lt;=CALC!$D$1,MATCH(124,CALC!$B$2:$B$3001,0),"")</f>
        <v/>
      </c>
    </row>
    <row r="133" ht="17" customHeight="1">
      <c r="A133" s="12">
        <f>IF($K133="","",125)</f>
        <v/>
      </c>
      <c r="B133" s="13">
        <f>IF($K133="","",IF(INDEX(BASELINE!$A$2:$ZZ$3001,$K133,CALC!$H$1)="","",INDEX(BASELINE!$A$2:$ZZ$3001,$K133,CALC!$H$1)))</f>
        <v/>
      </c>
      <c r="C133" s="12">
        <f>IF($K133="","",IF(INDEX(BASELINE!$A$2:$ZZ$3001,$K133,CALC!$I$1)="","",INDEX(BASELINE!$A$2:$ZZ$3001,$K133,CALC!$I$1)))</f>
        <v/>
      </c>
      <c r="D133" s="13">
        <f>IF($K133="","",IF(INDEX(BASELINE!$A$2:$ZZ$3001,$K133,CALC!$L$1)="","",INDEX(BASELINE!$A$2:$ZZ$3001,$K133,CALC!$L$1)))</f>
        <v/>
      </c>
      <c r="E133" s="13">
        <f>IF($K133="","",IF(INDEX(BASELINE!$A$2:$ZZ$3001,$K133,CALC!$K$1)="","",INDEX(BASELINE!$A$2:$ZZ$3001,$K133,CALC!$K$1)))</f>
        <v/>
      </c>
      <c r="F133" s="14">
        <f>IF($K133="","",IF(INDEX(BASELINE!$A$2:$ZZ$3001,$K133,CALC!$O$1)="","",INDEX(BASELINE!$A$2:$ZZ$3001,$K133,CALC!$O$1)))</f>
        <v/>
      </c>
      <c r="G133" s="13">
        <f>IF($K133="","",IF(INDEX(BASELINE!$A$2:$ZZ$3001,$K133,CALC!$J$1)="","",INDEX(BASELINE!$A$2:$ZZ$3001,$K133,CALC!$J$1)))</f>
        <v/>
      </c>
      <c r="H133" s="13">
        <f>IF($K133="","",IF(INDEX(BASELINE!$A$2:$ZZ$3001,$K133,CALC!$M$1)="","",INDEX(BASELINE!$A$2:$ZZ$3001,$K133,CALC!$M$1)))</f>
        <v/>
      </c>
      <c r="I133" s="13">
        <f>IF($K133="","",IF(INDEX(BASELINE!$A$2:$ZZ$3001,$K133,CALC!$N$1)="","",INDEX(BASELINE!$A$2:$ZZ$3001,$K133,CALC!$N$1)))</f>
        <v/>
      </c>
      <c r="J133" s="12">
        <f>IF($K133="","",IF(ISNUMBER(SEARCH("break",INDEX(BASELINE!$A$2:$ZZ$3001,$K133,CALC!$Q$1)&amp;"")),"SIM",""))</f>
        <v/>
      </c>
      <c r="K133" s="15">
        <f>IF(125&lt;=CALC!$D$1,MATCH(125,CALC!$B$2:$B$3001,0),"")</f>
        <v/>
      </c>
    </row>
    <row r="134" ht="17" customHeight="1">
      <c r="A134" s="12">
        <f>IF($K134="","",126)</f>
        <v/>
      </c>
      <c r="B134" s="13">
        <f>IF($K134="","",IF(INDEX(BASELINE!$A$2:$ZZ$3001,$K134,CALC!$H$1)="","",INDEX(BASELINE!$A$2:$ZZ$3001,$K134,CALC!$H$1)))</f>
        <v/>
      </c>
      <c r="C134" s="12">
        <f>IF($K134="","",IF(INDEX(BASELINE!$A$2:$ZZ$3001,$K134,CALC!$I$1)="","",INDEX(BASELINE!$A$2:$ZZ$3001,$K134,CALC!$I$1)))</f>
        <v/>
      </c>
      <c r="D134" s="13">
        <f>IF($K134="","",IF(INDEX(BASELINE!$A$2:$ZZ$3001,$K134,CALC!$L$1)="","",INDEX(BASELINE!$A$2:$ZZ$3001,$K134,CALC!$L$1)))</f>
        <v/>
      </c>
      <c r="E134" s="13">
        <f>IF($K134="","",IF(INDEX(BASELINE!$A$2:$ZZ$3001,$K134,CALC!$K$1)="","",INDEX(BASELINE!$A$2:$ZZ$3001,$K134,CALC!$K$1)))</f>
        <v/>
      </c>
      <c r="F134" s="14">
        <f>IF($K134="","",IF(INDEX(BASELINE!$A$2:$ZZ$3001,$K134,CALC!$O$1)="","",INDEX(BASELINE!$A$2:$ZZ$3001,$K134,CALC!$O$1)))</f>
        <v/>
      </c>
      <c r="G134" s="13">
        <f>IF($K134="","",IF(INDEX(BASELINE!$A$2:$ZZ$3001,$K134,CALC!$J$1)="","",INDEX(BASELINE!$A$2:$ZZ$3001,$K134,CALC!$J$1)))</f>
        <v/>
      </c>
      <c r="H134" s="13">
        <f>IF($K134="","",IF(INDEX(BASELINE!$A$2:$ZZ$3001,$K134,CALC!$M$1)="","",INDEX(BASELINE!$A$2:$ZZ$3001,$K134,CALC!$M$1)))</f>
        <v/>
      </c>
      <c r="I134" s="13">
        <f>IF($K134="","",IF(INDEX(BASELINE!$A$2:$ZZ$3001,$K134,CALC!$N$1)="","",INDEX(BASELINE!$A$2:$ZZ$3001,$K134,CALC!$N$1)))</f>
        <v/>
      </c>
      <c r="J134" s="12">
        <f>IF($K134="","",IF(ISNUMBER(SEARCH("break",INDEX(BASELINE!$A$2:$ZZ$3001,$K134,CALC!$Q$1)&amp;"")),"SIM",""))</f>
        <v/>
      </c>
      <c r="K134" s="15">
        <f>IF(126&lt;=CALC!$D$1,MATCH(126,CALC!$B$2:$B$3001,0),"")</f>
        <v/>
      </c>
    </row>
    <row r="135" ht="17" customHeight="1">
      <c r="A135" s="12">
        <f>IF($K135="","",127)</f>
        <v/>
      </c>
      <c r="B135" s="13">
        <f>IF($K135="","",IF(INDEX(BASELINE!$A$2:$ZZ$3001,$K135,CALC!$H$1)="","",INDEX(BASELINE!$A$2:$ZZ$3001,$K135,CALC!$H$1)))</f>
        <v/>
      </c>
      <c r="C135" s="12">
        <f>IF($K135="","",IF(INDEX(BASELINE!$A$2:$ZZ$3001,$K135,CALC!$I$1)="","",INDEX(BASELINE!$A$2:$ZZ$3001,$K135,CALC!$I$1)))</f>
        <v/>
      </c>
      <c r="D135" s="13">
        <f>IF($K135="","",IF(INDEX(BASELINE!$A$2:$ZZ$3001,$K135,CALC!$L$1)="","",INDEX(BASELINE!$A$2:$ZZ$3001,$K135,CALC!$L$1)))</f>
        <v/>
      </c>
      <c r="E135" s="13">
        <f>IF($K135="","",IF(INDEX(BASELINE!$A$2:$ZZ$3001,$K135,CALC!$K$1)="","",INDEX(BASELINE!$A$2:$ZZ$3001,$K135,CALC!$K$1)))</f>
        <v/>
      </c>
      <c r="F135" s="14">
        <f>IF($K135="","",IF(INDEX(BASELINE!$A$2:$ZZ$3001,$K135,CALC!$O$1)="","",INDEX(BASELINE!$A$2:$ZZ$3001,$K135,CALC!$O$1)))</f>
        <v/>
      </c>
      <c r="G135" s="13">
        <f>IF($K135="","",IF(INDEX(BASELINE!$A$2:$ZZ$3001,$K135,CALC!$J$1)="","",INDEX(BASELINE!$A$2:$ZZ$3001,$K135,CALC!$J$1)))</f>
        <v/>
      </c>
      <c r="H135" s="13">
        <f>IF($K135="","",IF(INDEX(BASELINE!$A$2:$ZZ$3001,$K135,CALC!$M$1)="","",INDEX(BASELINE!$A$2:$ZZ$3001,$K135,CALC!$M$1)))</f>
        <v/>
      </c>
      <c r="I135" s="13">
        <f>IF($K135="","",IF(INDEX(BASELINE!$A$2:$ZZ$3001,$K135,CALC!$N$1)="","",INDEX(BASELINE!$A$2:$ZZ$3001,$K135,CALC!$N$1)))</f>
        <v/>
      </c>
      <c r="J135" s="12">
        <f>IF($K135="","",IF(ISNUMBER(SEARCH("break",INDEX(BASELINE!$A$2:$ZZ$3001,$K135,CALC!$Q$1)&amp;"")),"SIM",""))</f>
        <v/>
      </c>
      <c r="K135" s="15">
        <f>IF(127&lt;=CALC!$D$1,MATCH(127,CALC!$B$2:$B$3001,0),"")</f>
        <v/>
      </c>
    </row>
    <row r="136" ht="17" customHeight="1">
      <c r="A136" s="12">
        <f>IF($K136="","",128)</f>
        <v/>
      </c>
      <c r="B136" s="13">
        <f>IF($K136="","",IF(INDEX(BASELINE!$A$2:$ZZ$3001,$K136,CALC!$H$1)="","",INDEX(BASELINE!$A$2:$ZZ$3001,$K136,CALC!$H$1)))</f>
        <v/>
      </c>
      <c r="C136" s="12">
        <f>IF($K136="","",IF(INDEX(BASELINE!$A$2:$ZZ$3001,$K136,CALC!$I$1)="","",INDEX(BASELINE!$A$2:$ZZ$3001,$K136,CALC!$I$1)))</f>
        <v/>
      </c>
      <c r="D136" s="13">
        <f>IF($K136="","",IF(INDEX(BASELINE!$A$2:$ZZ$3001,$K136,CALC!$L$1)="","",INDEX(BASELINE!$A$2:$ZZ$3001,$K136,CALC!$L$1)))</f>
        <v/>
      </c>
      <c r="E136" s="13">
        <f>IF($K136="","",IF(INDEX(BASELINE!$A$2:$ZZ$3001,$K136,CALC!$K$1)="","",INDEX(BASELINE!$A$2:$ZZ$3001,$K136,CALC!$K$1)))</f>
        <v/>
      </c>
      <c r="F136" s="14">
        <f>IF($K136="","",IF(INDEX(BASELINE!$A$2:$ZZ$3001,$K136,CALC!$O$1)="","",INDEX(BASELINE!$A$2:$ZZ$3001,$K136,CALC!$O$1)))</f>
        <v/>
      </c>
      <c r="G136" s="13">
        <f>IF($K136="","",IF(INDEX(BASELINE!$A$2:$ZZ$3001,$K136,CALC!$J$1)="","",INDEX(BASELINE!$A$2:$ZZ$3001,$K136,CALC!$J$1)))</f>
        <v/>
      </c>
      <c r="H136" s="13">
        <f>IF($K136="","",IF(INDEX(BASELINE!$A$2:$ZZ$3001,$K136,CALC!$M$1)="","",INDEX(BASELINE!$A$2:$ZZ$3001,$K136,CALC!$M$1)))</f>
        <v/>
      </c>
      <c r="I136" s="13">
        <f>IF($K136="","",IF(INDEX(BASELINE!$A$2:$ZZ$3001,$K136,CALC!$N$1)="","",INDEX(BASELINE!$A$2:$ZZ$3001,$K136,CALC!$N$1)))</f>
        <v/>
      </c>
      <c r="J136" s="12">
        <f>IF($K136="","",IF(ISNUMBER(SEARCH("break",INDEX(BASELINE!$A$2:$ZZ$3001,$K136,CALC!$Q$1)&amp;"")),"SIM",""))</f>
        <v/>
      </c>
      <c r="K136" s="15">
        <f>IF(128&lt;=CALC!$D$1,MATCH(128,CALC!$B$2:$B$3001,0),"")</f>
        <v/>
      </c>
    </row>
    <row r="137" ht="17" customHeight="1">
      <c r="A137" s="12">
        <f>IF($K137="","",129)</f>
        <v/>
      </c>
      <c r="B137" s="13">
        <f>IF($K137="","",IF(INDEX(BASELINE!$A$2:$ZZ$3001,$K137,CALC!$H$1)="","",INDEX(BASELINE!$A$2:$ZZ$3001,$K137,CALC!$H$1)))</f>
        <v/>
      </c>
      <c r="C137" s="12">
        <f>IF($K137="","",IF(INDEX(BASELINE!$A$2:$ZZ$3001,$K137,CALC!$I$1)="","",INDEX(BASELINE!$A$2:$ZZ$3001,$K137,CALC!$I$1)))</f>
        <v/>
      </c>
      <c r="D137" s="13">
        <f>IF($K137="","",IF(INDEX(BASELINE!$A$2:$ZZ$3001,$K137,CALC!$L$1)="","",INDEX(BASELINE!$A$2:$ZZ$3001,$K137,CALC!$L$1)))</f>
        <v/>
      </c>
      <c r="E137" s="13">
        <f>IF($K137="","",IF(INDEX(BASELINE!$A$2:$ZZ$3001,$K137,CALC!$K$1)="","",INDEX(BASELINE!$A$2:$ZZ$3001,$K137,CALC!$K$1)))</f>
        <v/>
      </c>
      <c r="F137" s="14">
        <f>IF($K137="","",IF(INDEX(BASELINE!$A$2:$ZZ$3001,$K137,CALC!$O$1)="","",INDEX(BASELINE!$A$2:$ZZ$3001,$K137,CALC!$O$1)))</f>
        <v/>
      </c>
      <c r="G137" s="13">
        <f>IF($K137="","",IF(INDEX(BASELINE!$A$2:$ZZ$3001,$K137,CALC!$J$1)="","",INDEX(BASELINE!$A$2:$ZZ$3001,$K137,CALC!$J$1)))</f>
        <v/>
      </c>
      <c r="H137" s="13">
        <f>IF($K137="","",IF(INDEX(BASELINE!$A$2:$ZZ$3001,$K137,CALC!$M$1)="","",INDEX(BASELINE!$A$2:$ZZ$3001,$K137,CALC!$M$1)))</f>
        <v/>
      </c>
      <c r="I137" s="13">
        <f>IF($K137="","",IF(INDEX(BASELINE!$A$2:$ZZ$3001,$K137,CALC!$N$1)="","",INDEX(BASELINE!$A$2:$ZZ$3001,$K137,CALC!$N$1)))</f>
        <v/>
      </c>
      <c r="J137" s="12">
        <f>IF($K137="","",IF(ISNUMBER(SEARCH("break",INDEX(BASELINE!$A$2:$ZZ$3001,$K137,CALC!$Q$1)&amp;"")),"SIM",""))</f>
        <v/>
      </c>
      <c r="K137" s="15">
        <f>IF(129&lt;=CALC!$D$1,MATCH(129,CALC!$B$2:$B$3001,0),"")</f>
        <v/>
      </c>
    </row>
    <row r="138" ht="17" customHeight="1">
      <c r="A138" s="12">
        <f>IF($K138="","",130)</f>
        <v/>
      </c>
      <c r="B138" s="13">
        <f>IF($K138="","",IF(INDEX(BASELINE!$A$2:$ZZ$3001,$K138,CALC!$H$1)="","",INDEX(BASELINE!$A$2:$ZZ$3001,$K138,CALC!$H$1)))</f>
        <v/>
      </c>
      <c r="C138" s="12">
        <f>IF($K138="","",IF(INDEX(BASELINE!$A$2:$ZZ$3001,$K138,CALC!$I$1)="","",INDEX(BASELINE!$A$2:$ZZ$3001,$K138,CALC!$I$1)))</f>
        <v/>
      </c>
      <c r="D138" s="13">
        <f>IF($K138="","",IF(INDEX(BASELINE!$A$2:$ZZ$3001,$K138,CALC!$L$1)="","",INDEX(BASELINE!$A$2:$ZZ$3001,$K138,CALC!$L$1)))</f>
        <v/>
      </c>
      <c r="E138" s="13">
        <f>IF($K138="","",IF(INDEX(BASELINE!$A$2:$ZZ$3001,$K138,CALC!$K$1)="","",INDEX(BASELINE!$A$2:$ZZ$3001,$K138,CALC!$K$1)))</f>
        <v/>
      </c>
      <c r="F138" s="14">
        <f>IF($K138="","",IF(INDEX(BASELINE!$A$2:$ZZ$3001,$K138,CALC!$O$1)="","",INDEX(BASELINE!$A$2:$ZZ$3001,$K138,CALC!$O$1)))</f>
        <v/>
      </c>
      <c r="G138" s="13">
        <f>IF($K138="","",IF(INDEX(BASELINE!$A$2:$ZZ$3001,$K138,CALC!$J$1)="","",INDEX(BASELINE!$A$2:$ZZ$3001,$K138,CALC!$J$1)))</f>
        <v/>
      </c>
      <c r="H138" s="13">
        <f>IF($K138="","",IF(INDEX(BASELINE!$A$2:$ZZ$3001,$K138,CALC!$M$1)="","",INDEX(BASELINE!$A$2:$ZZ$3001,$K138,CALC!$M$1)))</f>
        <v/>
      </c>
      <c r="I138" s="13">
        <f>IF($K138="","",IF(INDEX(BASELINE!$A$2:$ZZ$3001,$K138,CALC!$N$1)="","",INDEX(BASELINE!$A$2:$ZZ$3001,$K138,CALC!$N$1)))</f>
        <v/>
      </c>
      <c r="J138" s="12">
        <f>IF($K138="","",IF(ISNUMBER(SEARCH("break",INDEX(BASELINE!$A$2:$ZZ$3001,$K138,CALC!$Q$1)&amp;"")),"SIM",""))</f>
        <v/>
      </c>
      <c r="K138" s="15">
        <f>IF(130&lt;=CALC!$D$1,MATCH(130,CALC!$B$2:$B$3001,0),"")</f>
        <v/>
      </c>
    </row>
    <row r="139" ht="17" customHeight="1">
      <c r="A139" s="12">
        <f>IF($K139="","",131)</f>
        <v/>
      </c>
      <c r="B139" s="13">
        <f>IF($K139="","",IF(INDEX(BASELINE!$A$2:$ZZ$3001,$K139,CALC!$H$1)="","",INDEX(BASELINE!$A$2:$ZZ$3001,$K139,CALC!$H$1)))</f>
        <v/>
      </c>
      <c r="C139" s="12">
        <f>IF($K139="","",IF(INDEX(BASELINE!$A$2:$ZZ$3001,$K139,CALC!$I$1)="","",INDEX(BASELINE!$A$2:$ZZ$3001,$K139,CALC!$I$1)))</f>
        <v/>
      </c>
      <c r="D139" s="13">
        <f>IF($K139="","",IF(INDEX(BASELINE!$A$2:$ZZ$3001,$K139,CALC!$L$1)="","",INDEX(BASELINE!$A$2:$ZZ$3001,$K139,CALC!$L$1)))</f>
        <v/>
      </c>
      <c r="E139" s="13">
        <f>IF($K139="","",IF(INDEX(BASELINE!$A$2:$ZZ$3001,$K139,CALC!$K$1)="","",INDEX(BASELINE!$A$2:$ZZ$3001,$K139,CALC!$K$1)))</f>
        <v/>
      </c>
      <c r="F139" s="14">
        <f>IF($K139="","",IF(INDEX(BASELINE!$A$2:$ZZ$3001,$K139,CALC!$O$1)="","",INDEX(BASELINE!$A$2:$ZZ$3001,$K139,CALC!$O$1)))</f>
        <v/>
      </c>
      <c r="G139" s="13">
        <f>IF($K139="","",IF(INDEX(BASELINE!$A$2:$ZZ$3001,$K139,CALC!$J$1)="","",INDEX(BASELINE!$A$2:$ZZ$3001,$K139,CALC!$J$1)))</f>
        <v/>
      </c>
      <c r="H139" s="13">
        <f>IF($K139="","",IF(INDEX(BASELINE!$A$2:$ZZ$3001,$K139,CALC!$M$1)="","",INDEX(BASELINE!$A$2:$ZZ$3001,$K139,CALC!$M$1)))</f>
        <v/>
      </c>
      <c r="I139" s="13">
        <f>IF($K139="","",IF(INDEX(BASELINE!$A$2:$ZZ$3001,$K139,CALC!$N$1)="","",INDEX(BASELINE!$A$2:$ZZ$3001,$K139,CALC!$N$1)))</f>
        <v/>
      </c>
      <c r="J139" s="12">
        <f>IF($K139="","",IF(ISNUMBER(SEARCH("break",INDEX(BASELINE!$A$2:$ZZ$3001,$K139,CALC!$Q$1)&amp;"")),"SIM",""))</f>
        <v/>
      </c>
      <c r="K139" s="15">
        <f>IF(131&lt;=CALC!$D$1,MATCH(131,CALC!$B$2:$B$3001,0),"")</f>
        <v/>
      </c>
    </row>
    <row r="140" ht="17" customHeight="1">
      <c r="A140" s="12">
        <f>IF($K140="","",132)</f>
        <v/>
      </c>
      <c r="B140" s="13">
        <f>IF($K140="","",IF(INDEX(BASELINE!$A$2:$ZZ$3001,$K140,CALC!$H$1)="","",INDEX(BASELINE!$A$2:$ZZ$3001,$K140,CALC!$H$1)))</f>
        <v/>
      </c>
      <c r="C140" s="12">
        <f>IF($K140="","",IF(INDEX(BASELINE!$A$2:$ZZ$3001,$K140,CALC!$I$1)="","",INDEX(BASELINE!$A$2:$ZZ$3001,$K140,CALC!$I$1)))</f>
        <v/>
      </c>
      <c r="D140" s="13">
        <f>IF($K140="","",IF(INDEX(BASELINE!$A$2:$ZZ$3001,$K140,CALC!$L$1)="","",INDEX(BASELINE!$A$2:$ZZ$3001,$K140,CALC!$L$1)))</f>
        <v/>
      </c>
      <c r="E140" s="13">
        <f>IF($K140="","",IF(INDEX(BASELINE!$A$2:$ZZ$3001,$K140,CALC!$K$1)="","",INDEX(BASELINE!$A$2:$ZZ$3001,$K140,CALC!$K$1)))</f>
        <v/>
      </c>
      <c r="F140" s="14">
        <f>IF($K140="","",IF(INDEX(BASELINE!$A$2:$ZZ$3001,$K140,CALC!$O$1)="","",INDEX(BASELINE!$A$2:$ZZ$3001,$K140,CALC!$O$1)))</f>
        <v/>
      </c>
      <c r="G140" s="13">
        <f>IF($K140="","",IF(INDEX(BASELINE!$A$2:$ZZ$3001,$K140,CALC!$J$1)="","",INDEX(BASELINE!$A$2:$ZZ$3001,$K140,CALC!$J$1)))</f>
        <v/>
      </c>
      <c r="H140" s="13">
        <f>IF($K140="","",IF(INDEX(BASELINE!$A$2:$ZZ$3001,$K140,CALC!$M$1)="","",INDEX(BASELINE!$A$2:$ZZ$3001,$K140,CALC!$M$1)))</f>
        <v/>
      </c>
      <c r="I140" s="13">
        <f>IF($K140="","",IF(INDEX(BASELINE!$A$2:$ZZ$3001,$K140,CALC!$N$1)="","",INDEX(BASELINE!$A$2:$ZZ$3001,$K140,CALC!$N$1)))</f>
        <v/>
      </c>
      <c r="J140" s="12">
        <f>IF($K140="","",IF(ISNUMBER(SEARCH("break",INDEX(BASELINE!$A$2:$ZZ$3001,$K140,CALC!$Q$1)&amp;"")),"SIM",""))</f>
        <v/>
      </c>
      <c r="K140" s="15">
        <f>IF(132&lt;=CALC!$D$1,MATCH(132,CALC!$B$2:$B$3001,0),"")</f>
        <v/>
      </c>
    </row>
    <row r="141" ht="17" customHeight="1">
      <c r="A141" s="12">
        <f>IF($K141="","",133)</f>
        <v/>
      </c>
      <c r="B141" s="13">
        <f>IF($K141="","",IF(INDEX(BASELINE!$A$2:$ZZ$3001,$K141,CALC!$H$1)="","",INDEX(BASELINE!$A$2:$ZZ$3001,$K141,CALC!$H$1)))</f>
        <v/>
      </c>
      <c r="C141" s="12">
        <f>IF($K141="","",IF(INDEX(BASELINE!$A$2:$ZZ$3001,$K141,CALC!$I$1)="","",INDEX(BASELINE!$A$2:$ZZ$3001,$K141,CALC!$I$1)))</f>
        <v/>
      </c>
      <c r="D141" s="13">
        <f>IF($K141="","",IF(INDEX(BASELINE!$A$2:$ZZ$3001,$K141,CALC!$L$1)="","",INDEX(BASELINE!$A$2:$ZZ$3001,$K141,CALC!$L$1)))</f>
        <v/>
      </c>
      <c r="E141" s="13">
        <f>IF($K141="","",IF(INDEX(BASELINE!$A$2:$ZZ$3001,$K141,CALC!$K$1)="","",INDEX(BASELINE!$A$2:$ZZ$3001,$K141,CALC!$K$1)))</f>
        <v/>
      </c>
      <c r="F141" s="14">
        <f>IF($K141="","",IF(INDEX(BASELINE!$A$2:$ZZ$3001,$K141,CALC!$O$1)="","",INDEX(BASELINE!$A$2:$ZZ$3001,$K141,CALC!$O$1)))</f>
        <v/>
      </c>
      <c r="G141" s="13">
        <f>IF($K141="","",IF(INDEX(BASELINE!$A$2:$ZZ$3001,$K141,CALC!$J$1)="","",INDEX(BASELINE!$A$2:$ZZ$3001,$K141,CALC!$J$1)))</f>
        <v/>
      </c>
      <c r="H141" s="13">
        <f>IF($K141="","",IF(INDEX(BASELINE!$A$2:$ZZ$3001,$K141,CALC!$M$1)="","",INDEX(BASELINE!$A$2:$ZZ$3001,$K141,CALC!$M$1)))</f>
        <v/>
      </c>
      <c r="I141" s="13">
        <f>IF($K141="","",IF(INDEX(BASELINE!$A$2:$ZZ$3001,$K141,CALC!$N$1)="","",INDEX(BASELINE!$A$2:$ZZ$3001,$K141,CALC!$N$1)))</f>
        <v/>
      </c>
      <c r="J141" s="12">
        <f>IF($K141="","",IF(ISNUMBER(SEARCH("break",INDEX(BASELINE!$A$2:$ZZ$3001,$K141,CALC!$Q$1)&amp;"")),"SIM",""))</f>
        <v/>
      </c>
      <c r="K141" s="15">
        <f>IF(133&lt;=CALC!$D$1,MATCH(133,CALC!$B$2:$B$3001,0),"")</f>
        <v/>
      </c>
    </row>
    <row r="142" ht="17" customHeight="1">
      <c r="A142" s="12">
        <f>IF($K142="","",134)</f>
        <v/>
      </c>
      <c r="B142" s="13">
        <f>IF($K142="","",IF(INDEX(BASELINE!$A$2:$ZZ$3001,$K142,CALC!$H$1)="","",INDEX(BASELINE!$A$2:$ZZ$3001,$K142,CALC!$H$1)))</f>
        <v/>
      </c>
      <c r="C142" s="12">
        <f>IF($K142="","",IF(INDEX(BASELINE!$A$2:$ZZ$3001,$K142,CALC!$I$1)="","",INDEX(BASELINE!$A$2:$ZZ$3001,$K142,CALC!$I$1)))</f>
        <v/>
      </c>
      <c r="D142" s="13">
        <f>IF($K142="","",IF(INDEX(BASELINE!$A$2:$ZZ$3001,$K142,CALC!$L$1)="","",INDEX(BASELINE!$A$2:$ZZ$3001,$K142,CALC!$L$1)))</f>
        <v/>
      </c>
      <c r="E142" s="13">
        <f>IF($K142="","",IF(INDEX(BASELINE!$A$2:$ZZ$3001,$K142,CALC!$K$1)="","",INDEX(BASELINE!$A$2:$ZZ$3001,$K142,CALC!$K$1)))</f>
        <v/>
      </c>
      <c r="F142" s="14">
        <f>IF($K142="","",IF(INDEX(BASELINE!$A$2:$ZZ$3001,$K142,CALC!$O$1)="","",INDEX(BASELINE!$A$2:$ZZ$3001,$K142,CALC!$O$1)))</f>
        <v/>
      </c>
      <c r="G142" s="13">
        <f>IF($K142="","",IF(INDEX(BASELINE!$A$2:$ZZ$3001,$K142,CALC!$J$1)="","",INDEX(BASELINE!$A$2:$ZZ$3001,$K142,CALC!$J$1)))</f>
        <v/>
      </c>
      <c r="H142" s="13">
        <f>IF($K142="","",IF(INDEX(BASELINE!$A$2:$ZZ$3001,$K142,CALC!$M$1)="","",INDEX(BASELINE!$A$2:$ZZ$3001,$K142,CALC!$M$1)))</f>
        <v/>
      </c>
      <c r="I142" s="13">
        <f>IF($K142="","",IF(INDEX(BASELINE!$A$2:$ZZ$3001,$K142,CALC!$N$1)="","",INDEX(BASELINE!$A$2:$ZZ$3001,$K142,CALC!$N$1)))</f>
        <v/>
      </c>
      <c r="J142" s="12">
        <f>IF($K142="","",IF(ISNUMBER(SEARCH("break",INDEX(BASELINE!$A$2:$ZZ$3001,$K142,CALC!$Q$1)&amp;"")),"SIM",""))</f>
        <v/>
      </c>
      <c r="K142" s="15">
        <f>IF(134&lt;=CALC!$D$1,MATCH(134,CALC!$B$2:$B$3001,0),"")</f>
        <v/>
      </c>
    </row>
    <row r="143" ht="17" customHeight="1">
      <c r="A143" s="12">
        <f>IF($K143="","",135)</f>
        <v/>
      </c>
      <c r="B143" s="13">
        <f>IF($K143="","",IF(INDEX(BASELINE!$A$2:$ZZ$3001,$K143,CALC!$H$1)="","",INDEX(BASELINE!$A$2:$ZZ$3001,$K143,CALC!$H$1)))</f>
        <v/>
      </c>
      <c r="C143" s="12">
        <f>IF($K143="","",IF(INDEX(BASELINE!$A$2:$ZZ$3001,$K143,CALC!$I$1)="","",INDEX(BASELINE!$A$2:$ZZ$3001,$K143,CALC!$I$1)))</f>
        <v/>
      </c>
      <c r="D143" s="13">
        <f>IF($K143="","",IF(INDEX(BASELINE!$A$2:$ZZ$3001,$K143,CALC!$L$1)="","",INDEX(BASELINE!$A$2:$ZZ$3001,$K143,CALC!$L$1)))</f>
        <v/>
      </c>
      <c r="E143" s="13">
        <f>IF($K143="","",IF(INDEX(BASELINE!$A$2:$ZZ$3001,$K143,CALC!$K$1)="","",INDEX(BASELINE!$A$2:$ZZ$3001,$K143,CALC!$K$1)))</f>
        <v/>
      </c>
      <c r="F143" s="14">
        <f>IF($K143="","",IF(INDEX(BASELINE!$A$2:$ZZ$3001,$K143,CALC!$O$1)="","",INDEX(BASELINE!$A$2:$ZZ$3001,$K143,CALC!$O$1)))</f>
        <v/>
      </c>
      <c r="G143" s="13">
        <f>IF($K143="","",IF(INDEX(BASELINE!$A$2:$ZZ$3001,$K143,CALC!$J$1)="","",INDEX(BASELINE!$A$2:$ZZ$3001,$K143,CALC!$J$1)))</f>
        <v/>
      </c>
      <c r="H143" s="13">
        <f>IF($K143="","",IF(INDEX(BASELINE!$A$2:$ZZ$3001,$K143,CALC!$M$1)="","",INDEX(BASELINE!$A$2:$ZZ$3001,$K143,CALC!$M$1)))</f>
        <v/>
      </c>
      <c r="I143" s="13">
        <f>IF($K143="","",IF(INDEX(BASELINE!$A$2:$ZZ$3001,$K143,CALC!$N$1)="","",INDEX(BASELINE!$A$2:$ZZ$3001,$K143,CALC!$N$1)))</f>
        <v/>
      </c>
      <c r="J143" s="12">
        <f>IF($K143="","",IF(ISNUMBER(SEARCH("break",INDEX(BASELINE!$A$2:$ZZ$3001,$K143,CALC!$Q$1)&amp;"")),"SIM",""))</f>
        <v/>
      </c>
      <c r="K143" s="15">
        <f>IF(135&lt;=CALC!$D$1,MATCH(135,CALC!$B$2:$B$3001,0),"")</f>
        <v/>
      </c>
    </row>
    <row r="144" ht="17" customHeight="1">
      <c r="A144" s="12">
        <f>IF($K144="","",136)</f>
        <v/>
      </c>
      <c r="B144" s="13">
        <f>IF($K144="","",IF(INDEX(BASELINE!$A$2:$ZZ$3001,$K144,CALC!$H$1)="","",INDEX(BASELINE!$A$2:$ZZ$3001,$K144,CALC!$H$1)))</f>
        <v/>
      </c>
      <c r="C144" s="12">
        <f>IF($K144="","",IF(INDEX(BASELINE!$A$2:$ZZ$3001,$K144,CALC!$I$1)="","",INDEX(BASELINE!$A$2:$ZZ$3001,$K144,CALC!$I$1)))</f>
        <v/>
      </c>
      <c r="D144" s="13">
        <f>IF($K144="","",IF(INDEX(BASELINE!$A$2:$ZZ$3001,$K144,CALC!$L$1)="","",INDEX(BASELINE!$A$2:$ZZ$3001,$K144,CALC!$L$1)))</f>
        <v/>
      </c>
      <c r="E144" s="13">
        <f>IF($K144="","",IF(INDEX(BASELINE!$A$2:$ZZ$3001,$K144,CALC!$K$1)="","",INDEX(BASELINE!$A$2:$ZZ$3001,$K144,CALC!$K$1)))</f>
        <v/>
      </c>
      <c r="F144" s="14">
        <f>IF($K144="","",IF(INDEX(BASELINE!$A$2:$ZZ$3001,$K144,CALC!$O$1)="","",INDEX(BASELINE!$A$2:$ZZ$3001,$K144,CALC!$O$1)))</f>
        <v/>
      </c>
      <c r="G144" s="13">
        <f>IF($K144="","",IF(INDEX(BASELINE!$A$2:$ZZ$3001,$K144,CALC!$J$1)="","",INDEX(BASELINE!$A$2:$ZZ$3001,$K144,CALC!$J$1)))</f>
        <v/>
      </c>
      <c r="H144" s="13">
        <f>IF($K144="","",IF(INDEX(BASELINE!$A$2:$ZZ$3001,$K144,CALC!$M$1)="","",INDEX(BASELINE!$A$2:$ZZ$3001,$K144,CALC!$M$1)))</f>
        <v/>
      </c>
      <c r="I144" s="13">
        <f>IF($K144="","",IF(INDEX(BASELINE!$A$2:$ZZ$3001,$K144,CALC!$N$1)="","",INDEX(BASELINE!$A$2:$ZZ$3001,$K144,CALC!$N$1)))</f>
        <v/>
      </c>
      <c r="J144" s="12">
        <f>IF($K144="","",IF(ISNUMBER(SEARCH("break",INDEX(BASELINE!$A$2:$ZZ$3001,$K144,CALC!$Q$1)&amp;"")),"SIM",""))</f>
        <v/>
      </c>
      <c r="K144" s="15">
        <f>IF(136&lt;=CALC!$D$1,MATCH(136,CALC!$B$2:$B$3001,0),"")</f>
        <v/>
      </c>
    </row>
    <row r="145" ht="17" customHeight="1">
      <c r="A145" s="12">
        <f>IF($K145="","",137)</f>
        <v/>
      </c>
      <c r="B145" s="13">
        <f>IF($K145="","",IF(INDEX(BASELINE!$A$2:$ZZ$3001,$K145,CALC!$H$1)="","",INDEX(BASELINE!$A$2:$ZZ$3001,$K145,CALC!$H$1)))</f>
        <v/>
      </c>
      <c r="C145" s="12">
        <f>IF($K145="","",IF(INDEX(BASELINE!$A$2:$ZZ$3001,$K145,CALC!$I$1)="","",INDEX(BASELINE!$A$2:$ZZ$3001,$K145,CALC!$I$1)))</f>
        <v/>
      </c>
      <c r="D145" s="13">
        <f>IF($K145="","",IF(INDEX(BASELINE!$A$2:$ZZ$3001,$K145,CALC!$L$1)="","",INDEX(BASELINE!$A$2:$ZZ$3001,$K145,CALC!$L$1)))</f>
        <v/>
      </c>
      <c r="E145" s="13">
        <f>IF($K145="","",IF(INDEX(BASELINE!$A$2:$ZZ$3001,$K145,CALC!$K$1)="","",INDEX(BASELINE!$A$2:$ZZ$3001,$K145,CALC!$K$1)))</f>
        <v/>
      </c>
      <c r="F145" s="14">
        <f>IF($K145="","",IF(INDEX(BASELINE!$A$2:$ZZ$3001,$K145,CALC!$O$1)="","",INDEX(BASELINE!$A$2:$ZZ$3001,$K145,CALC!$O$1)))</f>
        <v/>
      </c>
      <c r="G145" s="13">
        <f>IF($K145="","",IF(INDEX(BASELINE!$A$2:$ZZ$3001,$K145,CALC!$J$1)="","",INDEX(BASELINE!$A$2:$ZZ$3001,$K145,CALC!$J$1)))</f>
        <v/>
      </c>
      <c r="H145" s="13">
        <f>IF($K145="","",IF(INDEX(BASELINE!$A$2:$ZZ$3001,$K145,CALC!$M$1)="","",INDEX(BASELINE!$A$2:$ZZ$3001,$K145,CALC!$M$1)))</f>
        <v/>
      </c>
      <c r="I145" s="13">
        <f>IF($K145="","",IF(INDEX(BASELINE!$A$2:$ZZ$3001,$K145,CALC!$N$1)="","",INDEX(BASELINE!$A$2:$ZZ$3001,$K145,CALC!$N$1)))</f>
        <v/>
      </c>
      <c r="J145" s="12">
        <f>IF($K145="","",IF(ISNUMBER(SEARCH("break",INDEX(BASELINE!$A$2:$ZZ$3001,$K145,CALC!$Q$1)&amp;"")),"SIM",""))</f>
        <v/>
      </c>
      <c r="K145" s="15">
        <f>IF(137&lt;=CALC!$D$1,MATCH(137,CALC!$B$2:$B$3001,0),"")</f>
        <v/>
      </c>
    </row>
    <row r="146" ht="17" customHeight="1">
      <c r="A146" s="12">
        <f>IF($K146="","",138)</f>
        <v/>
      </c>
      <c r="B146" s="13">
        <f>IF($K146="","",IF(INDEX(BASELINE!$A$2:$ZZ$3001,$K146,CALC!$H$1)="","",INDEX(BASELINE!$A$2:$ZZ$3001,$K146,CALC!$H$1)))</f>
        <v/>
      </c>
      <c r="C146" s="12">
        <f>IF($K146="","",IF(INDEX(BASELINE!$A$2:$ZZ$3001,$K146,CALC!$I$1)="","",INDEX(BASELINE!$A$2:$ZZ$3001,$K146,CALC!$I$1)))</f>
        <v/>
      </c>
      <c r="D146" s="13">
        <f>IF($K146="","",IF(INDEX(BASELINE!$A$2:$ZZ$3001,$K146,CALC!$L$1)="","",INDEX(BASELINE!$A$2:$ZZ$3001,$K146,CALC!$L$1)))</f>
        <v/>
      </c>
      <c r="E146" s="13">
        <f>IF($K146="","",IF(INDEX(BASELINE!$A$2:$ZZ$3001,$K146,CALC!$K$1)="","",INDEX(BASELINE!$A$2:$ZZ$3001,$K146,CALC!$K$1)))</f>
        <v/>
      </c>
      <c r="F146" s="14">
        <f>IF($K146="","",IF(INDEX(BASELINE!$A$2:$ZZ$3001,$K146,CALC!$O$1)="","",INDEX(BASELINE!$A$2:$ZZ$3001,$K146,CALC!$O$1)))</f>
        <v/>
      </c>
      <c r="G146" s="13">
        <f>IF($K146="","",IF(INDEX(BASELINE!$A$2:$ZZ$3001,$K146,CALC!$J$1)="","",INDEX(BASELINE!$A$2:$ZZ$3001,$K146,CALC!$J$1)))</f>
        <v/>
      </c>
      <c r="H146" s="13">
        <f>IF($K146="","",IF(INDEX(BASELINE!$A$2:$ZZ$3001,$K146,CALC!$M$1)="","",INDEX(BASELINE!$A$2:$ZZ$3001,$K146,CALC!$M$1)))</f>
        <v/>
      </c>
      <c r="I146" s="13">
        <f>IF($K146="","",IF(INDEX(BASELINE!$A$2:$ZZ$3001,$K146,CALC!$N$1)="","",INDEX(BASELINE!$A$2:$ZZ$3001,$K146,CALC!$N$1)))</f>
        <v/>
      </c>
      <c r="J146" s="12">
        <f>IF($K146="","",IF(ISNUMBER(SEARCH("break",INDEX(BASELINE!$A$2:$ZZ$3001,$K146,CALC!$Q$1)&amp;"")),"SIM",""))</f>
        <v/>
      </c>
      <c r="K146" s="15">
        <f>IF(138&lt;=CALC!$D$1,MATCH(138,CALC!$B$2:$B$3001,0),"")</f>
        <v/>
      </c>
    </row>
    <row r="147" ht="17" customHeight="1">
      <c r="A147" s="12">
        <f>IF($K147="","",139)</f>
        <v/>
      </c>
      <c r="B147" s="13">
        <f>IF($K147="","",IF(INDEX(BASELINE!$A$2:$ZZ$3001,$K147,CALC!$H$1)="","",INDEX(BASELINE!$A$2:$ZZ$3001,$K147,CALC!$H$1)))</f>
        <v/>
      </c>
      <c r="C147" s="12">
        <f>IF($K147="","",IF(INDEX(BASELINE!$A$2:$ZZ$3001,$K147,CALC!$I$1)="","",INDEX(BASELINE!$A$2:$ZZ$3001,$K147,CALC!$I$1)))</f>
        <v/>
      </c>
      <c r="D147" s="13">
        <f>IF($K147="","",IF(INDEX(BASELINE!$A$2:$ZZ$3001,$K147,CALC!$L$1)="","",INDEX(BASELINE!$A$2:$ZZ$3001,$K147,CALC!$L$1)))</f>
        <v/>
      </c>
      <c r="E147" s="13">
        <f>IF($K147="","",IF(INDEX(BASELINE!$A$2:$ZZ$3001,$K147,CALC!$K$1)="","",INDEX(BASELINE!$A$2:$ZZ$3001,$K147,CALC!$K$1)))</f>
        <v/>
      </c>
      <c r="F147" s="14">
        <f>IF($K147="","",IF(INDEX(BASELINE!$A$2:$ZZ$3001,$K147,CALC!$O$1)="","",INDEX(BASELINE!$A$2:$ZZ$3001,$K147,CALC!$O$1)))</f>
        <v/>
      </c>
      <c r="G147" s="13">
        <f>IF($K147="","",IF(INDEX(BASELINE!$A$2:$ZZ$3001,$K147,CALC!$J$1)="","",INDEX(BASELINE!$A$2:$ZZ$3001,$K147,CALC!$J$1)))</f>
        <v/>
      </c>
      <c r="H147" s="13">
        <f>IF($K147="","",IF(INDEX(BASELINE!$A$2:$ZZ$3001,$K147,CALC!$M$1)="","",INDEX(BASELINE!$A$2:$ZZ$3001,$K147,CALC!$M$1)))</f>
        <v/>
      </c>
      <c r="I147" s="13">
        <f>IF($K147="","",IF(INDEX(BASELINE!$A$2:$ZZ$3001,$K147,CALC!$N$1)="","",INDEX(BASELINE!$A$2:$ZZ$3001,$K147,CALC!$N$1)))</f>
        <v/>
      </c>
      <c r="J147" s="12">
        <f>IF($K147="","",IF(ISNUMBER(SEARCH("break",INDEX(BASELINE!$A$2:$ZZ$3001,$K147,CALC!$Q$1)&amp;"")),"SIM",""))</f>
        <v/>
      </c>
      <c r="K147" s="15">
        <f>IF(139&lt;=CALC!$D$1,MATCH(139,CALC!$B$2:$B$3001,0),"")</f>
        <v/>
      </c>
    </row>
    <row r="148" ht="17" customHeight="1">
      <c r="A148" s="12">
        <f>IF($K148="","",140)</f>
        <v/>
      </c>
      <c r="B148" s="13">
        <f>IF($K148="","",IF(INDEX(BASELINE!$A$2:$ZZ$3001,$K148,CALC!$H$1)="","",INDEX(BASELINE!$A$2:$ZZ$3001,$K148,CALC!$H$1)))</f>
        <v/>
      </c>
      <c r="C148" s="12">
        <f>IF($K148="","",IF(INDEX(BASELINE!$A$2:$ZZ$3001,$K148,CALC!$I$1)="","",INDEX(BASELINE!$A$2:$ZZ$3001,$K148,CALC!$I$1)))</f>
        <v/>
      </c>
      <c r="D148" s="13">
        <f>IF($K148="","",IF(INDEX(BASELINE!$A$2:$ZZ$3001,$K148,CALC!$L$1)="","",INDEX(BASELINE!$A$2:$ZZ$3001,$K148,CALC!$L$1)))</f>
        <v/>
      </c>
      <c r="E148" s="13">
        <f>IF($K148="","",IF(INDEX(BASELINE!$A$2:$ZZ$3001,$K148,CALC!$K$1)="","",INDEX(BASELINE!$A$2:$ZZ$3001,$K148,CALC!$K$1)))</f>
        <v/>
      </c>
      <c r="F148" s="14">
        <f>IF($K148="","",IF(INDEX(BASELINE!$A$2:$ZZ$3001,$K148,CALC!$O$1)="","",INDEX(BASELINE!$A$2:$ZZ$3001,$K148,CALC!$O$1)))</f>
        <v/>
      </c>
      <c r="G148" s="13">
        <f>IF($K148="","",IF(INDEX(BASELINE!$A$2:$ZZ$3001,$K148,CALC!$J$1)="","",INDEX(BASELINE!$A$2:$ZZ$3001,$K148,CALC!$J$1)))</f>
        <v/>
      </c>
      <c r="H148" s="13">
        <f>IF($K148="","",IF(INDEX(BASELINE!$A$2:$ZZ$3001,$K148,CALC!$M$1)="","",INDEX(BASELINE!$A$2:$ZZ$3001,$K148,CALC!$M$1)))</f>
        <v/>
      </c>
      <c r="I148" s="13">
        <f>IF($K148="","",IF(INDEX(BASELINE!$A$2:$ZZ$3001,$K148,CALC!$N$1)="","",INDEX(BASELINE!$A$2:$ZZ$3001,$K148,CALC!$N$1)))</f>
        <v/>
      </c>
      <c r="J148" s="12">
        <f>IF($K148="","",IF(ISNUMBER(SEARCH("break",INDEX(BASELINE!$A$2:$ZZ$3001,$K148,CALC!$Q$1)&amp;"")),"SIM",""))</f>
        <v/>
      </c>
      <c r="K148" s="15">
        <f>IF(140&lt;=CALC!$D$1,MATCH(140,CALC!$B$2:$B$3001,0),"")</f>
        <v/>
      </c>
    </row>
    <row r="149" ht="17" customHeight="1">
      <c r="A149" s="12">
        <f>IF($K149="","",141)</f>
        <v/>
      </c>
      <c r="B149" s="13">
        <f>IF($K149="","",IF(INDEX(BASELINE!$A$2:$ZZ$3001,$K149,CALC!$H$1)="","",INDEX(BASELINE!$A$2:$ZZ$3001,$K149,CALC!$H$1)))</f>
        <v/>
      </c>
      <c r="C149" s="12">
        <f>IF($K149="","",IF(INDEX(BASELINE!$A$2:$ZZ$3001,$K149,CALC!$I$1)="","",INDEX(BASELINE!$A$2:$ZZ$3001,$K149,CALC!$I$1)))</f>
        <v/>
      </c>
      <c r="D149" s="13">
        <f>IF($K149="","",IF(INDEX(BASELINE!$A$2:$ZZ$3001,$K149,CALC!$L$1)="","",INDEX(BASELINE!$A$2:$ZZ$3001,$K149,CALC!$L$1)))</f>
        <v/>
      </c>
      <c r="E149" s="13">
        <f>IF($K149="","",IF(INDEX(BASELINE!$A$2:$ZZ$3001,$K149,CALC!$K$1)="","",INDEX(BASELINE!$A$2:$ZZ$3001,$K149,CALC!$K$1)))</f>
        <v/>
      </c>
      <c r="F149" s="14">
        <f>IF($K149="","",IF(INDEX(BASELINE!$A$2:$ZZ$3001,$K149,CALC!$O$1)="","",INDEX(BASELINE!$A$2:$ZZ$3001,$K149,CALC!$O$1)))</f>
        <v/>
      </c>
      <c r="G149" s="13">
        <f>IF($K149="","",IF(INDEX(BASELINE!$A$2:$ZZ$3001,$K149,CALC!$J$1)="","",INDEX(BASELINE!$A$2:$ZZ$3001,$K149,CALC!$J$1)))</f>
        <v/>
      </c>
      <c r="H149" s="13">
        <f>IF($K149="","",IF(INDEX(BASELINE!$A$2:$ZZ$3001,$K149,CALC!$M$1)="","",INDEX(BASELINE!$A$2:$ZZ$3001,$K149,CALC!$M$1)))</f>
        <v/>
      </c>
      <c r="I149" s="13">
        <f>IF($K149="","",IF(INDEX(BASELINE!$A$2:$ZZ$3001,$K149,CALC!$N$1)="","",INDEX(BASELINE!$A$2:$ZZ$3001,$K149,CALC!$N$1)))</f>
        <v/>
      </c>
      <c r="J149" s="12">
        <f>IF($K149="","",IF(ISNUMBER(SEARCH("break",INDEX(BASELINE!$A$2:$ZZ$3001,$K149,CALC!$Q$1)&amp;"")),"SIM",""))</f>
        <v/>
      </c>
      <c r="K149" s="15">
        <f>IF(141&lt;=CALC!$D$1,MATCH(141,CALC!$B$2:$B$3001,0),"")</f>
        <v/>
      </c>
    </row>
    <row r="150" ht="17" customHeight="1">
      <c r="A150" s="12">
        <f>IF($K150="","",142)</f>
        <v/>
      </c>
      <c r="B150" s="13">
        <f>IF($K150="","",IF(INDEX(BASELINE!$A$2:$ZZ$3001,$K150,CALC!$H$1)="","",INDEX(BASELINE!$A$2:$ZZ$3001,$K150,CALC!$H$1)))</f>
        <v/>
      </c>
      <c r="C150" s="12">
        <f>IF($K150="","",IF(INDEX(BASELINE!$A$2:$ZZ$3001,$K150,CALC!$I$1)="","",INDEX(BASELINE!$A$2:$ZZ$3001,$K150,CALC!$I$1)))</f>
        <v/>
      </c>
      <c r="D150" s="13">
        <f>IF($K150="","",IF(INDEX(BASELINE!$A$2:$ZZ$3001,$K150,CALC!$L$1)="","",INDEX(BASELINE!$A$2:$ZZ$3001,$K150,CALC!$L$1)))</f>
        <v/>
      </c>
      <c r="E150" s="13">
        <f>IF($K150="","",IF(INDEX(BASELINE!$A$2:$ZZ$3001,$K150,CALC!$K$1)="","",INDEX(BASELINE!$A$2:$ZZ$3001,$K150,CALC!$K$1)))</f>
        <v/>
      </c>
      <c r="F150" s="14">
        <f>IF($K150="","",IF(INDEX(BASELINE!$A$2:$ZZ$3001,$K150,CALC!$O$1)="","",INDEX(BASELINE!$A$2:$ZZ$3001,$K150,CALC!$O$1)))</f>
        <v/>
      </c>
      <c r="G150" s="13">
        <f>IF($K150="","",IF(INDEX(BASELINE!$A$2:$ZZ$3001,$K150,CALC!$J$1)="","",INDEX(BASELINE!$A$2:$ZZ$3001,$K150,CALC!$J$1)))</f>
        <v/>
      </c>
      <c r="H150" s="13">
        <f>IF($K150="","",IF(INDEX(BASELINE!$A$2:$ZZ$3001,$K150,CALC!$M$1)="","",INDEX(BASELINE!$A$2:$ZZ$3001,$K150,CALC!$M$1)))</f>
        <v/>
      </c>
      <c r="I150" s="13">
        <f>IF($K150="","",IF(INDEX(BASELINE!$A$2:$ZZ$3001,$K150,CALC!$N$1)="","",INDEX(BASELINE!$A$2:$ZZ$3001,$K150,CALC!$N$1)))</f>
        <v/>
      </c>
      <c r="J150" s="12">
        <f>IF($K150="","",IF(ISNUMBER(SEARCH("break",INDEX(BASELINE!$A$2:$ZZ$3001,$K150,CALC!$Q$1)&amp;"")),"SIM",""))</f>
        <v/>
      </c>
      <c r="K150" s="15">
        <f>IF(142&lt;=CALC!$D$1,MATCH(142,CALC!$B$2:$B$3001,0),"")</f>
        <v/>
      </c>
    </row>
    <row r="151" ht="17" customHeight="1">
      <c r="A151" s="12">
        <f>IF($K151="","",143)</f>
        <v/>
      </c>
      <c r="B151" s="13">
        <f>IF($K151="","",IF(INDEX(BASELINE!$A$2:$ZZ$3001,$K151,CALC!$H$1)="","",INDEX(BASELINE!$A$2:$ZZ$3001,$K151,CALC!$H$1)))</f>
        <v/>
      </c>
      <c r="C151" s="12">
        <f>IF($K151="","",IF(INDEX(BASELINE!$A$2:$ZZ$3001,$K151,CALC!$I$1)="","",INDEX(BASELINE!$A$2:$ZZ$3001,$K151,CALC!$I$1)))</f>
        <v/>
      </c>
      <c r="D151" s="13">
        <f>IF($K151="","",IF(INDEX(BASELINE!$A$2:$ZZ$3001,$K151,CALC!$L$1)="","",INDEX(BASELINE!$A$2:$ZZ$3001,$K151,CALC!$L$1)))</f>
        <v/>
      </c>
      <c r="E151" s="13">
        <f>IF($K151="","",IF(INDEX(BASELINE!$A$2:$ZZ$3001,$K151,CALC!$K$1)="","",INDEX(BASELINE!$A$2:$ZZ$3001,$K151,CALC!$K$1)))</f>
        <v/>
      </c>
      <c r="F151" s="14">
        <f>IF($K151="","",IF(INDEX(BASELINE!$A$2:$ZZ$3001,$K151,CALC!$O$1)="","",INDEX(BASELINE!$A$2:$ZZ$3001,$K151,CALC!$O$1)))</f>
        <v/>
      </c>
      <c r="G151" s="13">
        <f>IF($K151="","",IF(INDEX(BASELINE!$A$2:$ZZ$3001,$K151,CALC!$J$1)="","",INDEX(BASELINE!$A$2:$ZZ$3001,$K151,CALC!$J$1)))</f>
        <v/>
      </c>
      <c r="H151" s="13">
        <f>IF($K151="","",IF(INDEX(BASELINE!$A$2:$ZZ$3001,$K151,CALC!$M$1)="","",INDEX(BASELINE!$A$2:$ZZ$3001,$K151,CALC!$M$1)))</f>
        <v/>
      </c>
      <c r="I151" s="13">
        <f>IF($K151="","",IF(INDEX(BASELINE!$A$2:$ZZ$3001,$K151,CALC!$N$1)="","",INDEX(BASELINE!$A$2:$ZZ$3001,$K151,CALC!$N$1)))</f>
        <v/>
      </c>
      <c r="J151" s="12">
        <f>IF($K151="","",IF(ISNUMBER(SEARCH("break",INDEX(BASELINE!$A$2:$ZZ$3001,$K151,CALC!$Q$1)&amp;"")),"SIM",""))</f>
        <v/>
      </c>
      <c r="K151" s="15">
        <f>IF(143&lt;=CALC!$D$1,MATCH(143,CALC!$B$2:$B$3001,0),"")</f>
        <v/>
      </c>
    </row>
    <row r="152" ht="17" customHeight="1">
      <c r="A152" s="12">
        <f>IF($K152="","",144)</f>
        <v/>
      </c>
      <c r="B152" s="13">
        <f>IF($K152="","",IF(INDEX(BASELINE!$A$2:$ZZ$3001,$K152,CALC!$H$1)="","",INDEX(BASELINE!$A$2:$ZZ$3001,$K152,CALC!$H$1)))</f>
        <v/>
      </c>
      <c r="C152" s="12">
        <f>IF($K152="","",IF(INDEX(BASELINE!$A$2:$ZZ$3001,$K152,CALC!$I$1)="","",INDEX(BASELINE!$A$2:$ZZ$3001,$K152,CALC!$I$1)))</f>
        <v/>
      </c>
      <c r="D152" s="13">
        <f>IF($K152="","",IF(INDEX(BASELINE!$A$2:$ZZ$3001,$K152,CALC!$L$1)="","",INDEX(BASELINE!$A$2:$ZZ$3001,$K152,CALC!$L$1)))</f>
        <v/>
      </c>
      <c r="E152" s="13">
        <f>IF($K152="","",IF(INDEX(BASELINE!$A$2:$ZZ$3001,$K152,CALC!$K$1)="","",INDEX(BASELINE!$A$2:$ZZ$3001,$K152,CALC!$K$1)))</f>
        <v/>
      </c>
      <c r="F152" s="14">
        <f>IF($K152="","",IF(INDEX(BASELINE!$A$2:$ZZ$3001,$K152,CALC!$O$1)="","",INDEX(BASELINE!$A$2:$ZZ$3001,$K152,CALC!$O$1)))</f>
        <v/>
      </c>
      <c r="G152" s="13">
        <f>IF($K152="","",IF(INDEX(BASELINE!$A$2:$ZZ$3001,$K152,CALC!$J$1)="","",INDEX(BASELINE!$A$2:$ZZ$3001,$K152,CALC!$J$1)))</f>
        <v/>
      </c>
      <c r="H152" s="13">
        <f>IF($K152="","",IF(INDEX(BASELINE!$A$2:$ZZ$3001,$K152,CALC!$M$1)="","",INDEX(BASELINE!$A$2:$ZZ$3001,$K152,CALC!$M$1)))</f>
        <v/>
      </c>
      <c r="I152" s="13">
        <f>IF($K152="","",IF(INDEX(BASELINE!$A$2:$ZZ$3001,$K152,CALC!$N$1)="","",INDEX(BASELINE!$A$2:$ZZ$3001,$K152,CALC!$N$1)))</f>
        <v/>
      </c>
      <c r="J152" s="12">
        <f>IF($K152="","",IF(ISNUMBER(SEARCH("break",INDEX(BASELINE!$A$2:$ZZ$3001,$K152,CALC!$Q$1)&amp;"")),"SIM",""))</f>
        <v/>
      </c>
      <c r="K152" s="15">
        <f>IF(144&lt;=CALC!$D$1,MATCH(144,CALC!$B$2:$B$3001,0),"")</f>
        <v/>
      </c>
    </row>
    <row r="153" ht="17" customHeight="1">
      <c r="A153" s="12">
        <f>IF($K153="","",145)</f>
        <v/>
      </c>
      <c r="B153" s="13">
        <f>IF($K153="","",IF(INDEX(BASELINE!$A$2:$ZZ$3001,$K153,CALC!$H$1)="","",INDEX(BASELINE!$A$2:$ZZ$3001,$K153,CALC!$H$1)))</f>
        <v/>
      </c>
      <c r="C153" s="12">
        <f>IF($K153="","",IF(INDEX(BASELINE!$A$2:$ZZ$3001,$K153,CALC!$I$1)="","",INDEX(BASELINE!$A$2:$ZZ$3001,$K153,CALC!$I$1)))</f>
        <v/>
      </c>
      <c r="D153" s="13">
        <f>IF($K153="","",IF(INDEX(BASELINE!$A$2:$ZZ$3001,$K153,CALC!$L$1)="","",INDEX(BASELINE!$A$2:$ZZ$3001,$K153,CALC!$L$1)))</f>
        <v/>
      </c>
      <c r="E153" s="13">
        <f>IF($K153="","",IF(INDEX(BASELINE!$A$2:$ZZ$3001,$K153,CALC!$K$1)="","",INDEX(BASELINE!$A$2:$ZZ$3001,$K153,CALC!$K$1)))</f>
        <v/>
      </c>
      <c r="F153" s="14">
        <f>IF($K153="","",IF(INDEX(BASELINE!$A$2:$ZZ$3001,$K153,CALC!$O$1)="","",INDEX(BASELINE!$A$2:$ZZ$3001,$K153,CALC!$O$1)))</f>
        <v/>
      </c>
      <c r="G153" s="13">
        <f>IF($K153="","",IF(INDEX(BASELINE!$A$2:$ZZ$3001,$K153,CALC!$J$1)="","",INDEX(BASELINE!$A$2:$ZZ$3001,$K153,CALC!$J$1)))</f>
        <v/>
      </c>
      <c r="H153" s="13">
        <f>IF($K153="","",IF(INDEX(BASELINE!$A$2:$ZZ$3001,$K153,CALC!$M$1)="","",INDEX(BASELINE!$A$2:$ZZ$3001,$K153,CALC!$M$1)))</f>
        <v/>
      </c>
      <c r="I153" s="13">
        <f>IF($K153="","",IF(INDEX(BASELINE!$A$2:$ZZ$3001,$K153,CALC!$N$1)="","",INDEX(BASELINE!$A$2:$ZZ$3001,$K153,CALC!$N$1)))</f>
        <v/>
      </c>
      <c r="J153" s="12">
        <f>IF($K153="","",IF(ISNUMBER(SEARCH("break",INDEX(BASELINE!$A$2:$ZZ$3001,$K153,CALC!$Q$1)&amp;"")),"SIM",""))</f>
        <v/>
      </c>
      <c r="K153" s="15">
        <f>IF(145&lt;=CALC!$D$1,MATCH(145,CALC!$B$2:$B$3001,0),"")</f>
        <v/>
      </c>
    </row>
    <row r="154" ht="17" customHeight="1">
      <c r="A154" s="12">
        <f>IF($K154="","",146)</f>
        <v/>
      </c>
      <c r="B154" s="13">
        <f>IF($K154="","",IF(INDEX(BASELINE!$A$2:$ZZ$3001,$K154,CALC!$H$1)="","",INDEX(BASELINE!$A$2:$ZZ$3001,$K154,CALC!$H$1)))</f>
        <v/>
      </c>
      <c r="C154" s="12">
        <f>IF($K154="","",IF(INDEX(BASELINE!$A$2:$ZZ$3001,$K154,CALC!$I$1)="","",INDEX(BASELINE!$A$2:$ZZ$3001,$K154,CALC!$I$1)))</f>
        <v/>
      </c>
      <c r="D154" s="13">
        <f>IF($K154="","",IF(INDEX(BASELINE!$A$2:$ZZ$3001,$K154,CALC!$L$1)="","",INDEX(BASELINE!$A$2:$ZZ$3001,$K154,CALC!$L$1)))</f>
        <v/>
      </c>
      <c r="E154" s="13">
        <f>IF($K154="","",IF(INDEX(BASELINE!$A$2:$ZZ$3001,$K154,CALC!$K$1)="","",INDEX(BASELINE!$A$2:$ZZ$3001,$K154,CALC!$K$1)))</f>
        <v/>
      </c>
      <c r="F154" s="14">
        <f>IF($K154="","",IF(INDEX(BASELINE!$A$2:$ZZ$3001,$K154,CALC!$O$1)="","",INDEX(BASELINE!$A$2:$ZZ$3001,$K154,CALC!$O$1)))</f>
        <v/>
      </c>
      <c r="G154" s="13">
        <f>IF($K154="","",IF(INDEX(BASELINE!$A$2:$ZZ$3001,$K154,CALC!$J$1)="","",INDEX(BASELINE!$A$2:$ZZ$3001,$K154,CALC!$J$1)))</f>
        <v/>
      </c>
      <c r="H154" s="13">
        <f>IF($K154="","",IF(INDEX(BASELINE!$A$2:$ZZ$3001,$K154,CALC!$M$1)="","",INDEX(BASELINE!$A$2:$ZZ$3001,$K154,CALC!$M$1)))</f>
        <v/>
      </c>
      <c r="I154" s="13">
        <f>IF($K154="","",IF(INDEX(BASELINE!$A$2:$ZZ$3001,$K154,CALC!$N$1)="","",INDEX(BASELINE!$A$2:$ZZ$3001,$K154,CALC!$N$1)))</f>
        <v/>
      </c>
      <c r="J154" s="12">
        <f>IF($K154="","",IF(ISNUMBER(SEARCH("break",INDEX(BASELINE!$A$2:$ZZ$3001,$K154,CALC!$Q$1)&amp;"")),"SIM",""))</f>
        <v/>
      </c>
      <c r="K154" s="15">
        <f>IF(146&lt;=CALC!$D$1,MATCH(146,CALC!$B$2:$B$3001,0),"")</f>
        <v/>
      </c>
    </row>
    <row r="155" ht="17" customHeight="1">
      <c r="A155" s="12">
        <f>IF($K155="","",147)</f>
        <v/>
      </c>
      <c r="B155" s="13">
        <f>IF($K155="","",IF(INDEX(BASELINE!$A$2:$ZZ$3001,$K155,CALC!$H$1)="","",INDEX(BASELINE!$A$2:$ZZ$3001,$K155,CALC!$H$1)))</f>
        <v/>
      </c>
      <c r="C155" s="12">
        <f>IF($K155="","",IF(INDEX(BASELINE!$A$2:$ZZ$3001,$K155,CALC!$I$1)="","",INDEX(BASELINE!$A$2:$ZZ$3001,$K155,CALC!$I$1)))</f>
        <v/>
      </c>
      <c r="D155" s="13">
        <f>IF($K155="","",IF(INDEX(BASELINE!$A$2:$ZZ$3001,$K155,CALC!$L$1)="","",INDEX(BASELINE!$A$2:$ZZ$3001,$K155,CALC!$L$1)))</f>
        <v/>
      </c>
      <c r="E155" s="13">
        <f>IF($K155="","",IF(INDEX(BASELINE!$A$2:$ZZ$3001,$K155,CALC!$K$1)="","",INDEX(BASELINE!$A$2:$ZZ$3001,$K155,CALC!$K$1)))</f>
        <v/>
      </c>
      <c r="F155" s="14">
        <f>IF($K155="","",IF(INDEX(BASELINE!$A$2:$ZZ$3001,$K155,CALC!$O$1)="","",INDEX(BASELINE!$A$2:$ZZ$3001,$K155,CALC!$O$1)))</f>
        <v/>
      </c>
      <c r="G155" s="13">
        <f>IF($K155="","",IF(INDEX(BASELINE!$A$2:$ZZ$3001,$K155,CALC!$J$1)="","",INDEX(BASELINE!$A$2:$ZZ$3001,$K155,CALC!$J$1)))</f>
        <v/>
      </c>
      <c r="H155" s="13">
        <f>IF($K155="","",IF(INDEX(BASELINE!$A$2:$ZZ$3001,$K155,CALC!$M$1)="","",INDEX(BASELINE!$A$2:$ZZ$3001,$K155,CALC!$M$1)))</f>
        <v/>
      </c>
      <c r="I155" s="13">
        <f>IF($K155="","",IF(INDEX(BASELINE!$A$2:$ZZ$3001,$K155,CALC!$N$1)="","",INDEX(BASELINE!$A$2:$ZZ$3001,$K155,CALC!$N$1)))</f>
        <v/>
      </c>
      <c r="J155" s="12">
        <f>IF($K155="","",IF(ISNUMBER(SEARCH("break",INDEX(BASELINE!$A$2:$ZZ$3001,$K155,CALC!$Q$1)&amp;"")),"SIM",""))</f>
        <v/>
      </c>
      <c r="K155" s="15">
        <f>IF(147&lt;=CALC!$D$1,MATCH(147,CALC!$B$2:$B$3001,0),"")</f>
        <v/>
      </c>
    </row>
    <row r="156" ht="17" customHeight="1">
      <c r="A156" s="12">
        <f>IF($K156="","",148)</f>
        <v/>
      </c>
      <c r="B156" s="13">
        <f>IF($K156="","",IF(INDEX(BASELINE!$A$2:$ZZ$3001,$K156,CALC!$H$1)="","",INDEX(BASELINE!$A$2:$ZZ$3001,$K156,CALC!$H$1)))</f>
        <v/>
      </c>
      <c r="C156" s="12">
        <f>IF($K156="","",IF(INDEX(BASELINE!$A$2:$ZZ$3001,$K156,CALC!$I$1)="","",INDEX(BASELINE!$A$2:$ZZ$3001,$K156,CALC!$I$1)))</f>
        <v/>
      </c>
      <c r="D156" s="13">
        <f>IF($K156="","",IF(INDEX(BASELINE!$A$2:$ZZ$3001,$K156,CALC!$L$1)="","",INDEX(BASELINE!$A$2:$ZZ$3001,$K156,CALC!$L$1)))</f>
        <v/>
      </c>
      <c r="E156" s="13">
        <f>IF($K156="","",IF(INDEX(BASELINE!$A$2:$ZZ$3001,$K156,CALC!$K$1)="","",INDEX(BASELINE!$A$2:$ZZ$3001,$K156,CALC!$K$1)))</f>
        <v/>
      </c>
      <c r="F156" s="14">
        <f>IF($K156="","",IF(INDEX(BASELINE!$A$2:$ZZ$3001,$K156,CALC!$O$1)="","",INDEX(BASELINE!$A$2:$ZZ$3001,$K156,CALC!$O$1)))</f>
        <v/>
      </c>
      <c r="G156" s="13">
        <f>IF($K156="","",IF(INDEX(BASELINE!$A$2:$ZZ$3001,$K156,CALC!$J$1)="","",INDEX(BASELINE!$A$2:$ZZ$3001,$K156,CALC!$J$1)))</f>
        <v/>
      </c>
      <c r="H156" s="13">
        <f>IF($K156="","",IF(INDEX(BASELINE!$A$2:$ZZ$3001,$K156,CALC!$M$1)="","",INDEX(BASELINE!$A$2:$ZZ$3001,$K156,CALC!$M$1)))</f>
        <v/>
      </c>
      <c r="I156" s="13">
        <f>IF($K156="","",IF(INDEX(BASELINE!$A$2:$ZZ$3001,$K156,CALC!$N$1)="","",INDEX(BASELINE!$A$2:$ZZ$3001,$K156,CALC!$N$1)))</f>
        <v/>
      </c>
      <c r="J156" s="12">
        <f>IF($K156="","",IF(ISNUMBER(SEARCH("break",INDEX(BASELINE!$A$2:$ZZ$3001,$K156,CALC!$Q$1)&amp;"")),"SIM",""))</f>
        <v/>
      </c>
      <c r="K156" s="15">
        <f>IF(148&lt;=CALC!$D$1,MATCH(148,CALC!$B$2:$B$3001,0),"")</f>
        <v/>
      </c>
    </row>
    <row r="157" ht="17" customHeight="1">
      <c r="A157" s="12">
        <f>IF($K157="","",149)</f>
        <v/>
      </c>
      <c r="B157" s="13">
        <f>IF($K157="","",IF(INDEX(BASELINE!$A$2:$ZZ$3001,$K157,CALC!$H$1)="","",INDEX(BASELINE!$A$2:$ZZ$3001,$K157,CALC!$H$1)))</f>
        <v/>
      </c>
      <c r="C157" s="12">
        <f>IF($K157="","",IF(INDEX(BASELINE!$A$2:$ZZ$3001,$K157,CALC!$I$1)="","",INDEX(BASELINE!$A$2:$ZZ$3001,$K157,CALC!$I$1)))</f>
        <v/>
      </c>
      <c r="D157" s="13">
        <f>IF($K157="","",IF(INDEX(BASELINE!$A$2:$ZZ$3001,$K157,CALC!$L$1)="","",INDEX(BASELINE!$A$2:$ZZ$3001,$K157,CALC!$L$1)))</f>
        <v/>
      </c>
      <c r="E157" s="13">
        <f>IF($K157="","",IF(INDEX(BASELINE!$A$2:$ZZ$3001,$K157,CALC!$K$1)="","",INDEX(BASELINE!$A$2:$ZZ$3001,$K157,CALC!$K$1)))</f>
        <v/>
      </c>
      <c r="F157" s="14">
        <f>IF($K157="","",IF(INDEX(BASELINE!$A$2:$ZZ$3001,$K157,CALC!$O$1)="","",INDEX(BASELINE!$A$2:$ZZ$3001,$K157,CALC!$O$1)))</f>
        <v/>
      </c>
      <c r="G157" s="13">
        <f>IF($K157="","",IF(INDEX(BASELINE!$A$2:$ZZ$3001,$K157,CALC!$J$1)="","",INDEX(BASELINE!$A$2:$ZZ$3001,$K157,CALC!$J$1)))</f>
        <v/>
      </c>
      <c r="H157" s="13">
        <f>IF($K157="","",IF(INDEX(BASELINE!$A$2:$ZZ$3001,$K157,CALC!$M$1)="","",INDEX(BASELINE!$A$2:$ZZ$3001,$K157,CALC!$M$1)))</f>
        <v/>
      </c>
      <c r="I157" s="13">
        <f>IF($K157="","",IF(INDEX(BASELINE!$A$2:$ZZ$3001,$K157,CALC!$N$1)="","",INDEX(BASELINE!$A$2:$ZZ$3001,$K157,CALC!$N$1)))</f>
        <v/>
      </c>
      <c r="J157" s="12">
        <f>IF($K157="","",IF(ISNUMBER(SEARCH("break",INDEX(BASELINE!$A$2:$ZZ$3001,$K157,CALC!$Q$1)&amp;"")),"SIM",""))</f>
        <v/>
      </c>
      <c r="K157" s="15">
        <f>IF(149&lt;=CALC!$D$1,MATCH(149,CALC!$B$2:$B$3001,0),"")</f>
        <v/>
      </c>
    </row>
    <row r="158" ht="17" customHeight="1">
      <c r="A158" s="12">
        <f>IF($K158="","",150)</f>
        <v/>
      </c>
      <c r="B158" s="13">
        <f>IF($K158="","",IF(INDEX(BASELINE!$A$2:$ZZ$3001,$K158,CALC!$H$1)="","",INDEX(BASELINE!$A$2:$ZZ$3001,$K158,CALC!$H$1)))</f>
        <v/>
      </c>
      <c r="C158" s="12">
        <f>IF($K158="","",IF(INDEX(BASELINE!$A$2:$ZZ$3001,$K158,CALC!$I$1)="","",INDEX(BASELINE!$A$2:$ZZ$3001,$K158,CALC!$I$1)))</f>
        <v/>
      </c>
      <c r="D158" s="13">
        <f>IF($K158="","",IF(INDEX(BASELINE!$A$2:$ZZ$3001,$K158,CALC!$L$1)="","",INDEX(BASELINE!$A$2:$ZZ$3001,$K158,CALC!$L$1)))</f>
        <v/>
      </c>
      <c r="E158" s="13">
        <f>IF($K158="","",IF(INDEX(BASELINE!$A$2:$ZZ$3001,$K158,CALC!$K$1)="","",INDEX(BASELINE!$A$2:$ZZ$3001,$K158,CALC!$K$1)))</f>
        <v/>
      </c>
      <c r="F158" s="14">
        <f>IF($K158="","",IF(INDEX(BASELINE!$A$2:$ZZ$3001,$K158,CALC!$O$1)="","",INDEX(BASELINE!$A$2:$ZZ$3001,$K158,CALC!$O$1)))</f>
        <v/>
      </c>
      <c r="G158" s="13">
        <f>IF($K158="","",IF(INDEX(BASELINE!$A$2:$ZZ$3001,$K158,CALC!$J$1)="","",INDEX(BASELINE!$A$2:$ZZ$3001,$K158,CALC!$J$1)))</f>
        <v/>
      </c>
      <c r="H158" s="13">
        <f>IF($K158="","",IF(INDEX(BASELINE!$A$2:$ZZ$3001,$K158,CALC!$M$1)="","",INDEX(BASELINE!$A$2:$ZZ$3001,$K158,CALC!$M$1)))</f>
        <v/>
      </c>
      <c r="I158" s="13">
        <f>IF($K158="","",IF(INDEX(BASELINE!$A$2:$ZZ$3001,$K158,CALC!$N$1)="","",INDEX(BASELINE!$A$2:$ZZ$3001,$K158,CALC!$N$1)))</f>
        <v/>
      </c>
      <c r="J158" s="12">
        <f>IF($K158="","",IF(ISNUMBER(SEARCH("break",INDEX(BASELINE!$A$2:$ZZ$3001,$K158,CALC!$Q$1)&amp;"")),"SIM",""))</f>
        <v/>
      </c>
      <c r="K158" s="15">
        <f>IF(150&lt;=CALC!$D$1,MATCH(150,CALC!$B$2:$B$3001,0),"")</f>
        <v/>
      </c>
    </row>
  </sheetData>
  <mergeCells count="5">
    <mergeCell ref="G4:H4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A9:I158">
    <cfRule type="expression" priority="2" dxfId="1">
      <formula>AND($K9&lt;&gt;"",MOD($A9,2)=0)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6" t="inlineStr">
        <is>
          <t>COMO ATUALIZAR TODO DIA</t>
        </is>
      </c>
    </row>
    <row r="3">
      <c r="B3" s="17" t="inlineStr">
        <is>
          <t>1</t>
        </is>
      </c>
      <c r="C3" s="18" t="inlineStr">
        <is>
          <t>Na aba BASELINE, apague os dados antigos (linha 2 em diante) e cole a exportação atualizada com a linha de cabeçalho na linha 1. As colunas são localizadas pelo NOME do cabeçalho (podem mudar de posição).</t>
        </is>
      </c>
    </row>
    <row r="4">
      <c r="B4" s="17" t="inlineStr">
        <is>
          <t>2</t>
        </is>
      </c>
      <c r="C4" s="18" t="inlineStr">
        <is>
          <t>Na aba SIMOPS, confira a data em D3 (padrão: amanhã). Para outro dia, digite a data.</t>
        </is>
      </c>
    </row>
    <row r="5">
      <c r="B5" s="17" t="inlineStr">
        <is>
          <t>3</t>
        </is>
      </c>
      <c r="C5" s="18" t="inlineStr">
        <is>
          <t>Pronto: a lista, os HH e as marcações se atualizam sozinhos. Imprima ou exporte em PDF para a reunião.</t>
        </is>
      </c>
    </row>
    <row r="6">
      <c r="B6" s="17" t="inlineStr"/>
      <c r="C6" s="18" t="inlineStr"/>
    </row>
    <row r="7">
      <c r="B7" s="16" t="inlineStr">
        <is>
          <t>REGRAS USADAS (por operação)</t>
        </is>
      </c>
    </row>
    <row r="8">
      <c r="B8" s="17" t="inlineStr">
        <is>
          <t>Entra na lista</t>
        </is>
      </c>
      <c r="C8" s="18" t="inlineStr">
        <is>
          <t>Data oficial = coluna 'Reprogramado' (se preenchida com data); senão, 'Data Prog.'. Entra a operação cuja data oficial é igual à data de execução (D3). Ordens ENCERRADAS ficam sempre de fora.</t>
        </is>
      </c>
    </row>
    <row r="9">
      <c r="B9" s="17" t="inlineStr">
        <is>
          <t>BREAK-IN</t>
        </is>
      </c>
      <c r="C9" s="18" t="inlineStr">
        <is>
          <t>Palavra 'break' na coluna Comentários.</t>
        </is>
      </c>
    </row>
    <row r="10">
      <c r="B10" s="17" t="inlineStr"/>
      <c r="C10" s="18" t="inlineStr"/>
    </row>
    <row r="11">
      <c r="B11" s="16" t="inlineStr">
        <is>
          <t>OBSERVAÇÕES</t>
        </is>
      </c>
    </row>
    <row r="12">
      <c r="B12" s="17" t="inlineStr">
        <is>
          <t>Colunas usadas (pelo nome do cabeçalho)</t>
        </is>
      </c>
      <c r="C12" s="18" t="inlineStr">
        <is>
          <t>Reprogramado (opcional), Data Prog., Ordem (2ª coluna com esse nome), Operação, Cen.trab.operação, Txt.breve operação, Texto breve, Local de instalação, Denominação do LI, Trabalho, Status, Comentários.</t>
        </is>
      </c>
    </row>
    <row r="13">
      <c r="B13" s="17" t="inlineStr">
        <is>
          <t>Capacidade</t>
        </is>
      </c>
      <c r="C13" s="18" t="inlineStr">
        <is>
          <t>Até 3.000 linhas na BASELINE e 150 operações por dia na lista SIMOPS.</t>
        </is>
      </c>
    </row>
    <row r="14">
      <c r="B14" s="17" t="inlineStr">
        <is>
          <t>Aba CALC</t>
        </is>
      </c>
      <c r="C14" s="18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  <col width="40" customWidth="1" min="14" max="14"/>
    <col width="26" customWidth="1" min="15" max="15"/>
    <col width="30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9" t="n"/>
      <c r="B1" s="19" t="inlineStr">
        <is>
          <t>x</t>
        </is>
      </c>
      <c r="C1" s="19" t="inlineStr">
        <is>
          <t>Ordem</t>
        </is>
      </c>
      <c r="D1" s="19" t="inlineStr">
        <is>
          <t>Status</t>
        </is>
      </c>
      <c r="E1" s="19" t="inlineStr">
        <is>
          <t>REPROGRAMADO</t>
        </is>
      </c>
      <c r="F1" s="19" t="inlineStr">
        <is>
          <t>Data Prog.</t>
        </is>
      </c>
      <c r="G1" s="19" t="inlineStr">
        <is>
          <t>P.</t>
        </is>
      </c>
      <c r="H1" s="19" t="inlineStr">
        <is>
          <t>C.</t>
        </is>
      </c>
      <c r="I1" s="19" t="inlineStr">
        <is>
          <t>Data planejada</t>
        </is>
      </c>
      <c r="J1" s="19" t="inlineStr">
        <is>
          <t>Ordem</t>
        </is>
      </c>
      <c r="K1" s="19" t="inlineStr">
        <is>
          <t>Operação</t>
        </is>
      </c>
      <c r="L1" s="19" t="inlineStr">
        <is>
          <t>Cen.trab.operação</t>
        </is>
      </c>
      <c r="M1" s="19" t="inlineStr">
        <is>
          <t>Txt.breve operação</t>
        </is>
      </c>
      <c r="N1" s="19" t="inlineStr">
        <is>
          <t>Texto breve</t>
        </is>
      </c>
      <c r="O1" s="19" t="inlineStr">
        <is>
          <t>Local de instalação</t>
        </is>
      </c>
      <c r="P1" s="19" t="inlineStr">
        <is>
          <t>Denominação do LI</t>
        </is>
      </c>
      <c r="Q1" s="19" t="inlineStr">
        <is>
          <t>Trabalho</t>
        </is>
      </c>
      <c r="R1" s="19" t="inlineStr">
        <is>
          <t>Status do usuario</t>
        </is>
      </c>
      <c r="S1" s="19" t="inlineStr">
        <is>
          <t>Tipo de Atividade</t>
        </is>
      </c>
      <c r="T1" s="19" t="inlineStr">
        <is>
          <t>Conclusão Desejada</t>
        </is>
      </c>
      <c r="U1" s="19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F2" s="20" t="n">
        <v>46325</v>
      </c>
      <c r="G2" t="n">
        <v>4</v>
      </c>
      <c r="H2" t="n">
        <v>2</v>
      </c>
      <c r="J2" t="n">
        <v>4349922</v>
      </c>
      <c r="K2" t="n">
        <v>10</v>
      </c>
      <c r="L2" t="inlineStr">
        <is>
          <t>INS</t>
        </is>
      </c>
      <c r="M2" t="inlineStr">
        <is>
          <t>Verificar as pressões hidráulicas</t>
        </is>
      </c>
      <c r="N2" t="inlineStr">
        <is>
          <t>Checagem do sistema hidráulico K60E</t>
        </is>
      </c>
      <c r="O2" t="inlineStr">
        <is>
          <t>1349-73MA001</t>
        </is>
      </c>
      <c r="Q2" t="n">
        <v>3</v>
      </c>
      <c r="R2" t="inlineStr">
        <is>
          <t>VEND</t>
        </is>
      </c>
      <c r="S2" t="inlineStr">
        <is>
          <t>Z12</t>
        </is>
      </c>
      <c r="T2" s="20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F3" s="20" t="n">
        <v>46325</v>
      </c>
      <c r="G3" t="n">
        <v>4</v>
      </c>
      <c r="H3" t="n">
        <v>2</v>
      </c>
      <c r="J3" t="n">
        <v>4349922</v>
      </c>
      <c r="K3" t="n">
        <v>20</v>
      </c>
      <c r="L3" t="inlineStr">
        <is>
          <t>INS</t>
        </is>
      </c>
      <c r="M3" t="inlineStr">
        <is>
          <t>Ajustar as pressões hidráulicas</t>
        </is>
      </c>
      <c r="N3" t="inlineStr">
        <is>
          <t>Checagem do sistema hidráulico K60E</t>
        </is>
      </c>
      <c r="O3" t="inlineStr">
        <is>
          <t>1349-73MA001</t>
        </is>
      </c>
      <c r="Q3" t="n">
        <v>3</v>
      </c>
      <c r="R3" t="inlineStr">
        <is>
          <t>VEND</t>
        </is>
      </c>
      <c r="S3" t="inlineStr">
        <is>
          <t>Z12</t>
        </is>
      </c>
      <c r="T3" s="20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F4" s="20" t="n">
        <v>46326</v>
      </c>
      <c r="G4" t="n">
        <v>4</v>
      </c>
      <c r="H4" t="n">
        <v>2</v>
      </c>
      <c r="J4" t="n">
        <v>4349923</v>
      </c>
      <c r="K4" t="n">
        <v>10</v>
      </c>
      <c r="L4" t="inlineStr">
        <is>
          <t>AUT</t>
        </is>
      </c>
      <c r="M4" t="inlineStr">
        <is>
          <t>Inspeção no sistema hidráulico</t>
        </is>
      </c>
      <c r="N4" t="inlineStr">
        <is>
          <t>Checagem do sistema hidráulico K60W</t>
        </is>
      </c>
      <c r="O4" t="inlineStr">
        <is>
          <t>1349-73MA002</t>
        </is>
      </c>
      <c r="Q4" t="n">
        <v>5</v>
      </c>
      <c r="R4" t="inlineStr">
        <is>
          <t>VEND</t>
        </is>
      </c>
      <c r="S4" t="inlineStr">
        <is>
          <t>Z12</t>
        </is>
      </c>
      <c r="T4" s="20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F5" s="20" t="n">
        <v>46319</v>
      </c>
      <c r="G5" t="n">
        <v>4</v>
      </c>
      <c r="H5" t="n">
        <v>2</v>
      </c>
      <c r="J5" t="n">
        <v>4350071</v>
      </c>
      <c r="K5" t="n">
        <v>10</v>
      </c>
      <c r="L5" t="inlineStr">
        <is>
          <t>AUT</t>
        </is>
      </c>
      <c r="M5" t="inlineStr">
        <is>
          <t>troubleshooting</t>
        </is>
      </c>
      <c r="N5" t="inlineStr">
        <is>
          <t>Camera Visible/Thermal com avaria</t>
        </is>
      </c>
      <c r="O5" t="inlineStr">
        <is>
          <t>1349-86RCN1004</t>
        </is>
      </c>
      <c r="Q5" t="n">
        <v>5</v>
      </c>
      <c r="R5" t="inlineStr">
        <is>
          <t>DPRO</t>
        </is>
      </c>
      <c r="S5" t="inlineStr">
        <is>
          <t>Z12</t>
        </is>
      </c>
      <c r="T5" s="20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F6" s="20" t="n">
        <v>46317</v>
      </c>
      <c r="G6" t="n">
        <v>6</v>
      </c>
      <c r="H6" t="n">
        <v>3</v>
      </c>
      <c r="J6" t="n">
        <v>4285243</v>
      </c>
      <c r="K6" t="n">
        <v>10</v>
      </c>
      <c r="L6" t="inlineStr">
        <is>
          <t>INT</t>
        </is>
      </c>
      <c r="M6" t="inlineStr">
        <is>
          <t>Medidor de espessura do SPIE</t>
        </is>
      </c>
      <c r="N6" t="inlineStr">
        <is>
          <t>Medidor de espessura do SPIE</t>
        </is>
      </c>
      <c r="O6" t="n">
        <v>1349</v>
      </c>
      <c r="Q6" t="n">
        <v>0</v>
      </c>
      <c r="R6" t="inlineStr">
        <is>
          <t>AMAT</t>
        </is>
      </c>
      <c r="S6" t="inlineStr">
        <is>
          <t>Z07</t>
        </is>
      </c>
      <c r="T6" s="20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F7" s="20" t="n">
        <v>46312</v>
      </c>
      <c r="G7" t="n">
        <v>4</v>
      </c>
      <c r="H7" t="n">
        <v>1</v>
      </c>
      <c r="J7" t="n">
        <v>4355528</v>
      </c>
      <c r="K7" t="n">
        <v>10</v>
      </c>
      <c r="L7" t="inlineStr">
        <is>
          <t>MAR</t>
        </is>
      </c>
      <c r="M7" t="inlineStr">
        <is>
          <t>Check do cilindro de ar</t>
        </is>
      </c>
      <c r="N7" t="inlineStr">
        <is>
          <t>Air Starter Baleeira 1 c/ pressão baixa</t>
        </is>
      </c>
      <c r="O7" t="inlineStr">
        <is>
          <t>1349-76SA001</t>
        </is>
      </c>
      <c r="Q7" t="n">
        <v>1</v>
      </c>
      <c r="R7" t="inlineStr">
        <is>
          <t>DPRO</t>
        </is>
      </c>
      <c r="S7" t="inlineStr">
        <is>
          <t>Z12</t>
        </is>
      </c>
      <c r="T7" s="20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F8" s="20" t="n">
        <v>46312</v>
      </c>
      <c r="G8" t="n">
        <v>4</v>
      </c>
      <c r="H8" t="n">
        <v>1</v>
      </c>
      <c r="J8" t="n">
        <v>4355528</v>
      </c>
      <c r="K8" t="n">
        <v>20</v>
      </c>
      <c r="L8" t="inlineStr">
        <is>
          <t>MAR</t>
        </is>
      </c>
      <c r="M8" t="inlineStr">
        <is>
          <t>Trocar o cilindro por um novo</t>
        </is>
      </c>
      <c r="N8" t="inlineStr">
        <is>
          <t>Air Starter Baleeira 1 c/ pressão baixa</t>
        </is>
      </c>
      <c r="O8" t="inlineStr">
        <is>
          <t>1349-76SA001</t>
        </is>
      </c>
      <c r="Q8" t="n">
        <v>2</v>
      </c>
      <c r="R8" t="inlineStr">
        <is>
          <t>DPRO</t>
        </is>
      </c>
      <c r="S8" t="inlineStr">
        <is>
          <t>Z12</t>
        </is>
      </c>
      <c r="T8" s="20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F9" s="20" t="n">
        <v>46323</v>
      </c>
      <c r="G9" t="n">
        <v>6</v>
      </c>
      <c r="H9" t="n">
        <v>3</v>
      </c>
      <c r="J9" t="n">
        <v>4288164</v>
      </c>
      <c r="K9" t="n">
        <v>10</v>
      </c>
      <c r="L9" t="inlineStr">
        <is>
          <t>POMAUT</t>
        </is>
      </c>
      <c r="M9" t="inlineStr">
        <is>
          <t>77FY5514 Pressure Ctrl Damper C/ avaria</t>
        </is>
      </c>
      <c r="N9" t="inlineStr">
        <is>
          <t>77FY5514 Pressure Ctrl Damper C/ avaria</t>
        </is>
      </c>
      <c r="O9" t="inlineStr">
        <is>
          <t>1349-77FY5514</t>
        </is>
      </c>
      <c r="Q9" t="n">
        <v>4</v>
      </c>
      <c r="R9" t="inlineStr">
        <is>
          <t>DPRO</t>
        </is>
      </c>
      <c r="S9" t="inlineStr">
        <is>
          <t>Z12</t>
        </is>
      </c>
      <c r="T9" s="20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F10" s="20" t="n">
        <v>46315</v>
      </c>
      <c r="G10" t="n">
        <v>6</v>
      </c>
      <c r="H10" t="n">
        <v>3</v>
      </c>
      <c r="J10" t="n">
        <v>4284799</v>
      </c>
      <c r="K10" t="n">
        <v>10</v>
      </c>
      <c r="L10" t="inlineStr">
        <is>
          <t>POMAUT</t>
        </is>
      </c>
      <c r="M10" t="inlineStr">
        <is>
          <t>Troubleshooting nos paineis 87JX003 e 87</t>
        </is>
      </c>
      <c r="N10" t="inlineStr">
        <is>
          <t>Troubleshooting nos paineis 87JX003 e 87</t>
        </is>
      </c>
      <c r="O10" t="inlineStr">
        <is>
          <t>1349-SYS87</t>
        </is>
      </c>
      <c r="Q10" t="n">
        <v>8</v>
      </c>
      <c r="R10" t="inlineStr">
        <is>
          <t>VEND</t>
        </is>
      </c>
      <c r="S10" t="inlineStr">
        <is>
          <t>Z12</t>
        </is>
      </c>
      <c r="T10" s="20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0" t="n">
        <v>46323</v>
      </c>
      <c r="F11" s="20" t="n">
        <v>46315</v>
      </c>
      <c r="G11" t="n">
        <v>4</v>
      </c>
      <c r="H11" t="n">
        <v>2</v>
      </c>
      <c r="J11" t="n">
        <v>4196088</v>
      </c>
      <c r="K11" t="n">
        <v>10</v>
      </c>
      <c r="L11" t="inlineStr">
        <is>
          <t>POMMEC</t>
        </is>
      </c>
      <c r="M11" t="inlineStr">
        <is>
          <t>Parafuso do Redutor de giro quebrado</t>
        </is>
      </c>
      <c r="N11" t="inlineStr">
        <is>
          <t>Parafuso do Redutor de giro quebrado</t>
        </is>
      </c>
      <c r="O11" t="inlineStr">
        <is>
          <t>1349-73MA002</t>
        </is>
      </c>
      <c r="Q11" t="n">
        <v>5</v>
      </c>
      <c r="R11" t="inlineStr">
        <is>
          <t>VEND</t>
        </is>
      </c>
      <c r="S11" t="inlineStr">
        <is>
          <t>Z12</t>
        </is>
      </c>
      <c r="T11" s="20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F12" s="20" t="n">
        <v>46313</v>
      </c>
      <c r="G12" t="n">
        <v>4</v>
      </c>
      <c r="H12" t="n">
        <v>2</v>
      </c>
      <c r="J12" t="n">
        <v>4365437</v>
      </c>
      <c r="K12" t="n">
        <v>10</v>
      </c>
      <c r="L12" t="inlineStr">
        <is>
          <t>MEC</t>
        </is>
      </c>
      <c r="M12" t="inlineStr">
        <is>
          <t>Realizar inspeção 71PI001A-D01</t>
        </is>
      </c>
      <c r="N12" t="inlineStr">
        <is>
          <t>PRED_OLEO - 2600005802 - ANORMAL</t>
        </is>
      </c>
      <c r="O12" t="inlineStr">
        <is>
          <t>1349-71PI001A-D01</t>
        </is>
      </c>
      <c r="Q12" t="n">
        <v>3</v>
      </c>
      <c r="R12" t="inlineStr">
        <is>
          <t>DPRO</t>
        </is>
      </c>
      <c r="S12" t="inlineStr">
        <is>
          <t>Z10</t>
        </is>
      </c>
      <c r="T12" s="20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F13" s="20" t="n">
        <v>46313</v>
      </c>
      <c r="G13" t="n">
        <v>4</v>
      </c>
      <c r="H13" t="n">
        <v>2</v>
      </c>
      <c r="J13" t="n">
        <v>4365437</v>
      </c>
      <c r="K13" t="n">
        <v>20</v>
      </c>
      <c r="L13" t="inlineStr">
        <is>
          <t>MEC</t>
        </is>
      </c>
      <c r="M13" t="inlineStr">
        <is>
          <t>Realizar coleta do óleo 71PI001A-D01</t>
        </is>
      </c>
      <c r="N13" t="inlineStr">
        <is>
          <t>PRED_OLEO - 2600005802 - ANORMAL</t>
        </is>
      </c>
      <c r="O13" t="inlineStr">
        <is>
          <t>1349-71PI001A-D01</t>
        </is>
      </c>
      <c r="Q13" t="n">
        <v>1</v>
      </c>
      <c r="R13" t="inlineStr">
        <is>
          <t>DPRO</t>
        </is>
      </c>
      <c r="S13" t="inlineStr">
        <is>
          <t>Z10</t>
        </is>
      </c>
      <c r="T13" s="20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F14" s="20" t="n">
        <v>46314</v>
      </c>
      <c r="G14" t="n">
        <v>4</v>
      </c>
      <c r="H14" t="n">
        <v>2</v>
      </c>
      <c r="J14" t="n">
        <v>4365438</v>
      </c>
      <c r="K14" t="n">
        <v>10</v>
      </c>
      <c r="L14" t="inlineStr">
        <is>
          <t>MEC</t>
        </is>
      </c>
      <c r="M14" t="inlineStr">
        <is>
          <t>Realizar inspeção 71PI001A-D01</t>
        </is>
      </c>
      <c r="N14" t="inlineStr">
        <is>
          <t>PRED_OLEO - 2600030968 - ANORMAL</t>
        </is>
      </c>
      <c r="O14" t="inlineStr">
        <is>
          <t>1349-71PI001A-D01</t>
        </is>
      </c>
      <c r="Q14" t="n">
        <v>3</v>
      </c>
      <c r="R14" t="inlineStr">
        <is>
          <t>DPRO</t>
        </is>
      </c>
      <c r="S14" t="inlineStr">
        <is>
          <t>Z10</t>
        </is>
      </c>
      <c r="T14" s="20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F15" s="20" t="n">
        <v>46314</v>
      </c>
      <c r="G15" t="n">
        <v>4</v>
      </c>
      <c r="H15" t="n">
        <v>2</v>
      </c>
      <c r="J15" t="n">
        <v>4365438</v>
      </c>
      <c r="K15" t="n">
        <v>20</v>
      </c>
      <c r="L15" t="inlineStr">
        <is>
          <t>MEC</t>
        </is>
      </c>
      <c r="M15" t="inlineStr">
        <is>
          <t>Realizar filtragem 71PI001A-D01</t>
        </is>
      </c>
      <c r="N15" t="inlineStr">
        <is>
          <t>PRED_OLEO - 2600030968 - ANORMAL</t>
        </is>
      </c>
      <c r="O15" t="inlineStr">
        <is>
          <t>1349-71PI001A-D01</t>
        </is>
      </c>
      <c r="Q15" t="n">
        <v>6</v>
      </c>
      <c r="R15" t="inlineStr">
        <is>
          <t>DPRO</t>
        </is>
      </c>
      <c r="S15" t="inlineStr">
        <is>
          <t>Z10</t>
        </is>
      </c>
      <c r="T15" s="20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F16" s="20" t="n">
        <v>46326</v>
      </c>
      <c r="G16" t="n">
        <v>4</v>
      </c>
      <c r="H16" t="n">
        <v>2</v>
      </c>
      <c r="J16" t="n">
        <v>4365440</v>
      </c>
      <c r="K16" t="n">
        <v>10</v>
      </c>
      <c r="L16" t="inlineStr">
        <is>
          <t>MEC</t>
        </is>
      </c>
      <c r="M16" t="inlineStr">
        <is>
          <t>Realizar filtragem 71P1001B-X01</t>
        </is>
      </c>
      <c r="N16" t="inlineStr">
        <is>
          <t>PRED_OLEO - 2600005899 - ANORMAL</t>
        </is>
      </c>
      <c r="O16" t="inlineStr">
        <is>
          <t>1349-71PI001B-X01</t>
        </is>
      </c>
      <c r="Q16" t="n">
        <v>6</v>
      </c>
      <c r="R16" t="inlineStr">
        <is>
          <t>DPRO</t>
        </is>
      </c>
      <c r="S16" t="inlineStr">
        <is>
          <t>Z10</t>
        </is>
      </c>
      <c r="T16" s="20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F17" s="20" t="n">
        <v>46326</v>
      </c>
      <c r="G17" t="n">
        <v>4</v>
      </c>
      <c r="H17" t="n">
        <v>2</v>
      </c>
      <c r="J17" t="n">
        <v>4365439</v>
      </c>
      <c r="K17" t="n">
        <v>10</v>
      </c>
      <c r="L17" t="inlineStr">
        <is>
          <t>MEC</t>
        </is>
      </c>
      <c r="M17" t="inlineStr">
        <is>
          <t>Realizar filtragem 84EG001-D01</t>
        </is>
      </c>
      <c r="N17" t="inlineStr">
        <is>
          <t>PRED_OLEO - 2600030899 - ANORMAL</t>
        </is>
      </c>
      <c r="O17" t="inlineStr">
        <is>
          <t>1349-84EG001-D01</t>
        </is>
      </c>
      <c r="Q17" t="n">
        <v>6</v>
      </c>
      <c r="R17" t="inlineStr">
        <is>
          <t>DPRO</t>
        </is>
      </c>
      <c r="S17" t="inlineStr">
        <is>
          <t>Z10</t>
        </is>
      </c>
      <c r="T17" s="20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F18" s="20" t="n">
        <v>46318</v>
      </c>
      <c r="G18" t="n">
        <v>4</v>
      </c>
      <c r="H18" t="n">
        <v>1</v>
      </c>
      <c r="J18" t="n">
        <v>4360811</v>
      </c>
      <c r="K18" t="n">
        <v>10</v>
      </c>
      <c r="L18" t="inlineStr">
        <is>
          <t>INS</t>
        </is>
      </c>
      <c r="M18" t="inlineStr">
        <is>
          <t>Troubleshooting 85FSL0001</t>
        </is>
      </c>
      <c r="N18" t="inlineStr">
        <is>
          <t>Troubleshooting 85FSL0001</t>
        </is>
      </c>
      <c r="O18" t="inlineStr">
        <is>
          <t>1349-85FSL0001</t>
        </is>
      </c>
      <c r="Q18" t="n">
        <v>6</v>
      </c>
      <c r="R18" t="inlineStr">
        <is>
          <t>DPRO</t>
        </is>
      </c>
      <c r="S18" t="inlineStr">
        <is>
          <t>Z12</t>
        </is>
      </c>
      <c r="T18" s="20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F19" s="20" t="n">
        <v>46325</v>
      </c>
      <c r="G19" t="n">
        <v>4</v>
      </c>
      <c r="H19" t="n">
        <v>2</v>
      </c>
      <c r="J19" t="n">
        <v>4349922</v>
      </c>
      <c r="K19" t="n">
        <v>30</v>
      </c>
      <c r="L19" t="inlineStr">
        <is>
          <t>MEC</t>
        </is>
      </c>
      <c r="M19" t="inlineStr">
        <is>
          <t>Suporte do time de mecânica</t>
        </is>
      </c>
      <c r="N19" t="inlineStr">
        <is>
          <t>Checagem do sistema hidráulico K60E</t>
        </is>
      </c>
      <c r="O19" t="inlineStr">
        <is>
          <t>1349-73MA001</t>
        </is>
      </c>
      <c r="Q19" t="n">
        <v>6</v>
      </c>
      <c r="R19" t="inlineStr">
        <is>
          <t>VEND</t>
        </is>
      </c>
      <c r="S19" t="inlineStr">
        <is>
          <t>Z12</t>
        </is>
      </c>
      <c r="T19" s="20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F20" s="20" t="n">
        <v>46325</v>
      </c>
      <c r="G20" t="n">
        <v>4</v>
      </c>
      <c r="H20" t="n">
        <v>2</v>
      </c>
      <c r="J20" t="n">
        <v>4349922</v>
      </c>
      <c r="K20" t="n">
        <v>40</v>
      </c>
      <c r="L20" t="inlineStr">
        <is>
          <t>TER</t>
        </is>
      </c>
      <c r="M20" t="inlineStr">
        <is>
          <t>VERIFICAÇÃO SISTEMA HIDRÁULICO GUINDASTE</t>
        </is>
      </c>
      <c r="N20" t="inlineStr">
        <is>
          <t>Checagem do sistema hidráulico K60E</t>
        </is>
      </c>
      <c r="O20" t="inlineStr">
        <is>
          <t>1349-73MA001</t>
        </is>
      </c>
      <c r="Q20" t="n">
        <v>12</v>
      </c>
      <c r="R20" t="inlineStr">
        <is>
          <t>VEND</t>
        </is>
      </c>
      <c r="S20" t="inlineStr">
        <is>
          <t>Z12</t>
        </is>
      </c>
      <c r="T20" s="20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F21" s="20" t="n">
        <v>46326</v>
      </c>
      <c r="G21" t="n">
        <v>4</v>
      </c>
      <c r="H21" t="n">
        <v>2</v>
      </c>
      <c r="J21" t="n">
        <v>4349923</v>
      </c>
      <c r="K21" t="n">
        <v>20</v>
      </c>
      <c r="L21" t="inlineStr">
        <is>
          <t>MEC</t>
        </is>
      </c>
      <c r="M21" t="inlineStr">
        <is>
          <t>Suporte do time de mecânica</t>
        </is>
      </c>
      <c r="N21" t="inlineStr">
        <is>
          <t>Checagem do sistema hidráulico K60E</t>
        </is>
      </c>
      <c r="O21" t="inlineStr">
        <is>
          <t>1349-73MA002</t>
        </is>
      </c>
      <c r="Q21" t="n">
        <v>12</v>
      </c>
      <c r="R21" t="inlineStr">
        <is>
          <t>VEND</t>
        </is>
      </c>
      <c r="S21" t="inlineStr">
        <is>
          <t>Z12</t>
        </is>
      </c>
      <c r="T21" s="20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F22" s="20" t="n">
        <v>46326</v>
      </c>
      <c r="G22" t="n">
        <v>4</v>
      </c>
      <c r="H22" t="n">
        <v>2</v>
      </c>
      <c r="J22" t="n">
        <v>4349923</v>
      </c>
      <c r="K22" t="n">
        <v>30</v>
      </c>
      <c r="L22" t="inlineStr">
        <is>
          <t>TER</t>
        </is>
      </c>
      <c r="M22" t="inlineStr">
        <is>
          <t>VERIFICAÇÃO SISTEMA HIDRÁULICO GUINDASTE</t>
        </is>
      </c>
      <c r="N22" t="inlineStr">
        <is>
          <t>Checagem do sistema hidráulico K60E</t>
        </is>
      </c>
      <c r="O22" t="inlineStr">
        <is>
          <t>1349-73MA002</t>
        </is>
      </c>
      <c r="Q22" t="n">
        <v>5</v>
      </c>
      <c r="R22" t="inlineStr">
        <is>
          <t>VEND</t>
        </is>
      </c>
      <c r="S22" t="inlineStr">
        <is>
          <t>Z12</t>
        </is>
      </c>
      <c r="T22" s="20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F23" s="20" t="n">
        <v>46316</v>
      </c>
      <c r="G23" t="n">
        <v>3</v>
      </c>
      <c r="H23" t="n">
        <v>2</v>
      </c>
      <c r="I23" s="20" t="n">
        <v>46316</v>
      </c>
      <c r="J23" t="n">
        <v>4384488</v>
      </c>
      <c r="K23" t="n">
        <v>10</v>
      </c>
      <c r="L23" t="inlineStr">
        <is>
          <t>POMELE</t>
        </is>
      </c>
      <c r="M23" t="inlineStr">
        <is>
          <t>02W PREPARATION AND REPORT</t>
        </is>
      </c>
      <c r="N23" t="inlineStr">
        <is>
          <t>HIPOCHLORITE GENERATOR BIWEEKLY MAINT</t>
        </is>
      </c>
      <c r="O23" t="inlineStr">
        <is>
          <t>1349-47XX001</t>
        </is>
      </c>
      <c r="Q23" t="n">
        <v>1</v>
      </c>
      <c r="R23" t="inlineStr">
        <is>
          <t>PLANO</t>
        </is>
      </c>
      <c r="S23" t="inlineStr">
        <is>
          <t>Z12</t>
        </is>
      </c>
      <c r="T23" s="20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F24" s="20" t="n">
        <v>46316</v>
      </c>
      <c r="G24" t="n">
        <v>3</v>
      </c>
      <c r="H24" t="n">
        <v>2</v>
      </c>
      <c r="I24" s="20" t="n">
        <v>46316</v>
      </c>
      <c r="J24" t="n">
        <v>4384488</v>
      </c>
      <c r="K24" t="n">
        <v>20</v>
      </c>
      <c r="L24" t="inlineStr">
        <is>
          <t>POMELE</t>
        </is>
      </c>
      <c r="M24" t="inlineStr">
        <is>
          <t>02W ELECTROLYZER OPERATING PARAMETERS</t>
        </is>
      </c>
      <c r="N24" t="inlineStr">
        <is>
          <t>HIPOCHLORITE GENERATOR BIWEEKLY MAINT</t>
        </is>
      </c>
      <c r="O24" t="inlineStr">
        <is>
          <t>1349-47XX001</t>
        </is>
      </c>
      <c r="Q24" t="n">
        <v>4</v>
      </c>
      <c r="R24" t="inlineStr">
        <is>
          <t>PLANO</t>
        </is>
      </c>
      <c r="S24" t="inlineStr">
        <is>
          <t>Z12</t>
        </is>
      </c>
      <c r="T24" s="20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F25" s="20" t="n">
        <v>46316</v>
      </c>
      <c r="G25" t="n">
        <v>3</v>
      </c>
      <c r="H25" t="n">
        <v>2</v>
      </c>
      <c r="I25" s="20" t="n">
        <v>46316</v>
      </c>
      <c r="J25" t="n">
        <v>4384488</v>
      </c>
      <c r="K25" t="n">
        <v>30</v>
      </c>
      <c r="L25" t="inlineStr">
        <is>
          <t>POMPRO</t>
        </is>
      </c>
      <c r="M25" t="inlineStr">
        <is>
          <t>02W ELECTROLYZER OPERATING PARAMETERS</t>
        </is>
      </c>
      <c r="N25" t="inlineStr">
        <is>
          <t>HIPOCHLORITE GENERATOR BIWEEKLY MAINT</t>
        </is>
      </c>
      <c r="O25" t="inlineStr">
        <is>
          <t>1349-47XX001</t>
        </is>
      </c>
      <c r="Q25" t="n">
        <v>2</v>
      </c>
      <c r="R25" t="inlineStr">
        <is>
          <t>PLANO</t>
        </is>
      </c>
      <c r="S25" t="inlineStr">
        <is>
          <t>Z12</t>
        </is>
      </c>
      <c r="T25" s="20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F26" s="20" t="n">
        <v>46320</v>
      </c>
      <c r="G26" t="n">
        <v>3</v>
      </c>
      <c r="H26" t="n">
        <v>2</v>
      </c>
      <c r="I26" s="20" t="n">
        <v>46320</v>
      </c>
      <c r="J26" t="n">
        <v>4384449</v>
      </c>
      <c r="K26" t="n">
        <v>5</v>
      </c>
      <c r="L26" t="inlineStr">
        <is>
          <t>POMMEC</t>
        </is>
      </c>
      <c r="M26" t="inlineStr">
        <is>
          <t>02W PREPARATION AND REPORT</t>
        </is>
      </c>
      <c r="N26" t="inlineStr">
        <is>
          <t>STOP-U EAST CRANE DIESEL ENGINE</t>
        </is>
      </c>
      <c r="O26" t="inlineStr">
        <is>
          <t>1349-73MA001</t>
        </is>
      </c>
      <c r="Q26" t="n">
        <v>1</v>
      </c>
      <c r="R26" t="inlineStr">
        <is>
          <t>PLANO</t>
        </is>
      </c>
      <c r="S26" t="inlineStr">
        <is>
          <t>Z12</t>
        </is>
      </c>
      <c r="T26" s="20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F27" s="20" t="n">
        <v>46320</v>
      </c>
      <c r="G27" t="n">
        <v>3</v>
      </c>
      <c r="H27" t="n">
        <v>2</v>
      </c>
      <c r="I27" s="20" t="n">
        <v>46320</v>
      </c>
      <c r="J27" t="n">
        <v>4384449</v>
      </c>
      <c r="K27" t="n">
        <v>20</v>
      </c>
      <c r="L27" t="inlineStr">
        <is>
          <t>POMMEC</t>
        </is>
      </c>
      <c r="M27" t="inlineStr">
        <is>
          <t>02W DIESEL ENGINE</t>
        </is>
      </c>
      <c r="N27" t="inlineStr">
        <is>
          <t>STOP-U EAST CRANE DIESEL ENGINE</t>
        </is>
      </c>
      <c r="O27" t="inlineStr">
        <is>
          <t>1349-73MA001</t>
        </is>
      </c>
      <c r="Q27" t="n">
        <v>1</v>
      </c>
      <c r="R27" t="inlineStr">
        <is>
          <t>PLANO</t>
        </is>
      </c>
      <c r="S27" t="inlineStr">
        <is>
          <t>Z12</t>
        </is>
      </c>
      <c r="T27" s="20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F28" s="20" t="n">
        <v>46320</v>
      </c>
      <c r="G28" t="n">
        <v>3</v>
      </c>
      <c r="H28" t="n">
        <v>2</v>
      </c>
      <c r="I28" s="20" t="n">
        <v>46320</v>
      </c>
      <c r="J28" t="n">
        <v>4384449</v>
      </c>
      <c r="K28" t="n">
        <v>30</v>
      </c>
      <c r="L28" t="inlineStr">
        <is>
          <t>POMMEC</t>
        </is>
      </c>
      <c r="M28" t="inlineStr">
        <is>
          <t>02W DIESEL ENGINE OIL CHANGE</t>
        </is>
      </c>
      <c r="N28" t="inlineStr">
        <is>
          <t>STOP-U EAST CRANE DIESEL ENGINE</t>
        </is>
      </c>
      <c r="O28" t="inlineStr">
        <is>
          <t>1349-73MA001</t>
        </is>
      </c>
      <c r="Q28" t="n">
        <v>2</v>
      </c>
      <c r="R28" t="inlineStr">
        <is>
          <t>PLANO</t>
        </is>
      </c>
      <c r="S28" t="inlineStr">
        <is>
          <t>Z12</t>
        </is>
      </c>
      <c r="T28" s="20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F29" s="20" t="n">
        <v>46320</v>
      </c>
      <c r="G29" t="n">
        <v>3</v>
      </c>
      <c r="H29" t="n">
        <v>2</v>
      </c>
      <c r="I29" s="20" t="n">
        <v>46320</v>
      </c>
      <c r="J29" t="n">
        <v>4384449</v>
      </c>
      <c r="K29" t="n">
        <v>40</v>
      </c>
      <c r="L29" t="inlineStr">
        <is>
          <t>POMELE</t>
        </is>
      </c>
      <c r="M29" t="inlineStr">
        <is>
          <t>02W DIESEL ENGINE</t>
        </is>
      </c>
      <c r="N29" t="inlineStr">
        <is>
          <t>STOP-U EAST CRANE DIESEL ENGINE</t>
        </is>
      </c>
      <c r="O29" t="inlineStr">
        <is>
          <t>1349-73MA001</t>
        </is>
      </c>
      <c r="Q29" t="n">
        <v>0.5</v>
      </c>
      <c r="R29" t="inlineStr">
        <is>
          <t>PLANO</t>
        </is>
      </c>
      <c r="S29" t="inlineStr">
        <is>
          <t>Z12</t>
        </is>
      </c>
      <c r="T29" s="20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F30" s="20" t="n">
        <v>46320</v>
      </c>
      <c r="G30" t="n">
        <v>3</v>
      </c>
      <c r="H30" t="n">
        <v>2</v>
      </c>
      <c r="I30" s="20" t="n">
        <v>46320</v>
      </c>
      <c r="J30" t="n">
        <v>4384517</v>
      </c>
      <c r="K30" t="n">
        <v>5</v>
      </c>
      <c r="L30" t="inlineStr">
        <is>
          <t>POMMEC</t>
        </is>
      </c>
      <c r="M30" t="inlineStr">
        <is>
          <t>02W PREPARATION AND REPORT</t>
        </is>
      </c>
      <c r="N30" t="inlineStr">
        <is>
          <t>STOP-U EAST CRANE DIESEL ENGINE</t>
        </is>
      </c>
      <c r="O30" t="inlineStr">
        <is>
          <t>1349-73MA001</t>
        </is>
      </c>
      <c r="Q30" t="n">
        <v>1</v>
      </c>
      <c r="R30" t="inlineStr">
        <is>
          <t>PLANO</t>
        </is>
      </c>
      <c r="S30" t="inlineStr">
        <is>
          <t>Z12</t>
        </is>
      </c>
      <c r="T30" s="20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F31" s="20" t="n">
        <v>46320</v>
      </c>
      <c r="G31" t="n">
        <v>3</v>
      </c>
      <c r="H31" t="n">
        <v>2</v>
      </c>
      <c r="I31" s="20" t="n">
        <v>46320</v>
      </c>
      <c r="J31" t="n">
        <v>4384517</v>
      </c>
      <c r="K31" t="n">
        <v>20</v>
      </c>
      <c r="L31" t="inlineStr">
        <is>
          <t>POMMEC</t>
        </is>
      </c>
      <c r="M31" t="inlineStr">
        <is>
          <t>02W DIESEL ENGINE</t>
        </is>
      </c>
      <c r="N31" t="inlineStr">
        <is>
          <t>STOP-U EAST CRANE DIESEL ENGINE</t>
        </is>
      </c>
      <c r="O31" t="inlineStr">
        <is>
          <t>1349-73MA001</t>
        </is>
      </c>
      <c r="Q31" t="n">
        <v>1</v>
      </c>
      <c r="R31" t="inlineStr">
        <is>
          <t>PLANO</t>
        </is>
      </c>
      <c r="S31" t="inlineStr">
        <is>
          <t>Z12</t>
        </is>
      </c>
      <c r="T31" s="20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F32" s="20" t="n">
        <v>46320</v>
      </c>
      <c r="G32" t="n">
        <v>3</v>
      </c>
      <c r="H32" t="n">
        <v>2</v>
      </c>
      <c r="I32" s="20" t="n">
        <v>46320</v>
      </c>
      <c r="J32" t="n">
        <v>4384517</v>
      </c>
      <c r="K32" t="n">
        <v>30</v>
      </c>
      <c r="L32" t="inlineStr">
        <is>
          <t>POMMEC</t>
        </is>
      </c>
      <c r="M32" t="inlineStr">
        <is>
          <t>02W DIESEL ENGINE OIL CHANGE</t>
        </is>
      </c>
      <c r="N32" t="inlineStr">
        <is>
          <t>STOP-U EAST CRANE DIESEL ENGINE</t>
        </is>
      </c>
      <c r="O32" t="inlineStr">
        <is>
          <t>1349-73MA001</t>
        </is>
      </c>
      <c r="Q32" t="n">
        <v>2</v>
      </c>
      <c r="R32" t="inlineStr">
        <is>
          <t>PLANO</t>
        </is>
      </c>
      <c r="S32" t="inlineStr">
        <is>
          <t>Z12</t>
        </is>
      </c>
      <c r="T32" s="20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F33" s="20" t="n">
        <v>46320</v>
      </c>
      <c r="G33" t="n">
        <v>3</v>
      </c>
      <c r="H33" t="n">
        <v>2</v>
      </c>
      <c r="I33" s="20" t="n">
        <v>46320</v>
      </c>
      <c r="J33" t="n">
        <v>4384517</v>
      </c>
      <c r="K33" t="n">
        <v>40</v>
      </c>
      <c r="L33" t="inlineStr">
        <is>
          <t>POMELE</t>
        </is>
      </c>
      <c r="M33" t="inlineStr">
        <is>
          <t>02W DIESEL ENGINE</t>
        </is>
      </c>
      <c r="N33" t="inlineStr">
        <is>
          <t>STOP-U EAST CRANE DIESEL ENGINE</t>
        </is>
      </c>
      <c r="O33" t="inlineStr">
        <is>
          <t>1349-73MA001</t>
        </is>
      </c>
      <c r="Q33" t="n">
        <v>0.5</v>
      </c>
      <c r="R33" t="inlineStr">
        <is>
          <t>PLANO</t>
        </is>
      </c>
      <c r="S33" t="inlineStr">
        <is>
          <t>Z12</t>
        </is>
      </c>
      <c r="T33" s="20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F34" s="20" t="n">
        <v>46320</v>
      </c>
      <c r="G34" t="n">
        <v>3</v>
      </c>
      <c r="H34" t="n">
        <v>2</v>
      </c>
      <c r="I34" s="20" t="n">
        <v>46320</v>
      </c>
      <c r="J34" t="n">
        <v>4384453</v>
      </c>
      <c r="K34" t="n">
        <v>5</v>
      </c>
      <c r="L34" t="inlineStr">
        <is>
          <t>POMMEC</t>
        </is>
      </c>
      <c r="M34" t="inlineStr">
        <is>
          <t>02W PREPARATION AND REPORT</t>
        </is>
      </c>
      <c r="N34" t="inlineStr">
        <is>
          <t>STOP-U WEST CRANE DIESEL ENGINE</t>
        </is>
      </c>
      <c r="O34" t="inlineStr">
        <is>
          <t>1349-73MA002</t>
        </is>
      </c>
      <c r="Q34" t="n">
        <v>1</v>
      </c>
      <c r="R34" t="inlineStr">
        <is>
          <t>PLANO</t>
        </is>
      </c>
      <c r="S34" t="inlineStr">
        <is>
          <t>Z12</t>
        </is>
      </c>
      <c r="T34" s="20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F35" s="20" t="n">
        <v>46320</v>
      </c>
      <c r="G35" t="n">
        <v>3</v>
      </c>
      <c r="H35" t="n">
        <v>2</v>
      </c>
      <c r="I35" s="20" t="n">
        <v>46320</v>
      </c>
      <c r="J35" t="n">
        <v>4384453</v>
      </c>
      <c r="K35" t="n">
        <v>20</v>
      </c>
      <c r="L35" t="inlineStr">
        <is>
          <t>POMMEC</t>
        </is>
      </c>
      <c r="M35" t="inlineStr">
        <is>
          <t>02W DIESEL ENGINE</t>
        </is>
      </c>
      <c r="N35" t="inlineStr">
        <is>
          <t>STOP-U WEST CRANE DIESEL ENGINE</t>
        </is>
      </c>
      <c r="O35" t="inlineStr">
        <is>
          <t>1349-73MA002</t>
        </is>
      </c>
      <c r="Q35" t="n">
        <v>1</v>
      </c>
      <c r="R35" t="inlineStr">
        <is>
          <t>PLANO</t>
        </is>
      </c>
      <c r="S35" t="inlineStr">
        <is>
          <t>Z12</t>
        </is>
      </c>
      <c r="T35" s="20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F36" s="20" t="n">
        <v>46320</v>
      </c>
      <c r="G36" t="n">
        <v>3</v>
      </c>
      <c r="H36" t="n">
        <v>2</v>
      </c>
      <c r="I36" s="20" t="n">
        <v>46320</v>
      </c>
      <c r="J36" t="n">
        <v>4384453</v>
      </c>
      <c r="K36" t="n">
        <v>30</v>
      </c>
      <c r="L36" t="inlineStr">
        <is>
          <t>POMMEC</t>
        </is>
      </c>
      <c r="M36" t="inlineStr">
        <is>
          <t>02W DIESEL ENGINE OIL CHANGE</t>
        </is>
      </c>
      <c r="N36" t="inlineStr">
        <is>
          <t>STOP-U WEST CRANE DIESEL ENGINE</t>
        </is>
      </c>
      <c r="O36" t="inlineStr">
        <is>
          <t>1349-73MA002</t>
        </is>
      </c>
      <c r="Q36" t="n">
        <v>2</v>
      </c>
      <c r="R36" t="inlineStr">
        <is>
          <t>PLANO</t>
        </is>
      </c>
      <c r="S36" t="inlineStr">
        <is>
          <t>Z12</t>
        </is>
      </c>
      <c r="T36" s="20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F37" s="20" t="n">
        <v>46320</v>
      </c>
      <c r="G37" t="n">
        <v>3</v>
      </c>
      <c r="H37" t="n">
        <v>2</v>
      </c>
      <c r="I37" s="20" t="n">
        <v>46320</v>
      </c>
      <c r="J37" t="n">
        <v>4384453</v>
      </c>
      <c r="K37" t="n">
        <v>40</v>
      </c>
      <c r="L37" t="inlineStr">
        <is>
          <t>POMELE</t>
        </is>
      </c>
      <c r="M37" t="inlineStr">
        <is>
          <t>02W DIESEL ENGINE</t>
        </is>
      </c>
      <c r="N37" t="inlineStr">
        <is>
          <t>STOP-U WEST CRANE DIESEL ENGINE</t>
        </is>
      </c>
      <c r="O37" t="inlineStr">
        <is>
          <t>1349-73MA002</t>
        </is>
      </c>
      <c r="Q37" t="n">
        <v>0.5</v>
      </c>
      <c r="R37" t="inlineStr">
        <is>
          <t>PLANO</t>
        </is>
      </c>
      <c r="S37" t="inlineStr">
        <is>
          <t>Z12</t>
        </is>
      </c>
      <c r="T37" s="20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F38" s="20" t="n">
        <v>46320</v>
      </c>
      <c r="G38" t="n">
        <v>3</v>
      </c>
      <c r="H38" t="n">
        <v>2</v>
      </c>
      <c r="I38" s="20" t="n">
        <v>46320</v>
      </c>
      <c r="J38" t="n">
        <v>4384520</v>
      </c>
      <c r="K38" t="n">
        <v>5</v>
      </c>
      <c r="L38" t="inlineStr">
        <is>
          <t>POMMEC</t>
        </is>
      </c>
      <c r="M38" t="inlineStr">
        <is>
          <t>02W PREPARATION AND REPORT</t>
        </is>
      </c>
      <c r="N38" t="inlineStr">
        <is>
          <t>STOP-U WEST CRANE DIESEL ENGINE</t>
        </is>
      </c>
      <c r="O38" t="inlineStr">
        <is>
          <t>1349-73MA002</t>
        </is>
      </c>
      <c r="Q38" t="n">
        <v>1</v>
      </c>
      <c r="R38" t="inlineStr">
        <is>
          <t>PLANO</t>
        </is>
      </c>
      <c r="S38" t="inlineStr">
        <is>
          <t>Z12</t>
        </is>
      </c>
      <c r="T38" s="20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F39" s="20" t="n">
        <v>46320</v>
      </c>
      <c r="G39" t="n">
        <v>3</v>
      </c>
      <c r="H39" t="n">
        <v>2</v>
      </c>
      <c r="I39" s="20" t="n">
        <v>46320</v>
      </c>
      <c r="J39" t="n">
        <v>4384520</v>
      </c>
      <c r="K39" t="n">
        <v>20</v>
      </c>
      <c r="L39" t="inlineStr">
        <is>
          <t>POMMEC</t>
        </is>
      </c>
      <c r="M39" t="inlineStr">
        <is>
          <t>02W DIESEL ENGINE</t>
        </is>
      </c>
      <c r="N39" t="inlineStr">
        <is>
          <t>STOP-U WEST CRANE DIESEL ENGINE</t>
        </is>
      </c>
      <c r="O39" t="inlineStr">
        <is>
          <t>1349-73MA002</t>
        </is>
      </c>
      <c r="Q39" t="n">
        <v>1</v>
      </c>
      <c r="R39" t="inlineStr">
        <is>
          <t>PLANO</t>
        </is>
      </c>
      <c r="S39" t="inlineStr">
        <is>
          <t>Z12</t>
        </is>
      </c>
      <c r="T39" s="20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F40" s="20" t="n">
        <v>46320</v>
      </c>
      <c r="G40" t="n">
        <v>3</v>
      </c>
      <c r="H40" t="n">
        <v>2</v>
      </c>
      <c r="I40" s="20" t="n">
        <v>46320</v>
      </c>
      <c r="J40" t="n">
        <v>4384520</v>
      </c>
      <c r="K40" t="n">
        <v>30</v>
      </c>
      <c r="L40" t="inlineStr">
        <is>
          <t>POMMEC</t>
        </is>
      </c>
      <c r="M40" t="inlineStr">
        <is>
          <t>02W DIESEL ENGINE OIL CHANGE</t>
        </is>
      </c>
      <c r="N40" t="inlineStr">
        <is>
          <t>STOP-U WEST CRANE DIESEL ENGINE</t>
        </is>
      </c>
      <c r="O40" t="inlineStr">
        <is>
          <t>1349-73MA002</t>
        </is>
      </c>
      <c r="Q40" t="n">
        <v>2</v>
      </c>
      <c r="R40" t="inlineStr">
        <is>
          <t>PLANO</t>
        </is>
      </c>
      <c r="S40" t="inlineStr">
        <is>
          <t>Z12</t>
        </is>
      </c>
      <c r="T40" s="20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F41" s="20" t="n">
        <v>46320</v>
      </c>
      <c r="G41" t="n">
        <v>3</v>
      </c>
      <c r="H41" t="n">
        <v>2</v>
      </c>
      <c r="I41" s="20" t="n">
        <v>46320</v>
      </c>
      <c r="J41" t="n">
        <v>4384520</v>
      </c>
      <c r="K41" t="n">
        <v>40</v>
      </c>
      <c r="L41" t="inlineStr">
        <is>
          <t>POMELE</t>
        </is>
      </c>
      <c r="M41" t="inlineStr">
        <is>
          <t>02W DIESEL ENGINE</t>
        </is>
      </c>
      <c r="N41" t="inlineStr">
        <is>
          <t>STOP-U WEST CRANE DIESEL ENGINE</t>
        </is>
      </c>
      <c r="O41" t="inlineStr">
        <is>
          <t>1349-73MA002</t>
        </is>
      </c>
      <c r="Q41" t="n">
        <v>0.5</v>
      </c>
      <c r="R41" t="inlineStr">
        <is>
          <t>PLANO</t>
        </is>
      </c>
      <c r="S41" t="inlineStr">
        <is>
          <t>Z12</t>
        </is>
      </c>
      <c r="T41" s="20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F42" s="20" t="n">
        <v>46316</v>
      </c>
      <c r="G42" t="n">
        <v>3</v>
      </c>
      <c r="H42" t="n">
        <v>2</v>
      </c>
      <c r="I42" s="20" t="n">
        <v>46316</v>
      </c>
      <c r="J42" t="n">
        <v>4384485</v>
      </c>
      <c r="K42" t="n">
        <v>10</v>
      </c>
      <c r="L42" t="inlineStr">
        <is>
          <t>POMELE</t>
        </is>
      </c>
      <c r="M42" t="inlineStr">
        <is>
          <t>02W PREPARATION AND REPORT</t>
        </is>
      </c>
      <c r="N42" t="inlineStr">
        <is>
          <t>1349-82EL101A HEAT TRACING INSPECTION</t>
        </is>
      </c>
      <c r="O42" t="inlineStr">
        <is>
          <t>1349-82EL101A</t>
        </is>
      </c>
      <c r="Q42" t="n">
        <v>1</v>
      </c>
      <c r="R42" t="inlineStr">
        <is>
          <t>PLANO</t>
        </is>
      </c>
      <c r="S42" t="inlineStr">
        <is>
          <t>Z12</t>
        </is>
      </c>
      <c r="T42" s="20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F43" s="20" t="n">
        <v>46316</v>
      </c>
      <c r="G43" t="n">
        <v>3</v>
      </c>
      <c r="H43" t="n">
        <v>2</v>
      </c>
      <c r="I43" s="20" t="n">
        <v>46316</v>
      </c>
      <c r="J43" t="n">
        <v>4384485</v>
      </c>
      <c r="K43" t="n">
        <v>20</v>
      </c>
      <c r="L43" t="inlineStr">
        <is>
          <t>POMELE</t>
        </is>
      </c>
      <c r="M43" t="inlineStr">
        <is>
          <t>02W HEAT TRACING SYS INSPECTION</t>
        </is>
      </c>
      <c r="N43" t="inlineStr">
        <is>
          <t>1349-82EL101A HEAT TRACING INSPECTION</t>
        </is>
      </c>
      <c r="O43" t="inlineStr">
        <is>
          <t>1349-82EL101A</t>
        </is>
      </c>
      <c r="Q43" t="n">
        <v>2</v>
      </c>
      <c r="R43" t="inlineStr">
        <is>
          <t>PLANO</t>
        </is>
      </c>
      <c r="S43" t="inlineStr">
        <is>
          <t>Z12</t>
        </is>
      </c>
      <c r="T43" s="20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F44" s="20" t="n">
        <v>46316</v>
      </c>
      <c r="G44" t="n">
        <v>5</v>
      </c>
      <c r="H44" t="n">
        <v>3</v>
      </c>
      <c r="I44" s="20" t="n">
        <v>46316</v>
      </c>
      <c r="J44" t="n">
        <v>4384587</v>
      </c>
      <c r="K44" t="n">
        <v>40</v>
      </c>
      <c r="L44" t="inlineStr">
        <is>
          <t>E05AUT</t>
        </is>
      </c>
      <c r="M44" t="inlineStr">
        <is>
          <t>01W CONTROL NETWORK</t>
        </is>
      </c>
      <c r="N44" t="inlineStr">
        <is>
          <t>AUT CABINETS STATUS VERIF WEEKLY</t>
        </is>
      </c>
      <c r="O44" t="inlineStr">
        <is>
          <t>1349-SYS87</t>
        </is>
      </c>
      <c r="Q44" t="n">
        <v>0.5</v>
      </c>
      <c r="R44" t="inlineStr">
        <is>
          <t>PLANO</t>
        </is>
      </c>
      <c r="S44" t="inlineStr">
        <is>
          <t>Z12</t>
        </is>
      </c>
      <c r="T44" s="20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F45" s="20" t="n">
        <v>46316</v>
      </c>
      <c r="G45" t="n">
        <v>5</v>
      </c>
      <c r="H45" t="n">
        <v>3</v>
      </c>
      <c r="I45" s="20" t="n">
        <v>46316</v>
      </c>
      <c r="J45" t="n">
        <v>4384587</v>
      </c>
      <c r="K45" t="n">
        <v>60</v>
      </c>
      <c r="L45" t="inlineStr">
        <is>
          <t>E05AUT</t>
        </is>
      </c>
      <c r="M45" t="inlineStr">
        <is>
          <t>01W RIO &amp; ORTHER COMMUNICATION</t>
        </is>
      </c>
      <c r="N45" t="inlineStr">
        <is>
          <t>AUT CABINETS STATUS VERIF WEEKLY</t>
        </is>
      </c>
      <c r="O45" t="inlineStr">
        <is>
          <t>1349-SYS87</t>
        </is>
      </c>
      <c r="Q45" t="n">
        <v>0.5</v>
      </c>
      <c r="R45" t="inlineStr">
        <is>
          <t>PLANO</t>
        </is>
      </c>
      <c r="S45" t="inlineStr">
        <is>
          <t>Z12</t>
        </is>
      </c>
      <c r="T45" s="20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F46" s="20" t="n">
        <v>46316</v>
      </c>
      <c r="G46" t="n">
        <v>5</v>
      </c>
      <c r="H46" t="n">
        <v>3</v>
      </c>
      <c r="I46" s="20" t="n">
        <v>46316</v>
      </c>
      <c r="J46" t="n">
        <v>4384587</v>
      </c>
      <c r="K46" t="n">
        <v>70</v>
      </c>
      <c r="L46" t="inlineStr">
        <is>
          <t>E05AUT</t>
        </is>
      </c>
      <c r="M46" t="inlineStr">
        <is>
          <t>01W I/O MODULES</t>
        </is>
      </c>
      <c r="N46" t="inlineStr">
        <is>
          <t>AUT CABINETS STATUS VERIF WEEKLY</t>
        </is>
      </c>
      <c r="O46" t="inlineStr">
        <is>
          <t>1349-SYS87</t>
        </is>
      </c>
      <c r="Q46" t="n">
        <v>0.5</v>
      </c>
      <c r="R46" t="inlineStr">
        <is>
          <t>PLANO</t>
        </is>
      </c>
      <c r="S46" t="inlineStr">
        <is>
          <t>Z12</t>
        </is>
      </c>
      <c r="T46" s="20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F47" s="20" t="n">
        <v>46316</v>
      </c>
      <c r="G47" t="n">
        <v>5</v>
      </c>
      <c r="H47" t="n">
        <v>3</v>
      </c>
      <c r="I47" s="20" t="n">
        <v>46316</v>
      </c>
      <c r="J47" t="n">
        <v>4384587</v>
      </c>
      <c r="K47" t="n">
        <v>80</v>
      </c>
      <c r="L47" t="inlineStr">
        <is>
          <t>E05AUT</t>
        </is>
      </c>
      <c r="M47" t="inlineStr">
        <is>
          <t>01W CLIENT SERVER AND NETWORKS</t>
        </is>
      </c>
      <c r="N47" t="inlineStr">
        <is>
          <t>AUT CABINETS STATUS VERIF WEEKLY</t>
        </is>
      </c>
      <c r="O47" t="inlineStr">
        <is>
          <t>1349-SYS87</t>
        </is>
      </c>
      <c r="Q47" t="n">
        <v>0.5</v>
      </c>
      <c r="R47" t="inlineStr">
        <is>
          <t>PLANO</t>
        </is>
      </c>
      <c r="S47" t="inlineStr">
        <is>
          <t>Z12</t>
        </is>
      </c>
      <c r="T47" s="20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F48" s="20" t="n">
        <v>46316</v>
      </c>
      <c r="G48" t="n">
        <v>5</v>
      </c>
      <c r="H48" t="n">
        <v>3</v>
      </c>
      <c r="I48" s="20" t="n">
        <v>46316</v>
      </c>
      <c r="J48" t="n">
        <v>4384587</v>
      </c>
      <c r="K48" t="n">
        <v>90</v>
      </c>
      <c r="L48" t="inlineStr">
        <is>
          <t>E05AUT</t>
        </is>
      </c>
      <c r="M48" t="inlineStr">
        <is>
          <t>01W SERVERS &amp; SYSTEMS</t>
        </is>
      </c>
      <c r="N48" t="inlineStr">
        <is>
          <t>AUT CABINETS STATUS VERIF WEEKLY</t>
        </is>
      </c>
      <c r="O48" t="inlineStr">
        <is>
          <t>1349-SYS87</t>
        </is>
      </c>
      <c r="Q48" t="n">
        <v>0.5</v>
      </c>
      <c r="R48" t="inlineStr">
        <is>
          <t>PLANO</t>
        </is>
      </c>
      <c r="S48" t="inlineStr">
        <is>
          <t>Z12</t>
        </is>
      </c>
      <c r="T48" s="20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F49" s="20" t="n">
        <v>46316</v>
      </c>
      <c r="G49" t="n">
        <v>5</v>
      </c>
      <c r="H49" t="n">
        <v>3</v>
      </c>
      <c r="I49" s="20" t="n">
        <v>46316</v>
      </c>
      <c r="J49" t="n">
        <v>4384587</v>
      </c>
      <c r="K49" t="n">
        <v>100</v>
      </c>
      <c r="L49" t="inlineStr">
        <is>
          <t>E05AUT</t>
        </is>
      </c>
      <c r="M49" t="inlineStr">
        <is>
          <t>01W SYSTEMS BACKUP</t>
        </is>
      </c>
      <c r="N49" t="inlineStr">
        <is>
          <t>AUT CABINETS STATUS VERIF WEEKLY</t>
        </is>
      </c>
      <c r="O49" t="inlineStr">
        <is>
          <t>1349-SYS87</t>
        </is>
      </c>
      <c r="Q49" t="n">
        <v>2</v>
      </c>
      <c r="R49" t="inlineStr">
        <is>
          <t>PLANO</t>
        </is>
      </c>
      <c r="S49" t="inlineStr">
        <is>
          <t>Z12</t>
        </is>
      </c>
      <c r="T49" s="20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F50" s="20" t="n">
        <v>46316</v>
      </c>
      <c r="G50" t="n">
        <v>5</v>
      </c>
      <c r="H50" t="n">
        <v>3</v>
      </c>
      <c r="I50" s="20" t="n">
        <v>46316</v>
      </c>
      <c r="J50" t="n">
        <v>4384587</v>
      </c>
      <c r="K50" t="n">
        <v>110</v>
      </c>
      <c r="L50" t="inlineStr">
        <is>
          <t>E05AUT</t>
        </is>
      </c>
      <c r="M50" t="inlineStr">
        <is>
          <t>01W ANTIVIRUS UPDATE</t>
        </is>
      </c>
      <c r="N50" t="inlineStr">
        <is>
          <t>AUT CABINETS STATUS VERIF WEEKLY</t>
        </is>
      </c>
      <c r="O50" t="inlineStr">
        <is>
          <t>1349-SYS87</t>
        </is>
      </c>
      <c r="Q50" t="n">
        <v>1</v>
      </c>
      <c r="R50" t="inlineStr">
        <is>
          <t>PLANO</t>
        </is>
      </c>
      <c r="S50" t="inlineStr">
        <is>
          <t>Z12</t>
        </is>
      </c>
      <c r="T50" s="20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F51" s="20" t="n">
        <v>46316</v>
      </c>
      <c r="G51" t="n">
        <v>5</v>
      </c>
      <c r="H51" t="n">
        <v>3</v>
      </c>
      <c r="I51" s="20" t="n">
        <v>46316</v>
      </c>
      <c r="J51" t="n">
        <v>4384587</v>
      </c>
      <c r="K51" t="n">
        <v>120</v>
      </c>
      <c r="L51" t="inlineStr">
        <is>
          <t>E05AUT</t>
        </is>
      </c>
      <c r="M51" t="inlineStr">
        <is>
          <t>02W CONTROL NETWORK CLIENT SERVE</t>
        </is>
      </c>
      <c r="N51" t="inlineStr">
        <is>
          <t>AUT CABINETS STATUS VERIF WEEKLY</t>
        </is>
      </c>
      <c r="O51" t="inlineStr">
        <is>
          <t>1349-SYS87</t>
        </is>
      </c>
      <c r="Q51" t="n">
        <v>1</v>
      </c>
      <c r="R51" t="inlineStr">
        <is>
          <t>PLANO</t>
        </is>
      </c>
      <c r="S51" t="inlineStr">
        <is>
          <t>Z12</t>
        </is>
      </c>
      <c r="T51" s="20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F52" s="20" t="n">
        <v>46316</v>
      </c>
      <c r="G52" t="n">
        <v>5</v>
      </c>
      <c r="H52" t="n">
        <v>3</v>
      </c>
      <c r="I52" s="20" t="n">
        <v>46316</v>
      </c>
      <c r="J52" t="n">
        <v>4384587</v>
      </c>
      <c r="K52" t="n">
        <v>130</v>
      </c>
      <c r="L52" t="inlineStr">
        <is>
          <t>POMAUT</t>
        </is>
      </c>
      <c r="M52" t="inlineStr">
        <is>
          <t>02W CONTROL NET CLIENT THERMOGRAPHY</t>
        </is>
      </c>
      <c r="N52" t="inlineStr">
        <is>
          <t>AUT CABINETS STATUS VERIF WEEKLY</t>
        </is>
      </c>
      <c r="O52" t="inlineStr">
        <is>
          <t>1349-SYS87</t>
        </is>
      </c>
      <c r="Q52" t="n">
        <v>3</v>
      </c>
      <c r="R52" t="inlineStr">
        <is>
          <t>PLANO</t>
        </is>
      </c>
      <c r="S52" t="inlineStr">
        <is>
          <t>Z12</t>
        </is>
      </c>
      <c r="T52" s="20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F53" s="20" t="n">
        <v>46316</v>
      </c>
      <c r="G53" t="n">
        <v>5</v>
      </c>
      <c r="H53" t="n">
        <v>3</v>
      </c>
      <c r="I53" s="20" t="n">
        <v>46316</v>
      </c>
      <c r="J53" t="n">
        <v>4384587</v>
      </c>
      <c r="K53" t="n">
        <v>140</v>
      </c>
      <c r="L53" t="inlineStr">
        <is>
          <t>E05AUT</t>
        </is>
      </c>
      <c r="M53" t="inlineStr">
        <is>
          <t>02W SERVERS AND SYSTEMS</t>
        </is>
      </c>
      <c r="N53" t="inlineStr">
        <is>
          <t>AUT CABINETS STATUS VERIF WEEKLY</t>
        </is>
      </c>
      <c r="O53" t="inlineStr">
        <is>
          <t>1349-SYS87</t>
        </is>
      </c>
      <c r="Q53" t="n">
        <v>2</v>
      </c>
      <c r="R53" t="inlineStr">
        <is>
          <t>PLANO</t>
        </is>
      </c>
      <c r="S53" t="inlineStr">
        <is>
          <t>Z12</t>
        </is>
      </c>
      <c r="T53" s="20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F54" s="20" t="n">
        <v>46316</v>
      </c>
      <c r="G54" t="n">
        <v>5</v>
      </c>
      <c r="H54" t="n">
        <v>3</v>
      </c>
      <c r="I54" s="20" t="n">
        <v>46316</v>
      </c>
      <c r="J54" t="n">
        <v>4384587</v>
      </c>
      <c r="K54" t="n">
        <v>150</v>
      </c>
      <c r="L54" t="inlineStr">
        <is>
          <t>E05AUT</t>
        </is>
      </c>
      <c r="M54" t="inlineStr">
        <is>
          <t>02W 800XA CLIENTS</t>
        </is>
      </c>
      <c r="N54" t="inlineStr">
        <is>
          <t>AUT CABINETS STATUS VERIF WEEKLY</t>
        </is>
      </c>
      <c r="O54" t="inlineStr">
        <is>
          <t>1349-SYS87</t>
        </is>
      </c>
      <c r="Q54" t="n">
        <v>0.5</v>
      </c>
      <c r="R54" t="inlineStr">
        <is>
          <t>PLANO</t>
        </is>
      </c>
      <c r="S54" t="inlineStr">
        <is>
          <t>Z12</t>
        </is>
      </c>
      <c r="T54" s="20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F55" s="20" t="n">
        <v>46323</v>
      </c>
      <c r="G55" t="n">
        <v>5</v>
      </c>
      <c r="H55" t="n">
        <v>3</v>
      </c>
      <c r="I55" s="20" t="n">
        <v>46323</v>
      </c>
      <c r="J55" t="n">
        <v>4384588</v>
      </c>
      <c r="K55" t="n">
        <v>40</v>
      </c>
      <c r="L55" t="inlineStr">
        <is>
          <t>E05AUT</t>
        </is>
      </c>
      <c r="M55" t="inlineStr">
        <is>
          <t>01W CONTROL NETWORK</t>
        </is>
      </c>
      <c r="N55" t="inlineStr">
        <is>
          <t>AUT CABINETS STATUS VERIF WEEKLY</t>
        </is>
      </c>
      <c r="O55" t="inlineStr">
        <is>
          <t>1349-SYS87</t>
        </is>
      </c>
      <c r="Q55" t="n">
        <v>0.5</v>
      </c>
      <c r="R55" t="inlineStr">
        <is>
          <t>PLANO</t>
        </is>
      </c>
      <c r="S55" t="inlineStr">
        <is>
          <t>Z12</t>
        </is>
      </c>
      <c r="T55" s="20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F56" s="20" t="n">
        <v>46323</v>
      </c>
      <c r="G56" t="n">
        <v>5</v>
      </c>
      <c r="H56" t="n">
        <v>3</v>
      </c>
      <c r="I56" s="20" t="n">
        <v>46323</v>
      </c>
      <c r="J56" t="n">
        <v>4384588</v>
      </c>
      <c r="K56" t="n">
        <v>60</v>
      </c>
      <c r="L56" t="inlineStr">
        <is>
          <t>E05AUT</t>
        </is>
      </c>
      <c r="M56" t="inlineStr">
        <is>
          <t>01W RIO &amp; ORTHER COMMUNICATION</t>
        </is>
      </c>
      <c r="N56" t="inlineStr">
        <is>
          <t>AUT CABINETS STATUS VERIF WEEKLY</t>
        </is>
      </c>
      <c r="O56" t="inlineStr">
        <is>
          <t>1349-SYS87</t>
        </is>
      </c>
      <c r="Q56" t="n">
        <v>0.5</v>
      </c>
      <c r="R56" t="inlineStr">
        <is>
          <t>PLANO</t>
        </is>
      </c>
      <c r="S56" t="inlineStr">
        <is>
          <t>Z12</t>
        </is>
      </c>
      <c r="T56" s="20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F57" s="20" t="n">
        <v>46323</v>
      </c>
      <c r="G57" t="n">
        <v>5</v>
      </c>
      <c r="H57" t="n">
        <v>3</v>
      </c>
      <c r="I57" s="20" t="n">
        <v>46323</v>
      </c>
      <c r="J57" t="n">
        <v>4384588</v>
      </c>
      <c r="K57" t="n">
        <v>70</v>
      </c>
      <c r="L57" t="inlineStr">
        <is>
          <t>E05AUT</t>
        </is>
      </c>
      <c r="M57" t="inlineStr">
        <is>
          <t>01W I/O MODULES</t>
        </is>
      </c>
      <c r="N57" t="inlineStr">
        <is>
          <t>AUT CABINETS STATUS VERIF WEEKLY</t>
        </is>
      </c>
      <c r="O57" t="inlineStr">
        <is>
          <t>1349-SYS87</t>
        </is>
      </c>
      <c r="Q57" t="n">
        <v>0.5</v>
      </c>
      <c r="R57" t="inlineStr">
        <is>
          <t>PLANO</t>
        </is>
      </c>
      <c r="S57" t="inlineStr">
        <is>
          <t>Z12</t>
        </is>
      </c>
      <c r="T57" s="20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F58" s="20" t="n">
        <v>46323</v>
      </c>
      <c r="G58" t="n">
        <v>5</v>
      </c>
      <c r="H58" t="n">
        <v>3</v>
      </c>
      <c r="I58" s="20" t="n">
        <v>46323</v>
      </c>
      <c r="J58" t="n">
        <v>4384588</v>
      </c>
      <c r="K58" t="n">
        <v>80</v>
      </c>
      <c r="L58" t="inlineStr">
        <is>
          <t>E05AUT</t>
        </is>
      </c>
      <c r="M58" t="inlineStr">
        <is>
          <t>01W CLIENT SERVER AND NETWORKS</t>
        </is>
      </c>
      <c r="N58" t="inlineStr">
        <is>
          <t>AUT CABINETS STATUS VERIF WEEKLY</t>
        </is>
      </c>
      <c r="O58" t="inlineStr">
        <is>
          <t>1349-SYS87</t>
        </is>
      </c>
      <c r="Q58" t="n">
        <v>0.5</v>
      </c>
      <c r="R58" t="inlineStr">
        <is>
          <t>PLANO</t>
        </is>
      </c>
      <c r="S58" t="inlineStr">
        <is>
          <t>Z12</t>
        </is>
      </c>
      <c r="T58" s="20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F59" s="20" t="n">
        <v>46323</v>
      </c>
      <c r="G59" t="n">
        <v>5</v>
      </c>
      <c r="H59" t="n">
        <v>3</v>
      </c>
      <c r="I59" s="20" t="n">
        <v>46323</v>
      </c>
      <c r="J59" t="n">
        <v>4384588</v>
      </c>
      <c r="K59" t="n">
        <v>90</v>
      </c>
      <c r="L59" t="inlineStr">
        <is>
          <t>E05AUT</t>
        </is>
      </c>
      <c r="M59" t="inlineStr">
        <is>
          <t>01W SERVERS &amp; SYSTEMS</t>
        </is>
      </c>
      <c r="N59" t="inlineStr">
        <is>
          <t>AUT CABINETS STATUS VERIF WEEKLY</t>
        </is>
      </c>
      <c r="O59" t="inlineStr">
        <is>
          <t>1349-SYS87</t>
        </is>
      </c>
      <c r="Q59" t="n">
        <v>0.5</v>
      </c>
      <c r="R59" t="inlineStr">
        <is>
          <t>PLANO</t>
        </is>
      </c>
      <c r="S59" t="inlineStr">
        <is>
          <t>Z12</t>
        </is>
      </c>
      <c r="T59" s="20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F60" s="20" t="n">
        <v>46323</v>
      </c>
      <c r="G60" t="n">
        <v>5</v>
      </c>
      <c r="H60" t="n">
        <v>3</v>
      </c>
      <c r="I60" s="20" t="n">
        <v>46323</v>
      </c>
      <c r="J60" t="n">
        <v>4384588</v>
      </c>
      <c r="K60" t="n">
        <v>100</v>
      </c>
      <c r="L60" t="inlineStr">
        <is>
          <t>E05AUT</t>
        </is>
      </c>
      <c r="M60" t="inlineStr">
        <is>
          <t>01W SYSTEMS BACKUP</t>
        </is>
      </c>
      <c r="N60" t="inlineStr">
        <is>
          <t>AUT CABINETS STATUS VERIF WEEKLY</t>
        </is>
      </c>
      <c r="O60" t="inlineStr">
        <is>
          <t>1349-SYS87</t>
        </is>
      </c>
      <c r="Q60" t="n">
        <v>2</v>
      </c>
      <c r="R60" t="inlineStr">
        <is>
          <t>PLANO</t>
        </is>
      </c>
      <c r="S60" t="inlineStr">
        <is>
          <t>Z12</t>
        </is>
      </c>
      <c r="T60" s="20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F61" s="20" t="n">
        <v>46323</v>
      </c>
      <c r="G61" t="n">
        <v>5</v>
      </c>
      <c r="H61" t="n">
        <v>3</v>
      </c>
      <c r="I61" s="20" t="n">
        <v>46323</v>
      </c>
      <c r="J61" t="n">
        <v>4384588</v>
      </c>
      <c r="K61" t="n">
        <v>110</v>
      </c>
      <c r="L61" t="inlineStr">
        <is>
          <t>E05AUT</t>
        </is>
      </c>
      <c r="M61" t="inlineStr">
        <is>
          <t>01W ANTIVIRUS UPDATE</t>
        </is>
      </c>
      <c r="N61" t="inlineStr">
        <is>
          <t>AUT CABINETS STATUS VERIF WEEKLY</t>
        </is>
      </c>
      <c r="O61" t="inlineStr">
        <is>
          <t>1349-SYS87</t>
        </is>
      </c>
      <c r="Q61" t="n">
        <v>1</v>
      </c>
      <c r="R61" t="inlineStr">
        <is>
          <t>PLANO</t>
        </is>
      </c>
      <c r="S61" t="inlineStr">
        <is>
          <t>Z12</t>
        </is>
      </c>
      <c r="T61" s="20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F62" s="20" t="n">
        <v>46316</v>
      </c>
      <c r="G62" t="n">
        <v>5</v>
      </c>
      <c r="H62" t="n">
        <v>3</v>
      </c>
      <c r="I62" s="20" t="n">
        <v>46316</v>
      </c>
      <c r="J62" t="n">
        <v>4384632</v>
      </c>
      <c r="K62" t="n">
        <v>40</v>
      </c>
      <c r="L62" t="inlineStr">
        <is>
          <t>E05AUT</t>
        </is>
      </c>
      <c r="M62" t="inlineStr">
        <is>
          <t>01W CONTROL NETWORK</t>
        </is>
      </c>
      <c r="N62" t="inlineStr">
        <is>
          <t>AUT CABINETS STATUS VERIF WEEKLY</t>
        </is>
      </c>
      <c r="O62" t="inlineStr">
        <is>
          <t>1349-SYS87</t>
        </is>
      </c>
      <c r="Q62" t="n">
        <v>0.5</v>
      </c>
      <c r="R62" t="inlineStr">
        <is>
          <t>PLANO</t>
        </is>
      </c>
      <c r="S62" t="inlineStr">
        <is>
          <t>Z12</t>
        </is>
      </c>
      <c r="T62" s="20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F63" s="20" t="n">
        <v>46316</v>
      </c>
      <c r="G63" t="n">
        <v>5</v>
      </c>
      <c r="H63" t="n">
        <v>3</v>
      </c>
      <c r="I63" s="20" t="n">
        <v>46316</v>
      </c>
      <c r="J63" t="n">
        <v>4384632</v>
      </c>
      <c r="K63" t="n">
        <v>60</v>
      </c>
      <c r="L63" t="inlineStr">
        <is>
          <t>E05AUT</t>
        </is>
      </c>
      <c r="M63" t="inlineStr">
        <is>
          <t>01W RIO &amp; ORTHER COMMUNICATION</t>
        </is>
      </c>
      <c r="N63" t="inlineStr">
        <is>
          <t>AUT CABINETS STATUS VERIF WEEKLY</t>
        </is>
      </c>
      <c r="O63" t="inlineStr">
        <is>
          <t>1349-SYS87</t>
        </is>
      </c>
      <c r="Q63" t="n">
        <v>0.5</v>
      </c>
      <c r="R63" t="inlineStr">
        <is>
          <t>PLANO</t>
        </is>
      </c>
      <c r="S63" t="inlineStr">
        <is>
          <t>Z12</t>
        </is>
      </c>
      <c r="T63" s="20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F64" s="20" t="n">
        <v>46316</v>
      </c>
      <c r="G64" t="n">
        <v>5</v>
      </c>
      <c r="H64" t="n">
        <v>3</v>
      </c>
      <c r="I64" s="20" t="n">
        <v>46316</v>
      </c>
      <c r="J64" t="n">
        <v>4384632</v>
      </c>
      <c r="K64" t="n">
        <v>70</v>
      </c>
      <c r="L64" t="inlineStr">
        <is>
          <t>E05AUT</t>
        </is>
      </c>
      <c r="M64" t="inlineStr">
        <is>
          <t>01W I/O MODULES</t>
        </is>
      </c>
      <c r="N64" t="inlineStr">
        <is>
          <t>AUT CABINETS STATUS VERIF WEEKLY</t>
        </is>
      </c>
      <c r="O64" t="inlineStr">
        <is>
          <t>1349-SYS87</t>
        </is>
      </c>
      <c r="Q64" t="n">
        <v>0.5</v>
      </c>
      <c r="R64" t="inlineStr">
        <is>
          <t>PLANO</t>
        </is>
      </c>
      <c r="S64" t="inlineStr">
        <is>
          <t>Z12</t>
        </is>
      </c>
      <c r="T64" s="20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F65" s="20" t="n">
        <v>46316</v>
      </c>
      <c r="G65" t="n">
        <v>5</v>
      </c>
      <c r="H65" t="n">
        <v>3</v>
      </c>
      <c r="I65" s="20" t="n">
        <v>46316</v>
      </c>
      <c r="J65" t="n">
        <v>4384632</v>
      </c>
      <c r="K65" t="n">
        <v>80</v>
      </c>
      <c r="L65" t="inlineStr">
        <is>
          <t>E05AUT</t>
        </is>
      </c>
      <c r="M65" t="inlineStr">
        <is>
          <t>01W CLIENT SERVER AND NETWORKS</t>
        </is>
      </c>
      <c r="N65" t="inlineStr">
        <is>
          <t>AUT CABINETS STATUS VERIF WEEKLY</t>
        </is>
      </c>
      <c r="O65" t="inlineStr">
        <is>
          <t>1349-SYS87</t>
        </is>
      </c>
      <c r="Q65" t="n">
        <v>0.5</v>
      </c>
      <c r="R65" t="inlineStr">
        <is>
          <t>PLANO</t>
        </is>
      </c>
      <c r="S65" t="inlineStr">
        <is>
          <t>Z12</t>
        </is>
      </c>
      <c r="T65" s="20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F66" s="20" t="n">
        <v>46316</v>
      </c>
      <c r="G66" t="n">
        <v>5</v>
      </c>
      <c r="H66" t="n">
        <v>3</v>
      </c>
      <c r="I66" s="20" t="n">
        <v>46316</v>
      </c>
      <c r="J66" t="n">
        <v>4384632</v>
      </c>
      <c r="K66" t="n">
        <v>90</v>
      </c>
      <c r="L66" t="inlineStr">
        <is>
          <t>E05AUT</t>
        </is>
      </c>
      <c r="M66" t="inlineStr">
        <is>
          <t>01W SERVERS &amp; SYSTEMS</t>
        </is>
      </c>
      <c r="N66" t="inlineStr">
        <is>
          <t>AUT CABINETS STATUS VERIF WEEKLY</t>
        </is>
      </c>
      <c r="O66" t="inlineStr">
        <is>
          <t>1349-SYS87</t>
        </is>
      </c>
      <c r="Q66" t="n">
        <v>0.5</v>
      </c>
      <c r="R66" t="inlineStr">
        <is>
          <t>PLANO</t>
        </is>
      </c>
      <c r="S66" t="inlineStr">
        <is>
          <t>Z12</t>
        </is>
      </c>
      <c r="T66" s="20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F67" s="20" t="n">
        <v>46316</v>
      </c>
      <c r="G67" t="n">
        <v>5</v>
      </c>
      <c r="H67" t="n">
        <v>3</v>
      </c>
      <c r="I67" s="20" t="n">
        <v>46316</v>
      </c>
      <c r="J67" t="n">
        <v>4384632</v>
      </c>
      <c r="K67" t="n">
        <v>100</v>
      </c>
      <c r="L67" t="inlineStr">
        <is>
          <t>E05AUT</t>
        </is>
      </c>
      <c r="M67" t="inlineStr">
        <is>
          <t>01W SYSTEMS BACKUP</t>
        </is>
      </c>
      <c r="N67" t="inlineStr">
        <is>
          <t>AUT CABINETS STATUS VERIF WEEKLY</t>
        </is>
      </c>
      <c r="O67" t="inlineStr">
        <is>
          <t>1349-SYS87</t>
        </is>
      </c>
      <c r="Q67" t="n">
        <v>2</v>
      </c>
      <c r="R67" t="inlineStr">
        <is>
          <t>PLANO</t>
        </is>
      </c>
      <c r="S67" t="inlineStr">
        <is>
          <t>Z12</t>
        </is>
      </c>
      <c r="T67" s="20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F68" s="20" t="n">
        <v>46316</v>
      </c>
      <c r="G68" t="n">
        <v>5</v>
      </c>
      <c r="H68" t="n">
        <v>3</v>
      </c>
      <c r="I68" s="20" t="n">
        <v>46316</v>
      </c>
      <c r="J68" t="n">
        <v>4384632</v>
      </c>
      <c r="K68" t="n">
        <v>110</v>
      </c>
      <c r="L68" t="inlineStr">
        <is>
          <t>E05AUT</t>
        </is>
      </c>
      <c r="M68" t="inlineStr">
        <is>
          <t>01W ANTIVIRUS UPDATE</t>
        </is>
      </c>
      <c r="N68" t="inlineStr">
        <is>
          <t>AUT CABINETS STATUS VERIF WEEKLY</t>
        </is>
      </c>
      <c r="O68" t="inlineStr">
        <is>
          <t>1349-SYS87</t>
        </is>
      </c>
      <c r="Q68" t="n">
        <v>1</v>
      </c>
      <c r="R68" t="inlineStr">
        <is>
          <t>PLANO</t>
        </is>
      </c>
      <c r="S68" t="inlineStr">
        <is>
          <t>Z12</t>
        </is>
      </c>
      <c r="T68" s="20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F69" s="20" t="n">
        <v>46316</v>
      </c>
      <c r="G69" t="n">
        <v>5</v>
      </c>
      <c r="H69" t="n">
        <v>3</v>
      </c>
      <c r="I69" s="20" t="n">
        <v>46316</v>
      </c>
      <c r="J69" t="n">
        <v>4384632</v>
      </c>
      <c r="K69" t="n">
        <v>120</v>
      </c>
      <c r="L69" t="inlineStr">
        <is>
          <t>E05AUT</t>
        </is>
      </c>
      <c r="M69" t="inlineStr">
        <is>
          <t>02W CONTROL NETWORK CLIENT SERVE</t>
        </is>
      </c>
      <c r="N69" t="inlineStr">
        <is>
          <t>AUT CABINETS STATUS VERIF WEEKLY</t>
        </is>
      </c>
      <c r="O69" t="inlineStr">
        <is>
          <t>1349-SYS87</t>
        </is>
      </c>
      <c r="Q69" t="n">
        <v>1</v>
      </c>
      <c r="R69" t="inlineStr">
        <is>
          <t>PLANO</t>
        </is>
      </c>
      <c r="S69" t="inlineStr">
        <is>
          <t>Z12</t>
        </is>
      </c>
      <c r="T69" s="20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F70" s="20" t="n">
        <v>46316</v>
      </c>
      <c r="G70" t="n">
        <v>5</v>
      </c>
      <c r="H70" t="n">
        <v>3</v>
      </c>
      <c r="I70" s="20" t="n">
        <v>46316</v>
      </c>
      <c r="J70" t="n">
        <v>4384632</v>
      </c>
      <c r="K70" t="n">
        <v>130</v>
      </c>
      <c r="L70" t="inlineStr">
        <is>
          <t>POMAUT</t>
        </is>
      </c>
      <c r="M70" t="inlineStr">
        <is>
          <t>02W CONTROL NET CLIENT THERMOGRAPHY</t>
        </is>
      </c>
      <c r="N70" t="inlineStr">
        <is>
          <t>AUT CABINETS STATUS VERIF WEEKLY</t>
        </is>
      </c>
      <c r="O70" t="inlineStr">
        <is>
          <t>1349-SYS87</t>
        </is>
      </c>
      <c r="Q70" t="n">
        <v>3</v>
      </c>
      <c r="R70" t="inlineStr">
        <is>
          <t>PLANO</t>
        </is>
      </c>
      <c r="S70" t="inlineStr">
        <is>
          <t>Z12</t>
        </is>
      </c>
      <c r="T70" s="20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F71" s="20" t="n">
        <v>46316</v>
      </c>
      <c r="G71" t="n">
        <v>5</v>
      </c>
      <c r="H71" t="n">
        <v>3</v>
      </c>
      <c r="I71" s="20" t="n">
        <v>46316</v>
      </c>
      <c r="J71" t="n">
        <v>4384632</v>
      </c>
      <c r="K71" t="n">
        <v>140</v>
      </c>
      <c r="L71" t="inlineStr">
        <is>
          <t>E05AUT</t>
        </is>
      </c>
      <c r="M71" t="inlineStr">
        <is>
          <t>02W SERVERS AND SYSTEMS</t>
        </is>
      </c>
      <c r="N71" t="inlineStr">
        <is>
          <t>AUT CABINETS STATUS VERIF WEEKLY</t>
        </is>
      </c>
      <c r="O71" t="inlineStr">
        <is>
          <t>1349-SYS87</t>
        </is>
      </c>
      <c r="Q71" t="n">
        <v>2</v>
      </c>
      <c r="R71" t="inlineStr">
        <is>
          <t>PLANO</t>
        </is>
      </c>
      <c r="S71" t="inlineStr">
        <is>
          <t>Z12</t>
        </is>
      </c>
      <c r="T71" s="20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F72" s="20" t="n">
        <v>46316</v>
      </c>
      <c r="G72" t="n">
        <v>5</v>
      </c>
      <c r="H72" t="n">
        <v>3</v>
      </c>
      <c r="I72" s="20" t="n">
        <v>46316</v>
      </c>
      <c r="J72" t="n">
        <v>4384632</v>
      </c>
      <c r="K72" t="n">
        <v>150</v>
      </c>
      <c r="L72" t="inlineStr">
        <is>
          <t>E05AUT</t>
        </is>
      </c>
      <c r="M72" t="inlineStr">
        <is>
          <t>02W 800XA CLIENTS</t>
        </is>
      </c>
      <c r="N72" t="inlineStr">
        <is>
          <t>AUT CABINETS STATUS VERIF WEEKLY</t>
        </is>
      </c>
      <c r="O72" t="inlineStr">
        <is>
          <t>1349-SYS87</t>
        </is>
      </c>
      <c r="Q72" t="n">
        <v>0.5</v>
      </c>
      <c r="R72" t="inlineStr">
        <is>
          <t>PLANO</t>
        </is>
      </c>
      <c r="S72" t="inlineStr">
        <is>
          <t>Z12</t>
        </is>
      </c>
      <c r="T72" s="20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F73" s="20" t="n">
        <v>46323</v>
      </c>
      <c r="G73" t="n">
        <v>5</v>
      </c>
      <c r="H73" t="n">
        <v>3</v>
      </c>
      <c r="I73" s="20" t="n">
        <v>46323</v>
      </c>
      <c r="J73" t="n">
        <v>4384633</v>
      </c>
      <c r="K73" t="n">
        <v>40</v>
      </c>
      <c r="L73" t="inlineStr">
        <is>
          <t>E05AUT</t>
        </is>
      </c>
      <c r="M73" t="inlineStr">
        <is>
          <t>01W CONTROL NETWORK</t>
        </is>
      </c>
      <c r="N73" t="inlineStr">
        <is>
          <t>AUT CABINETS STATUS VERIF WEEKLY</t>
        </is>
      </c>
      <c r="O73" t="inlineStr">
        <is>
          <t>1349-SYS87</t>
        </is>
      </c>
      <c r="Q73" t="n">
        <v>0.5</v>
      </c>
      <c r="R73" t="inlineStr">
        <is>
          <t>PLANO</t>
        </is>
      </c>
      <c r="S73" t="inlineStr">
        <is>
          <t>Z12</t>
        </is>
      </c>
      <c r="T73" s="20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F74" s="20" t="n">
        <v>46323</v>
      </c>
      <c r="G74" t="n">
        <v>5</v>
      </c>
      <c r="H74" t="n">
        <v>3</v>
      </c>
      <c r="I74" s="20" t="n">
        <v>46323</v>
      </c>
      <c r="J74" t="n">
        <v>4384633</v>
      </c>
      <c r="K74" t="n">
        <v>60</v>
      </c>
      <c r="L74" t="inlineStr">
        <is>
          <t>E05AUT</t>
        </is>
      </c>
      <c r="M74" t="inlineStr">
        <is>
          <t>01W RIO &amp; ORTHER COMMUNICATION</t>
        </is>
      </c>
      <c r="N74" t="inlineStr">
        <is>
          <t>AUT CABINETS STATUS VERIF WEEKLY</t>
        </is>
      </c>
      <c r="O74" t="inlineStr">
        <is>
          <t>1349-SYS87</t>
        </is>
      </c>
      <c r="Q74" t="n">
        <v>0.5</v>
      </c>
      <c r="R74" t="inlineStr">
        <is>
          <t>PLANO</t>
        </is>
      </c>
      <c r="S74" t="inlineStr">
        <is>
          <t>Z12</t>
        </is>
      </c>
      <c r="T74" s="20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F75" s="20" t="n">
        <v>46323</v>
      </c>
      <c r="G75" t="n">
        <v>5</v>
      </c>
      <c r="H75" t="n">
        <v>3</v>
      </c>
      <c r="I75" s="20" t="n">
        <v>46323</v>
      </c>
      <c r="J75" t="n">
        <v>4384633</v>
      </c>
      <c r="K75" t="n">
        <v>70</v>
      </c>
      <c r="L75" t="inlineStr">
        <is>
          <t>E05AUT</t>
        </is>
      </c>
      <c r="M75" t="inlineStr">
        <is>
          <t>01W I/O MODULES</t>
        </is>
      </c>
      <c r="N75" t="inlineStr">
        <is>
          <t>AUT CABINETS STATUS VERIF WEEKLY</t>
        </is>
      </c>
      <c r="O75" t="inlineStr">
        <is>
          <t>1349-SYS87</t>
        </is>
      </c>
      <c r="Q75" t="n">
        <v>0.5</v>
      </c>
      <c r="R75" t="inlineStr">
        <is>
          <t>PLANO</t>
        </is>
      </c>
      <c r="S75" t="inlineStr">
        <is>
          <t>Z12</t>
        </is>
      </c>
      <c r="T75" s="20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F76" s="20" t="n">
        <v>46323</v>
      </c>
      <c r="G76" t="n">
        <v>5</v>
      </c>
      <c r="H76" t="n">
        <v>3</v>
      </c>
      <c r="I76" s="20" t="n">
        <v>46323</v>
      </c>
      <c r="J76" t="n">
        <v>4384633</v>
      </c>
      <c r="K76" t="n">
        <v>80</v>
      </c>
      <c r="L76" t="inlineStr">
        <is>
          <t>E05AUT</t>
        </is>
      </c>
      <c r="M76" t="inlineStr">
        <is>
          <t>01W CLIENT SERVER AND NETWORKS</t>
        </is>
      </c>
      <c r="N76" t="inlineStr">
        <is>
          <t>AUT CABINETS STATUS VERIF WEEKLY</t>
        </is>
      </c>
      <c r="O76" t="inlineStr">
        <is>
          <t>1349-SYS87</t>
        </is>
      </c>
      <c r="Q76" t="n">
        <v>0.5</v>
      </c>
      <c r="R76" t="inlineStr">
        <is>
          <t>PLANO</t>
        </is>
      </c>
      <c r="S76" t="inlineStr">
        <is>
          <t>Z12</t>
        </is>
      </c>
      <c r="T76" s="20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F77" s="20" t="n">
        <v>46323</v>
      </c>
      <c r="G77" t="n">
        <v>5</v>
      </c>
      <c r="H77" t="n">
        <v>3</v>
      </c>
      <c r="I77" s="20" t="n">
        <v>46323</v>
      </c>
      <c r="J77" t="n">
        <v>4384633</v>
      </c>
      <c r="K77" t="n">
        <v>90</v>
      </c>
      <c r="L77" t="inlineStr">
        <is>
          <t>E05AUT</t>
        </is>
      </c>
      <c r="M77" t="inlineStr">
        <is>
          <t>01W SERVERS &amp; SYSTEMS</t>
        </is>
      </c>
      <c r="N77" t="inlineStr">
        <is>
          <t>AUT CABINETS STATUS VERIF WEEKLY</t>
        </is>
      </c>
      <c r="O77" t="inlineStr">
        <is>
          <t>1349-SYS87</t>
        </is>
      </c>
      <c r="Q77" t="n">
        <v>0.5</v>
      </c>
      <c r="R77" t="inlineStr">
        <is>
          <t>PLANO</t>
        </is>
      </c>
      <c r="S77" t="inlineStr">
        <is>
          <t>Z12</t>
        </is>
      </c>
      <c r="T77" s="20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F78" s="20" t="n">
        <v>46323</v>
      </c>
      <c r="G78" t="n">
        <v>5</v>
      </c>
      <c r="H78" t="n">
        <v>3</v>
      </c>
      <c r="I78" s="20" t="n">
        <v>46323</v>
      </c>
      <c r="J78" t="n">
        <v>4384633</v>
      </c>
      <c r="K78" t="n">
        <v>100</v>
      </c>
      <c r="L78" t="inlineStr">
        <is>
          <t>E05AUT</t>
        </is>
      </c>
      <c r="M78" t="inlineStr">
        <is>
          <t>01W SYSTEMS BACKUP</t>
        </is>
      </c>
      <c r="N78" t="inlineStr">
        <is>
          <t>AUT CABINETS STATUS VERIF WEEKLY</t>
        </is>
      </c>
      <c r="O78" t="inlineStr">
        <is>
          <t>1349-SYS87</t>
        </is>
      </c>
      <c r="Q78" t="n">
        <v>2</v>
      </c>
      <c r="R78" t="inlineStr">
        <is>
          <t>PLANO</t>
        </is>
      </c>
      <c r="S78" t="inlineStr">
        <is>
          <t>Z12</t>
        </is>
      </c>
      <c r="T78" s="20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F79" s="20" t="n">
        <v>46323</v>
      </c>
      <c r="G79" t="n">
        <v>5</v>
      </c>
      <c r="H79" t="n">
        <v>3</v>
      </c>
      <c r="I79" s="20" t="n">
        <v>46323</v>
      </c>
      <c r="J79" t="n">
        <v>4384633</v>
      </c>
      <c r="K79" t="n">
        <v>110</v>
      </c>
      <c r="L79" t="inlineStr">
        <is>
          <t>E05AUT</t>
        </is>
      </c>
      <c r="M79" t="inlineStr">
        <is>
          <t>01W ANTIVIRUS UPDATE</t>
        </is>
      </c>
      <c r="N79" t="inlineStr">
        <is>
          <t>AUT CABINETS STATUS VERIF WEEKLY</t>
        </is>
      </c>
      <c r="O79" t="inlineStr">
        <is>
          <t>1349-SYS87</t>
        </is>
      </c>
      <c r="Q79" t="n">
        <v>1</v>
      </c>
      <c r="R79" t="inlineStr">
        <is>
          <t>PLANO</t>
        </is>
      </c>
      <c r="S79" t="inlineStr">
        <is>
          <t>Z12</t>
        </is>
      </c>
      <c r="T79" s="20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F80" s="20" t="n">
        <v>46316</v>
      </c>
      <c r="G80" t="n">
        <v>5</v>
      </c>
      <c r="H80" t="n">
        <v>3</v>
      </c>
      <c r="I80" s="20" t="n">
        <v>46316</v>
      </c>
      <c r="J80" t="n">
        <v>4384679</v>
      </c>
      <c r="K80" t="n">
        <v>40</v>
      </c>
      <c r="L80" t="inlineStr">
        <is>
          <t>E05AUT</t>
        </is>
      </c>
      <c r="M80" t="inlineStr">
        <is>
          <t>01W CONTROL NETWORK</t>
        </is>
      </c>
      <c r="N80" t="inlineStr">
        <is>
          <t>AUT CABINETS STATUS VERIF WEEKLY</t>
        </is>
      </c>
      <c r="O80" t="inlineStr">
        <is>
          <t>1349-SYS87</t>
        </is>
      </c>
      <c r="Q80" t="n">
        <v>0.5</v>
      </c>
      <c r="R80" t="inlineStr">
        <is>
          <t>PLANO</t>
        </is>
      </c>
      <c r="S80" t="inlineStr">
        <is>
          <t>Z12</t>
        </is>
      </c>
      <c r="T80" s="20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F81" s="20" t="n">
        <v>46316</v>
      </c>
      <c r="G81" t="n">
        <v>5</v>
      </c>
      <c r="H81" t="n">
        <v>3</v>
      </c>
      <c r="I81" s="20" t="n">
        <v>46316</v>
      </c>
      <c r="J81" t="n">
        <v>4384679</v>
      </c>
      <c r="K81" t="n">
        <v>60</v>
      </c>
      <c r="L81" t="inlineStr">
        <is>
          <t>E05AUT</t>
        </is>
      </c>
      <c r="M81" t="inlineStr">
        <is>
          <t>01W RIO &amp; ORTHER COMMUNICATION</t>
        </is>
      </c>
      <c r="N81" t="inlineStr">
        <is>
          <t>AUT CABINETS STATUS VERIF WEEKLY</t>
        </is>
      </c>
      <c r="O81" t="inlineStr">
        <is>
          <t>1349-SYS87</t>
        </is>
      </c>
      <c r="Q81" t="n">
        <v>0.5</v>
      </c>
      <c r="R81" t="inlineStr">
        <is>
          <t>PLANO</t>
        </is>
      </c>
      <c r="S81" t="inlineStr">
        <is>
          <t>Z12</t>
        </is>
      </c>
      <c r="T81" s="20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F82" s="20" t="n">
        <v>46316</v>
      </c>
      <c r="G82" t="n">
        <v>5</v>
      </c>
      <c r="H82" t="n">
        <v>3</v>
      </c>
      <c r="I82" s="20" t="n">
        <v>46316</v>
      </c>
      <c r="J82" t="n">
        <v>4384679</v>
      </c>
      <c r="K82" t="n">
        <v>70</v>
      </c>
      <c r="L82" t="inlineStr">
        <is>
          <t>E05AUT</t>
        </is>
      </c>
      <c r="M82" t="inlineStr">
        <is>
          <t>01W I/O MODULES</t>
        </is>
      </c>
      <c r="N82" t="inlineStr">
        <is>
          <t>AUT CABINETS STATUS VERIF WEEKLY</t>
        </is>
      </c>
      <c r="O82" t="inlineStr">
        <is>
          <t>1349-SYS87</t>
        </is>
      </c>
      <c r="Q82" t="n">
        <v>0.5</v>
      </c>
      <c r="R82" t="inlineStr">
        <is>
          <t>PLANO</t>
        </is>
      </c>
      <c r="S82" t="inlineStr">
        <is>
          <t>Z12</t>
        </is>
      </c>
      <c r="T82" s="20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F83" s="20" t="n">
        <v>46316</v>
      </c>
      <c r="G83" t="n">
        <v>5</v>
      </c>
      <c r="H83" t="n">
        <v>3</v>
      </c>
      <c r="I83" s="20" t="n">
        <v>46316</v>
      </c>
      <c r="J83" t="n">
        <v>4384679</v>
      </c>
      <c r="K83" t="n">
        <v>80</v>
      </c>
      <c r="L83" t="inlineStr">
        <is>
          <t>E05AUT</t>
        </is>
      </c>
      <c r="M83" t="inlineStr">
        <is>
          <t>01W CLIENT SERVER AND NETWORKS</t>
        </is>
      </c>
      <c r="N83" t="inlineStr">
        <is>
          <t>AUT CABINETS STATUS VERIF WEEKLY</t>
        </is>
      </c>
      <c r="O83" t="inlineStr">
        <is>
          <t>1349-SYS87</t>
        </is>
      </c>
      <c r="Q83" t="n">
        <v>0.5</v>
      </c>
      <c r="R83" t="inlineStr">
        <is>
          <t>PLANO</t>
        </is>
      </c>
      <c r="S83" t="inlineStr">
        <is>
          <t>Z12</t>
        </is>
      </c>
      <c r="T83" s="20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F84" s="20" t="n">
        <v>46316</v>
      </c>
      <c r="G84" t="n">
        <v>5</v>
      </c>
      <c r="H84" t="n">
        <v>3</v>
      </c>
      <c r="I84" s="20" t="n">
        <v>46316</v>
      </c>
      <c r="J84" t="n">
        <v>4384679</v>
      </c>
      <c r="K84" t="n">
        <v>90</v>
      </c>
      <c r="L84" t="inlineStr">
        <is>
          <t>E05AUT</t>
        </is>
      </c>
      <c r="M84" t="inlineStr">
        <is>
          <t>01W SERVERS &amp; SYSTEMS</t>
        </is>
      </c>
      <c r="N84" t="inlineStr">
        <is>
          <t>AUT CABINETS STATUS VERIF WEEKLY</t>
        </is>
      </c>
      <c r="O84" t="inlineStr">
        <is>
          <t>1349-SYS87</t>
        </is>
      </c>
      <c r="Q84" t="n">
        <v>0.5</v>
      </c>
      <c r="R84" t="inlineStr">
        <is>
          <t>PLANO</t>
        </is>
      </c>
      <c r="S84" t="inlineStr">
        <is>
          <t>Z12</t>
        </is>
      </c>
      <c r="T84" s="20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F85" s="20" t="n">
        <v>46316</v>
      </c>
      <c r="G85" t="n">
        <v>5</v>
      </c>
      <c r="H85" t="n">
        <v>3</v>
      </c>
      <c r="I85" s="20" t="n">
        <v>46316</v>
      </c>
      <c r="J85" t="n">
        <v>4384679</v>
      </c>
      <c r="K85" t="n">
        <v>100</v>
      </c>
      <c r="L85" t="inlineStr">
        <is>
          <t>E05AUT</t>
        </is>
      </c>
      <c r="M85" t="inlineStr">
        <is>
          <t>01W SYSTEMS BACKUP</t>
        </is>
      </c>
      <c r="N85" t="inlineStr">
        <is>
          <t>AUT CABINETS STATUS VERIF WEEKLY</t>
        </is>
      </c>
      <c r="O85" t="inlineStr">
        <is>
          <t>1349-SYS87</t>
        </is>
      </c>
      <c r="Q85" t="n">
        <v>2</v>
      </c>
      <c r="R85" t="inlineStr">
        <is>
          <t>PLANO</t>
        </is>
      </c>
      <c r="S85" t="inlineStr">
        <is>
          <t>Z12</t>
        </is>
      </c>
      <c r="T85" s="20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F86" s="20" t="n">
        <v>46316</v>
      </c>
      <c r="G86" t="n">
        <v>5</v>
      </c>
      <c r="H86" t="n">
        <v>3</v>
      </c>
      <c r="I86" s="20" t="n">
        <v>46316</v>
      </c>
      <c r="J86" t="n">
        <v>4384679</v>
      </c>
      <c r="K86" t="n">
        <v>110</v>
      </c>
      <c r="L86" t="inlineStr">
        <is>
          <t>E05AUT</t>
        </is>
      </c>
      <c r="M86" t="inlineStr">
        <is>
          <t>01W ANTIVIRUS UPDATE</t>
        </is>
      </c>
      <c r="N86" t="inlineStr">
        <is>
          <t>AUT CABINETS STATUS VERIF WEEKLY</t>
        </is>
      </c>
      <c r="O86" t="inlineStr">
        <is>
          <t>1349-SYS87</t>
        </is>
      </c>
      <c r="Q86" t="n">
        <v>1</v>
      </c>
      <c r="R86" t="inlineStr">
        <is>
          <t>PLANO</t>
        </is>
      </c>
      <c r="S86" t="inlineStr">
        <is>
          <t>Z12</t>
        </is>
      </c>
      <c r="T86" s="20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F87" s="20" t="n">
        <v>46316</v>
      </c>
      <c r="G87" t="n">
        <v>5</v>
      </c>
      <c r="H87" t="n">
        <v>3</v>
      </c>
      <c r="I87" s="20" t="n">
        <v>46316</v>
      </c>
      <c r="J87" t="n">
        <v>4384679</v>
      </c>
      <c r="K87" t="n">
        <v>120</v>
      </c>
      <c r="L87" t="inlineStr">
        <is>
          <t>E05AUT</t>
        </is>
      </c>
      <c r="M87" t="inlineStr">
        <is>
          <t>02W CONTROL NETWORK CLIENT SERVE</t>
        </is>
      </c>
      <c r="N87" t="inlineStr">
        <is>
          <t>AUT CABINETS STATUS VERIF WEEKLY</t>
        </is>
      </c>
      <c r="O87" t="inlineStr">
        <is>
          <t>1349-SYS87</t>
        </is>
      </c>
      <c r="Q87" t="n">
        <v>1</v>
      </c>
      <c r="R87" t="inlineStr">
        <is>
          <t>PLANO</t>
        </is>
      </c>
      <c r="S87" t="inlineStr">
        <is>
          <t>Z12</t>
        </is>
      </c>
      <c r="T87" s="20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F88" s="20" t="n">
        <v>46316</v>
      </c>
      <c r="G88" t="n">
        <v>5</v>
      </c>
      <c r="H88" t="n">
        <v>3</v>
      </c>
      <c r="I88" s="20" t="n">
        <v>46316</v>
      </c>
      <c r="J88" t="n">
        <v>4384679</v>
      </c>
      <c r="K88" t="n">
        <v>130</v>
      </c>
      <c r="L88" t="inlineStr">
        <is>
          <t>POMAUT</t>
        </is>
      </c>
      <c r="M88" t="inlineStr">
        <is>
          <t>02W CONTROL NET CLIENT THERMOGRAPHY</t>
        </is>
      </c>
      <c r="N88" t="inlineStr">
        <is>
          <t>AUT CABINETS STATUS VERIF WEEKLY</t>
        </is>
      </c>
      <c r="O88" t="inlineStr">
        <is>
          <t>1349-SYS87</t>
        </is>
      </c>
      <c r="Q88" t="n">
        <v>3</v>
      </c>
      <c r="R88" t="inlineStr">
        <is>
          <t>PLANO</t>
        </is>
      </c>
      <c r="S88" t="inlineStr">
        <is>
          <t>Z12</t>
        </is>
      </c>
      <c r="T88" s="20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F89" s="20" t="n">
        <v>46316</v>
      </c>
      <c r="G89" t="n">
        <v>5</v>
      </c>
      <c r="H89" t="n">
        <v>3</v>
      </c>
      <c r="I89" s="20" t="n">
        <v>46316</v>
      </c>
      <c r="J89" t="n">
        <v>4384679</v>
      </c>
      <c r="K89" t="n">
        <v>140</v>
      </c>
      <c r="L89" t="inlineStr">
        <is>
          <t>E05AUT</t>
        </is>
      </c>
      <c r="M89" t="inlineStr">
        <is>
          <t>02W SERVERS AND SYSTEMS</t>
        </is>
      </c>
      <c r="N89" t="inlineStr">
        <is>
          <t>AUT CABINETS STATUS VERIF WEEKLY</t>
        </is>
      </c>
      <c r="O89" t="inlineStr">
        <is>
          <t>1349-SYS87</t>
        </is>
      </c>
      <c r="Q89" t="n">
        <v>2</v>
      </c>
      <c r="R89" t="inlineStr">
        <is>
          <t>PLANO</t>
        </is>
      </c>
      <c r="S89" t="inlineStr">
        <is>
          <t>Z12</t>
        </is>
      </c>
      <c r="T89" s="20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F90" s="20" t="n">
        <v>46316</v>
      </c>
      <c r="G90" t="n">
        <v>5</v>
      </c>
      <c r="H90" t="n">
        <v>3</v>
      </c>
      <c r="I90" s="20" t="n">
        <v>46316</v>
      </c>
      <c r="J90" t="n">
        <v>4384679</v>
      </c>
      <c r="K90" t="n">
        <v>150</v>
      </c>
      <c r="L90" t="inlineStr">
        <is>
          <t>E05AUT</t>
        </is>
      </c>
      <c r="M90" t="inlineStr">
        <is>
          <t>02W 800XA CLIENTS</t>
        </is>
      </c>
      <c r="N90" t="inlineStr">
        <is>
          <t>AUT CABINETS STATUS VERIF WEEKLY</t>
        </is>
      </c>
      <c r="O90" t="inlineStr">
        <is>
          <t>1349-SYS87</t>
        </is>
      </c>
      <c r="Q90" t="n">
        <v>0.5</v>
      </c>
      <c r="R90" t="inlineStr">
        <is>
          <t>PLANO</t>
        </is>
      </c>
      <c r="S90" t="inlineStr">
        <is>
          <t>Z12</t>
        </is>
      </c>
      <c r="T90" s="20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F91" s="20" t="n">
        <v>46323</v>
      </c>
      <c r="G91" t="n">
        <v>5</v>
      </c>
      <c r="H91" t="n">
        <v>3</v>
      </c>
      <c r="I91" s="20" t="n">
        <v>46323</v>
      </c>
      <c r="J91" t="n">
        <v>4384680</v>
      </c>
      <c r="K91" t="n">
        <v>40</v>
      </c>
      <c r="L91" t="inlineStr">
        <is>
          <t>E05AUT</t>
        </is>
      </c>
      <c r="M91" t="inlineStr">
        <is>
          <t>01W CONTROL NETWORK</t>
        </is>
      </c>
      <c r="N91" t="inlineStr">
        <is>
          <t>AUT CABINETS STATUS VERIF WEEKLY</t>
        </is>
      </c>
      <c r="O91" t="inlineStr">
        <is>
          <t>1349-SYS87</t>
        </is>
      </c>
      <c r="Q91" t="n">
        <v>0.5</v>
      </c>
      <c r="R91" t="inlineStr">
        <is>
          <t>PLANO</t>
        </is>
      </c>
      <c r="S91" t="inlineStr">
        <is>
          <t>Z12</t>
        </is>
      </c>
      <c r="T91" s="20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F92" s="20" t="n">
        <v>46323</v>
      </c>
      <c r="G92" t="n">
        <v>5</v>
      </c>
      <c r="H92" t="n">
        <v>3</v>
      </c>
      <c r="I92" s="20" t="n">
        <v>46323</v>
      </c>
      <c r="J92" t="n">
        <v>4384680</v>
      </c>
      <c r="K92" t="n">
        <v>60</v>
      </c>
      <c r="L92" t="inlineStr">
        <is>
          <t>E05AUT</t>
        </is>
      </c>
      <c r="M92" t="inlineStr">
        <is>
          <t>01W RIO &amp; ORTHER COMMUNICATION</t>
        </is>
      </c>
      <c r="N92" t="inlineStr">
        <is>
          <t>AUT CABINETS STATUS VERIF WEEKLY</t>
        </is>
      </c>
      <c r="O92" t="inlineStr">
        <is>
          <t>1349-SYS87</t>
        </is>
      </c>
      <c r="Q92" t="n">
        <v>0.5</v>
      </c>
      <c r="R92" t="inlineStr">
        <is>
          <t>PLANO</t>
        </is>
      </c>
      <c r="S92" t="inlineStr">
        <is>
          <t>Z12</t>
        </is>
      </c>
      <c r="T92" s="20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F93" s="20" t="n">
        <v>46323</v>
      </c>
      <c r="G93" t="n">
        <v>5</v>
      </c>
      <c r="H93" t="n">
        <v>3</v>
      </c>
      <c r="I93" s="20" t="n">
        <v>46323</v>
      </c>
      <c r="J93" t="n">
        <v>4384680</v>
      </c>
      <c r="K93" t="n">
        <v>70</v>
      </c>
      <c r="L93" t="inlineStr">
        <is>
          <t>E05AUT</t>
        </is>
      </c>
      <c r="M93" t="inlineStr">
        <is>
          <t>01W I/O MODULES</t>
        </is>
      </c>
      <c r="N93" t="inlineStr">
        <is>
          <t>AUT CABINETS STATUS VERIF WEEKLY</t>
        </is>
      </c>
      <c r="O93" t="inlineStr">
        <is>
          <t>1349-SYS87</t>
        </is>
      </c>
      <c r="Q93" t="n">
        <v>0.5</v>
      </c>
      <c r="R93" t="inlineStr">
        <is>
          <t>PLANO</t>
        </is>
      </c>
      <c r="S93" t="inlineStr">
        <is>
          <t>Z12</t>
        </is>
      </c>
      <c r="T93" s="20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F94" s="20" t="n">
        <v>46323</v>
      </c>
      <c r="G94" t="n">
        <v>5</v>
      </c>
      <c r="H94" t="n">
        <v>3</v>
      </c>
      <c r="I94" s="20" t="n">
        <v>46323</v>
      </c>
      <c r="J94" t="n">
        <v>4384680</v>
      </c>
      <c r="K94" t="n">
        <v>80</v>
      </c>
      <c r="L94" t="inlineStr">
        <is>
          <t>E05AUT</t>
        </is>
      </c>
      <c r="M94" t="inlineStr">
        <is>
          <t>01W CLIENT SERVER AND NETWORKS</t>
        </is>
      </c>
      <c r="N94" t="inlineStr">
        <is>
          <t>AUT CABINETS STATUS VERIF WEEKLY</t>
        </is>
      </c>
      <c r="O94" t="inlineStr">
        <is>
          <t>1349-SYS87</t>
        </is>
      </c>
      <c r="Q94" t="n">
        <v>0.5</v>
      </c>
      <c r="R94" t="inlineStr">
        <is>
          <t>PLANO</t>
        </is>
      </c>
      <c r="S94" t="inlineStr">
        <is>
          <t>Z12</t>
        </is>
      </c>
      <c r="T94" s="20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F95" s="20" t="n">
        <v>46323</v>
      </c>
      <c r="G95" t="n">
        <v>5</v>
      </c>
      <c r="H95" t="n">
        <v>3</v>
      </c>
      <c r="I95" s="20" t="n">
        <v>46323</v>
      </c>
      <c r="J95" t="n">
        <v>4384680</v>
      </c>
      <c r="K95" t="n">
        <v>90</v>
      </c>
      <c r="L95" t="inlineStr">
        <is>
          <t>E05AUT</t>
        </is>
      </c>
      <c r="M95" t="inlineStr">
        <is>
          <t>01W SERVERS &amp; SYSTEMS</t>
        </is>
      </c>
      <c r="N95" t="inlineStr">
        <is>
          <t>AUT CABINETS STATUS VERIF WEEKLY</t>
        </is>
      </c>
      <c r="O95" t="inlineStr">
        <is>
          <t>1349-SYS87</t>
        </is>
      </c>
      <c r="Q95" t="n">
        <v>0.5</v>
      </c>
      <c r="R95" t="inlineStr">
        <is>
          <t>PLANO</t>
        </is>
      </c>
      <c r="S95" t="inlineStr">
        <is>
          <t>Z12</t>
        </is>
      </c>
      <c r="T95" s="20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F96" s="20" t="n">
        <v>46323</v>
      </c>
      <c r="G96" t="n">
        <v>5</v>
      </c>
      <c r="H96" t="n">
        <v>3</v>
      </c>
      <c r="I96" s="20" t="n">
        <v>46323</v>
      </c>
      <c r="J96" t="n">
        <v>4384680</v>
      </c>
      <c r="K96" t="n">
        <v>100</v>
      </c>
      <c r="L96" t="inlineStr">
        <is>
          <t>E05AUT</t>
        </is>
      </c>
      <c r="M96" t="inlineStr">
        <is>
          <t>01W SYSTEMS BACKUP</t>
        </is>
      </c>
      <c r="N96" t="inlineStr">
        <is>
          <t>AUT CABINETS STATUS VERIF WEEKLY</t>
        </is>
      </c>
      <c r="O96" t="inlineStr">
        <is>
          <t>1349-SYS87</t>
        </is>
      </c>
      <c r="Q96" t="n">
        <v>2</v>
      </c>
      <c r="R96" t="inlineStr">
        <is>
          <t>PLANO</t>
        </is>
      </c>
      <c r="S96" t="inlineStr">
        <is>
          <t>Z12</t>
        </is>
      </c>
      <c r="T96" s="20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F97" s="20" t="n">
        <v>46323</v>
      </c>
      <c r="G97" t="n">
        <v>5</v>
      </c>
      <c r="H97" t="n">
        <v>3</v>
      </c>
      <c r="I97" s="20" t="n">
        <v>46323</v>
      </c>
      <c r="J97" t="n">
        <v>4384680</v>
      </c>
      <c r="K97" t="n">
        <v>110</v>
      </c>
      <c r="L97" t="inlineStr">
        <is>
          <t>E05AUT</t>
        </is>
      </c>
      <c r="M97" t="inlineStr">
        <is>
          <t>01W ANTIVIRUS UPDATE</t>
        </is>
      </c>
      <c r="N97" t="inlineStr">
        <is>
          <t>AUT CABINETS STATUS VERIF WEEKLY</t>
        </is>
      </c>
      <c r="O97" t="inlineStr">
        <is>
          <t>1349-SYS87</t>
        </is>
      </c>
      <c r="Q97" t="n">
        <v>1</v>
      </c>
      <c r="R97" t="inlineStr">
        <is>
          <t>PLANO</t>
        </is>
      </c>
      <c r="S97" t="inlineStr">
        <is>
          <t>Z12</t>
        </is>
      </c>
      <c r="T97" s="20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F98" s="20" t="n">
        <v>46316</v>
      </c>
      <c r="G98" t="n">
        <v>5</v>
      </c>
      <c r="H98" t="n">
        <v>3</v>
      </c>
      <c r="I98" s="20" t="n">
        <v>46316</v>
      </c>
      <c r="J98" t="n">
        <v>4385888</v>
      </c>
      <c r="K98" t="n">
        <v>10</v>
      </c>
      <c r="L98" t="inlineStr">
        <is>
          <t>AUT</t>
        </is>
      </c>
      <c r="M98" t="inlineStr">
        <is>
          <t>INS-1016 INSP AUT SISTEMA PAGA</t>
        </is>
      </c>
      <c r="N98" t="inlineStr">
        <is>
          <t>INSP SISTEMA PAGA INS-1016 AUT 6M</t>
        </is>
      </c>
      <c r="O98" t="inlineStr">
        <is>
          <t>PERGC-FSFG-DTC-23-13</t>
        </is>
      </c>
      <c r="Q98" t="n">
        <v>2</v>
      </c>
      <c r="R98" t="inlineStr">
        <is>
          <t>PLANO</t>
        </is>
      </c>
      <c r="S98" t="inlineStr">
        <is>
          <t>Z09</t>
        </is>
      </c>
      <c r="T98" s="20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F99" s="20" t="n">
        <v>46317</v>
      </c>
      <c r="G99" t="n">
        <v>5</v>
      </c>
      <c r="H99" t="n">
        <v>3</v>
      </c>
      <c r="I99" s="20" t="n">
        <v>46317</v>
      </c>
      <c r="J99" t="n">
        <v>4385896</v>
      </c>
      <c r="K99" t="n">
        <v>10</v>
      </c>
      <c r="L99" t="inlineStr">
        <is>
          <t>AUT</t>
        </is>
      </c>
      <c r="M99" t="inlineStr">
        <is>
          <t>INS-1016 INSP AUT SISTEMA PAGA</t>
        </is>
      </c>
      <c r="N99" t="inlineStr">
        <is>
          <t>INSP SISTEMA PAGA INS-1016 AUT 6M</t>
        </is>
      </c>
      <c r="O99" t="inlineStr">
        <is>
          <t>PERGC-FSTI-INT-07-10</t>
        </is>
      </c>
      <c r="Q99" t="n">
        <v>2</v>
      </c>
      <c r="R99" t="inlineStr">
        <is>
          <t>PLANO</t>
        </is>
      </c>
      <c r="S99" t="inlineStr">
        <is>
          <t>Z09</t>
        </is>
      </c>
      <c r="T99" s="20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F100" s="20" t="n">
        <v>46320</v>
      </c>
      <c r="G100" t="n">
        <v>5</v>
      </c>
      <c r="H100" t="n">
        <v>3</v>
      </c>
      <c r="I100" s="20" t="n">
        <v>46320</v>
      </c>
      <c r="J100" t="n">
        <v>4385908</v>
      </c>
      <c r="K100" t="n">
        <v>10</v>
      </c>
      <c r="L100" t="inlineStr">
        <is>
          <t>AUT</t>
        </is>
      </c>
      <c r="M100" t="inlineStr">
        <is>
          <t>PTF-2101 TEST FUNC PRO SISTEMA PAGA</t>
        </is>
      </c>
      <c r="N100" t="inlineStr">
        <is>
          <t>TEST FUNC SISTEMA PAGA PTF-2101 HSE 6M</t>
        </is>
      </c>
      <c r="O100" t="inlineStr">
        <is>
          <t>PERGC-FSTI-INT-07-10</t>
        </is>
      </c>
      <c r="Q100" t="n">
        <v>0.5</v>
      </c>
      <c r="R100" t="inlineStr">
        <is>
          <t>PLANO</t>
        </is>
      </c>
      <c r="S100" t="inlineStr">
        <is>
          <t>Z08</t>
        </is>
      </c>
      <c r="T100" s="20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F101" s="20" t="n">
        <v>46314</v>
      </c>
      <c r="G101" t="n">
        <v>5</v>
      </c>
      <c r="H101" t="n">
        <v>3</v>
      </c>
      <c r="I101" s="20" t="n">
        <v>46314</v>
      </c>
      <c r="J101" t="n">
        <v>4386446</v>
      </c>
      <c r="K101" t="n">
        <v>10</v>
      </c>
      <c r="L101" t="inlineStr">
        <is>
          <t>AUT</t>
        </is>
      </c>
      <c r="M101" t="inlineStr">
        <is>
          <t>INS-1016 INSP AUT SISTEMA PAGA</t>
        </is>
      </c>
      <c r="N101" t="inlineStr">
        <is>
          <t>INSP SISTEMA PAGA INS-1016 AUT 6M</t>
        </is>
      </c>
      <c r="O101" t="inlineStr">
        <is>
          <t>PERGC-FSFG-DTC-21-13</t>
        </is>
      </c>
      <c r="Q101" t="n">
        <v>2</v>
      </c>
      <c r="R101" t="inlineStr">
        <is>
          <t>PLANO</t>
        </is>
      </c>
      <c r="S101" t="inlineStr">
        <is>
          <t>Z09</t>
        </is>
      </c>
      <c r="T101" s="20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F102" s="20" t="n">
        <v>46316</v>
      </c>
      <c r="G102" t="n">
        <v>5</v>
      </c>
      <c r="H102" t="n">
        <v>3</v>
      </c>
      <c r="I102" s="20" t="n">
        <v>46316</v>
      </c>
      <c r="J102" t="n">
        <v>4386480</v>
      </c>
      <c r="K102" t="n">
        <v>10</v>
      </c>
      <c r="L102" t="inlineStr">
        <is>
          <t>AUT</t>
        </is>
      </c>
      <c r="M102" t="inlineStr">
        <is>
          <t>INS-1016 INSP AUT SISTEMA PAGA</t>
        </is>
      </c>
      <c r="N102" t="inlineStr">
        <is>
          <t>INSP SISTEMA PAGA INS-1016 AUT 6M</t>
        </is>
      </c>
      <c r="O102" t="inlineStr">
        <is>
          <t>PERGC-FSFG-DTC-33-07</t>
        </is>
      </c>
      <c r="Q102" t="n">
        <v>2</v>
      </c>
      <c r="R102" t="inlineStr">
        <is>
          <t>PLANO</t>
        </is>
      </c>
      <c r="S102" t="inlineStr">
        <is>
          <t>Z09</t>
        </is>
      </c>
      <c r="T102" s="20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F103" s="20" t="n">
        <v>46314</v>
      </c>
      <c r="G103" t="n">
        <v>5</v>
      </c>
      <c r="H103" t="n">
        <v>3</v>
      </c>
      <c r="I103" s="20" t="n">
        <v>46314</v>
      </c>
      <c r="J103" t="n">
        <v>4386455</v>
      </c>
      <c r="K103" t="n">
        <v>10</v>
      </c>
      <c r="L103" t="inlineStr">
        <is>
          <t>INS</t>
        </is>
      </c>
      <c r="M103" t="inlineStr">
        <is>
          <t>INS-1312 INSP INS DETECTOR GAS</t>
        </is>
      </c>
      <c r="N103" t="inlineStr">
        <is>
          <t>INSP DETECT GAS CH4 INS-1312 INS 3M</t>
        </is>
      </c>
      <c r="O103" t="inlineStr">
        <is>
          <t>PERGC-FSFG-DTC-89-01</t>
        </is>
      </c>
      <c r="Q103" t="n">
        <v>8</v>
      </c>
      <c r="R103" t="inlineStr">
        <is>
          <t>PLANO</t>
        </is>
      </c>
      <c r="S103" t="inlineStr">
        <is>
          <t>Z09</t>
        </is>
      </c>
      <c r="T103" s="20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F104" s="20" t="n">
        <v>46311</v>
      </c>
      <c r="G104" t="n">
        <v>5</v>
      </c>
      <c r="H104" t="n">
        <v>3</v>
      </c>
      <c r="I104" s="20" t="n">
        <v>46311</v>
      </c>
      <c r="J104" t="n">
        <v>4386412</v>
      </c>
      <c r="K104" t="n">
        <v>10</v>
      </c>
      <c r="L104" t="inlineStr">
        <is>
          <t>PRO</t>
        </is>
      </c>
      <c r="M104" t="inlineStr">
        <is>
          <t>INS-1813 INSP PRO FILTRO</t>
        </is>
      </c>
      <c r="N104" t="inlineStr">
        <is>
          <t>INSP FILTRO INS-1813 PRO 4M</t>
        </is>
      </c>
      <c r="O104" t="inlineStr">
        <is>
          <t>PERGC-FSGP-GTG-01-16</t>
        </is>
      </c>
      <c r="Q104" t="n">
        <v>3</v>
      </c>
      <c r="R104" t="inlineStr">
        <is>
          <t>PLANO</t>
        </is>
      </c>
      <c r="S104" t="inlineStr">
        <is>
          <t>Z09</t>
        </is>
      </c>
      <c r="T104" s="20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F105" s="20" t="n">
        <v>46320</v>
      </c>
      <c r="G105" t="n">
        <v>3</v>
      </c>
      <c r="H105" t="n">
        <v>2</v>
      </c>
      <c r="I105" s="20" t="n">
        <v>46320</v>
      </c>
      <c r="J105" t="n">
        <v>4386649</v>
      </c>
      <c r="K105" t="n">
        <v>10</v>
      </c>
      <c r="L105" t="inlineStr">
        <is>
          <t>PRO</t>
        </is>
      </c>
      <c r="M105" t="inlineStr">
        <is>
          <t>INS-1813 INSP PRO FILTRO</t>
        </is>
      </c>
      <c r="N105" t="inlineStr">
        <is>
          <t>INSP FILTRO INS-1813 PRO 4M</t>
        </is>
      </c>
      <c r="O105" t="inlineStr">
        <is>
          <t>PERGC-FSGP-GTG-01-28-19-01</t>
        </is>
      </c>
      <c r="Q105" t="n">
        <v>3</v>
      </c>
      <c r="R105" t="inlineStr">
        <is>
          <t>PLANO</t>
        </is>
      </c>
      <c r="S105" t="inlineStr">
        <is>
          <t>Z09</t>
        </is>
      </c>
      <c r="T105" s="20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F106" s="20" t="n">
        <v>46323</v>
      </c>
      <c r="G106" t="n">
        <v>5</v>
      </c>
      <c r="H106" t="n">
        <v>3</v>
      </c>
      <c r="I106" s="20" t="n">
        <v>46323</v>
      </c>
      <c r="J106" t="n">
        <v>4386601</v>
      </c>
      <c r="K106" t="n">
        <v>10</v>
      </c>
      <c r="L106" t="inlineStr">
        <is>
          <t>PRO</t>
        </is>
      </c>
      <c r="M106" t="inlineStr">
        <is>
          <t>INS-1813 INSP PRO FILTRO</t>
        </is>
      </c>
      <c r="N106" t="inlineStr">
        <is>
          <t>INSP FILTRO INS-1813 PRO 4M</t>
        </is>
      </c>
      <c r="O106" t="inlineStr">
        <is>
          <t>PERGC-FSGP-GTG-04-16</t>
        </is>
      </c>
      <c r="Q106" t="n">
        <v>3</v>
      </c>
      <c r="R106" t="inlineStr">
        <is>
          <t>PLANO</t>
        </is>
      </c>
      <c r="S106" t="inlineStr">
        <is>
          <t>Z09</t>
        </is>
      </c>
      <c r="T106" s="20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F107" s="20" t="n">
        <v>46318</v>
      </c>
      <c r="G107" t="n">
        <v>3</v>
      </c>
      <c r="H107" t="n">
        <v>2</v>
      </c>
      <c r="I107" s="20" t="n">
        <v>46318</v>
      </c>
      <c r="J107" t="n">
        <v>4386650</v>
      </c>
      <c r="K107" t="n">
        <v>10</v>
      </c>
      <c r="L107" t="inlineStr">
        <is>
          <t>ELE</t>
        </is>
      </c>
      <c r="M107" t="inlineStr">
        <is>
          <t>PSE-1200 MANUT ELE MOTOR BT</t>
        </is>
      </c>
      <c r="N107" t="inlineStr">
        <is>
          <t>MANUT MOTOR BAIXA TENSAO PSE-1200 ELE 1A</t>
        </is>
      </c>
      <c r="O107" t="inlineStr">
        <is>
          <t>PERGC-FSGP-GTG-04-34-10-04</t>
        </is>
      </c>
      <c r="Q107" t="n">
        <v>4</v>
      </c>
      <c r="R107" t="inlineStr">
        <is>
          <t>PLANO</t>
        </is>
      </c>
      <c r="S107" t="inlineStr">
        <is>
          <t>Z12</t>
        </is>
      </c>
      <c r="T107" s="20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F108" s="20" t="n">
        <v>46313</v>
      </c>
      <c r="G108" t="n">
        <v>3</v>
      </c>
      <c r="H108" t="n">
        <v>2</v>
      </c>
      <c r="I108" s="20" t="n">
        <v>46313</v>
      </c>
      <c r="J108" t="n">
        <v>4386736</v>
      </c>
      <c r="K108" t="n">
        <v>10</v>
      </c>
      <c r="L108" t="inlineStr">
        <is>
          <t>ELE</t>
        </is>
      </c>
      <c r="M108" t="inlineStr">
        <is>
          <t>PSE-1213 MANUT ELE GUINDASTES</t>
        </is>
      </c>
      <c r="N108" t="inlineStr">
        <is>
          <t>MANUT GUINDASTES PSE-1213 ELE 1A</t>
        </is>
      </c>
      <c r="O108" t="inlineStr">
        <is>
          <t>PERGC-FSMC-GUI-04-01</t>
        </is>
      </c>
      <c r="Q108" t="n">
        <v>8</v>
      </c>
      <c r="R108" t="inlineStr">
        <is>
          <t>PLANO</t>
        </is>
      </c>
      <c r="S108" t="inlineStr">
        <is>
          <t>Z12</t>
        </is>
      </c>
      <c r="T108" s="20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F109" s="20" t="n">
        <v>46311</v>
      </c>
      <c r="G109" t="n">
        <v>3</v>
      </c>
      <c r="H109" t="n">
        <v>2</v>
      </c>
      <c r="I109" s="20" t="n">
        <v>46311</v>
      </c>
      <c r="J109" t="n">
        <v>4386408</v>
      </c>
      <c r="K109" t="n">
        <v>10</v>
      </c>
      <c r="L109" t="inlineStr">
        <is>
          <t>ELE</t>
        </is>
      </c>
      <c r="M109" t="inlineStr">
        <is>
          <t>PSE-1812 MANUT PRO CONDE/TROC CALOR</t>
        </is>
      </c>
      <c r="N109" t="inlineStr">
        <is>
          <t>MANUT CONDE/TROC CALOR PSE-1812 PRO 1A</t>
        </is>
      </c>
      <c r="O109" t="inlineStr">
        <is>
          <t>PERGC-FSOD-MBB-04-07</t>
        </is>
      </c>
      <c r="Q109" t="n">
        <v>1</v>
      </c>
      <c r="R109" t="inlineStr">
        <is>
          <t>PLANO</t>
        </is>
      </c>
      <c r="S109" t="inlineStr">
        <is>
          <t>Z12</t>
        </is>
      </c>
      <c r="T109" s="20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F110" s="20" t="n">
        <v>46312</v>
      </c>
      <c r="G110" t="n">
        <v>3</v>
      </c>
      <c r="H110" t="n">
        <v>2</v>
      </c>
      <c r="I110" s="20" t="n">
        <v>46312</v>
      </c>
      <c r="J110" t="n">
        <v>4386421</v>
      </c>
      <c r="K110" t="n">
        <v>10</v>
      </c>
      <c r="L110" t="inlineStr">
        <is>
          <t>INS</t>
        </is>
      </c>
      <c r="M110" t="inlineStr">
        <is>
          <t>PTF-1301 TEST FUNC INS BOTOEIRAS</t>
        </is>
      </c>
      <c r="N110" t="inlineStr">
        <is>
          <t>TEST FUNC BOTOEIRAS PTF-1301 INS 6M</t>
        </is>
      </c>
      <c r="O110" t="inlineStr">
        <is>
          <t>PERGC-FSSV-BEE-01-22</t>
        </is>
      </c>
      <c r="Q110" t="n">
        <v>0.5</v>
      </c>
      <c r="R110" t="inlineStr">
        <is>
          <t>PLANO</t>
        </is>
      </c>
      <c r="S110" t="inlineStr">
        <is>
          <t>Z08</t>
        </is>
      </c>
      <c r="T110" s="20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F111" s="20" t="n">
        <v>46316</v>
      </c>
      <c r="G111" t="n">
        <v>3</v>
      </c>
      <c r="H111" t="n">
        <v>2</v>
      </c>
      <c r="I111" s="20" t="n">
        <v>46316</v>
      </c>
      <c r="J111" t="n">
        <v>4386473</v>
      </c>
      <c r="K111" t="n">
        <v>10</v>
      </c>
      <c r="L111" t="inlineStr">
        <is>
          <t>ELE</t>
        </is>
      </c>
      <c r="M111" t="inlineStr">
        <is>
          <t>PSE-1200 MANUT ELE MOTOR BT</t>
        </is>
      </c>
      <c r="N111" t="inlineStr">
        <is>
          <t>MANUT MOTOR BAIXA TENSAO PSE-1200 ELE 1A</t>
        </is>
      </c>
      <c r="O111" t="inlineStr">
        <is>
          <t>PERGC-FSSV-BEE-04-19</t>
        </is>
      </c>
      <c r="Q111" t="n">
        <v>4</v>
      </c>
      <c r="R111" t="inlineStr">
        <is>
          <t>PLANO</t>
        </is>
      </c>
      <c r="S111" t="inlineStr">
        <is>
          <t>Z12</t>
        </is>
      </c>
      <c r="T111" s="20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F112" s="20" t="n">
        <v>46325</v>
      </c>
      <c r="G112" t="n">
        <v>3</v>
      </c>
      <c r="H112" t="n">
        <v>2</v>
      </c>
      <c r="I112" s="20" t="n">
        <v>46310</v>
      </c>
      <c r="J112" t="n">
        <v>4386393</v>
      </c>
      <c r="K112" t="n">
        <v>10</v>
      </c>
      <c r="L112" t="inlineStr">
        <is>
          <t>ELE</t>
        </is>
      </c>
      <c r="M112" t="inlineStr">
        <is>
          <t>PSE-1200 MANUT ELE MOTOR BT</t>
        </is>
      </c>
      <c r="N112" t="inlineStr">
        <is>
          <t>MANUT MOTOR BAIXA TENSAO PSE-1200 ELE 1A</t>
        </is>
      </c>
      <c r="O112" t="inlineStr">
        <is>
          <t>PERGC-FSTD-TRA-01-34-04</t>
        </is>
      </c>
      <c r="Q112" t="n">
        <v>4</v>
      </c>
      <c r="R112" t="inlineStr">
        <is>
          <t>PLANO</t>
        </is>
      </c>
      <c r="S112" t="inlineStr">
        <is>
          <t>Z12</t>
        </is>
      </c>
      <c r="T112" s="20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F113" s="20" t="n">
        <v>46320</v>
      </c>
      <c r="G113" t="n">
        <v>5</v>
      </c>
      <c r="H113" t="n">
        <v>3</v>
      </c>
      <c r="I113" s="20" t="n">
        <v>46320</v>
      </c>
      <c r="J113" t="n">
        <v>4386556</v>
      </c>
      <c r="K113" t="n">
        <v>10</v>
      </c>
      <c r="L113" t="inlineStr">
        <is>
          <t>AUT</t>
        </is>
      </c>
      <c r="M113" t="inlineStr">
        <is>
          <t>PTF-2101 TEST FUNC PRO SISTEMA PAGA</t>
        </is>
      </c>
      <c r="N113" t="inlineStr">
        <is>
          <t>TEST FUNC SISTEMA PAGA PTF-2101 HSE 6M</t>
        </is>
      </c>
      <c r="O113" t="inlineStr">
        <is>
          <t>PERGC-FSTI-INT-07-01</t>
        </is>
      </c>
      <c r="Q113" t="n">
        <v>0.5</v>
      </c>
      <c r="R113" t="inlineStr">
        <is>
          <t>PLANO</t>
        </is>
      </c>
      <c r="S113" t="inlineStr">
        <is>
          <t>Z08</t>
        </is>
      </c>
      <c r="T113" s="20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F114" s="20" t="n">
        <v>46316</v>
      </c>
      <c r="G114" t="n">
        <v>5</v>
      </c>
      <c r="H114" t="n">
        <v>3</v>
      </c>
      <c r="I114" s="20" t="n">
        <v>46316</v>
      </c>
      <c r="J114" t="n">
        <v>4386484</v>
      </c>
      <c r="K114" t="n">
        <v>10</v>
      </c>
      <c r="L114" t="inlineStr">
        <is>
          <t>TER</t>
        </is>
      </c>
      <c r="M114" t="inlineStr">
        <is>
          <t>PSE-1001 MANUT PRV TER SISTEMA PAGA</t>
        </is>
      </c>
      <c r="N114" t="inlineStr">
        <is>
          <t>MANUT PRV SISTEMA PAGA PSE-1001 AUT 1A</t>
        </is>
      </c>
      <c r="O114" t="inlineStr">
        <is>
          <t>PERGC-FSTI-INT-07-04</t>
        </is>
      </c>
      <c r="Q114" t="n">
        <v>16</v>
      </c>
      <c r="R114" t="inlineStr">
        <is>
          <t>PLANO-VEND</t>
        </is>
      </c>
      <c r="S114" t="inlineStr">
        <is>
          <t>Z12</t>
        </is>
      </c>
      <c r="T114" s="20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F115" s="20" t="n">
        <v>46313</v>
      </c>
      <c r="G115" t="n">
        <v>5</v>
      </c>
      <c r="H115" t="n">
        <v>3</v>
      </c>
      <c r="I115" s="20" t="n">
        <v>46313</v>
      </c>
      <c r="J115" t="n">
        <v>4386436</v>
      </c>
      <c r="K115" t="n">
        <v>10</v>
      </c>
      <c r="L115" t="inlineStr">
        <is>
          <t>AUT</t>
        </is>
      </c>
      <c r="M115" t="inlineStr">
        <is>
          <t>PTF-2101 TEST FUNC PRO SISTEMA PAGA</t>
        </is>
      </c>
      <c r="N115" t="inlineStr">
        <is>
          <t>TEST FUNC SISTEMA PAGA PTF-2101 HSE 6M</t>
        </is>
      </c>
      <c r="O115" t="inlineStr">
        <is>
          <t>PERGC-FSTI-INT-07-07</t>
        </is>
      </c>
      <c r="Q115" t="n">
        <v>0.5</v>
      </c>
      <c r="R115" t="inlineStr">
        <is>
          <t>PLANO</t>
        </is>
      </c>
      <c r="S115" t="inlineStr">
        <is>
          <t>Z08</t>
        </is>
      </c>
      <c r="T115" s="20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F116" s="20" t="n">
        <v>46318</v>
      </c>
      <c r="G116" t="n">
        <v>5</v>
      </c>
      <c r="H116" t="n">
        <v>3</v>
      </c>
      <c r="I116" s="20" t="n">
        <v>46318</v>
      </c>
      <c r="J116" t="n">
        <v>4386522</v>
      </c>
      <c r="K116" t="n">
        <v>10</v>
      </c>
      <c r="L116" t="inlineStr">
        <is>
          <t>AUT</t>
        </is>
      </c>
      <c r="M116" t="inlineStr">
        <is>
          <t>INS-1016 INSP AUT SISTEMA PAGA</t>
        </is>
      </c>
      <c r="N116" t="inlineStr">
        <is>
          <t>INSP SISTEMA PAGA INS-1016 AUT 6M</t>
        </is>
      </c>
      <c r="O116" t="inlineStr">
        <is>
          <t>PERGC-FSTI-INT-07-07</t>
        </is>
      </c>
      <c r="Q116" t="n">
        <v>2</v>
      </c>
      <c r="R116" t="inlineStr">
        <is>
          <t>PLANO</t>
        </is>
      </c>
      <c r="S116" t="inlineStr">
        <is>
          <t>Z09</t>
        </is>
      </c>
      <c r="T116" s="20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F117" s="20" t="n">
        <v>46321</v>
      </c>
      <c r="G117" t="n">
        <v>3</v>
      </c>
      <c r="H117" t="n">
        <v>2</v>
      </c>
      <c r="I117" s="20" t="n">
        <v>46321</v>
      </c>
      <c r="J117" t="n">
        <v>4386559</v>
      </c>
      <c r="K117" t="n">
        <v>10</v>
      </c>
      <c r="L117" t="inlineStr">
        <is>
          <t>ELE</t>
        </is>
      </c>
      <c r="M117" t="inlineStr">
        <is>
          <t>PSE-1200 MANUT ELE MOTOR BT</t>
        </is>
      </c>
      <c r="N117" t="inlineStr">
        <is>
          <t>MANUT MOTOR BAIXA TENSAO PSE-1200 ELE 1A</t>
        </is>
      </c>
      <c r="O117" t="inlineStr">
        <is>
          <t>PERGC-PSGC-GIM-01-13-13-04-04</t>
        </is>
      </c>
      <c r="Q117" t="n">
        <v>4</v>
      </c>
      <c r="R117" t="inlineStr">
        <is>
          <t>PLANO</t>
        </is>
      </c>
      <c r="S117" t="inlineStr">
        <is>
          <t>Z12</t>
        </is>
      </c>
      <c r="T117" s="20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F118" s="20" t="n">
        <v>46321</v>
      </c>
      <c r="G118" t="n">
        <v>3</v>
      </c>
      <c r="H118" t="n">
        <v>2</v>
      </c>
      <c r="I118" s="20" t="n">
        <v>46321</v>
      </c>
      <c r="J118" t="n">
        <v>4386560</v>
      </c>
      <c r="K118" t="n">
        <v>10</v>
      </c>
      <c r="L118" t="inlineStr">
        <is>
          <t>PRO</t>
        </is>
      </c>
      <c r="M118" t="inlineStr">
        <is>
          <t>INS-1813 INSP PRO FILTRO</t>
        </is>
      </c>
      <c r="N118" t="inlineStr">
        <is>
          <t>INSP FILTRO INS-1813 OPE 4M</t>
        </is>
      </c>
      <c r="O118" t="inlineStr">
        <is>
          <t>PERGC-PSGC-GIM-01-28-16-28</t>
        </is>
      </c>
      <c r="Q118" t="n">
        <v>3</v>
      </c>
      <c r="R118" t="inlineStr">
        <is>
          <t>PLANO</t>
        </is>
      </c>
      <c r="S118" t="inlineStr">
        <is>
          <t>Z09</t>
        </is>
      </c>
      <c r="T118" s="20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F119" s="20" t="n">
        <v>46316</v>
      </c>
      <c r="G119" t="n">
        <v>3</v>
      </c>
      <c r="H119" t="n">
        <v>2</v>
      </c>
      <c r="I119" s="20" t="n">
        <v>46316</v>
      </c>
      <c r="J119" t="n">
        <v>4386470</v>
      </c>
      <c r="K119" t="n">
        <v>10</v>
      </c>
      <c r="L119" t="inlineStr">
        <is>
          <t>PRO</t>
        </is>
      </c>
      <c r="M119" t="inlineStr">
        <is>
          <t>INS-1813 INSP PRO FILTRO</t>
        </is>
      </c>
      <c r="N119" t="inlineStr">
        <is>
          <t>INSP FILTRO INS-1813 OPE 4M</t>
        </is>
      </c>
      <c r="O119" t="inlineStr">
        <is>
          <t>PERGC-PSGI-GNI-01-10-01</t>
        </is>
      </c>
      <c r="Q119" t="n">
        <v>3</v>
      </c>
      <c r="R119" t="inlineStr">
        <is>
          <t>PLANO</t>
        </is>
      </c>
      <c r="S119" t="inlineStr">
        <is>
          <t>Z09</t>
        </is>
      </c>
      <c r="T119" s="20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F120" s="20" t="n">
        <v>46318</v>
      </c>
      <c r="G120" t="n">
        <v>5</v>
      </c>
      <c r="H120" t="n">
        <v>3</v>
      </c>
      <c r="I120" s="20" t="n">
        <v>46318</v>
      </c>
      <c r="J120" t="n">
        <v>4386510</v>
      </c>
      <c r="K120" t="n">
        <v>10</v>
      </c>
      <c r="L120" t="inlineStr">
        <is>
          <t>PRO</t>
        </is>
      </c>
      <c r="M120" t="inlineStr">
        <is>
          <t>INS-1813 INSP PRO FILTRO</t>
        </is>
      </c>
      <c r="N120" t="inlineStr">
        <is>
          <t>INSP FILTRO INS-1813 PRO 4M</t>
        </is>
      </c>
      <c r="O120" t="inlineStr">
        <is>
          <t>PERGC-PSIQ-UJQ-01-13</t>
        </is>
      </c>
      <c r="Q120" t="n">
        <v>3</v>
      </c>
      <c r="R120" t="inlineStr">
        <is>
          <t>PLANO</t>
        </is>
      </c>
      <c r="S120" t="inlineStr">
        <is>
          <t>Z09</t>
        </is>
      </c>
      <c r="T120" s="20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F121" s="20" t="n">
        <v>46326</v>
      </c>
      <c r="G121" t="n">
        <v>1</v>
      </c>
      <c r="H121" t="n">
        <v>1</v>
      </c>
      <c r="J121" t="n">
        <v>4391032</v>
      </c>
      <c r="K121" t="n">
        <v>10</v>
      </c>
      <c r="L121" t="inlineStr">
        <is>
          <t>ELE</t>
        </is>
      </c>
      <c r="M121" t="inlineStr">
        <is>
          <t>Manut corretiva UPS Iluminação B 85002B</t>
        </is>
      </c>
      <c r="N121" t="inlineStr">
        <is>
          <t>Manut corretiva UPS Iluminação B 85002B</t>
        </is>
      </c>
      <c r="O121" t="inlineStr">
        <is>
          <t>PERGC-FECC-UPS-01-10-01</t>
        </is>
      </c>
      <c r="Q121" t="n">
        <v>0</v>
      </c>
      <c r="R121" t="inlineStr">
        <is>
          <t>AMAT</t>
        </is>
      </c>
      <c r="S121" t="inlineStr">
        <is>
          <t>Z12</t>
        </is>
      </c>
      <c r="T121" s="20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F122" s="20" t="n">
        <v>46326</v>
      </c>
      <c r="G122" t="n">
        <v>4</v>
      </c>
      <c r="H122" t="n">
        <v>2</v>
      </c>
      <c r="J122" t="n">
        <v>4389465</v>
      </c>
      <c r="K122" t="n">
        <v>10</v>
      </c>
      <c r="L122" t="inlineStr">
        <is>
          <t>AUT</t>
        </is>
      </c>
      <c r="M122" t="inlineStr">
        <is>
          <t>Troca dos componentes do radar sul</t>
        </is>
      </c>
      <c r="N122" t="inlineStr">
        <is>
          <t>Radar Sul com paradas intermitentes.</t>
        </is>
      </c>
      <c r="O122" t="inlineStr">
        <is>
          <t>PERGC-SDMT-PNN-04-10</t>
        </is>
      </c>
      <c r="Q122" t="n">
        <v>16</v>
      </c>
      <c r="R122" t="inlineStr">
        <is>
          <t>VEND</t>
        </is>
      </c>
      <c r="S122" t="inlineStr">
        <is>
          <t>Z03</t>
        </is>
      </c>
      <c r="T122" s="20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F123" s="20" t="n">
        <v>46320</v>
      </c>
      <c r="G123" t="n">
        <v>6</v>
      </c>
      <c r="H123" t="n">
        <v>3</v>
      </c>
      <c r="J123" t="n">
        <v>4391894</v>
      </c>
      <c r="K123" t="n">
        <v>10</v>
      </c>
      <c r="L123" t="inlineStr">
        <is>
          <t>PIN</t>
        </is>
      </c>
      <c r="M123" t="inlineStr">
        <is>
          <t>TRAT. E PINT. TETO EXT. HV-LV</t>
        </is>
      </c>
      <c r="N123" t="inlineStr">
        <is>
          <t>TRAT. E PINT. TETO EXT. HV-LV</t>
        </is>
      </c>
      <c r="O123" t="inlineStr">
        <is>
          <t>PERGC</t>
        </is>
      </c>
      <c r="Q123" t="n">
        <v>120</v>
      </c>
      <c r="R123" t="inlineStr">
        <is>
          <t>PROG</t>
        </is>
      </c>
      <c r="S123" t="inlineStr">
        <is>
          <t>Z13</t>
        </is>
      </c>
      <c r="T123" s="20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F124" s="20" t="n">
        <v>46321</v>
      </c>
      <c r="G124" t="n">
        <v>4</v>
      </c>
      <c r="H124" t="n">
        <v>3</v>
      </c>
      <c r="J124" t="n">
        <v>4389548</v>
      </c>
      <c r="K124" t="n">
        <v>10</v>
      </c>
      <c r="L124" t="inlineStr">
        <is>
          <t>PIN</t>
        </is>
      </c>
      <c r="M124" t="inlineStr">
        <is>
          <t>PC RI:0001 REL:0837/24 24/06/2024</t>
        </is>
      </c>
      <c r="N124" t="inlineStr">
        <is>
          <t>PC RI:0001 REL:0837/24 24/06/2024</t>
        </is>
      </c>
      <c r="O124" t="inlineStr">
        <is>
          <t>PERGC-FSAC</t>
        </is>
      </c>
      <c r="Q124" t="n">
        <v>68</v>
      </c>
      <c r="R124" t="inlineStr">
        <is>
          <t>PROG</t>
        </is>
      </c>
      <c r="S124" t="inlineStr">
        <is>
          <t>Z01</t>
        </is>
      </c>
      <c r="T124" s="20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F125" s="20" t="n">
        <v>46319</v>
      </c>
      <c r="G125" t="n">
        <v>6</v>
      </c>
      <c r="H125" t="n">
        <v>2</v>
      </c>
      <c r="J125" t="n">
        <v>4393385</v>
      </c>
      <c r="K125" t="n">
        <v>10</v>
      </c>
      <c r="L125" t="inlineStr">
        <is>
          <t>MEC</t>
        </is>
      </c>
      <c r="M125" t="inlineStr">
        <is>
          <t>Revisão do motor 50PS001B-M01 SWLP</t>
        </is>
      </c>
      <c r="N125" t="inlineStr">
        <is>
          <t>PRED_VIB - ROLAMENTO - SET26 SWIL</t>
        </is>
      </c>
      <c r="O125" t="inlineStr">
        <is>
          <t>PERGC-FSCA-MBB-10-04</t>
        </is>
      </c>
      <c r="Q125" t="n">
        <v>12</v>
      </c>
      <c r="R125" t="inlineStr">
        <is>
          <t>DPRO</t>
        </is>
      </c>
      <c r="S125" t="inlineStr">
        <is>
          <t>Z12</t>
        </is>
      </c>
      <c r="T125" s="20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F126" s="20" t="n">
        <v>46321</v>
      </c>
      <c r="G126" t="n">
        <v>4</v>
      </c>
      <c r="H126" t="n">
        <v>3</v>
      </c>
      <c r="J126" t="n">
        <v>4389612</v>
      </c>
      <c r="K126" t="n">
        <v>10</v>
      </c>
      <c r="L126" t="inlineStr">
        <is>
          <t>PIN</t>
        </is>
      </c>
      <c r="M126" t="inlineStr">
        <is>
          <t>PC RI:0013 REL:0189/26 02/04/2026</t>
        </is>
      </c>
      <c r="N126" t="inlineStr">
        <is>
          <t>PC RI:0013 REL:0189/26 02/04/2026</t>
        </is>
      </c>
      <c r="O126" t="inlineStr">
        <is>
          <t>PERGC-FSRA</t>
        </is>
      </c>
      <c r="Q126" t="n">
        <v>101</v>
      </c>
      <c r="R126" t="inlineStr">
        <is>
          <t>PROG</t>
        </is>
      </c>
      <c r="S126" t="inlineStr">
        <is>
          <t>Z01</t>
        </is>
      </c>
      <c r="T126" s="20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F127" s="20" t="n">
        <v>46315</v>
      </c>
      <c r="G127" t="n">
        <v>4</v>
      </c>
      <c r="H127" t="n">
        <v>3</v>
      </c>
      <c r="J127" t="n">
        <v>4389597</v>
      </c>
      <c r="K127" t="n">
        <v>10</v>
      </c>
      <c r="L127" t="inlineStr">
        <is>
          <t>PIN</t>
        </is>
      </c>
      <c r="M127" t="inlineStr">
        <is>
          <t>PC RI:0023 REL:0187/26 31/03/2026</t>
        </is>
      </c>
      <c r="N127" t="inlineStr">
        <is>
          <t>PC RI:0023 REL:0187/26 31/03/2026</t>
        </is>
      </c>
      <c r="O127" t="inlineStr">
        <is>
          <t>PERGC-PSAI</t>
        </is>
      </c>
      <c r="Q127" t="n">
        <v>35</v>
      </c>
      <c r="R127" t="inlineStr">
        <is>
          <t>PROG</t>
        </is>
      </c>
      <c r="S127" t="inlineStr">
        <is>
          <t>Z01</t>
        </is>
      </c>
      <c r="T127" s="20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F128" s="20" t="n">
        <v>46315</v>
      </c>
      <c r="G128" t="n">
        <v>4</v>
      </c>
      <c r="H128" t="n">
        <v>3</v>
      </c>
      <c r="J128" t="n">
        <v>4389598</v>
      </c>
      <c r="K128" t="n">
        <v>10</v>
      </c>
      <c r="L128" t="inlineStr">
        <is>
          <t>PIN</t>
        </is>
      </c>
      <c r="M128" t="inlineStr">
        <is>
          <t>PC RI:0024 REL:0187/26 31/03/2026</t>
        </is>
      </c>
      <c r="N128" t="inlineStr">
        <is>
          <t>PC RI:0024 REL:0187/26 31/03/2026</t>
        </is>
      </c>
      <c r="O128" t="inlineStr">
        <is>
          <t>PERGC-PSAI</t>
        </is>
      </c>
      <c r="Q128" t="n">
        <v>101</v>
      </c>
      <c r="R128" t="inlineStr">
        <is>
          <t>PROG</t>
        </is>
      </c>
      <c r="S128" t="inlineStr">
        <is>
          <t>Z01</t>
        </is>
      </c>
      <c r="T128" s="20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F129" s="20" t="n">
        <v>46315</v>
      </c>
      <c r="G129" t="n">
        <v>4</v>
      </c>
      <c r="H129" t="n">
        <v>3</v>
      </c>
      <c r="J129" t="n">
        <v>4389607</v>
      </c>
      <c r="K129" t="n">
        <v>10</v>
      </c>
      <c r="L129" t="inlineStr">
        <is>
          <t>PIN</t>
        </is>
      </c>
      <c r="M129" t="inlineStr">
        <is>
          <t>PC RI:0025 REL:0187/26 31/03/2026</t>
        </is>
      </c>
      <c r="N129" t="inlineStr">
        <is>
          <t>PC RI:0025 REL:0187/26 31/03/2026</t>
        </is>
      </c>
      <c r="O129" t="inlineStr">
        <is>
          <t>PERGC-PSAI</t>
        </is>
      </c>
      <c r="Q129" t="n">
        <v>35</v>
      </c>
      <c r="R129" t="inlineStr">
        <is>
          <t>PROG</t>
        </is>
      </c>
      <c r="S129" t="inlineStr">
        <is>
          <t>Z01</t>
        </is>
      </c>
      <c r="T129" s="20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F130" s="20" t="n">
        <v>46318</v>
      </c>
      <c r="G130" t="n">
        <v>1</v>
      </c>
      <c r="H130" t="n">
        <v>1</v>
      </c>
      <c r="J130" t="n">
        <v>4391032</v>
      </c>
      <c r="K130" t="n">
        <v>10</v>
      </c>
      <c r="L130" t="inlineStr">
        <is>
          <t>ELE</t>
        </is>
      </c>
      <c r="M130" t="inlineStr">
        <is>
          <t>Manut corretiva UPS Iluminação B 85002B</t>
        </is>
      </c>
      <c r="N130" t="inlineStr">
        <is>
          <t>Manut corretiva UPS Iluminação B 85002B</t>
        </is>
      </c>
      <c r="O130" t="inlineStr">
        <is>
          <t>PERGC-FECC-UPS-01-10-01</t>
        </is>
      </c>
      <c r="Q130" t="n">
        <v>16</v>
      </c>
      <c r="R130" t="inlineStr">
        <is>
          <t>PROG</t>
        </is>
      </c>
      <c r="S130" t="inlineStr">
        <is>
          <t>Z12</t>
        </is>
      </c>
      <c r="T130" s="20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F131" s="20" t="n">
        <v>46320</v>
      </c>
      <c r="G131" t="n">
        <v>4</v>
      </c>
      <c r="H131" t="n">
        <v>2</v>
      </c>
      <c r="J131" t="n">
        <v>4365437</v>
      </c>
      <c r="K131" t="n">
        <v>10</v>
      </c>
      <c r="L131" t="inlineStr">
        <is>
          <t>MEC</t>
        </is>
      </c>
      <c r="M131" t="inlineStr">
        <is>
          <t>Realizar inspeção 71PI001A-D01</t>
        </is>
      </c>
      <c r="N131" t="inlineStr">
        <is>
          <t>PRED_OLEO - 2600005802 - ANORMAL</t>
        </is>
      </c>
      <c r="O131" t="inlineStr">
        <is>
          <t>PERGC-FSCI-MBB-01-10-01</t>
        </is>
      </c>
      <c r="Q131" t="n">
        <v>3</v>
      </c>
      <c r="R131" t="inlineStr">
        <is>
          <t>PROG</t>
        </is>
      </c>
      <c r="S131" t="inlineStr">
        <is>
          <t>Z10</t>
        </is>
      </c>
      <c r="T131" s="20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F132" s="20" t="n">
        <v>46320</v>
      </c>
      <c r="G132" t="n">
        <v>4</v>
      </c>
      <c r="H132" t="n">
        <v>2</v>
      </c>
      <c r="J132" t="n">
        <v>4365437</v>
      </c>
      <c r="K132" t="n">
        <v>20</v>
      </c>
      <c r="L132" t="inlineStr">
        <is>
          <t>MEC</t>
        </is>
      </c>
      <c r="M132" t="inlineStr">
        <is>
          <t>Realizar coleta do óleo 71PI001A-D01</t>
        </is>
      </c>
      <c r="N132" t="inlineStr">
        <is>
          <t>PRED_OLEO - 2600005802 - ANORMAL</t>
        </is>
      </c>
      <c r="O132" t="inlineStr">
        <is>
          <t>PERGC-FSCI-MBB-01-10-01</t>
        </is>
      </c>
      <c r="Q132" t="n">
        <v>1</v>
      </c>
      <c r="R132" t="inlineStr">
        <is>
          <t>PROG</t>
        </is>
      </c>
      <c r="S132" t="inlineStr">
        <is>
          <t>Z10</t>
        </is>
      </c>
      <c r="T132" s="20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F133" s="20" t="n">
        <v>46321</v>
      </c>
      <c r="G133" t="n">
        <v>4</v>
      </c>
      <c r="H133" t="n">
        <v>2</v>
      </c>
      <c r="J133" t="n">
        <v>4365438</v>
      </c>
      <c r="K133" t="n">
        <v>10</v>
      </c>
      <c r="L133" t="inlineStr">
        <is>
          <t>MEC</t>
        </is>
      </c>
      <c r="M133" t="inlineStr">
        <is>
          <t>Realizar inspeção 71PI001A-D01</t>
        </is>
      </c>
      <c r="N133" t="inlineStr">
        <is>
          <t>PRED_OLEO - 2600030968 - ANORMAL</t>
        </is>
      </c>
      <c r="O133" t="inlineStr">
        <is>
          <t>PERGC-FSCI-MBB-01-10-01</t>
        </is>
      </c>
      <c r="Q133" t="n">
        <v>3</v>
      </c>
      <c r="R133" t="inlineStr">
        <is>
          <t>PROG</t>
        </is>
      </c>
      <c r="S133" t="inlineStr">
        <is>
          <t>Z10</t>
        </is>
      </c>
      <c r="T133" s="20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F134" s="20" t="n">
        <v>46321</v>
      </c>
      <c r="G134" t="n">
        <v>4</v>
      </c>
      <c r="H134" t="n">
        <v>2</v>
      </c>
      <c r="J134" t="n">
        <v>4365438</v>
      </c>
      <c r="K134" t="n">
        <v>20</v>
      </c>
      <c r="L134" t="inlineStr">
        <is>
          <t>MEC</t>
        </is>
      </c>
      <c r="M134" t="inlineStr">
        <is>
          <t>Realizar filtragem 71PI001A-D01</t>
        </is>
      </c>
      <c r="N134" t="inlineStr">
        <is>
          <t>PRED_OLEO - 2600030968 - ANORMAL</t>
        </is>
      </c>
      <c r="O134" t="inlineStr">
        <is>
          <t>PERGC-FSCI-MBB-01-10-01</t>
        </is>
      </c>
      <c r="Q134" t="n">
        <v>6</v>
      </c>
      <c r="R134" t="inlineStr">
        <is>
          <t>PROG</t>
        </is>
      </c>
      <c r="S134" t="inlineStr">
        <is>
          <t>Z10</t>
        </is>
      </c>
      <c r="T134" s="20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F135" s="20" t="n">
        <v>46322</v>
      </c>
      <c r="G135" t="n">
        <v>4</v>
      </c>
      <c r="H135" t="n">
        <v>2</v>
      </c>
      <c r="J135" t="n">
        <v>4365440</v>
      </c>
      <c r="K135" t="n">
        <v>10</v>
      </c>
      <c r="L135" t="inlineStr">
        <is>
          <t>MEC</t>
        </is>
      </c>
      <c r="M135" t="inlineStr">
        <is>
          <t>Realizar filtragem 71P1001B-X01</t>
        </is>
      </c>
      <c r="N135" t="inlineStr">
        <is>
          <t>PRED_OLEO - 2600005899 - ANORMAL</t>
        </is>
      </c>
      <c r="O135" t="inlineStr">
        <is>
          <t>PERGC-FSCI-MBB-04-13-01</t>
        </is>
      </c>
      <c r="Q135" t="n">
        <v>6</v>
      </c>
      <c r="R135" t="inlineStr">
        <is>
          <t>PROG</t>
        </is>
      </c>
      <c r="S135" t="inlineStr">
        <is>
          <t>Z10</t>
        </is>
      </c>
      <c r="T135" s="20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F136" s="20" t="n">
        <v>46323</v>
      </c>
      <c r="G136" t="n">
        <v>4</v>
      </c>
      <c r="H136" t="n">
        <v>2</v>
      </c>
      <c r="J136" t="n">
        <v>4365439</v>
      </c>
      <c r="K136" t="n">
        <v>10</v>
      </c>
      <c r="L136" t="inlineStr">
        <is>
          <t>MEC</t>
        </is>
      </c>
      <c r="M136" t="inlineStr">
        <is>
          <t>Realizar filtragem 84EG001-D01</t>
        </is>
      </c>
      <c r="N136" t="inlineStr">
        <is>
          <t>PRED_OLEO - 2600030899 - ANORMAL</t>
        </is>
      </c>
      <c r="O136" t="inlineStr">
        <is>
          <t>PERGC-FSGE-MGE-01-07-01</t>
        </is>
      </c>
      <c r="Q136" t="n">
        <v>6</v>
      </c>
      <c r="R136" t="inlineStr">
        <is>
          <t>PROG</t>
        </is>
      </c>
      <c r="S136" t="inlineStr">
        <is>
          <t>Z10</t>
        </is>
      </c>
      <c r="T136" s="20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F137" s="20" t="n">
        <v>46326</v>
      </c>
      <c r="G137" t="n">
        <v>6</v>
      </c>
      <c r="H137" t="n">
        <v>3</v>
      </c>
      <c r="J137" t="n">
        <v>4349459</v>
      </c>
      <c r="K137" t="n">
        <v>10</v>
      </c>
      <c r="L137" t="inlineStr">
        <is>
          <t>CON</t>
        </is>
      </c>
      <c r="M137" t="inlineStr">
        <is>
          <t>Troca dos estojos da check valve</t>
        </is>
      </c>
      <c r="N137" t="inlineStr">
        <is>
          <t>Estojos Check valve Booster B danificado</t>
        </is>
      </c>
      <c r="O137" t="inlineStr">
        <is>
          <t>PERGC-PSCO-MBB-01-07-37-37</t>
        </is>
      </c>
      <c r="Q137" t="n">
        <v>18</v>
      </c>
      <c r="R137" t="inlineStr">
        <is>
          <t>PROG</t>
        </is>
      </c>
      <c r="S137" t="inlineStr">
        <is>
          <t>Z07</t>
        </is>
      </c>
      <c r="T137" s="20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F138" s="20" t="n">
        <v>46326</v>
      </c>
      <c r="G138" t="n">
        <v>6</v>
      </c>
      <c r="H138" t="n">
        <v>3</v>
      </c>
      <c r="J138" t="n">
        <v>4349459</v>
      </c>
      <c r="K138" t="n">
        <v>20</v>
      </c>
      <c r="L138" t="inlineStr">
        <is>
          <t>MEC</t>
        </is>
      </c>
      <c r="M138" t="inlineStr">
        <is>
          <t>Apoio na troca dos estojos</t>
        </is>
      </c>
      <c r="N138" t="inlineStr">
        <is>
          <t>Estojos Check valve Booster B danificado</t>
        </is>
      </c>
      <c r="O138" t="inlineStr">
        <is>
          <t>PERGC-PSCO-MBB-01-07-37-37</t>
        </is>
      </c>
      <c r="Q138" t="n">
        <v>9</v>
      </c>
      <c r="R138" t="inlineStr">
        <is>
          <t>PROG</t>
        </is>
      </c>
      <c r="S138" t="inlineStr">
        <is>
          <t>Z07</t>
        </is>
      </c>
      <c r="T138" s="20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F139" s="20" t="n">
        <v>46326</v>
      </c>
      <c r="G139" t="n">
        <v>6</v>
      </c>
      <c r="H139" t="n">
        <v>3</v>
      </c>
      <c r="J139" t="n">
        <v>4349460</v>
      </c>
      <c r="K139" t="n">
        <v>10</v>
      </c>
      <c r="L139" t="inlineStr">
        <is>
          <t>CON</t>
        </is>
      </c>
      <c r="M139" t="inlineStr">
        <is>
          <t>Troca dos estojos da check valve</t>
        </is>
      </c>
      <c r="N139" t="inlineStr">
        <is>
          <t>Estojos Check valve Booster C danificado</t>
        </is>
      </c>
      <c r="O139" t="inlineStr">
        <is>
          <t>PERGC-PSCO-MBB-01-10-37-28</t>
        </is>
      </c>
      <c r="Q139" t="n">
        <v>18</v>
      </c>
      <c r="R139" t="inlineStr">
        <is>
          <t>PROG</t>
        </is>
      </c>
      <c r="S139" t="inlineStr">
        <is>
          <t>Z07</t>
        </is>
      </c>
      <c r="T139" s="20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F140" s="20" t="n">
        <v>46326</v>
      </c>
      <c r="G140" t="n">
        <v>6</v>
      </c>
      <c r="H140" t="n">
        <v>3</v>
      </c>
      <c r="J140" t="n">
        <v>4349460</v>
      </c>
      <c r="K140" t="n">
        <v>20</v>
      </c>
      <c r="L140" t="inlineStr">
        <is>
          <t>CON</t>
        </is>
      </c>
      <c r="M140" t="inlineStr">
        <is>
          <t>Apoio na troca dos estojos</t>
        </is>
      </c>
      <c r="N140" t="inlineStr">
        <is>
          <t>Estojos Check valve Booster C danificado</t>
        </is>
      </c>
      <c r="O140" t="inlineStr">
        <is>
          <t>PERGC-PSCO-MBB-01-10-37-28</t>
        </is>
      </c>
      <c r="Q140" t="n">
        <v>9</v>
      </c>
      <c r="R140" t="inlineStr">
        <is>
          <t>PROG</t>
        </is>
      </c>
      <c r="S140" t="inlineStr">
        <is>
          <t>Z07</t>
        </is>
      </c>
      <c r="T140" s="20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F141" s="20" t="n">
        <v>46313</v>
      </c>
      <c r="G141" t="n">
        <v>5</v>
      </c>
      <c r="H141" t="n">
        <v>3</v>
      </c>
      <c r="I141" s="20" t="n">
        <v>46313</v>
      </c>
      <c r="J141" t="n">
        <v>4355312</v>
      </c>
      <c r="K141" t="n">
        <v>10</v>
      </c>
      <c r="L141" t="inlineStr">
        <is>
          <t>HSE</t>
        </is>
      </c>
      <c r="M141" t="inlineStr">
        <is>
          <t>INS-2133 HSE ANDAIMES</t>
        </is>
      </c>
      <c r="N141" t="inlineStr">
        <is>
          <t>INSP ANDAIMES INS-2133 HSE 1M</t>
        </is>
      </c>
      <c r="O141" t="inlineStr">
        <is>
          <t>PERGC</t>
        </is>
      </c>
      <c r="P141" t="inlineStr">
        <is>
          <t>PLATAFORMA WHP-C (PRODUCAO)</t>
        </is>
      </c>
      <c r="Q141" t="n">
        <v>4</v>
      </c>
      <c r="R141" t="inlineStr">
        <is>
          <t>PLANO</t>
        </is>
      </c>
      <c r="S141" t="inlineStr">
        <is>
          <t>Z09</t>
        </is>
      </c>
      <c r="T141" s="20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F142" s="20" t="n">
        <v>46311</v>
      </c>
      <c r="G142" t="n">
        <v>5</v>
      </c>
      <c r="H142" t="n">
        <v>3</v>
      </c>
      <c r="I142" s="20" t="n">
        <v>46311</v>
      </c>
      <c r="J142" t="n">
        <v>4385867</v>
      </c>
      <c r="K142" t="n">
        <v>10</v>
      </c>
      <c r="L142" t="inlineStr">
        <is>
          <t>TER</t>
        </is>
      </c>
      <c r="M142" t="inlineStr">
        <is>
          <t>PSE-1423 CERT MAR MANGOTES</t>
        </is>
      </c>
      <c r="N142" t="inlineStr">
        <is>
          <t>CERT MANGOTES PSE-1423 MAR 1A</t>
        </is>
      </c>
      <c r="O142" t="inlineStr">
        <is>
          <t>PERGC-FAIN-REC-01-01-10-04</t>
        </is>
      </c>
      <c r="P142" t="inlineStr">
        <is>
          <t>DWATER-01-MG MANGOTE CARREGAMENTO EAST</t>
        </is>
      </c>
      <c r="Q142" t="n">
        <v>4</v>
      </c>
      <c r="R142" t="inlineStr">
        <is>
          <t>PLANO-VEND</t>
        </is>
      </c>
      <c r="S142" t="inlineStr">
        <is>
          <t>Z05</t>
        </is>
      </c>
      <c r="T142" s="20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F143" s="20" t="n">
        <v>46318</v>
      </c>
      <c r="G143" t="n">
        <v>5</v>
      </c>
      <c r="H143" t="n">
        <v>3</v>
      </c>
      <c r="I143" s="20" t="n">
        <v>46318</v>
      </c>
      <c r="J143" t="n">
        <v>4386509</v>
      </c>
      <c r="K143" t="n">
        <v>10</v>
      </c>
      <c r="L143" t="inlineStr">
        <is>
          <t>MAR</t>
        </is>
      </c>
      <c r="M143" t="inlineStr">
        <is>
          <t>INS-1431 INSP MAR MANGOTES</t>
        </is>
      </c>
      <c r="N143" t="inlineStr">
        <is>
          <t>INSP MANGOTES INS-1431 MAR 3M</t>
        </is>
      </c>
      <c r="O143" t="inlineStr">
        <is>
          <t>PERGC-FAIN-REC-01-01-10-04</t>
        </is>
      </c>
      <c r="P143" t="inlineStr">
        <is>
          <t>DWATER-01-MG MANGOTE CARREGAMENTO EAST</t>
        </is>
      </c>
      <c r="Q143" t="n">
        <v>1</v>
      </c>
      <c r="R143" t="inlineStr">
        <is>
          <t>PLANO</t>
        </is>
      </c>
      <c r="S143" t="inlineStr">
        <is>
          <t>Z09</t>
        </is>
      </c>
      <c r="T143" s="20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F144" s="20" t="n">
        <v>46320</v>
      </c>
      <c r="G144" t="n">
        <v>3</v>
      </c>
      <c r="H144" t="n">
        <v>3</v>
      </c>
      <c r="I144" s="20" t="n">
        <v>46320</v>
      </c>
      <c r="J144" t="n">
        <v>4386548</v>
      </c>
      <c r="K144" t="n">
        <v>10</v>
      </c>
      <c r="L144" t="inlineStr">
        <is>
          <t>MAR</t>
        </is>
      </c>
      <c r="M144" t="inlineStr">
        <is>
          <t>INS-1431 INSP MAR MANGOTES</t>
        </is>
      </c>
      <c r="N144" t="inlineStr">
        <is>
          <t>INSP MANGOTES INS-1431 MAR 3M</t>
        </is>
      </c>
      <c r="O144" t="inlineStr">
        <is>
          <t>PERGC-FAIN-REC-01-04-10-04</t>
        </is>
      </c>
      <c r="P144" t="inlineStr">
        <is>
          <t>DWATER-02-MG MANGOTE CARREGAMENTO WEST</t>
        </is>
      </c>
      <c r="Q144" t="n">
        <v>1</v>
      </c>
      <c r="R144" t="inlineStr">
        <is>
          <t>PLANO</t>
        </is>
      </c>
      <c r="S144" t="inlineStr">
        <is>
          <t>Z09</t>
        </is>
      </c>
      <c r="T144" s="20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F145" s="20" t="n">
        <v>46319</v>
      </c>
      <c r="G145" t="n">
        <v>5</v>
      </c>
      <c r="H145" t="n">
        <v>2</v>
      </c>
      <c r="I145" s="20" t="n">
        <v>46319</v>
      </c>
      <c r="J145" t="n">
        <v>4386658</v>
      </c>
      <c r="K145" t="n">
        <v>10</v>
      </c>
      <c r="L145" t="inlineStr">
        <is>
          <t>MEC</t>
        </is>
      </c>
      <c r="M145" t="inlineStr">
        <is>
          <t>INS-1500 INSP OPM VISUAL BOMBA</t>
        </is>
      </c>
      <c r="N145" t="inlineStr">
        <is>
          <t>INSP VISUAL BOMBA INS-1500 MEC 1M</t>
        </is>
      </c>
      <c r="O145" t="inlineStr">
        <is>
          <t>PERGC-FAPO-DES-01-37-01</t>
        </is>
      </c>
      <c r="P145" t="inlineStr">
        <is>
          <t>47PX002 BOMBA CLORO</t>
        </is>
      </c>
      <c r="Q145" t="n">
        <v>1</v>
      </c>
      <c r="R145" t="inlineStr">
        <is>
          <t>PLANO</t>
        </is>
      </c>
      <c r="S145" t="inlineStr">
        <is>
          <t>Z09</t>
        </is>
      </c>
      <c r="T145" s="20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F146" s="20" t="n">
        <v>46319</v>
      </c>
      <c r="G146" t="n">
        <v>5</v>
      </c>
      <c r="H146" t="n">
        <v>3</v>
      </c>
      <c r="I146" s="20" t="n">
        <v>46319</v>
      </c>
      <c r="J146" t="n">
        <v>4386532</v>
      </c>
      <c r="K146" t="n">
        <v>10</v>
      </c>
      <c r="L146" t="inlineStr">
        <is>
          <t>MEC</t>
        </is>
      </c>
      <c r="M146" t="inlineStr">
        <is>
          <t>INS-1500 INSP OPM VISUAL BOMBA</t>
        </is>
      </c>
      <c r="N146" t="inlineStr">
        <is>
          <t>INSP VISUAL BOMBA INS-1500 MEC 1M</t>
        </is>
      </c>
      <c r="O146" t="inlineStr">
        <is>
          <t>PERGC-FAPO-DES-01-52-01</t>
        </is>
      </c>
      <c r="P146" t="inlineStr">
        <is>
          <t>53PX002 BOMBA LIMPEZA</t>
        </is>
      </c>
      <c r="Q146" t="n">
        <v>1</v>
      </c>
      <c r="R146" t="inlineStr">
        <is>
          <t>PLANO</t>
        </is>
      </c>
      <c r="S146" t="inlineStr">
        <is>
          <t>Z09</t>
        </is>
      </c>
      <c r="T146" s="20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F147" s="20" t="n">
        <v>46321</v>
      </c>
      <c r="G147" t="n">
        <v>5</v>
      </c>
      <c r="H147" t="n">
        <v>3</v>
      </c>
      <c r="I147" s="20" t="n">
        <v>46321</v>
      </c>
      <c r="J147" t="n">
        <v>4386565</v>
      </c>
      <c r="K147" t="n">
        <v>10</v>
      </c>
      <c r="L147" t="inlineStr">
        <is>
          <t>MEC</t>
        </is>
      </c>
      <c r="M147" t="inlineStr">
        <is>
          <t>INS-1500 INSP OPM VISUAL BOMBA</t>
        </is>
      </c>
      <c r="N147" t="inlineStr">
        <is>
          <t>INSP VISUAL BOMBA INS-1500 MEC 1M</t>
        </is>
      </c>
      <c r="O147" t="inlineStr">
        <is>
          <t>PERGC-FAPO-TRA-01-07-01</t>
        </is>
      </c>
      <c r="P147" t="inlineStr">
        <is>
          <t>53PA801A BOMBA CIRCULACAO 1 LQ</t>
        </is>
      </c>
      <c r="Q147" t="n">
        <v>1</v>
      </c>
      <c r="R147" t="inlineStr">
        <is>
          <t>PLANO</t>
        </is>
      </c>
      <c r="S147" t="inlineStr">
        <is>
          <t>Z09</t>
        </is>
      </c>
      <c r="T147" s="20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F148" s="20" t="n">
        <v>46311</v>
      </c>
      <c r="G148" t="n">
        <v>5</v>
      </c>
      <c r="H148" t="n">
        <v>3</v>
      </c>
      <c r="I148" s="20" t="n">
        <v>46311</v>
      </c>
      <c r="J148" t="n">
        <v>4386413</v>
      </c>
      <c r="K148" t="n">
        <v>10</v>
      </c>
      <c r="L148" t="inlineStr">
        <is>
          <t>MEC</t>
        </is>
      </c>
      <c r="M148" t="inlineStr">
        <is>
          <t>INS-1500 INSP OPM VISUAL BOMBA</t>
        </is>
      </c>
      <c r="N148" t="inlineStr">
        <is>
          <t>INSP VISUAL BOMBA INS-1500 MEC 1M</t>
        </is>
      </c>
      <c r="O148" t="inlineStr">
        <is>
          <t>PERGC-FAPO-TRA-01-10-01</t>
        </is>
      </c>
      <c r="P148" t="inlineStr">
        <is>
          <t>53PA801B BOMBA CIRCULACAO 2 LQ</t>
        </is>
      </c>
      <c r="Q148" t="n">
        <v>1</v>
      </c>
      <c r="R148" t="inlineStr">
        <is>
          <t>PLANO</t>
        </is>
      </c>
      <c r="S148" t="inlineStr">
        <is>
          <t>Z09</t>
        </is>
      </c>
      <c r="T148" s="20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F149" s="20" t="n">
        <v>46313</v>
      </c>
      <c r="G149" t="n">
        <v>5</v>
      </c>
      <c r="H149" t="n">
        <v>3</v>
      </c>
      <c r="I149" s="20" t="n">
        <v>46313</v>
      </c>
      <c r="J149" t="n">
        <v>4385872</v>
      </c>
      <c r="K149" t="n">
        <v>10</v>
      </c>
      <c r="L149" t="inlineStr">
        <is>
          <t>ELE</t>
        </is>
      </c>
      <c r="M149" t="inlineStr">
        <is>
          <t>PSE-1812 MANUT PRO CONDE/TROC CALOR</t>
        </is>
      </c>
      <c r="N149" t="inlineStr">
        <is>
          <t>MANUT TROCADOR PSE-1812 PRO 1A</t>
        </is>
      </c>
      <c r="O149" t="inlineStr">
        <is>
          <t>PERGC-FAPO-TRA-01-19-04</t>
        </is>
      </c>
      <c r="P149" t="inlineStr">
        <is>
          <t>53VX802-H01 AQUECEDOR</t>
        </is>
      </c>
      <c r="Q149" t="n">
        <v>1</v>
      </c>
      <c r="R149" t="inlineStr">
        <is>
          <t>PLANO</t>
        </is>
      </c>
      <c r="S149" t="inlineStr">
        <is>
          <t>Z12</t>
        </is>
      </c>
      <c r="T149" s="20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F150" s="20" t="n">
        <v>46320</v>
      </c>
      <c r="G150" t="n">
        <v>5</v>
      </c>
      <c r="H150" t="n">
        <v>3</v>
      </c>
      <c r="I150" s="20" t="n">
        <v>46320</v>
      </c>
      <c r="J150" t="n">
        <v>4386549</v>
      </c>
      <c r="K150" t="n">
        <v>10</v>
      </c>
      <c r="L150" t="inlineStr">
        <is>
          <t>HSE</t>
        </is>
      </c>
      <c r="M150" t="inlineStr">
        <is>
          <t>INS-2133 HSE ANDAIMES</t>
        </is>
      </c>
      <c r="N150" t="inlineStr">
        <is>
          <t>INSP ANDAIMES INS-2133 HSE 1M</t>
        </is>
      </c>
      <c r="O150" t="inlineStr">
        <is>
          <t>PERGC-FCOE</t>
        </is>
      </c>
      <c r="P150" t="inlineStr">
        <is>
          <t>SISTEMA ESTRUTURAS CONVES E CASCO</t>
        </is>
      </c>
      <c r="Q150" t="n">
        <v>4</v>
      </c>
      <c r="R150" t="inlineStr">
        <is>
          <t>PLANO</t>
        </is>
      </c>
      <c r="S150" t="inlineStr">
        <is>
          <t>Z09</t>
        </is>
      </c>
      <c r="T150" s="20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F151" s="20" t="n">
        <v>46319</v>
      </c>
      <c r="G151" t="n">
        <v>2</v>
      </c>
      <c r="H151" t="n">
        <v>3</v>
      </c>
      <c r="I151" s="20" t="n">
        <v>46319</v>
      </c>
      <c r="J151" t="n">
        <v>4386534</v>
      </c>
      <c r="K151" t="n">
        <v>10</v>
      </c>
      <c r="L151" t="inlineStr">
        <is>
          <t>MAR</t>
        </is>
      </c>
      <c r="M151" t="inlineStr">
        <is>
          <t>INS-1415 INSP MAR PORTA CORTA FOGO</t>
        </is>
      </c>
      <c r="N151" t="inlineStr">
        <is>
          <t>INSP PORTA CORTA FOGO INS-1415 MAR 3M</t>
        </is>
      </c>
      <c r="O151" t="inlineStr">
        <is>
          <t>PERGC-FCOE-ETR-16-01</t>
        </is>
      </c>
      <c r="P151" t="inlineStr">
        <is>
          <t>CJ PORTAS CORTA FOGO TIPO A</t>
        </is>
      </c>
      <c r="Q151" t="n">
        <v>5</v>
      </c>
      <c r="R151" t="inlineStr">
        <is>
          <t>PLANO</t>
        </is>
      </c>
      <c r="S151" t="inlineStr">
        <is>
          <t>Z09</t>
        </is>
      </c>
      <c r="T151" s="20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F152" s="20" t="n">
        <v>46318</v>
      </c>
      <c r="G152" t="n">
        <v>2</v>
      </c>
      <c r="H152" t="n">
        <v>1</v>
      </c>
      <c r="I152" s="20" t="n">
        <v>46318</v>
      </c>
      <c r="J152" t="n">
        <v>4385237</v>
      </c>
      <c r="K152" t="n">
        <v>10</v>
      </c>
      <c r="L152" t="inlineStr">
        <is>
          <t>ELE</t>
        </is>
      </c>
      <c r="M152" t="inlineStr">
        <is>
          <t>INS-1206 INSP ELE BANCO BATERIAS</t>
        </is>
      </c>
      <c r="N152" t="inlineStr">
        <is>
          <t>INSP BATERIAS INS-1206 ELE 3M</t>
        </is>
      </c>
      <c r="O152" t="inlineStr">
        <is>
          <t>PERGC-FECC-RET-01-01</t>
        </is>
      </c>
      <c r="P152" t="inlineStr">
        <is>
          <t>85EB001A BATERIA PLATFORM UPS A 120KVA</t>
        </is>
      </c>
      <c r="Q152" t="n">
        <v>2.5</v>
      </c>
      <c r="R152" t="inlineStr">
        <is>
          <t>PLANO</t>
        </is>
      </c>
      <c r="S152" t="inlineStr">
        <is>
          <t>Z09</t>
        </is>
      </c>
      <c r="T152" s="20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F153" s="20" t="n">
        <v>46324</v>
      </c>
      <c r="G153" t="n">
        <v>2</v>
      </c>
      <c r="H153" t="n">
        <v>1</v>
      </c>
      <c r="I153" s="20" t="n">
        <v>46328</v>
      </c>
      <c r="J153" t="n">
        <v>4385241</v>
      </c>
      <c r="K153" t="n">
        <v>10</v>
      </c>
      <c r="L153" t="inlineStr">
        <is>
          <t>ELE</t>
        </is>
      </c>
      <c r="M153" t="inlineStr">
        <is>
          <t>INS-1206 INSP ELE BANCO BATERIAS</t>
        </is>
      </c>
      <c r="N153" t="inlineStr">
        <is>
          <t>INSP BATERIAS INS-1206 ELE 3M</t>
        </is>
      </c>
      <c r="O153" t="inlineStr">
        <is>
          <t>PERGC-FECC-RET-13-01</t>
        </is>
      </c>
      <c r="P153" t="inlineStr">
        <is>
          <t>D85EB301A BATERIA PLATFORM UPS A 120KVA</t>
        </is>
      </c>
      <c r="Q153" t="n">
        <v>2.5</v>
      </c>
      <c r="R153" t="inlineStr">
        <is>
          <t>PLANO</t>
        </is>
      </c>
      <c r="S153" t="inlineStr">
        <is>
          <t>Z09</t>
        </is>
      </c>
      <c r="T153" s="20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F154" s="20" t="n">
        <v>46318</v>
      </c>
      <c r="G154" t="n">
        <v>2</v>
      </c>
      <c r="H154" t="n">
        <v>1</v>
      </c>
      <c r="I154" s="20" t="n">
        <v>46318</v>
      </c>
      <c r="J154" t="n">
        <v>4385242</v>
      </c>
      <c r="K154" t="n">
        <v>10</v>
      </c>
      <c r="L154" t="inlineStr">
        <is>
          <t>ELE</t>
        </is>
      </c>
      <c r="M154" t="inlineStr">
        <is>
          <t>INS-1206 INSP ELE BANCO BATERIAS</t>
        </is>
      </c>
      <c r="N154" t="inlineStr">
        <is>
          <t>INSP BATERIAS INS-1206 ELE 3M</t>
        </is>
      </c>
      <c r="O154" t="inlineStr">
        <is>
          <t>PERGC-FECC-RET-16-01</t>
        </is>
      </c>
      <c r="P154" t="inlineStr">
        <is>
          <t>D85EB301B BATERIA PLATFORM UPS B 120KVA</t>
        </is>
      </c>
      <c r="Q154" t="n">
        <v>2.5</v>
      </c>
      <c r="R154" t="inlineStr">
        <is>
          <t>PLANO</t>
        </is>
      </c>
      <c r="S154" t="inlineStr">
        <is>
          <t>Z09</t>
        </is>
      </c>
      <c r="T154" s="20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F155" s="20" t="n">
        <v>46321</v>
      </c>
      <c r="G155" t="n">
        <v>2</v>
      </c>
      <c r="H155" t="n">
        <v>1</v>
      </c>
      <c r="I155" s="20" t="n">
        <v>46321</v>
      </c>
      <c r="J155" t="n">
        <v>4386785</v>
      </c>
      <c r="K155" t="n">
        <v>10</v>
      </c>
      <c r="L155" t="inlineStr">
        <is>
          <t>ELE</t>
        </is>
      </c>
      <c r="M155" t="inlineStr">
        <is>
          <t>INS-1206 INSP ELE BANCO BATERIAS</t>
        </is>
      </c>
      <c r="N155" t="inlineStr">
        <is>
          <t>INSP BATERIAS INS-1206 ELE 3M</t>
        </is>
      </c>
      <c r="O155" t="inlineStr">
        <is>
          <t>PERGC-FECC-RET-19-01</t>
        </is>
      </c>
      <c r="P155" t="inlineStr">
        <is>
          <t>D85EB001A BANCO BATERIA UPS A</t>
        </is>
      </c>
      <c r="Q155" t="n">
        <v>2.5</v>
      </c>
      <c r="R155" t="inlineStr">
        <is>
          <t>PLANO</t>
        </is>
      </c>
      <c r="S155" t="inlineStr">
        <is>
          <t>Z09</t>
        </is>
      </c>
      <c r="T155" s="20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F156" s="20" t="n">
        <v>46324</v>
      </c>
      <c r="G156" t="n">
        <v>2</v>
      </c>
      <c r="H156" t="n">
        <v>1</v>
      </c>
      <c r="I156" s="20" t="n">
        <v>46327</v>
      </c>
      <c r="J156" t="n">
        <v>4371695</v>
      </c>
      <c r="K156" t="n">
        <v>10</v>
      </c>
      <c r="L156" t="inlineStr">
        <is>
          <t>ELE</t>
        </is>
      </c>
      <c r="M156" t="inlineStr">
        <is>
          <t>INS-1205 INSP ELE UPS</t>
        </is>
      </c>
      <c r="N156" t="inlineStr">
        <is>
          <t>INSP UPS INS-1205 ELE 3M</t>
        </is>
      </c>
      <c r="O156" t="inlineStr">
        <is>
          <t>PERGC-FECC-UPS-01-07-01</t>
        </is>
      </c>
      <c r="P156" t="inlineStr">
        <is>
          <t>85ER002A ESCAPE LIGHTING UPS A 40KVA</t>
        </is>
      </c>
      <c r="Q156" t="n">
        <v>2</v>
      </c>
      <c r="R156" t="inlineStr">
        <is>
          <t>PLANO</t>
        </is>
      </c>
      <c r="S156" t="inlineStr">
        <is>
          <t>Z09</t>
        </is>
      </c>
      <c r="T156" s="20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F157" s="20" t="n">
        <v>46323</v>
      </c>
      <c r="G157" t="n">
        <v>5</v>
      </c>
      <c r="H157" t="n">
        <v>1</v>
      </c>
      <c r="I157" s="20" t="n">
        <v>46327</v>
      </c>
      <c r="J157" t="n">
        <v>4371696</v>
      </c>
      <c r="K157" t="n">
        <v>10</v>
      </c>
      <c r="L157" t="inlineStr">
        <is>
          <t>ELE</t>
        </is>
      </c>
      <c r="M157" t="inlineStr">
        <is>
          <t>INS-1205 INSP ELE UPS</t>
        </is>
      </c>
      <c r="N157" t="inlineStr">
        <is>
          <t>INSP UPS INS-1205 ELE 3M</t>
        </is>
      </c>
      <c r="O157" t="inlineStr">
        <is>
          <t>PERGC-FECC-UPS-01-10-01</t>
        </is>
      </c>
      <c r="P157" t="inlineStr">
        <is>
          <t>85ER002B ESCAPE LIGHTING UPS A 40KVA</t>
        </is>
      </c>
      <c r="Q157" t="n">
        <v>2</v>
      </c>
      <c r="R157" t="inlineStr">
        <is>
          <t>PLANO</t>
        </is>
      </c>
      <c r="S157" t="inlineStr">
        <is>
          <t>Z09</t>
        </is>
      </c>
      <c r="T157" s="20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F158" s="20" t="n">
        <v>46320</v>
      </c>
      <c r="G158" t="n">
        <v>3</v>
      </c>
      <c r="H158" t="n">
        <v>3</v>
      </c>
      <c r="I158" s="20" t="n">
        <v>46320</v>
      </c>
      <c r="J158" t="n">
        <v>4385901</v>
      </c>
      <c r="K158" t="n">
        <v>10</v>
      </c>
      <c r="L158" t="inlineStr">
        <is>
          <t>TER</t>
        </is>
      </c>
      <c r="M158" t="inlineStr">
        <is>
          <t>PSE-1204 MANUT TER PAINEL ELETRICO</t>
        </is>
      </c>
      <c r="N158" t="inlineStr">
        <is>
          <t>MANUT PAINEL ELETRICO PSE-1204 EMN 3A</t>
        </is>
      </c>
      <c r="O158" t="inlineStr">
        <is>
          <t>PERGC-FEDN-PNN-16</t>
        </is>
      </c>
      <c r="P158" t="inlineStr">
        <is>
          <t>CJ PANELBOARD 400/230V 3P 4W 82EL104</t>
        </is>
      </c>
      <c r="Q158" t="n">
        <v>12</v>
      </c>
      <c r="R158" t="inlineStr">
        <is>
          <t>PLANO-VEND</t>
        </is>
      </c>
      <c r="S158" t="inlineStr">
        <is>
          <t>Z17</t>
        </is>
      </c>
      <c r="T158" s="20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F159" s="20" t="n">
        <v>46314</v>
      </c>
      <c r="G159" t="n">
        <v>5</v>
      </c>
      <c r="H159" t="n">
        <v>2</v>
      </c>
      <c r="I159" s="20" t="n">
        <v>46314</v>
      </c>
      <c r="J159" t="n">
        <v>4385621</v>
      </c>
      <c r="K159" t="n">
        <v>10</v>
      </c>
      <c r="L159" t="inlineStr">
        <is>
          <t>ELE</t>
        </is>
      </c>
      <c r="M159" t="inlineStr">
        <is>
          <t>PSE-1201 MANUT ELE TRANSFORMADOR AT</t>
        </is>
      </c>
      <c r="N159" t="inlineStr">
        <is>
          <t>MANUT TRANSFORMADOR AT PSE-1201 ELE 5A</t>
        </is>
      </c>
      <c r="O159" t="inlineStr">
        <is>
          <t>PERGC-FEDN-TRF-01-07-01</t>
        </is>
      </c>
      <c r="P159" t="inlineStr">
        <is>
          <t>82ET002A TRANSFORMADOR UTILIDADES 3MVA</t>
        </is>
      </c>
      <c r="Q159" t="n">
        <v>16</v>
      </c>
      <c r="R159" t="inlineStr">
        <is>
          <t>PLANO</t>
        </is>
      </c>
      <c r="S159" t="inlineStr">
        <is>
          <t>Z12</t>
        </is>
      </c>
      <c r="T159" s="20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F160" s="20" t="n">
        <v>46322</v>
      </c>
      <c r="G160" t="n">
        <v>3</v>
      </c>
      <c r="H160" t="n">
        <v>3</v>
      </c>
      <c r="I160" s="20" t="n">
        <v>46322</v>
      </c>
      <c r="J160" t="n">
        <v>4385914</v>
      </c>
      <c r="K160" t="n">
        <v>10</v>
      </c>
      <c r="L160" t="inlineStr">
        <is>
          <t>ELE</t>
        </is>
      </c>
      <c r="M160" t="inlineStr">
        <is>
          <t>INS-1202 INSP ELE TRANSFORMADOR AT/BT</t>
        </is>
      </c>
      <c r="N160" t="inlineStr">
        <is>
          <t>INSP TRANSFORMADOR AT/BT INS-1202 ELE 6M</t>
        </is>
      </c>
      <c r="O160" t="inlineStr">
        <is>
          <t>PERGC-FEDN-TRF-01-22-01</t>
        </is>
      </c>
      <c r="P160" t="inlineStr">
        <is>
          <t>82ET201 TRAFO LQ NORMAL LIGHT 690/400V</t>
        </is>
      </c>
      <c r="Q160" t="n">
        <v>2</v>
      </c>
      <c r="R160" t="inlineStr">
        <is>
          <t>PLANO</t>
        </is>
      </c>
      <c r="S160" t="inlineStr">
        <is>
          <t>Z09</t>
        </is>
      </c>
      <c r="T160" s="20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F161" s="20" t="n">
        <v>46321</v>
      </c>
      <c r="G161" t="n">
        <v>5</v>
      </c>
      <c r="H161" t="n">
        <v>2</v>
      </c>
      <c r="I161" s="20" t="n">
        <v>46321</v>
      </c>
      <c r="J161" t="n">
        <v>4386719</v>
      </c>
      <c r="K161" t="n">
        <v>10</v>
      </c>
      <c r="L161" t="inlineStr">
        <is>
          <t>ELE</t>
        </is>
      </c>
      <c r="M161" t="inlineStr">
        <is>
          <t>INS-1221 INSP ELE PAINEL ELETRICO</t>
        </is>
      </c>
      <c r="N161" t="inlineStr">
        <is>
          <t>INSP PAINEL ELETRICO INS-1221 ELE 6M</t>
        </is>
      </c>
      <c r="O161" t="inlineStr">
        <is>
          <t>PERGC-FEDN-TRF-01-22-04</t>
        </is>
      </c>
      <c r="P161" t="inlineStr">
        <is>
          <t>82EC201 PAINEL RELE TEMPERATURA</t>
        </is>
      </c>
      <c r="Q161" t="n">
        <v>2</v>
      </c>
      <c r="R161" t="inlineStr">
        <is>
          <t>PLANO</t>
        </is>
      </c>
      <c r="S161" t="inlineStr">
        <is>
          <t>Z09</t>
        </is>
      </c>
      <c r="T161" s="20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F162" s="20" t="n">
        <v>46311</v>
      </c>
      <c r="G162" t="n">
        <v>5</v>
      </c>
      <c r="H162" t="n">
        <v>3</v>
      </c>
      <c r="I162" s="20" t="n">
        <v>46311</v>
      </c>
      <c r="J162" t="n">
        <v>4385868</v>
      </c>
      <c r="K162" t="n">
        <v>10</v>
      </c>
      <c r="L162" t="inlineStr">
        <is>
          <t>ELE</t>
        </is>
      </c>
      <c r="M162" t="inlineStr">
        <is>
          <t>INS-1221 INSP ELE PAINEL ELETRICO</t>
        </is>
      </c>
      <c r="N162" t="inlineStr">
        <is>
          <t>INSP PAINEL ELETRICO INS-1221 ELE 6M</t>
        </is>
      </c>
      <c r="O162" t="inlineStr">
        <is>
          <t>PERGC-FEIE-PNN-01</t>
        </is>
      </c>
      <c r="P162" t="inlineStr">
        <is>
          <t>CJ PAINEL ILUM &amp; SMALL POWER EMERGENCIA</t>
        </is>
      </c>
      <c r="Q162" t="n">
        <v>2</v>
      </c>
      <c r="R162" t="inlineStr">
        <is>
          <t>PLANO</t>
        </is>
      </c>
      <c r="S162" t="inlineStr">
        <is>
          <t>Z09</t>
        </is>
      </c>
      <c r="T162" s="20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F163" s="20" t="n">
        <v>46317</v>
      </c>
      <c r="G163" t="n">
        <v>3</v>
      </c>
      <c r="H163" t="n">
        <v>3</v>
      </c>
      <c r="I163" s="20" t="n">
        <v>46317</v>
      </c>
      <c r="J163" t="n">
        <v>4386492</v>
      </c>
      <c r="K163" t="n">
        <v>10</v>
      </c>
      <c r="L163" t="inlineStr">
        <is>
          <t>ELE</t>
        </is>
      </c>
      <c r="M163" t="inlineStr">
        <is>
          <t>PSE-1201 MANUT ELE TRANSFORMADOR AT</t>
        </is>
      </c>
      <c r="N163" t="inlineStr">
        <is>
          <t>MANUT TRANSFORMADOR AT PSE-1201 ELE 5A</t>
        </is>
      </c>
      <c r="O163" t="inlineStr">
        <is>
          <t>PERGC-FEIN-PNN-01-01-28</t>
        </is>
      </c>
      <c r="P163" t="inlineStr">
        <is>
          <t>Z82EL101A-3KQ04 NORM SWBD BRANCH FEED</t>
        </is>
      </c>
      <c r="Q163" t="n">
        <v>16</v>
      </c>
      <c r="R163" t="inlineStr">
        <is>
          <t>PLANO</t>
        </is>
      </c>
      <c r="S163" t="inlineStr">
        <is>
          <t>Z12</t>
        </is>
      </c>
      <c r="T163" s="20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F164" s="20" t="n">
        <v>46312</v>
      </c>
      <c r="G164" t="n">
        <v>3</v>
      </c>
      <c r="H164" t="n">
        <v>2</v>
      </c>
      <c r="I164" s="20" t="n">
        <v>46312</v>
      </c>
      <c r="J164" t="n">
        <v>4386720</v>
      </c>
      <c r="K164" t="n">
        <v>10</v>
      </c>
      <c r="L164" t="inlineStr">
        <is>
          <t>ELE</t>
        </is>
      </c>
      <c r="M164" t="inlineStr">
        <is>
          <t>INS-1221 INSP ELE PAINEL ELETRICO</t>
        </is>
      </c>
      <c r="N164" t="inlineStr">
        <is>
          <t>INSP PAINEL ELETRICO INS-1221 ELE 6M</t>
        </is>
      </c>
      <c r="O164" t="inlineStr">
        <is>
          <t>PERGC-FETL-PNN-04-01</t>
        </is>
      </c>
      <c r="P164" t="inlineStr">
        <is>
          <t>85EL001B PLATFORM UPS SWB B</t>
        </is>
      </c>
      <c r="Q164" t="n">
        <v>2</v>
      </c>
      <c r="R164" t="inlineStr">
        <is>
          <t>PLANO</t>
        </is>
      </c>
      <c r="S164" t="inlineStr">
        <is>
          <t>Z09</t>
        </is>
      </c>
      <c r="T164" s="20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F165" s="20" t="n">
        <v>46319</v>
      </c>
      <c r="G165" t="n">
        <v>3</v>
      </c>
      <c r="H165" t="n">
        <v>2</v>
      </c>
      <c r="I165" s="20" t="n">
        <v>46319</v>
      </c>
      <c r="J165" t="n">
        <v>4386721</v>
      </c>
      <c r="K165" t="n">
        <v>10</v>
      </c>
      <c r="L165" t="inlineStr">
        <is>
          <t>ELE</t>
        </is>
      </c>
      <c r="M165" t="inlineStr">
        <is>
          <t>INS-1221 INSP ELE PAINEL ELETRICO</t>
        </is>
      </c>
      <c r="N165" t="inlineStr">
        <is>
          <t>INSP PAINEL ELETRICO INS-1221 ELE 6M</t>
        </is>
      </c>
      <c r="O165" t="inlineStr">
        <is>
          <t>PERGC-FETL-PNN-22-01</t>
        </is>
      </c>
      <c r="P165" t="inlineStr">
        <is>
          <t>85EL201B TELECOMM UPS SWITCHBOARD "B"</t>
        </is>
      </c>
      <c r="Q165" t="n">
        <v>2</v>
      </c>
      <c r="R165" t="inlineStr">
        <is>
          <t>PLANO</t>
        </is>
      </c>
      <c r="S165" t="inlineStr">
        <is>
          <t>Z09</t>
        </is>
      </c>
      <c r="T165" s="20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F166" s="20" t="n">
        <v>46312</v>
      </c>
      <c r="G166" t="n">
        <v>3</v>
      </c>
      <c r="H166" t="n">
        <v>2</v>
      </c>
      <c r="I166" s="20" t="n">
        <v>46312</v>
      </c>
      <c r="J166" t="n">
        <v>4386722</v>
      </c>
      <c r="K166" t="n">
        <v>10</v>
      </c>
      <c r="L166" t="inlineStr">
        <is>
          <t>ELE</t>
        </is>
      </c>
      <c r="M166" t="inlineStr">
        <is>
          <t>INS-1221 INSP ELE PAINEL ELETRICO</t>
        </is>
      </c>
      <c r="N166" t="inlineStr">
        <is>
          <t>INSP PAINEL ELETRICO INS-1221 ELE 6M</t>
        </is>
      </c>
      <c r="O166" t="inlineStr">
        <is>
          <t>PERGC-FETL-PNN-40-01</t>
        </is>
      </c>
      <c r="P166" t="inlineStr">
        <is>
          <t>85EL212B PAINEL ESCAPE LIGHT UPS "B"</t>
        </is>
      </c>
      <c r="Q166" t="n">
        <v>2</v>
      </c>
      <c r="R166" t="inlineStr">
        <is>
          <t>PLANO</t>
        </is>
      </c>
      <c r="S166" t="inlineStr">
        <is>
          <t>Z09</t>
        </is>
      </c>
      <c r="T166" s="20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F167" s="20" t="n">
        <v>46311</v>
      </c>
      <c r="G167" t="n">
        <v>3</v>
      </c>
      <c r="H167" t="n">
        <v>2</v>
      </c>
      <c r="I167" s="20" t="n">
        <v>46311</v>
      </c>
      <c r="J167" t="n">
        <v>4385740</v>
      </c>
      <c r="K167" t="n">
        <v>10</v>
      </c>
      <c r="L167" t="inlineStr">
        <is>
          <t>AUT</t>
        </is>
      </c>
      <c r="M167" t="inlineStr">
        <is>
          <t>INS-1017 INSP AUT PAINEL CONTROLE</t>
        </is>
      </c>
      <c r="N167" t="inlineStr">
        <is>
          <t>INSP PAINEL CONTROLE INS-1017 AUT 1A</t>
        </is>
      </c>
      <c r="O167" t="inlineStr">
        <is>
          <t>PERGC-FETL-PNN-46-01</t>
        </is>
      </c>
      <c r="P167" t="inlineStr">
        <is>
          <t>85EC214 HELIDECK STATUS LT REM CTRL</t>
        </is>
      </c>
      <c r="Q167" t="n">
        <v>2</v>
      </c>
      <c r="R167" t="inlineStr">
        <is>
          <t>PLANO</t>
        </is>
      </c>
      <c r="S167" t="inlineStr">
        <is>
          <t>Z09</t>
        </is>
      </c>
      <c r="T167" s="20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F168" s="20" t="n">
        <v>46323</v>
      </c>
      <c r="G168" t="n">
        <v>3</v>
      </c>
      <c r="H168" t="n">
        <v>2</v>
      </c>
      <c r="I168" s="20" t="n">
        <v>46323</v>
      </c>
      <c r="J168" t="n">
        <v>4385639</v>
      </c>
      <c r="K168" t="n">
        <v>10</v>
      </c>
      <c r="L168" t="inlineStr">
        <is>
          <t>ELE</t>
        </is>
      </c>
      <c r="M168" t="inlineStr">
        <is>
          <t>INS-1221 INSP ELE PAINEL ELETRICO</t>
        </is>
      </c>
      <c r="N168" t="inlineStr">
        <is>
          <t>INSP PAINEL ELETRICO INS-1221 ELE 6M</t>
        </is>
      </c>
      <c r="O168" t="inlineStr">
        <is>
          <t>PERGC-FETL-PNN-58-01</t>
        </is>
      </c>
      <c r="P168" t="inlineStr">
        <is>
          <t>D85EL310B 230V UPS B - SUB DISTR BOARD</t>
        </is>
      </c>
      <c r="Q168" t="n">
        <v>2</v>
      </c>
      <c r="R168" t="inlineStr">
        <is>
          <t>PLANO</t>
        </is>
      </c>
      <c r="S168" t="inlineStr">
        <is>
          <t>Z09</t>
        </is>
      </c>
      <c r="T168" s="20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F169" s="20" t="n">
        <v>46315</v>
      </c>
      <c r="G169" t="n">
        <v>3</v>
      </c>
      <c r="H169" t="n">
        <v>2</v>
      </c>
      <c r="I169" s="20" t="n">
        <v>46315</v>
      </c>
      <c r="J169" t="n">
        <v>4386725</v>
      </c>
      <c r="K169" t="n">
        <v>10</v>
      </c>
      <c r="L169" t="inlineStr">
        <is>
          <t>TER</t>
        </is>
      </c>
      <c r="M169" t="inlineStr">
        <is>
          <t>PSE-1204 MANUT TER PAINEL ELETRICO</t>
        </is>
      </c>
      <c r="N169" t="inlineStr">
        <is>
          <t>MANUT PAINEL ELETRICO PSE-1204 EMN 3A</t>
        </is>
      </c>
      <c r="O169" t="inlineStr">
        <is>
          <t>PERGC-FETL-PNN-58-01</t>
        </is>
      </c>
      <c r="P169" t="inlineStr">
        <is>
          <t>D85EL310B 230V UPS B - SUB DISTR BOARD</t>
        </is>
      </c>
      <c r="Q169" t="n">
        <v>12</v>
      </c>
      <c r="R169" t="inlineStr">
        <is>
          <t>PLANO-VEND</t>
        </is>
      </c>
      <c r="S169" t="inlineStr">
        <is>
          <t>Z17</t>
        </is>
      </c>
      <c r="T169" s="20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F170" s="20" t="n">
        <v>46313</v>
      </c>
      <c r="G170" t="n">
        <v>3</v>
      </c>
      <c r="H170" t="n">
        <v>2</v>
      </c>
      <c r="I170" s="20" t="n">
        <v>46313</v>
      </c>
      <c r="J170" t="n">
        <v>4385661</v>
      </c>
      <c r="K170" t="n">
        <v>10</v>
      </c>
      <c r="L170" t="inlineStr">
        <is>
          <t>TER</t>
        </is>
      </c>
      <c r="M170" t="inlineStr">
        <is>
          <t>PSE-1204 MANUT TER PAINEL ELETRICO</t>
        </is>
      </c>
      <c r="N170" t="inlineStr">
        <is>
          <t>MANUT PAINEL ELETRICO PSE-1204 EMN 3A</t>
        </is>
      </c>
      <c r="O170" t="inlineStr">
        <is>
          <t>PERGC-FETL-PNN-61-01</t>
        </is>
      </c>
      <c r="P170" t="inlineStr">
        <is>
          <t>D85EL313A 230V UPS A - SUB DISTR BOARD</t>
        </is>
      </c>
      <c r="Q170" t="n">
        <v>12</v>
      </c>
      <c r="R170" t="inlineStr">
        <is>
          <t>PLANO-VEND</t>
        </is>
      </c>
      <c r="S170" t="inlineStr">
        <is>
          <t>Z17</t>
        </is>
      </c>
      <c r="T170" s="20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F171" s="20" t="n">
        <v>46323</v>
      </c>
      <c r="G171" t="n">
        <v>5</v>
      </c>
      <c r="H171" t="n">
        <v>2</v>
      </c>
      <c r="I171" s="20" t="n">
        <v>46323</v>
      </c>
      <c r="J171" t="n">
        <v>4386723</v>
      </c>
      <c r="K171" t="n">
        <v>10</v>
      </c>
      <c r="L171" t="inlineStr">
        <is>
          <t>ELE</t>
        </is>
      </c>
      <c r="M171" t="inlineStr">
        <is>
          <t>INS-1221 INSP ELE PAINEL ELETRICO</t>
        </is>
      </c>
      <c r="N171" t="inlineStr">
        <is>
          <t>INSP PAINEL ELETRICO INS-1221 ELE 6M</t>
        </is>
      </c>
      <c r="O171" t="inlineStr">
        <is>
          <t>PERGC-FETL-PNN-61-01</t>
        </is>
      </c>
      <c r="P171" t="inlineStr">
        <is>
          <t>D85EL313A 230V UPS A - SUB DISTR BOARD</t>
        </is>
      </c>
      <c r="Q171" t="n">
        <v>2</v>
      </c>
      <c r="R171" t="inlineStr">
        <is>
          <t>PLANO</t>
        </is>
      </c>
      <c r="S171" t="inlineStr">
        <is>
          <t>Z09</t>
        </is>
      </c>
      <c r="T171" s="20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F172" s="20" t="n">
        <v>46323</v>
      </c>
      <c r="G172" t="n">
        <v>3</v>
      </c>
      <c r="H172" t="n">
        <v>3</v>
      </c>
      <c r="I172" s="20" t="n">
        <v>46323</v>
      </c>
      <c r="J172" t="n">
        <v>4385919</v>
      </c>
      <c r="K172" t="n">
        <v>10</v>
      </c>
      <c r="L172" t="inlineStr">
        <is>
          <t>ELE</t>
        </is>
      </c>
      <c r="M172" t="inlineStr">
        <is>
          <t>PTF-1301 TEST FUNC INS BOTOEIRAS</t>
        </is>
      </c>
      <c r="N172" t="inlineStr">
        <is>
          <t>TEST FUNC BOTOEIRAS PTF-1301 INS 6M</t>
        </is>
      </c>
      <c r="O172" t="inlineStr">
        <is>
          <t>PERGC-FSAC-CAR-01-16-07</t>
        </is>
      </c>
      <c r="P172" t="inlineStr">
        <is>
          <t>CJ ACIONAMENTO 63JC001</t>
        </is>
      </c>
      <c r="Q172" t="n">
        <v>4</v>
      </c>
      <c r="R172" t="inlineStr">
        <is>
          <t>PLANO</t>
        </is>
      </c>
      <c r="S172" t="inlineStr">
        <is>
          <t>Z08</t>
        </is>
      </c>
      <c r="T172" s="20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F173" s="20" t="n">
        <v>46318</v>
      </c>
      <c r="G173" t="n">
        <v>3</v>
      </c>
      <c r="H173" t="n">
        <v>2</v>
      </c>
      <c r="I173" s="20" t="n">
        <v>46318</v>
      </c>
      <c r="J173" t="n">
        <v>4385391</v>
      </c>
      <c r="K173" t="n">
        <v>10</v>
      </c>
      <c r="L173" t="inlineStr">
        <is>
          <t>PRO</t>
        </is>
      </c>
      <c r="M173" t="inlineStr">
        <is>
          <t>INS-1813 INSP PRO FILTRO</t>
        </is>
      </c>
      <c r="N173" t="inlineStr">
        <is>
          <t>INSP FILTRO INS-1813 PRO 4M</t>
        </is>
      </c>
      <c r="O173" t="inlineStr">
        <is>
          <t>PERGC-FSAC-CAR-01-28-01</t>
        </is>
      </c>
      <c r="P173" t="inlineStr">
        <is>
          <t>63CA002A PRE FILTRO</t>
        </is>
      </c>
      <c r="Q173" t="n">
        <v>3</v>
      </c>
      <c r="R173" t="inlineStr">
        <is>
          <t>PLANO</t>
        </is>
      </c>
      <c r="S173" t="inlineStr">
        <is>
          <t>Z09</t>
        </is>
      </c>
      <c r="T173" s="20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F174" s="20" t="n">
        <v>46315</v>
      </c>
      <c r="G174" t="n">
        <v>3</v>
      </c>
      <c r="H174" t="n">
        <v>2</v>
      </c>
      <c r="I174" s="20" t="n">
        <v>46315</v>
      </c>
      <c r="J174" t="n">
        <v>4386665</v>
      </c>
      <c r="K174" t="n">
        <v>10</v>
      </c>
      <c r="L174" t="inlineStr">
        <is>
          <t>PRO</t>
        </is>
      </c>
      <c r="M174" t="inlineStr">
        <is>
          <t>INS-1813 INSP PRO FILTRO</t>
        </is>
      </c>
      <c r="N174" t="inlineStr">
        <is>
          <t>INSP FILTRO INS-1813 PRO 4M</t>
        </is>
      </c>
      <c r="O174" t="inlineStr">
        <is>
          <t>PERGC-FSAC-CAR-01-40-01</t>
        </is>
      </c>
      <c r="P174" t="inlineStr">
        <is>
          <t>63CA003A POS FILTRO</t>
        </is>
      </c>
      <c r="Q174" t="n">
        <v>3</v>
      </c>
      <c r="R174" t="inlineStr">
        <is>
          <t>PLANO</t>
        </is>
      </c>
      <c r="S174" t="inlineStr">
        <is>
          <t>Z09</t>
        </is>
      </c>
      <c r="T174" s="20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F175" s="20" t="n">
        <v>46313</v>
      </c>
      <c r="G175" t="n">
        <v>5</v>
      </c>
      <c r="H175" t="n">
        <v>2</v>
      </c>
      <c r="I175" s="20" t="n">
        <v>46313</v>
      </c>
      <c r="J175" t="n">
        <v>4385394</v>
      </c>
      <c r="K175" t="n">
        <v>10</v>
      </c>
      <c r="L175" t="inlineStr">
        <is>
          <t>PRO</t>
        </is>
      </c>
      <c r="M175" t="inlineStr">
        <is>
          <t>INS-1813 INSP PRO FILTRO</t>
        </is>
      </c>
      <c r="N175" t="inlineStr">
        <is>
          <t>INSP FILTRO INS-1813 PRO 4M</t>
        </is>
      </c>
      <c r="O175" t="inlineStr">
        <is>
          <t>PERGC-FSAC-CAR-01-49-01</t>
        </is>
      </c>
      <c r="P175" t="inlineStr">
        <is>
          <t>63CA004A POS FILTRO</t>
        </is>
      </c>
      <c r="Q175" t="n">
        <v>3</v>
      </c>
      <c r="R175" t="inlineStr">
        <is>
          <t>PLANO</t>
        </is>
      </c>
      <c r="S175" t="inlineStr">
        <is>
          <t>Z09</t>
        </is>
      </c>
      <c r="T175" s="20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F176" s="20" t="n">
        <v>46317</v>
      </c>
      <c r="G176" t="n">
        <v>5</v>
      </c>
      <c r="H176" t="n">
        <v>3</v>
      </c>
      <c r="I176" s="20" t="n">
        <v>46317</v>
      </c>
      <c r="J176" t="n">
        <v>4386487</v>
      </c>
      <c r="K176" t="n">
        <v>10</v>
      </c>
      <c r="L176" t="inlineStr">
        <is>
          <t>MEC</t>
        </is>
      </c>
      <c r="M176" t="inlineStr">
        <is>
          <t>INS-1503 INSP MEC EQUIP ACADEMIA</t>
        </is>
      </c>
      <c r="N176" t="inlineStr">
        <is>
          <t>INSP EQUIP ACADEMIA INS-1503 MEC 1M</t>
        </is>
      </c>
      <c r="O176" t="inlineStr">
        <is>
          <t>PERGC-FSAL</t>
        </is>
      </c>
      <c r="P176" t="inlineStr">
        <is>
          <t>SISTEMA ACOMODACOES OFICINAS E OUTROS</t>
        </is>
      </c>
      <c r="Q176" t="n">
        <v>1</v>
      </c>
      <c r="R176" t="inlineStr">
        <is>
          <t>PLANO</t>
        </is>
      </c>
      <c r="S176" t="inlineStr">
        <is>
          <t>Z09</t>
        </is>
      </c>
      <c r="T176" s="20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F177" s="20" t="n">
        <v>46311</v>
      </c>
      <c r="G177" t="n">
        <v>5</v>
      </c>
      <c r="H177" t="n">
        <v>3</v>
      </c>
      <c r="I177" s="20" t="n">
        <v>46311</v>
      </c>
      <c r="J177" t="n">
        <v>4391228</v>
      </c>
      <c r="K177" t="n">
        <v>10</v>
      </c>
      <c r="L177" t="inlineStr">
        <is>
          <t>HSE</t>
        </is>
      </c>
      <c r="M177" t="inlineStr">
        <is>
          <t>INS-1433 INSP TER CAMAROTE CASARIO</t>
        </is>
      </c>
      <c r="N177" t="inlineStr">
        <is>
          <t>INSP CAMAROTE CASARIO INS-1433 HSE 1S</t>
        </is>
      </c>
      <c r="O177" t="inlineStr">
        <is>
          <t>PERGC-FSAL</t>
        </is>
      </c>
      <c r="P177" t="inlineStr">
        <is>
          <t>SISTEMA ACOMODACOES OFICINAS E OUTROS</t>
        </is>
      </c>
      <c r="Q177" t="n">
        <v>2</v>
      </c>
      <c r="R177" t="inlineStr">
        <is>
          <t>PLANO</t>
        </is>
      </c>
      <c r="S177" t="inlineStr">
        <is>
          <t>Z09</t>
        </is>
      </c>
      <c r="T177" s="20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F178" s="20" t="n">
        <v>46318</v>
      </c>
      <c r="G178" t="n">
        <v>5</v>
      </c>
      <c r="H178" t="n">
        <v>3</v>
      </c>
      <c r="I178" s="20" t="n">
        <v>46318</v>
      </c>
      <c r="J178" t="n">
        <v>4392929</v>
      </c>
      <c r="K178" t="n">
        <v>10</v>
      </c>
      <c r="L178" t="inlineStr">
        <is>
          <t>HSE</t>
        </is>
      </c>
      <c r="M178" t="inlineStr">
        <is>
          <t>INS-1433 INSP TER CAMAROTE CASARIO</t>
        </is>
      </c>
      <c r="N178" t="inlineStr">
        <is>
          <t>INSP CAMAROTE CASARIO INS-1433 HSE 1S</t>
        </is>
      </c>
      <c r="O178" t="inlineStr">
        <is>
          <t>PERGC-FSAL</t>
        </is>
      </c>
      <c r="P178" t="inlineStr">
        <is>
          <t>SISTEMA ACOMODACOES OFICINAS E OUTROS</t>
        </is>
      </c>
      <c r="Q178" t="n">
        <v>2</v>
      </c>
      <c r="R178" t="inlineStr">
        <is>
          <t>PLANO</t>
        </is>
      </c>
      <c r="S178" t="inlineStr">
        <is>
          <t>Z09</t>
        </is>
      </c>
      <c r="T178" s="20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F179" s="20" t="n">
        <v>46323</v>
      </c>
      <c r="G179" t="n">
        <v>5</v>
      </c>
      <c r="H179" t="n">
        <v>3</v>
      </c>
      <c r="I179" s="20" t="n">
        <v>46325</v>
      </c>
      <c r="J179" t="n">
        <v>4394266</v>
      </c>
      <c r="K179" t="n">
        <v>10</v>
      </c>
      <c r="L179" t="inlineStr">
        <is>
          <t>HSE</t>
        </is>
      </c>
      <c r="M179" t="inlineStr">
        <is>
          <t>INS-1433 INSP TER CAMAROTE CASARIO</t>
        </is>
      </c>
      <c r="N179" t="inlineStr">
        <is>
          <t>INSP CAMAROTE CASARIO INS-1433 HSE 1S</t>
        </is>
      </c>
      <c r="O179" t="inlineStr">
        <is>
          <t>PERGC-FSAL</t>
        </is>
      </c>
      <c r="P179" t="inlineStr">
        <is>
          <t>SISTEMA ACOMODACOES OFICINAS E OUTROS</t>
        </is>
      </c>
      <c r="Q179" t="n">
        <v>2</v>
      </c>
      <c r="R179" t="inlineStr">
        <is>
          <t>PLANO</t>
        </is>
      </c>
      <c r="S179" t="inlineStr">
        <is>
          <t>Z09</t>
        </is>
      </c>
      <c r="T179" s="20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F180" s="20" t="n">
        <v>46318</v>
      </c>
      <c r="G180" t="n">
        <v>5</v>
      </c>
      <c r="H180" t="n">
        <v>3</v>
      </c>
      <c r="I180" s="20" t="n">
        <v>46318</v>
      </c>
      <c r="J180" t="n">
        <v>4392930</v>
      </c>
      <c r="K180" t="n">
        <v>10</v>
      </c>
      <c r="L180" t="inlineStr">
        <is>
          <t>MEC</t>
        </is>
      </c>
      <c r="M180" t="inlineStr">
        <is>
          <t>INS-1539 INSP REF REFRIG ALIM</t>
        </is>
      </c>
      <c r="N180" t="inlineStr">
        <is>
          <t>INSP SIST REFRIG ALIM INS-1539 MEC 1S</t>
        </is>
      </c>
      <c r="O180" t="inlineStr">
        <is>
          <t>PERGC-FSAL-COZ-01-01</t>
        </is>
      </c>
      <c r="P180" t="inlineStr">
        <is>
          <t>L210 COZINHA</t>
        </is>
      </c>
      <c r="Q180" t="n">
        <v>1</v>
      </c>
      <c r="R180" t="inlineStr">
        <is>
          <t>PLANO</t>
        </is>
      </c>
      <c r="S180" t="inlineStr">
        <is>
          <t>Z09</t>
        </is>
      </c>
      <c r="T180" s="20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F181" s="20" t="n">
        <v>46323</v>
      </c>
      <c r="G181" t="n">
        <v>5</v>
      </c>
      <c r="H181" t="n">
        <v>3</v>
      </c>
      <c r="I181" s="20" t="n">
        <v>46325</v>
      </c>
      <c r="J181" t="n">
        <v>4394267</v>
      </c>
      <c r="K181" t="n">
        <v>10</v>
      </c>
      <c r="L181" t="inlineStr">
        <is>
          <t>MEC</t>
        </is>
      </c>
      <c r="M181" t="inlineStr">
        <is>
          <t>INS-1539 INSP REF REFRIG ALIM</t>
        </is>
      </c>
      <c r="N181" t="inlineStr">
        <is>
          <t>INSP SIST REFRIG ALIM INS-1539 MEC 1S</t>
        </is>
      </c>
      <c r="O181" t="inlineStr">
        <is>
          <t>PERGC-FSAL-COZ-01-01</t>
        </is>
      </c>
      <c r="P181" t="inlineStr">
        <is>
          <t>L210 COZINHA</t>
        </is>
      </c>
      <c r="Q181" t="n">
        <v>1</v>
      </c>
      <c r="R181" t="inlineStr">
        <is>
          <t>PLANO</t>
        </is>
      </c>
      <c r="S181" t="inlineStr">
        <is>
          <t>Z09</t>
        </is>
      </c>
      <c r="T181" s="20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F182" s="20" t="n">
        <v>46322</v>
      </c>
      <c r="G182" t="n">
        <v>5</v>
      </c>
      <c r="H182" t="n">
        <v>3</v>
      </c>
      <c r="I182" s="20" t="n">
        <v>46322</v>
      </c>
      <c r="J182" t="n">
        <v>4386585</v>
      </c>
      <c r="K182" t="n">
        <v>10</v>
      </c>
      <c r="L182" t="inlineStr">
        <is>
          <t>ELE</t>
        </is>
      </c>
      <c r="M182" t="inlineStr">
        <is>
          <t>INS-1210 INSP ELE EQUIP LAVANDERIA</t>
        </is>
      </c>
      <c r="N182" t="inlineStr">
        <is>
          <t>INSP EQUIP LAVANDERIA INS-1210 ELE 3M</t>
        </is>
      </c>
      <c r="O182" t="inlineStr">
        <is>
          <t>PERGC-FSAL-LAV-01-04-01</t>
        </is>
      </c>
      <c r="P182" t="inlineStr">
        <is>
          <t>CJ EQUIPAMENTOS LAVANDERIA</t>
        </is>
      </c>
      <c r="Q182" t="n">
        <v>0.5</v>
      </c>
      <c r="R182" t="inlineStr">
        <is>
          <t>PLANO</t>
        </is>
      </c>
      <c r="S182" t="inlineStr">
        <is>
          <t>Z09</t>
        </is>
      </c>
      <c r="T182" s="20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0" t="n">
        <v>46323</v>
      </c>
      <c r="F183" s="20" t="n">
        <v>46313</v>
      </c>
      <c r="G183" t="n">
        <v>3</v>
      </c>
      <c r="H183" t="n">
        <v>3</v>
      </c>
      <c r="I183" s="20" t="n">
        <v>46313</v>
      </c>
      <c r="J183" t="n">
        <v>4386434</v>
      </c>
      <c r="K183" t="n">
        <v>10</v>
      </c>
      <c r="L183" t="inlineStr">
        <is>
          <t>MEC</t>
        </is>
      </c>
      <c r="M183" t="inlineStr">
        <is>
          <t>INS-1813 INSP PRO FILTRO</t>
        </is>
      </c>
      <c r="N183" t="inlineStr">
        <is>
          <t>INSP FILTRO INS-1813 PRO 4M</t>
        </is>
      </c>
      <c r="O183" t="inlineStr">
        <is>
          <t>PERGC-FSAR-ARC-01-01</t>
        </is>
      </c>
      <c r="P183" t="inlineStr">
        <is>
          <t>CJ AR CONDICIONADO 77GA002A/B</t>
        </is>
      </c>
      <c r="Q183" t="n">
        <v>3</v>
      </c>
      <c r="R183" t="inlineStr">
        <is>
          <t>PLANO</t>
        </is>
      </c>
      <c r="S183" t="inlineStr">
        <is>
          <t>Z09</t>
        </is>
      </c>
      <c r="T183" s="20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F184" s="20" t="n">
        <v>46318</v>
      </c>
      <c r="G184" t="n">
        <v>3</v>
      </c>
      <c r="H184" t="n">
        <v>2</v>
      </c>
      <c r="I184" s="20" t="n">
        <v>46318</v>
      </c>
      <c r="J184" t="n">
        <v>4385545</v>
      </c>
      <c r="K184" t="n">
        <v>10</v>
      </c>
      <c r="L184" t="inlineStr">
        <is>
          <t>LAB</t>
        </is>
      </c>
      <c r="M184" t="inlineStr">
        <is>
          <t>PTF-1322 TEST FUNC LAB ANALIS UMIDADE</t>
        </is>
      </c>
      <c r="N184" t="inlineStr">
        <is>
          <t>TEST FUNC ANALIS UMIDADE PTF-1322 INS 6M</t>
        </is>
      </c>
      <c r="O184" t="inlineStr">
        <is>
          <t>PERGC-FSAR-ARC-01-01-07-01</t>
        </is>
      </c>
      <c r="P184" t="inlineStr">
        <is>
          <t>77AT5336 ANALISADOR UMIDADE</t>
        </is>
      </c>
      <c r="Q184" t="n">
        <v>3</v>
      </c>
      <c r="R184" t="inlineStr">
        <is>
          <t>PLANO</t>
        </is>
      </c>
      <c r="S184" t="inlineStr">
        <is>
          <t>Z08</t>
        </is>
      </c>
      <c r="T184" s="20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F185" s="20" t="n">
        <v>46318</v>
      </c>
      <c r="G185" t="n">
        <v>3</v>
      </c>
      <c r="H185" t="n">
        <v>2</v>
      </c>
      <c r="I185" s="20" t="n">
        <v>46318</v>
      </c>
      <c r="J185" t="n">
        <v>4385545</v>
      </c>
      <c r="K185" t="n">
        <v>20</v>
      </c>
      <c r="L185" t="inlineStr">
        <is>
          <t>INS</t>
        </is>
      </c>
      <c r="M185" t="inlineStr">
        <is>
          <t>PTF-1322 TEST FUNC INS ANALIS UMIDADE</t>
        </is>
      </c>
      <c r="N185" t="inlineStr">
        <is>
          <t>TEST FUNC ANALIS UMIDADE PTF-1322 INS 6M</t>
        </is>
      </c>
      <c r="O185" t="inlineStr">
        <is>
          <t>PERGC-FSAR-ARC-01-01-07-01</t>
        </is>
      </c>
      <c r="P185" t="inlineStr">
        <is>
          <t>77AT5336 ANALISADOR UMIDADE</t>
        </is>
      </c>
      <c r="Q185" t="n">
        <v>3</v>
      </c>
      <c r="R185" t="inlineStr">
        <is>
          <t>PLANO</t>
        </is>
      </c>
      <c r="S185" t="inlineStr">
        <is>
          <t>Z08</t>
        </is>
      </c>
      <c r="T185" s="20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F186" s="20" t="n">
        <v>46318</v>
      </c>
      <c r="G186" t="n">
        <v>3</v>
      </c>
      <c r="H186" t="n">
        <v>2</v>
      </c>
      <c r="I186" s="20" t="n">
        <v>46318</v>
      </c>
      <c r="J186" t="n">
        <v>4385545</v>
      </c>
      <c r="K186" t="n">
        <v>30</v>
      </c>
      <c r="L186" t="inlineStr">
        <is>
          <t>AUT</t>
        </is>
      </c>
      <c r="M186" t="inlineStr">
        <is>
          <t>PTF-1322 TEST FUNC AUT ANALIS UMIDADE</t>
        </is>
      </c>
      <c r="N186" t="inlineStr">
        <is>
          <t>TEST FUNC ANALIS UMIDADE PTF-1322 INS 6M</t>
        </is>
      </c>
      <c r="O186" t="inlineStr">
        <is>
          <t>PERGC-FSAR-ARC-01-01-07-01</t>
        </is>
      </c>
      <c r="P186" t="inlineStr">
        <is>
          <t>77AT5336 ANALISADOR UMIDADE</t>
        </is>
      </c>
      <c r="Q186" t="n">
        <v>3</v>
      </c>
      <c r="R186" t="inlineStr">
        <is>
          <t>PLANO</t>
        </is>
      </c>
      <c r="S186" t="inlineStr">
        <is>
          <t>Z08</t>
        </is>
      </c>
      <c r="T186" s="20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ENCERRADA</t>
        </is>
      </c>
      <c r="F187" s="20" t="n">
        <v>46318</v>
      </c>
      <c r="G187" t="n">
        <v>3</v>
      </c>
      <c r="H187" t="n">
        <v>2</v>
      </c>
      <c r="I187" s="20" t="n">
        <v>46318</v>
      </c>
      <c r="J187" t="n">
        <v>4386700</v>
      </c>
      <c r="K187" t="n">
        <v>10</v>
      </c>
      <c r="L187" t="inlineStr">
        <is>
          <t>ELE</t>
        </is>
      </c>
      <c r="M187" t="inlineStr">
        <is>
          <t>PSE-1200 MANUT ELE MOTOR BT</t>
        </is>
      </c>
      <c r="N187" t="inlineStr">
        <is>
          <t>MANUT MOTOR BAIXA TENSAO PSE-1200 ELE 1A</t>
        </is>
      </c>
      <c r="O187" t="inlineStr">
        <is>
          <t>PERGC-FSAR-ARC-04-01-01-04</t>
        </is>
      </c>
      <c r="P187" t="inlineStr">
        <is>
          <t>77GA003A-M01 MOTOR AHU</t>
        </is>
      </c>
      <c r="Q187" t="n">
        <v>4</v>
      </c>
      <c r="R187" t="inlineStr">
        <is>
          <t>PLANO</t>
        </is>
      </c>
      <c r="S187" t="inlineStr">
        <is>
          <t>Z12</t>
        </is>
      </c>
      <c r="T187" s="20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F188" s="20" t="n">
        <v>46320</v>
      </c>
      <c r="G188" t="n">
        <v>5</v>
      </c>
      <c r="H188" t="n">
        <v>2</v>
      </c>
      <c r="I188" s="20" t="n">
        <v>46320</v>
      </c>
      <c r="J188" t="n">
        <v>4385505</v>
      </c>
      <c r="K188" t="n">
        <v>10</v>
      </c>
      <c r="L188" t="inlineStr">
        <is>
          <t>ELE</t>
        </is>
      </c>
      <c r="M188" t="inlineStr">
        <is>
          <t>PSE-1200 MANUT ELE MOTOR BT</t>
        </is>
      </c>
      <c r="N188" t="inlineStr">
        <is>
          <t>MANUT MOTOR BAIXA TENSAO PSE-1200 ELE 1A</t>
        </is>
      </c>
      <c r="O188" t="inlineStr">
        <is>
          <t>PERGC-FSAR-ARC-04-01-04-04</t>
        </is>
      </c>
      <c r="P188" t="inlineStr">
        <is>
          <t>77GA003B-M01 MOTOR AHU</t>
        </is>
      </c>
      <c r="Q188" t="n">
        <v>4</v>
      </c>
      <c r="R188" t="inlineStr">
        <is>
          <t>PLANO</t>
        </is>
      </c>
      <c r="S188" t="inlineStr">
        <is>
          <t>Z12</t>
        </is>
      </c>
      <c r="T188" s="20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0" t="n">
        <v>46323</v>
      </c>
      <c r="F189" s="20" t="n">
        <v>46315</v>
      </c>
      <c r="G189" t="n">
        <v>3</v>
      </c>
      <c r="H189" t="n">
        <v>3</v>
      </c>
      <c r="I189" s="20" t="n">
        <v>46315</v>
      </c>
      <c r="J189" t="n">
        <v>4385881</v>
      </c>
      <c r="K189" t="n">
        <v>10</v>
      </c>
      <c r="L189" t="inlineStr">
        <is>
          <t>MEC</t>
        </is>
      </c>
      <c r="M189" t="inlineStr">
        <is>
          <t>INS-1813 INSP PRO FILTRO</t>
        </is>
      </c>
      <c r="N189" t="inlineStr">
        <is>
          <t>INSP FILTRO INS-1813 PRO 4M</t>
        </is>
      </c>
      <c r="O189" t="inlineStr">
        <is>
          <t>PERGC-FSAR-ARC-07-01</t>
        </is>
      </c>
      <c r="P189" t="inlineStr">
        <is>
          <t>CJ AR CONDICIONADO 77GA004A/B</t>
        </is>
      </c>
      <c r="Q189" t="n">
        <v>3</v>
      </c>
      <c r="R189" t="inlineStr">
        <is>
          <t>PLANO</t>
        </is>
      </c>
      <c r="S189" t="inlineStr">
        <is>
          <t>Z09</t>
        </is>
      </c>
      <c r="T189" s="20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F190" s="20" t="n">
        <v>46322</v>
      </c>
      <c r="G190" t="n">
        <v>3</v>
      </c>
      <c r="H190" t="n">
        <v>2</v>
      </c>
      <c r="I190" s="20" t="n">
        <v>46322</v>
      </c>
      <c r="J190" t="n">
        <v>4386698</v>
      </c>
      <c r="K190" t="n">
        <v>10</v>
      </c>
      <c r="L190" t="inlineStr">
        <is>
          <t>ELE</t>
        </is>
      </c>
      <c r="M190" t="inlineStr">
        <is>
          <t>PTF-1301 TEST FUNC INS BOTOEIRAS</t>
        </is>
      </c>
      <c r="N190" t="inlineStr">
        <is>
          <t>TEST FUNC BOTOEIRAS PTF-1301 INS 6M</t>
        </is>
      </c>
      <c r="O190" t="inlineStr">
        <is>
          <t>PERGC-FSAR-ARC-10-01-16</t>
        </is>
      </c>
      <c r="P190" t="inlineStr">
        <is>
          <t>77GA005-M01-S02 BOTOEIRA EMERG E-STOP</t>
        </is>
      </c>
      <c r="Q190" t="n">
        <v>4</v>
      </c>
      <c r="R190" t="inlineStr">
        <is>
          <t>PLANO</t>
        </is>
      </c>
      <c r="S190" t="inlineStr">
        <is>
          <t>Z08</t>
        </is>
      </c>
      <c r="T190" s="20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F191" s="20" t="n">
        <v>46312</v>
      </c>
      <c r="G191" t="n">
        <v>3</v>
      </c>
      <c r="H191" t="n">
        <v>2</v>
      </c>
      <c r="I191" s="20" t="n">
        <v>46312</v>
      </c>
      <c r="J191" t="n">
        <v>4386705</v>
      </c>
      <c r="K191" t="n">
        <v>10</v>
      </c>
      <c r="L191" t="inlineStr">
        <is>
          <t>LAB</t>
        </is>
      </c>
      <c r="M191" t="inlineStr">
        <is>
          <t>PTF-1322 TEST FUNC LAB ANALIS UMIDADE</t>
        </is>
      </c>
      <c r="N191" t="inlineStr">
        <is>
          <t>TEST FUNC ANALIS UMIDADE PTF-1322 INS 6M</t>
        </is>
      </c>
      <c r="O191" t="inlineStr">
        <is>
          <t>PERGC-FSAR-ARC-10-01-28-01</t>
        </is>
      </c>
      <c r="P191" t="inlineStr">
        <is>
          <t>77AT5503 ANALISADOR UMIDADE</t>
        </is>
      </c>
      <c r="Q191" t="n">
        <v>3</v>
      </c>
      <c r="R191" t="inlineStr">
        <is>
          <t>PLANO</t>
        </is>
      </c>
      <c r="S191" t="inlineStr">
        <is>
          <t>Z08</t>
        </is>
      </c>
      <c r="T191" s="20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F192" s="20" t="n">
        <v>46312</v>
      </c>
      <c r="G192" t="n">
        <v>3</v>
      </c>
      <c r="H192" t="n">
        <v>2</v>
      </c>
      <c r="I192" s="20" t="n">
        <v>46312</v>
      </c>
      <c r="J192" t="n">
        <v>4386705</v>
      </c>
      <c r="K192" t="n">
        <v>20</v>
      </c>
      <c r="L192" t="inlineStr">
        <is>
          <t>INS</t>
        </is>
      </c>
      <c r="M192" t="inlineStr">
        <is>
          <t>PTF-1322 TEST FUNC INS ANALIS UMIDADE</t>
        </is>
      </c>
      <c r="N192" t="inlineStr">
        <is>
          <t>TEST FUNC ANALIS UMIDADE PTF-1322 INS 6M</t>
        </is>
      </c>
      <c r="O192" t="inlineStr">
        <is>
          <t>PERGC-FSAR-ARC-10-01-28-01</t>
        </is>
      </c>
      <c r="P192" t="inlineStr">
        <is>
          <t>77AT5503 ANALISADOR UMIDADE</t>
        </is>
      </c>
      <c r="Q192" t="n">
        <v>3</v>
      </c>
      <c r="R192" t="inlineStr">
        <is>
          <t>PLANO</t>
        </is>
      </c>
      <c r="S192" t="inlineStr">
        <is>
          <t>Z08</t>
        </is>
      </c>
      <c r="T192" s="20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F193" s="20" t="n">
        <v>46312</v>
      </c>
      <c r="G193" t="n">
        <v>5</v>
      </c>
      <c r="H193" t="n">
        <v>2</v>
      </c>
      <c r="I193" s="20" t="n">
        <v>46312</v>
      </c>
      <c r="J193" t="n">
        <v>4386705</v>
      </c>
      <c r="K193" t="n">
        <v>30</v>
      </c>
      <c r="L193" t="inlineStr">
        <is>
          <t>AUT</t>
        </is>
      </c>
      <c r="M193" t="inlineStr">
        <is>
          <t>PTF-1322 TEST FUNC AUT ANALIS UMIDADE</t>
        </is>
      </c>
      <c r="N193" t="inlineStr">
        <is>
          <t>TEST FUNC ANALIS UMIDADE PTF-1322 INS 6M</t>
        </is>
      </c>
      <c r="O193" t="inlineStr">
        <is>
          <t>PERGC-FSAR-ARC-10-01-28-01</t>
        </is>
      </c>
      <c r="P193" t="inlineStr">
        <is>
          <t>77AT5503 ANALISADOR UMIDADE</t>
        </is>
      </c>
      <c r="Q193" t="n">
        <v>3</v>
      </c>
      <c r="R193" t="inlineStr">
        <is>
          <t>PLANO</t>
        </is>
      </c>
      <c r="S193" t="inlineStr">
        <is>
          <t>Z08</t>
        </is>
      </c>
      <c r="T193" s="20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0" t="n">
        <v>46323</v>
      </c>
      <c r="F194" s="20" t="n">
        <v>46317</v>
      </c>
      <c r="G194" t="n">
        <v>3</v>
      </c>
      <c r="H194" t="n">
        <v>3</v>
      </c>
      <c r="I194" s="20" t="n">
        <v>46317</v>
      </c>
      <c r="J194" t="n">
        <v>4386491</v>
      </c>
      <c r="K194" t="n">
        <v>10</v>
      </c>
      <c r="L194" t="inlineStr">
        <is>
          <t>MEC</t>
        </is>
      </c>
      <c r="M194" t="inlineStr">
        <is>
          <t>INS-1813 INSP PRO FILTRO</t>
        </is>
      </c>
      <c r="N194" t="inlineStr">
        <is>
          <t>INSP FILTRO INS-1813 PRO 4M</t>
        </is>
      </c>
      <c r="O194" t="inlineStr">
        <is>
          <t>PERGC-FSAR-ARC-16-04</t>
        </is>
      </c>
      <c r="P194" t="inlineStr">
        <is>
          <t>CJ AR CONDICIONADO 77GA401B</t>
        </is>
      </c>
      <c r="Q194" t="n">
        <v>3</v>
      </c>
      <c r="R194" t="inlineStr">
        <is>
          <t>PLANO</t>
        </is>
      </c>
      <c r="S194" t="inlineStr">
        <is>
          <t>Z09</t>
        </is>
      </c>
      <c r="T194" s="20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F195" s="20" t="n">
        <v>46320</v>
      </c>
      <c r="G195" t="n">
        <v>3</v>
      </c>
      <c r="H195" t="n">
        <v>2</v>
      </c>
      <c r="I195" s="20" t="n">
        <v>46320</v>
      </c>
      <c r="J195" t="n">
        <v>4386701</v>
      </c>
      <c r="K195" t="n">
        <v>10</v>
      </c>
      <c r="L195" t="inlineStr">
        <is>
          <t>ELE</t>
        </is>
      </c>
      <c r="M195" t="inlineStr">
        <is>
          <t>PSE-1200 MANUT ELE MOTOR BT</t>
        </is>
      </c>
      <c r="N195" t="inlineStr">
        <is>
          <t>MANUT MOTOR BAIXA TENSAO PSE-1200 ELE 1A</t>
        </is>
      </c>
      <c r="O195" t="inlineStr">
        <is>
          <t>PERGC-FSAR-ARC-19-04-04</t>
        </is>
      </c>
      <c r="P195" t="inlineStr">
        <is>
          <t>97KB401A-M01 MOTOR COMPRESSOR</t>
        </is>
      </c>
      <c r="Q195" t="n">
        <v>4</v>
      </c>
      <c r="R195" t="inlineStr">
        <is>
          <t>PLANO</t>
        </is>
      </c>
      <c r="S195" t="inlineStr">
        <is>
          <t>Z12</t>
        </is>
      </c>
      <c r="T195" s="20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F196" s="20" t="n">
        <v>46320</v>
      </c>
      <c r="G196" t="n">
        <v>5</v>
      </c>
      <c r="H196" t="n">
        <v>2</v>
      </c>
      <c r="I196" s="20" t="n">
        <v>46320</v>
      </c>
      <c r="J196" t="n">
        <v>4385517</v>
      </c>
      <c r="K196" t="n">
        <v>10</v>
      </c>
      <c r="L196" t="inlineStr">
        <is>
          <t>ELE</t>
        </is>
      </c>
      <c r="M196" t="inlineStr">
        <is>
          <t>PSE-1200 MANUT ELE MOTOR BT</t>
        </is>
      </c>
      <c r="N196" t="inlineStr">
        <is>
          <t>MANUT MOTOR BAIXA TENSAO PSE-1200 ELE 1A</t>
        </is>
      </c>
      <c r="O196" t="inlineStr">
        <is>
          <t>PERGC-FSAR-ARC-19-04-07-04</t>
        </is>
      </c>
      <c r="P196" t="inlineStr">
        <is>
          <t>97HE401A-M01 MOTOR VENTILADOR</t>
        </is>
      </c>
      <c r="Q196" t="n">
        <v>4</v>
      </c>
      <c r="R196" t="inlineStr">
        <is>
          <t>PLANO</t>
        </is>
      </c>
      <c r="S196" t="inlineStr">
        <is>
          <t>Z12</t>
        </is>
      </c>
      <c r="T196" s="20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F197" s="20" t="n">
        <v>46324</v>
      </c>
      <c r="G197" t="n">
        <v>3</v>
      </c>
      <c r="H197" t="n">
        <v>3</v>
      </c>
      <c r="I197" s="20" t="n">
        <v>46314</v>
      </c>
      <c r="J197" t="n">
        <v>4386444</v>
      </c>
      <c r="K197" t="n">
        <v>10</v>
      </c>
      <c r="L197" t="inlineStr">
        <is>
          <t>ELE</t>
        </is>
      </c>
      <c r="M197" t="inlineStr">
        <is>
          <t>PSE-1812 MANUT PRO CONDE/TROC CALOR</t>
        </is>
      </c>
      <c r="N197" t="inlineStr">
        <is>
          <t>MANUT TROCADOR PSE-1812 PRO 1A</t>
        </is>
      </c>
      <c r="O197" t="inlineStr">
        <is>
          <t>PERGC-FSAR-ARC-22-10-10</t>
        </is>
      </c>
      <c r="P197" t="inlineStr">
        <is>
          <t>97FE414 AQUECEDOR</t>
        </is>
      </c>
      <c r="Q197" t="n">
        <v>1</v>
      </c>
      <c r="R197" t="inlineStr">
        <is>
          <t>PLANO</t>
        </is>
      </c>
      <c r="S197" t="inlineStr">
        <is>
          <t>Z12</t>
        </is>
      </c>
      <c r="T197" s="20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F198" s="20" t="n">
        <v>46311</v>
      </c>
      <c r="G198" t="n">
        <v>3</v>
      </c>
      <c r="H198" t="n">
        <v>2</v>
      </c>
      <c r="I198" s="20" t="n">
        <v>46311</v>
      </c>
      <c r="J198" t="n">
        <v>4386706</v>
      </c>
      <c r="K198" t="n">
        <v>10</v>
      </c>
      <c r="L198" t="inlineStr">
        <is>
          <t>ELE</t>
        </is>
      </c>
      <c r="M198" t="inlineStr">
        <is>
          <t>PSE-1812 MANUT PRO CONDE/TROC CALOR</t>
        </is>
      </c>
      <c r="N198" t="inlineStr">
        <is>
          <t>MANUT TROCADOR PSE-1812 PRO 1A</t>
        </is>
      </c>
      <c r="O198" t="inlineStr">
        <is>
          <t>PERGC-FSAR-ARC-28-10-01</t>
        </is>
      </c>
      <c r="P198" t="inlineStr">
        <is>
          <t>97GK412 VENTILADOR</t>
        </is>
      </c>
      <c r="Q198" t="n">
        <v>1</v>
      </c>
      <c r="R198" t="inlineStr">
        <is>
          <t>PLANO</t>
        </is>
      </c>
      <c r="S198" t="inlineStr">
        <is>
          <t>Z12</t>
        </is>
      </c>
      <c r="T198" s="20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F199" s="20" t="n">
        <v>46317</v>
      </c>
      <c r="G199" t="n">
        <v>3</v>
      </c>
      <c r="H199" t="n">
        <v>2</v>
      </c>
      <c r="I199" s="20" t="n">
        <v>46317</v>
      </c>
      <c r="J199" t="n">
        <v>4385492</v>
      </c>
      <c r="K199" t="n">
        <v>10</v>
      </c>
      <c r="L199" t="inlineStr">
        <is>
          <t>ELE</t>
        </is>
      </c>
      <c r="M199" t="inlineStr">
        <is>
          <t>PSE-1812 MANUT PRO CONDE/TROC CALOR</t>
        </is>
      </c>
      <c r="N199" t="inlineStr">
        <is>
          <t>MANUT TROCADOR PSE-1812 PRO 1A</t>
        </is>
      </c>
      <c r="O199" t="inlineStr">
        <is>
          <t>PERGC-FSAR-ARC-28-10-07</t>
        </is>
      </c>
      <c r="P199" t="inlineStr">
        <is>
          <t>97FE417 AQUECEDOR</t>
        </is>
      </c>
      <c r="Q199" t="n">
        <v>1</v>
      </c>
      <c r="R199" t="inlineStr">
        <is>
          <t>PLANO</t>
        </is>
      </c>
      <c r="S199" t="inlineStr">
        <is>
          <t>Z12</t>
        </is>
      </c>
      <c r="T199" s="20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F200" s="20" t="n">
        <v>46311</v>
      </c>
      <c r="G200" t="n">
        <v>3</v>
      </c>
      <c r="H200" t="n">
        <v>2</v>
      </c>
      <c r="I200" s="20" t="n">
        <v>46311</v>
      </c>
      <c r="J200" t="n">
        <v>4386707</v>
      </c>
      <c r="K200" t="n">
        <v>10</v>
      </c>
      <c r="L200" t="inlineStr">
        <is>
          <t>ELE</t>
        </is>
      </c>
      <c r="M200" t="inlineStr">
        <is>
          <t>PSE-1812 MANUT PRO CONDE/TROC CALOR</t>
        </is>
      </c>
      <c r="N200" t="inlineStr">
        <is>
          <t>MANUT TROCADOR PSE-1812 PRO 1A</t>
        </is>
      </c>
      <c r="O200" t="inlineStr">
        <is>
          <t>PERGC-FSAR-CHI-01-28</t>
        </is>
      </c>
      <c r="P200" t="inlineStr">
        <is>
          <t>77HB001C INTERNAL HEAT EXCHANGER C</t>
        </is>
      </c>
      <c r="Q200" t="n">
        <v>1</v>
      </c>
      <c r="R200" t="inlineStr">
        <is>
          <t>PLANO</t>
        </is>
      </c>
      <c r="S200" t="inlineStr">
        <is>
          <t>Z12</t>
        </is>
      </c>
      <c r="T200" s="20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F201" s="20" t="n">
        <v>46316</v>
      </c>
      <c r="G201" t="n">
        <v>3</v>
      </c>
      <c r="H201" t="n">
        <v>2</v>
      </c>
      <c r="I201" s="20" t="n">
        <v>46316</v>
      </c>
      <c r="J201" t="n">
        <v>4385559</v>
      </c>
      <c r="K201" t="n">
        <v>10</v>
      </c>
      <c r="L201" t="inlineStr">
        <is>
          <t>ELE</t>
        </is>
      </c>
      <c r="M201" t="inlineStr">
        <is>
          <t>PSE-1812 MANUT PRO CONDE/TROC CALOR</t>
        </is>
      </c>
      <c r="N201" t="inlineStr">
        <is>
          <t>MANUT TROCADOR PSE-1812 PRO 1A</t>
        </is>
      </c>
      <c r="O201" t="inlineStr">
        <is>
          <t>PERGC-FSAR-CHI-01-40-01</t>
        </is>
      </c>
      <c r="P201" t="inlineStr">
        <is>
          <t>77KC001A COMPRESSOR 1</t>
        </is>
      </c>
      <c r="Q201" t="n">
        <v>1</v>
      </c>
      <c r="R201" t="inlineStr">
        <is>
          <t>PLANO</t>
        </is>
      </c>
      <c r="S201" t="inlineStr">
        <is>
          <t>Z12</t>
        </is>
      </c>
      <c r="T201" s="20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F202" s="20" t="n">
        <v>46317</v>
      </c>
      <c r="G202" t="n">
        <v>3</v>
      </c>
      <c r="H202" t="n">
        <v>2</v>
      </c>
      <c r="I202" s="20" t="n">
        <v>46317</v>
      </c>
      <c r="J202" t="n">
        <v>4385571</v>
      </c>
      <c r="K202" t="n">
        <v>10</v>
      </c>
      <c r="L202" t="inlineStr">
        <is>
          <t>ELE</t>
        </is>
      </c>
      <c r="M202" t="inlineStr">
        <is>
          <t>PSE-1812 MANUT PRO CONDE/TROC CALOR</t>
        </is>
      </c>
      <c r="N202" t="inlineStr">
        <is>
          <t>MANUT TROCADOR PSE-1812 PRO 1A</t>
        </is>
      </c>
      <c r="O202" t="inlineStr">
        <is>
          <t>PERGC-FSAR-CHI-04-22</t>
        </is>
      </c>
      <c r="P202" t="inlineStr">
        <is>
          <t>77HB002A INTERNAL HEAT EXCHANGER A</t>
        </is>
      </c>
      <c r="Q202" t="n">
        <v>1</v>
      </c>
      <c r="R202" t="inlineStr">
        <is>
          <t>PLANO</t>
        </is>
      </c>
      <c r="S202" t="inlineStr">
        <is>
          <t>Z12</t>
        </is>
      </c>
      <c r="T202" s="20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F203" s="20" t="n">
        <v>46313</v>
      </c>
      <c r="G203" t="n">
        <v>3</v>
      </c>
      <c r="H203" t="n">
        <v>2</v>
      </c>
      <c r="I203" s="20" t="n">
        <v>46313</v>
      </c>
      <c r="J203" t="n">
        <v>4385544</v>
      </c>
      <c r="K203" t="n">
        <v>10</v>
      </c>
      <c r="L203" t="inlineStr">
        <is>
          <t>ELE</t>
        </is>
      </c>
      <c r="M203" t="inlineStr">
        <is>
          <t>PSE-1812 MANUT PRO CONDE/TROC CALOR</t>
        </is>
      </c>
      <c r="N203" t="inlineStr">
        <is>
          <t>MANUT TROCADOR PSE-1812 PRO 1A</t>
        </is>
      </c>
      <c r="O203" t="inlineStr">
        <is>
          <t>PERGC-FSAR-CHI-07-16-01</t>
        </is>
      </c>
      <c r="P203" t="inlineStr">
        <is>
          <t>77HA005B SW CONDENSER 2</t>
        </is>
      </c>
      <c r="Q203" t="n">
        <v>1</v>
      </c>
      <c r="R203" t="inlineStr">
        <is>
          <t>PLANO</t>
        </is>
      </c>
      <c r="S203" t="inlineStr">
        <is>
          <t>Z12</t>
        </is>
      </c>
      <c r="T203" s="20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F204" s="20" t="n">
        <v>46324</v>
      </c>
      <c r="G204" t="n">
        <v>3</v>
      </c>
      <c r="H204" t="n">
        <v>2</v>
      </c>
      <c r="I204" s="20" t="n">
        <v>46314</v>
      </c>
      <c r="J204" t="n">
        <v>4386702</v>
      </c>
      <c r="K204" t="n">
        <v>10</v>
      </c>
      <c r="L204" t="inlineStr">
        <is>
          <t>ELE</t>
        </is>
      </c>
      <c r="M204" t="inlineStr">
        <is>
          <t>PSE-1200 MANUT ELE MOTOR BT</t>
        </is>
      </c>
      <c r="N204" t="inlineStr">
        <is>
          <t>MANUT MOTOR BAIXA TENSAO PSE-1200 ELE 1A</t>
        </is>
      </c>
      <c r="O204" t="inlineStr">
        <is>
          <t>PERGC-FSAR-CHI-07-43-04</t>
        </is>
      </c>
      <c r="P204" t="inlineStr">
        <is>
          <t>77KC003B-M01 MOTOR COMPRESSOR</t>
        </is>
      </c>
      <c r="Q204" t="n">
        <v>4</v>
      </c>
      <c r="R204" t="inlineStr">
        <is>
          <t>PLANO</t>
        </is>
      </c>
      <c r="S204" t="inlineStr">
        <is>
          <t>Z12</t>
        </is>
      </c>
      <c r="T204" s="20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F205" s="20" t="n">
        <v>46319</v>
      </c>
      <c r="G205" t="n">
        <v>3</v>
      </c>
      <c r="H205" t="n">
        <v>2</v>
      </c>
      <c r="I205" s="20" t="n">
        <v>46319</v>
      </c>
      <c r="J205" t="n">
        <v>4385532</v>
      </c>
      <c r="K205" t="n">
        <v>10</v>
      </c>
      <c r="L205" t="inlineStr">
        <is>
          <t>PRO</t>
        </is>
      </c>
      <c r="M205" t="inlineStr">
        <is>
          <t>INS-1813 INSP PRO FILTRO</t>
        </is>
      </c>
      <c r="N205" t="inlineStr">
        <is>
          <t>INSP FILTRO INS-1813 PRO 4M</t>
        </is>
      </c>
      <c r="O205" t="inlineStr">
        <is>
          <t>PERGC-FSAR-CHI-10-19-01</t>
        </is>
      </c>
      <c r="P205" t="inlineStr">
        <is>
          <t>SI-0108 FILTRO TEMPORARIO</t>
        </is>
      </c>
      <c r="Q205" t="n">
        <v>3</v>
      </c>
      <c r="R205" t="inlineStr">
        <is>
          <t>PLANO</t>
        </is>
      </c>
      <c r="S205" t="inlineStr">
        <is>
          <t>Z09</t>
        </is>
      </c>
      <c r="T205" s="20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F206" s="20" t="n">
        <v>46316</v>
      </c>
      <c r="G206" t="n">
        <v>3</v>
      </c>
      <c r="H206" t="n">
        <v>2</v>
      </c>
      <c r="I206" s="20" t="n">
        <v>46316</v>
      </c>
      <c r="J206" t="n">
        <v>4385502</v>
      </c>
      <c r="K206" t="n">
        <v>10</v>
      </c>
      <c r="L206" t="inlineStr">
        <is>
          <t>ELE</t>
        </is>
      </c>
      <c r="M206" t="inlineStr">
        <is>
          <t>PSE-1812 MANUT PRO CONDE/TROC CALOR</t>
        </is>
      </c>
      <c r="N206" t="inlineStr">
        <is>
          <t>MANUT TROCADOR PSE-1812 PRO 1A</t>
        </is>
      </c>
      <c r="O206" t="inlineStr">
        <is>
          <t>PERGC-FSAR-CHI-13-01</t>
        </is>
      </c>
      <c r="P206" t="inlineStr">
        <is>
          <t>77GX001B BOMBA CHILLER B</t>
        </is>
      </c>
      <c r="Q206" t="n">
        <v>1</v>
      </c>
      <c r="R206" t="inlineStr">
        <is>
          <t>PLANO</t>
        </is>
      </c>
      <c r="S206" t="inlineStr">
        <is>
          <t>Z12</t>
        </is>
      </c>
      <c r="T206" s="20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F207" s="20" t="n">
        <v>46319</v>
      </c>
      <c r="G207" t="n">
        <v>2</v>
      </c>
      <c r="H207" t="n">
        <v>2</v>
      </c>
      <c r="I207" s="20" t="n">
        <v>46319</v>
      </c>
      <c r="J207" t="n">
        <v>4386703</v>
      </c>
      <c r="K207" t="n">
        <v>10</v>
      </c>
      <c r="L207" t="inlineStr">
        <is>
          <t>PRO</t>
        </is>
      </c>
      <c r="M207" t="inlineStr">
        <is>
          <t>INS-1813 INSP PRO FILTRO</t>
        </is>
      </c>
      <c r="N207" t="inlineStr">
        <is>
          <t>INSP FILTRO INS-1813 PRO 4M</t>
        </is>
      </c>
      <c r="O207" t="inlineStr">
        <is>
          <t>PERGC-FSAR-CHI-16-19-01</t>
        </is>
      </c>
      <c r="P207" t="inlineStr">
        <is>
          <t>SI-0108 FILTRO TEMPORARIO</t>
        </is>
      </c>
      <c r="Q207" t="n">
        <v>3</v>
      </c>
      <c r="R207" t="inlineStr">
        <is>
          <t>PLANO</t>
        </is>
      </c>
      <c r="S207" t="inlineStr">
        <is>
          <t>Z09</t>
        </is>
      </c>
      <c r="T207" s="20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F208" s="20" t="n">
        <v>46314</v>
      </c>
      <c r="G208" t="n">
        <v>2</v>
      </c>
      <c r="H208" t="n">
        <v>1</v>
      </c>
      <c r="I208" s="20" t="n">
        <v>46314</v>
      </c>
      <c r="J208" t="n">
        <v>4385877</v>
      </c>
      <c r="K208" t="n">
        <v>10</v>
      </c>
      <c r="L208" t="inlineStr">
        <is>
          <t>INS</t>
        </is>
      </c>
      <c r="M208" t="inlineStr">
        <is>
          <t>PTF-1314 LUBR MEC 6M PREP TEST FUNC</t>
        </is>
      </c>
      <c r="N208" t="inlineStr">
        <is>
          <t>TEST FUNC DAMPER PTF-1314 MEC 6M-1A</t>
        </is>
      </c>
      <c r="O208" t="inlineStr">
        <is>
          <t>PERGC-FSAR-DPE-01-28-01</t>
        </is>
      </c>
      <c r="P208" t="inlineStr">
        <is>
          <t>77GX066 FIRE DAMPER</t>
        </is>
      </c>
      <c r="Q208" t="n">
        <v>2</v>
      </c>
      <c r="R208" t="inlineStr">
        <is>
          <t>PLANO</t>
        </is>
      </c>
      <c r="S208" t="inlineStr">
        <is>
          <t>Z08</t>
        </is>
      </c>
      <c r="T208" s="20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F209" s="20" t="n">
        <v>46316</v>
      </c>
      <c r="G209" t="n">
        <v>5</v>
      </c>
      <c r="H209" t="n">
        <v>1</v>
      </c>
      <c r="I209" s="20" t="n">
        <v>46316</v>
      </c>
      <c r="J209" t="n">
        <v>4386475</v>
      </c>
      <c r="K209" t="n">
        <v>10</v>
      </c>
      <c r="L209" t="inlineStr">
        <is>
          <t>INS</t>
        </is>
      </c>
      <c r="M209" t="inlineStr">
        <is>
          <t>PTF-1314 LUBR MEC 6M PREP TEST FUNC</t>
        </is>
      </c>
      <c r="N209" t="inlineStr">
        <is>
          <t>TEST FUNC DAMPER PTF-1314 MEC 6M-1A</t>
        </is>
      </c>
      <c r="O209" t="inlineStr">
        <is>
          <t>PERGC-FSAR-DPE-07-01-01</t>
        </is>
      </c>
      <c r="P209" t="inlineStr">
        <is>
          <t>77GX005 FIRE DAMPER</t>
        </is>
      </c>
      <c r="Q209" t="n">
        <v>2</v>
      </c>
      <c r="R209" t="inlineStr">
        <is>
          <t>PLANO</t>
        </is>
      </c>
      <c r="S209" t="inlineStr">
        <is>
          <t>Z08</t>
        </is>
      </c>
      <c r="T209" s="20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ENCERRADA</t>
        </is>
      </c>
      <c r="F210" s="20" t="n">
        <v>46324</v>
      </c>
      <c r="G210" t="n">
        <v>3</v>
      </c>
      <c r="H210" t="n">
        <v>3</v>
      </c>
      <c r="I210" s="20" t="n">
        <v>46314</v>
      </c>
      <c r="J210" t="n">
        <v>4386445</v>
      </c>
      <c r="K210" t="n">
        <v>10</v>
      </c>
      <c r="L210" t="inlineStr">
        <is>
          <t>ELE</t>
        </is>
      </c>
      <c r="M210" t="inlineStr">
        <is>
          <t>PSE-1812 MANUT PRO CONDE/TROC CALOR</t>
        </is>
      </c>
      <c r="N210" t="inlineStr">
        <is>
          <t>MANUT TROCADOR PSE-1812 PRO 1A</t>
        </is>
      </c>
      <c r="O210" t="inlineStr">
        <is>
          <t>PERGC-FSAR-DUT-01-04-01</t>
        </is>
      </c>
      <c r="P210" t="inlineStr">
        <is>
          <t>CJ AQUECEDOR DUTO HVAC</t>
        </is>
      </c>
      <c r="Q210" t="n">
        <v>1</v>
      </c>
      <c r="R210" t="inlineStr">
        <is>
          <t>PLANO</t>
        </is>
      </c>
      <c r="S210" t="inlineStr">
        <is>
          <t>Z12</t>
        </is>
      </c>
      <c r="T210" s="20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F211" s="20" t="n">
        <v>46314</v>
      </c>
      <c r="G211" t="n">
        <v>3</v>
      </c>
      <c r="H211" t="n">
        <v>2</v>
      </c>
      <c r="I211" s="20" t="n">
        <v>46314</v>
      </c>
      <c r="J211" t="n">
        <v>4391870</v>
      </c>
      <c r="K211" t="n">
        <v>10</v>
      </c>
      <c r="L211" t="inlineStr">
        <is>
          <t>OPM</t>
        </is>
      </c>
      <c r="M211" t="inlineStr">
        <is>
          <t>INS-1528 INSP OPM MGPS TIPO CLORO</t>
        </is>
      </c>
      <c r="N211" t="inlineStr">
        <is>
          <t>INSP MGPS TIPO CLORO INS-1528 MEC 1S</t>
        </is>
      </c>
      <c r="O211" t="inlineStr">
        <is>
          <t>PERGC-FSCA-ELT-01-01</t>
        </is>
      </c>
      <c r="P211" t="inlineStr">
        <is>
          <t>47XX001 GERADOR HIPOCLORITO</t>
        </is>
      </c>
      <c r="Q211" t="n">
        <v>2</v>
      </c>
      <c r="R211" t="inlineStr">
        <is>
          <t>PLANO</t>
        </is>
      </c>
      <c r="S211" t="inlineStr">
        <is>
          <t>Z09</t>
        </is>
      </c>
      <c r="T211" s="20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F212" s="20" t="n">
        <v>46321</v>
      </c>
      <c r="G212" t="n">
        <v>3</v>
      </c>
      <c r="H212" t="n">
        <v>2</v>
      </c>
      <c r="I212" s="20" t="n">
        <v>46321</v>
      </c>
      <c r="J212" t="n">
        <v>4393476</v>
      </c>
      <c r="K212" t="n">
        <v>10</v>
      </c>
      <c r="L212" t="inlineStr">
        <is>
          <t>OPM</t>
        </is>
      </c>
      <c r="M212" t="inlineStr">
        <is>
          <t>INS-1528 INSP OPM MGPS TIPO CLORO</t>
        </is>
      </c>
      <c r="N212" t="inlineStr">
        <is>
          <t>INSP MGPS TIPO CLORO INS-1528 MEC 1S</t>
        </is>
      </c>
      <c r="O212" t="inlineStr">
        <is>
          <t>PERGC-FSCA-ELT-01-01</t>
        </is>
      </c>
      <c r="P212" t="inlineStr">
        <is>
          <t>47XX001 GERADOR HIPOCLORITO</t>
        </is>
      </c>
      <c r="Q212" t="n">
        <v>2</v>
      </c>
      <c r="R212" t="inlineStr">
        <is>
          <t>PLANO</t>
        </is>
      </c>
      <c r="S212" t="inlineStr">
        <is>
          <t>Z09</t>
        </is>
      </c>
      <c r="T212" s="20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F213" s="20" t="n">
        <v>46322</v>
      </c>
      <c r="G213" t="n">
        <v>3</v>
      </c>
      <c r="H213" t="n">
        <v>2</v>
      </c>
      <c r="I213" s="20" t="n">
        <v>46322</v>
      </c>
      <c r="J213" t="n">
        <v>4386686</v>
      </c>
      <c r="K213" t="n">
        <v>10</v>
      </c>
      <c r="L213" t="inlineStr">
        <is>
          <t>PRO</t>
        </is>
      </c>
      <c r="M213" t="inlineStr">
        <is>
          <t>INS-1813 INSP PRO FILTRO</t>
        </is>
      </c>
      <c r="N213" t="inlineStr">
        <is>
          <t>INSP FILTRO INS-1813 PRO 4M</t>
        </is>
      </c>
      <c r="O213" t="inlineStr">
        <is>
          <t>PERGC-FSCA-ELT-01-37-01-01</t>
        </is>
      </c>
      <c r="P213" t="inlineStr">
        <is>
          <t>47CA001A FILTRO CAPTACAO AGUA</t>
        </is>
      </c>
      <c r="Q213" t="n">
        <v>3</v>
      </c>
      <c r="R213" t="inlineStr">
        <is>
          <t>PLANO</t>
        </is>
      </c>
      <c r="S213" t="inlineStr">
        <is>
          <t>Z09</t>
        </is>
      </c>
      <c r="T213" s="20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F214" s="20" t="n">
        <v>46320</v>
      </c>
      <c r="G214" t="n">
        <v>3</v>
      </c>
      <c r="H214" t="n">
        <v>2</v>
      </c>
      <c r="I214" s="20" t="n">
        <v>46320</v>
      </c>
      <c r="J214" t="n">
        <v>4386689</v>
      </c>
      <c r="K214" t="n">
        <v>10</v>
      </c>
      <c r="L214" t="inlineStr">
        <is>
          <t>ELE</t>
        </is>
      </c>
      <c r="M214" t="inlineStr">
        <is>
          <t>PSE-1200 MANUT ELE MOTOR BT</t>
        </is>
      </c>
      <c r="N214" t="inlineStr">
        <is>
          <t>MANUT MOTOR BAIXA TENSAO PSE-1200 ELE 1A</t>
        </is>
      </c>
      <c r="O214" t="inlineStr">
        <is>
          <t>PERGC-FSCA-MBB-13-04</t>
        </is>
      </c>
      <c r="P214" t="inlineStr">
        <is>
          <t>50PS001C-M01 MOTOR ELETRICO</t>
        </is>
      </c>
      <c r="Q214" t="n">
        <v>4</v>
      </c>
      <c r="R214" t="inlineStr">
        <is>
          <t>PLANO</t>
        </is>
      </c>
      <c r="S214" t="inlineStr">
        <is>
          <t>Z12</t>
        </is>
      </c>
      <c r="T214" s="20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F215" s="20" t="n">
        <v>46323</v>
      </c>
      <c r="G215" t="n">
        <v>5</v>
      </c>
      <c r="H215" t="n">
        <v>2</v>
      </c>
      <c r="I215" s="20" t="n">
        <v>46317</v>
      </c>
      <c r="J215" t="n">
        <v>4385462</v>
      </c>
      <c r="K215" t="n">
        <v>10</v>
      </c>
      <c r="L215" t="inlineStr">
        <is>
          <t>ELE</t>
        </is>
      </c>
      <c r="M215" t="inlineStr">
        <is>
          <t>PSE-1812 MANUT PRO CONDE/TROC CALOR</t>
        </is>
      </c>
      <c r="N215" t="inlineStr">
        <is>
          <t>MANUT TROCADOR PSE-1812 PRO 1A</t>
        </is>
      </c>
      <c r="O215" t="inlineStr">
        <is>
          <t>PERGC-FSCA-PMU-01-04-01</t>
        </is>
      </c>
      <c r="P215" t="inlineStr">
        <is>
          <t>40HB001B PERMUTADOR SEAWATER</t>
        </is>
      </c>
      <c r="Q215" t="n">
        <v>1</v>
      </c>
      <c r="R215" t="inlineStr">
        <is>
          <t>PLANO</t>
        </is>
      </c>
      <c r="S215" t="inlineStr">
        <is>
          <t>Z12</t>
        </is>
      </c>
      <c r="T215" s="20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F216" s="20" t="n">
        <v>46321</v>
      </c>
      <c r="G216" t="n">
        <v>5</v>
      </c>
      <c r="H216" t="n">
        <v>3</v>
      </c>
      <c r="I216" s="20" t="n">
        <v>46321</v>
      </c>
      <c r="J216" t="n">
        <v>4386573</v>
      </c>
      <c r="K216" t="n">
        <v>10</v>
      </c>
      <c r="L216" t="inlineStr">
        <is>
          <t>MAR</t>
        </is>
      </c>
      <c r="M216" t="inlineStr">
        <is>
          <t>INS-1422 INSP MAR CONEXAO INTERNACIONAL</t>
        </is>
      </c>
      <c r="N216" t="inlineStr">
        <is>
          <t>INSP CONEXOES INTERNACIO INS-1422 MAR 3M</t>
        </is>
      </c>
      <c r="O216" t="inlineStr">
        <is>
          <t>PERGC-FSCI</t>
        </is>
      </c>
      <c r="P216" t="inlineStr">
        <is>
          <t>SISTEMA COMBATE A INCENDIO</t>
        </is>
      </c>
      <c r="Q216" t="n">
        <v>0.5</v>
      </c>
      <c r="R216" t="inlineStr">
        <is>
          <t>PLANO</t>
        </is>
      </c>
      <c r="S216" t="inlineStr">
        <is>
          <t>Z09</t>
        </is>
      </c>
      <c r="T216" s="20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F217" s="20" t="n">
        <v>46311</v>
      </c>
      <c r="G217" t="n">
        <v>5</v>
      </c>
      <c r="H217" t="n">
        <v>3</v>
      </c>
      <c r="I217" s="20" t="n">
        <v>46311</v>
      </c>
      <c r="J217" t="n">
        <v>4391235</v>
      </c>
      <c r="K217" t="n">
        <v>10</v>
      </c>
      <c r="L217" t="inlineStr">
        <is>
          <t>HSE</t>
        </is>
      </c>
      <c r="M217" t="inlineStr">
        <is>
          <t>INS-2132 HSE VALV COMB INCEND PROD QUIM</t>
        </is>
      </c>
      <c r="N217" t="inlineStr">
        <is>
          <t>INSP VALV COI PROD QUIM INS-2132 HSE 1S</t>
        </is>
      </c>
      <c r="O217" t="inlineStr">
        <is>
          <t>PERGC-FSCI</t>
        </is>
      </c>
      <c r="P217" t="inlineStr">
        <is>
          <t>SISTEMA COMBATE A INCENDIO</t>
        </is>
      </c>
      <c r="Q217" t="n">
        <v>0.5</v>
      </c>
      <c r="R217" t="inlineStr">
        <is>
          <t>PLANO</t>
        </is>
      </c>
      <c r="S217" t="inlineStr">
        <is>
          <t>Z09</t>
        </is>
      </c>
      <c r="T217" s="20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F218" s="20" t="n">
        <v>46318</v>
      </c>
      <c r="G218" t="n">
        <v>5</v>
      </c>
      <c r="H218" t="n">
        <v>3</v>
      </c>
      <c r="I218" s="20" t="n">
        <v>46318</v>
      </c>
      <c r="J218" t="n">
        <v>4392934</v>
      </c>
      <c r="K218" t="n">
        <v>10</v>
      </c>
      <c r="L218" t="inlineStr">
        <is>
          <t>HSE</t>
        </is>
      </c>
      <c r="M218" t="inlineStr">
        <is>
          <t>INS-2132 HSE VALV COMB INCEND PROD QUIM</t>
        </is>
      </c>
      <c r="N218" t="inlineStr">
        <is>
          <t>INSP VALV COI PROD QUIM INS-2132 HSE 1S</t>
        </is>
      </c>
      <c r="O218" t="inlineStr">
        <is>
          <t>PERGC-FSCI</t>
        </is>
      </c>
      <c r="P218" t="inlineStr">
        <is>
          <t>SISTEMA COMBATE A INCENDIO</t>
        </is>
      </c>
      <c r="Q218" t="n">
        <v>0.5</v>
      </c>
      <c r="R218" t="inlineStr">
        <is>
          <t>PLANO</t>
        </is>
      </c>
      <c r="S218" t="inlineStr">
        <is>
          <t>Z09</t>
        </is>
      </c>
      <c r="T218" s="20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F219" s="20" t="n">
        <v>46323</v>
      </c>
      <c r="G219" t="n">
        <v>5</v>
      </c>
      <c r="H219" t="n">
        <v>3</v>
      </c>
      <c r="I219" s="20" t="n">
        <v>46325</v>
      </c>
      <c r="J219" t="n">
        <v>4394270</v>
      </c>
      <c r="K219" t="n">
        <v>10</v>
      </c>
      <c r="L219" t="inlineStr">
        <is>
          <t>HSE</t>
        </is>
      </c>
      <c r="M219" t="inlineStr">
        <is>
          <t>INS-2132 HSE VALV COMB INCEND PROD QUIM</t>
        </is>
      </c>
      <c r="N219" t="inlineStr">
        <is>
          <t>INSP VALV COI PROD QUIM INS-2132 HSE 1S</t>
        </is>
      </c>
      <c r="O219" t="inlineStr">
        <is>
          <t>PERGC-FSCI</t>
        </is>
      </c>
      <c r="P219" t="inlineStr">
        <is>
          <t>SISTEMA COMBATE A INCENDIO</t>
        </is>
      </c>
      <c r="Q219" t="n">
        <v>0.5</v>
      </c>
      <c r="R219" t="inlineStr">
        <is>
          <t>PLANO</t>
        </is>
      </c>
      <c r="S219" t="inlineStr">
        <is>
          <t>Z09</t>
        </is>
      </c>
      <c r="T219" s="20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F220" s="20" t="n">
        <v>46322</v>
      </c>
      <c r="G220" t="n">
        <v>5</v>
      </c>
      <c r="H220" t="n">
        <v>3</v>
      </c>
      <c r="I220" s="20" t="n">
        <v>46322</v>
      </c>
      <c r="J220" t="n">
        <v>4386588</v>
      </c>
      <c r="K220" t="n">
        <v>10</v>
      </c>
      <c r="L220" t="inlineStr">
        <is>
          <t>INS</t>
        </is>
      </c>
      <c r="M220" t="inlineStr">
        <is>
          <t>INS-2126 INSP INS SISTEMA ESPUMA</t>
        </is>
      </c>
      <c r="N220" t="inlineStr">
        <is>
          <t>INSP SISTEMA ESPUMA INS-2126 HSE 1M</t>
        </is>
      </c>
      <c r="O220" t="inlineStr">
        <is>
          <t>PERGC-FSCI-LGE-01-01</t>
        </is>
      </c>
      <c r="P220" t="inlineStr">
        <is>
          <t>CJ MONITOR ESPUMA DRILL DECK</t>
        </is>
      </c>
      <c r="Q220" t="n">
        <v>2</v>
      </c>
      <c r="R220" t="inlineStr">
        <is>
          <t>PLANO</t>
        </is>
      </c>
      <c r="S220" t="inlineStr">
        <is>
          <t>Z09</t>
        </is>
      </c>
      <c r="T220" s="20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F221" s="20" t="n">
        <v>46322</v>
      </c>
      <c r="G221" t="n">
        <v>5</v>
      </c>
      <c r="H221" t="n">
        <v>3</v>
      </c>
      <c r="I221" s="20" t="n">
        <v>46322</v>
      </c>
      <c r="J221" t="n">
        <v>4386588</v>
      </c>
      <c r="K221" t="n">
        <v>20</v>
      </c>
      <c r="L221" t="inlineStr">
        <is>
          <t>ELE</t>
        </is>
      </c>
      <c r="M221" t="inlineStr">
        <is>
          <t>INS-2126 INSP ELE SISTEMA ESPUMA</t>
        </is>
      </c>
      <c r="N221" t="inlineStr">
        <is>
          <t>INSP SISTEMA ESPUMA INS-2126 HSE 1M</t>
        </is>
      </c>
      <c r="O221" t="inlineStr">
        <is>
          <t>PERGC-FSCI-LGE-01-01</t>
        </is>
      </c>
      <c r="P221" t="inlineStr">
        <is>
          <t>CJ MONITOR ESPUMA DRILL DECK</t>
        </is>
      </c>
      <c r="Q221" t="n">
        <v>1</v>
      </c>
      <c r="R221" t="inlineStr">
        <is>
          <t>PLANO</t>
        </is>
      </c>
      <c r="S221" t="inlineStr">
        <is>
          <t>Z09</t>
        </is>
      </c>
      <c r="T221" s="20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F222" s="20" t="n">
        <v>46322</v>
      </c>
      <c r="G222" t="n">
        <v>2</v>
      </c>
      <c r="H222" t="n">
        <v>3</v>
      </c>
      <c r="I222" s="20" t="n">
        <v>46322</v>
      </c>
      <c r="J222" t="n">
        <v>4386588</v>
      </c>
      <c r="K222" t="n">
        <v>30</v>
      </c>
      <c r="L222" t="inlineStr">
        <is>
          <t>MEC</t>
        </is>
      </c>
      <c r="M222" t="inlineStr">
        <is>
          <t>INS-2126 INSP OPM SISTEMA ESPUMA</t>
        </is>
      </c>
      <c r="N222" t="inlineStr">
        <is>
          <t>INSP SISTEMA ESPUMA INS-2126 HSE 1M</t>
        </is>
      </c>
      <c r="O222" t="inlineStr">
        <is>
          <t>PERGC-FSCI-LGE-01-01</t>
        </is>
      </c>
      <c r="P222" t="inlineStr">
        <is>
          <t>CJ MONITOR ESPUMA DRILL DECK</t>
        </is>
      </c>
      <c r="Q222" t="n">
        <v>2</v>
      </c>
      <c r="R222" t="inlineStr">
        <is>
          <t>PLANO</t>
        </is>
      </c>
      <c r="S222" t="inlineStr">
        <is>
          <t>Z09</t>
        </is>
      </c>
      <c r="T222" s="20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F223" s="20" t="n">
        <v>46322</v>
      </c>
      <c r="G223" t="n">
        <v>2</v>
      </c>
      <c r="H223" t="n">
        <v>1</v>
      </c>
      <c r="I223" s="20" t="n">
        <v>46322</v>
      </c>
      <c r="J223" t="n">
        <v>4367018</v>
      </c>
      <c r="K223" t="n">
        <v>10</v>
      </c>
      <c r="L223" t="inlineStr">
        <is>
          <t>PRO</t>
        </is>
      </c>
      <c r="M223" t="inlineStr">
        <is>
          <t>INS-1815 INSP PRO VALVULA DILUVIO</t>
        </is>
      </c>
      <c r="N223" t="inlineStr">
        <is>
          <t>INSP VALV DILUVIO INS-1815 PRO 1M</t>
        </is>
      </c>
      <c r="O223" t="inlineStr">
        <is>
          <t>PERGC-FSCI-LGE-07-13-01-01</t>
        </is>
      </c>
      <c r="P223" t="inlineStr">
        <is>
          <t>71DV0004 VALVULA DILUVIO</t>
        </is>
      </c>
      <c r="Q223" t="n">
        <v>1</v>
      </c>
      <c r="R223" t="inlineStr">
        <is>
          <t>PLANO</t>
        </is>
      </c>
      <c r="S223" t="inlineStr">
        <is>
          <t>Z09</t>
        </is>
      </c>
      <c r="T223" s="20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F224" s="20" t="n">
        <v>46323</v>
      </c>
      <c r="G224" t="n">
        <v>2</v>
      </c>
      <c r="H224" t="n">
        <v>1</v>
      </c>
      <c r="I224" s="20" t="n">
        <v>46327</v>
      </c>
      <c r="J224" t="n">
        <v>4371703</v>
      </c>
      <c r="K224" t="n">
        <v>10</v>
      </c>
      <c r="L224" t="inlineStr">
        <is>
          <t>ELE</t>
        </is>
      </c>
      <c r="M224" t="inlineStr">
        <is>
          <t>INS-1206 INSP ELE BANCO BATERIAS</t>
        </is>
      </c>
      <c r="N224" t="inlineStr">
        <is>
          <t>INSP BATERIAS INS-1206 ELE 3M</t>
        </is>
      </c>
      <c r="O224" t="inlineStr">
        <is>
          <t>PERGC-FSCI-MBB-01-07-01</t>
        </is>
      </c>
      <c r="P224" t="inlineStr">
        <is>
          <t>71PI001A BOMBA INCENDIO</t>
        </is>
      </c>
      <c r="Q224" t="n">
        <v>2.5</v>
      </c>
      <c r="R224" t="inlineStr">
        <is>
          <t>PLANO</t>
        </is>
      </c>
      <c r="S224" t="inlineStr">
        <is>
          <t>Z09</t>
        </is>
      </c>
      <c r="T224" s="20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F225" s="20" t="n">
        <v>46312</v>
      </c>
      <c r="G225" t="n">
        <v>2</v>
      </c>
      <c r="H225" t="n">
        <v>1</v>
      </c>
      <c r="I225" s="20" t="n">
        <v>46312</v>
      </c>
      <c r="J225" t="n">
        <v>4391456</v>
      </c>
      <c r="K225" t="n">
        <v>10</v>
      </c>
      <c r="L225" t="inlineStr">
        <is>
          <t>MEC</t>
        </is>
      </c>
      <c r="M225" t="inlineStr">
        <is>
          <t>INS-1501 TEST FUNC MEC BOMBA INCENDIO</t>
        </is>
      </c>
      <c r="N225" t="inlineStr">
        <is>
          <t>TEST FUNC BOMBA INCENDIO INS-1501 MEC 1S</t>
        </is>
      </c>
      <c r="O225" t="inlineStr">
        <is>
          <t>PERGC-FSCI-MBB-01-07-01</t>
        </is>
      </c>
      <c r="P225" t="inlineStr">
        <is>
          <t>71PI001A BOMBA INCENDIO</t>
        </is>
      </c>
      <c r="Q225" t="n">
        <v>2</v>
      </c>
      <c r="R225" t="inlineStr">
        <is>
          <t>PLANO</t>
        </is>
      </c>
      <c r="S225" t="inlineStr">
        <is>
          <t>Z08</t>
        </is>
      </c>
      <c r="T225" s="20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F226" s="20" t="n">
        <v>46319</v>
      </c>
      <c r="G226" t="n">
        <v>2</v>
      </c>
      <c r="H226" t="n">
        <v>1</v>
      </c>
      <c r="I226" s="20" t="n">
        <v>46319</v>
      </c>
      <c r="J226" t="n">
        <v>4393071</v>
      </c>
      <c r="K226" t="n">
        <v>10</v>
      </c>
      <c r="L226" t="inlineStr">
        <is>
          <t>MEC</t>
        </is>
      </c>
      <c r="M226" t="inlineStr">
        <is>
          <t>INS-1501 TEST FUNC MEC BOMBA INCENDIO</t>
        </is>
      </c>
      <c r="N226" t="inlineStr">
        <is>
          <t>TEST FUNC BOMBA INCENDIO INS-1501 MEC 1S</t>
        </is>
      </c>
      <c r="O226" t="inlineStr">
        <is>
          <t>PERGC-FSCI-MBB-01-07-01</t>
        </is>
      </c>
      <c r="P226" t="inlineStr">
        <is>
          <t>71PI001A BOMBA INCENDIO</t>
        </is>
      </c>
      <c r="Q226" t="n">
        <v>2</v>
      </c>
      <c r="R226" t="inlineStr">
        <is>
          <t>PLANO</t>
        </is>
      </c>
      <c r="S226" t="inlineStr">
        <is>
          <t>Z08</t>
        </is>
      </c>
      <c r="T226" s="20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F227" s="20" t="n">
        <v>46326</v>
      </c>
      <c r="G227" t="n">
        <v>3</v>
      </c>
      <c r="H227" t="n">
        <v>1</v>
      </c>
      <c r="I227" s="20" t="n">
        <v>46326</v>
      </c>
      <c r="J227" t="n">
        <v>4394478</v>
      </c>
      <c r="K227" t="n">
        <v>10</v>
      </c>
      <c r="L227" t="inlineStr">
        <is>
          <t>MEC</t>
        </is>
      </c>
      <c r="M227" t="inlineStr">
        <is>
          <t>INS-1501 TEST FUNC MEC BOMBA INCENDIO</t>
        </is>
      </c>
      <c r="N227" t="inlineStr">
        <is>
          <t>TEST FUNC BOMBA INCENDIO INS-1501 MEC 1S</t>
        </is>
      </c>
      <c r="O227" t="inlineStr">
        <is>
          <t>PERGC-FSCI-MBB-01-07-01</t>
        </is>
      </c>
      <c r="P227" t="inlineStr">
        <is>
          <t>71PI001A BOMBA INCENDIO</t>
        </is>
      </c>
      <c r="Q227" t="n">
        <v>2</v>
      </c>
      <c r="R227" t="inlineStr">
        <is>
          <t>PLANO</t>
        </is>
      </c>
      <c r="S227" t="inlineStr">
        <is>
          <t>Z08</t>
        </is>
      </c>
      <c r="T227" s="20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F228" s="20" t="n">
        <v>46313</v>
      </c>
      <c r="G228" t="n">
        <v>5</v>
      </c>
      <c r="H228" t="n">
        <v>2</v>
      </c>
      <c r="I228" s="20" t="n">
        <v>46313</v>
      </c>
      <c r="J228" t="n">
        <v>4386754</v>
      </c>
      <c r="K228" t="n">
        <v>10</v>
      </c>
      <c r="L228" t="inlineStr">
        <is>
          <t>MEC</t>
        </is>
      </c>
      <c r="M228" t="inlineStr">
        <is>
          <t>INS-1551 INSP MEC GEARBOX</t>
        </is>
      </c>
      <c r="N228" t="inlineStr">
        <is>
          <t>INSP GEARBOX INS-1551 MEC 60M</t>
        </is>
      </c>
      <c r="O228" t="inlineStr">
        <is>
          <t>PERGC-FSCI-MBB-01-13-01</t>
        </is>
      </c>
      <c r="P228" t="inlineStr">
        <is>
          <t>71PI001A-X01 GEARBOX</t>
        </is>
      </c>
      <c r="Q228" t="n">
        <v>60</v>
      </c>
      <c r="R228" t="inlineStr">
        <is>
          <t>PLANO</t>
        </is>
      </c>
      <c r="S228" t="inlineStr">
        <is>
          <t>Z09</t>
        </is>
      </c>
      <c r="T228" s="20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F229" s="20" t="n">
        <v>46311</v>
      </c>
      <c r="G229" t="n">
        <v>5</v>
      </c>
      <c r="H229" t="n">
        <v>3</v>
      </c>
      <c r="I229" s="20" t="n">
        <v>46311</v>
      </c>
      <c r="J229" t="n">
        <v>4386415</v>
      </c>
      <c r="K229" t="n">
        <v>10</v>
      </c>
      <c r="L229" t="inlineStr">
        <is>
          <t>MEC</t>
        </is>
      </c>
      <c r="M229" t="inlineStr">
        <is>
          <t>INSP CILINDRO N2/H2O INS-1550 MEC 1M</t>
        </is>
      </c>
      <c r="N229" t="inlineStr">
        <is>
          <t>INSP CILINDRO N2/H2O INS-1550 MEC 1M</t>
        </is>
      </c>
      <c r="O229" t="inlineStr">
        <is>
          <t>PERGC-FSCI-MBB-01-34-13-04-01</t>
        </is>
      </c>
      <c r="P229" t="inlineStr">
        <is>
          <t>71CNXX002 CILINDRO H2O</t>
        </is>
      </c>
      <c r="Q229" t="n">
        <v>1</v>
      </c>
      <c r="R229" t="inlineStr">
        <is>
          <t>PLANO</t>
        </is>
      </c>
      <c r="S229" t="inlineStr">
        <is>
          <t>Z09</t>
        </is>
      </c>
      <c r="T229" s="20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F230" s="20" t="n">
        <v>46321</v>
      </c>
      <c r="G230" t="n">
        <v>2</v>
      </c>
      <c r="H230" t="n">
        <v>3</v>
      </c>
      <c r="I230" s="20" t="n">
        <v>46321</v>
      </c>
      <c r="J230" t="n">
        <v>4386571</v>
      </c>
      <c r="K230" t="n">
        <v>10</v>
      </c>
      <c r="L230" t="inlineStr">
        <is>
          <t>MEC</t>
        </is>
      </c>
      <c r="M230" t="inlineStr">
        <is>
          <t>INSP CILINDRO N2/H2O INS-1550 MEC 1M</t>
        </is>
      </c>
      <c r="N230" t="inlineStr">
        <is>
          <t>INSP CILINDRO N2/H2O INS-1550 MEC 1M</t>
        </is>
      </c>
      <c r="O230" t="inlineStr">
        <is>
          <t>PERGC-FSCI-MBB-01-34-16-04-01</t>
        </is>
      </c>
      <c r="P230" t="inlineStr">
        <is>
          <t>71CNXX004 CILINDRO H2O</t>
        </is>
      </c>
      <c r="Q230" t="n">
        <v>1</v>
      </c>
      <c r="R230" t="inlineStr">
        <is>
          <t>PLANO</t>
        </is>
      </c>
      <c r="S230" t="inlineStr">
        <is>
          <t>Z09</t>
        </is>
      </c>
      <c r="T230" s="20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F231" s="20" t="n">
        <v>46312</v>
      </c>
      <c r="G231" t="n">
        <v>2</v>
      </c>
      <c r="H231" t="n">
        <v>1</v>
      </c>
      <c r="I231" s="20" t="n">
        <v>46312</v>
      </c>
      <c r="J231" t="n">
        <v>4391457</v>
      </c>
      <c r="K231" t="n">
        <v>10</v>
      </c>
      <c r="L231" t="inlineStr">
        <is>
          <t>MEC</t>
        </is>
      </c>
      <c r="M231" t="inlineStr">
        <is>
          <t>INS-1501 TEST FUNC MEC BOMBA INCENDIO</t>
        </is>
      </c>
      <c r="N231" t="inlineStr">
        <is>
          <t>TEST FUNC BOMBA INCENDIO INS-1501 MEC 1S</t>
        </is>
      </c>
      <c r="O231" t="inlineStr">
        <is>
          <t>PERGC-FSCI-MBB-04-01</t>
        </is>
      </c>
      <c r="P231" t="inlineStr">
        <is>
          <t>71PZ001B SKID BOMBA INCENDIO</t>
        </is>
      </c>
      <c r="Q231" t="n">
        <v>2</v>
      </c>
      <c r="R231" t="inlineStr">
        <is>
          <t>PLANO</t>
        </is>
      </c>
      <c r="S231" t="inlineStr">
        <is>
          <t>Z08</t>
        </is>
      </c>
      <c r="T231" s="20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F232" s="20" t="n">
        <v>46319</v>
      </c>
      <c r="G232" t="n">
        <v>2</v>
      </c>
      <c r="H232" t="n">
        <v>1</v>
      </c>
      <c r="I232" s="20" t="n">
        <v>46319</v>
      </c>
      <c r="J232" t="n">
        <v>4393072</v>
      </c>
      <c r="K232" t="n">
        <v>10</v>
      </c>
      <c r="L232" t="inlineStr">
        <is>
          <t>MEC</t>
        </is>
      </c>
      <c r="M232" t="inlineStr">
        <is>
          <t>INS-1501 TEST FUNC MEC BOMBA INCENDIO</t>
        </is>
      </c>
      <c r="N232" t="inlineStr">
        <is>
          <t>TEST FUNC BOMBA INCENDIO INS-1501 MEC 1S</t>
        </is>
      </c>
      <c r="O232" t="inlineStr">
        <is>
          <t>PERGC-FSCI-MBB-04-01</t>
        </is>
      </c>
      <c r="P232" t="inlineStr">
        <is>
          <t>71PZ001B SKID BOMBA INCENDIO</t>
        </is>
      </c>
      <c r="Q232" t="n">
        <v>2</v>
      </c>
      <c r="R232" t="inlineStr">
        <is>
          <t>PLANO</t>
        </is>
      </c>
      <c r="S232" t="inlineStr">
        <is>
          <t>Z08</t>
        </is>
      </c>
      <c r="T232" s="20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F233" s="20" t="n">
        <v>46326</v>
      </c>
      <c r="G233" t="n">
        <v>2</v>
      </c>
      <c r="H233" t="n">
        <v>1</v>
      </c>
      <c r="I233" s="20" t="n">
        <v>46326</v>
      </c>
      <c r="J233" t="n">
        <v>4394479</v>
      </c>
      <c r="K233" t="n">
        <v>10</v>
      </c>
      <c r="L233" t="inlineStr">
        <is>
          <t>MEC</t>
        </is>
      </c>
      <c r="M233" t="inlineStr">
        <is>
          <t>INS-1501 TEST FUNC MEC BOMBA INCENDIO</t>
        </is>
      </c>
      <c r="N233" t="inlineStr">
        <is>
          <t>TEST FUNC BOMBA INCENDIO INS-1501 MEC 1S</t>
        </is>
      </c>
      <c r="O233" t="inlineStr">
        <is>
          <t>PERGC-FSCI-MBB-04-01</t>
        </is>
      </c>
      <c r="P233" t="inlineStr">
        <is>
          <t>71PZ001B SKID BOMBA INCENDIO</t>
        </is>
      </c>
      <c r="Q233" t="n">
        <v>2</v>
      </c>
      <c r="R233" t="inlineStr">
        <is>
          <t>PLANO</t>
        </is>
      </c>
      <c r="S233" t="inlineStr">
        <is>
          <t>Z08</t>
        </is>
      </c>
      <c r="T233" s="20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F234" s="20" t="n">
        <v>46326</v>
      </c>
      <c r="G234" t="n">
        <v>5</v>
      </c>
      <c r="H234" t="n">
        <v>1</v>
      </c>
      <c r="I234" s="20" t="n">
        <v>46327</v>
      </c>
      <c r="J234" t="n">
        <v>4371704</v>
      </c>
      <c r="K234" t="n">
        <v>10</v>
      </c>
      <c r="L234" t="inlineStr">
        <is>
          <t>ELE</t>
        </is>
      </c>
      <c r="M234" t="inlineStr">
        <is>
          <t>INS-1206 INSP ELE BANCO BATERIAS</t>
        </is>
      </c>
      <c r="N234" t="inlineStr">
        <is>
          <t>INSP BATERIAS INS-1206 ELE 3M</t>
        </is>
      </c>
      <c r="O234" t="inlineStr">
        <is>
          <t>PERGC-FSCI-MBB-04-07-01</t>
        </is>
      </c>
      <c r="P234" t="inlineStr">
        <is>
          <t>71PI001B BOMBA INCENDIO</t>
        </is>
      </c>
      <c r="Q234" t="n">
        <v>2.5</v>
      </c>
      <c r="R234" t="inlineStr">
        <is>
          <t>PLANO</t>
        </is>
      </c>
      <c r="S234" t="inlineStr">
        <is>
          <t>Z09</t>
        </is>
      </c>
      <c r="T234" s="20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F235" s="20" t="n">
        <v>46315</v>
      </c>
      <c r="G235" t="n">
        <v>5</v>
      </c>
      <c r="H235" t="n">
        <v>3</v>
      </c>
      <c r="I235" s="20" t="n">
        <v>46315</v>
      </c>
      <c r="J235" t="n">
        <v>4386464</v>
      </c>
      <c r="K235" t="n">
        <v>10</v>
      </c>
      <c r="L235" t="inlineStr">
        <is>
          <t>MEC</t>
        </is>
      </c>
      <c r="M235" t="inlineStr">
        <is>
          <t>INSP CILINDRO N2/H2O INS-1550 MEC 1M</t>
        </is>
      </c>
      <c r="N235" t="inlineStr">
        <is>
          <t>INSP CILINDRO N2/H2O INS-1550 MEC 1M</t>
        </is>
      </c>
      <c r="O235" t="inlineStr">
        <is>
          <t>PERGC-FSCI-MBB-04-34-13-01-01</t>
        </is>
      </c>
      <c r="P235" t="inlineStr">
        <is>
          <t>71CNXX005 CILINDRO N2</t>
        </is>
      </c>
      <c r="Q235" t="n">
        <v>1</v>
      </c>
      <c r="R235" t="inlineStr">
        <is>
          <t>PLANO</t>
        </is>
      </c>
      <c r="S235" t="inlineStr">
        <is>
          <t>Z09</t>
        </is>
      </c>
      <c r="T235" s="20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F236" s="20" t="n">
        <v>46317</v>
      </c>
      <c r="G236" t="n">
        <v>5</v>
      </c>
      <c r="H236" t="n">
        <v>3</v>
      </c>
      <c r="I236" s="20" t="n">
        <v>46317</v>
      </c>
      <c r="J236" t="n">
        <v>4386495</v>
      </c>
      <c r="K236" t="n">
        <v>10</v>
      </c>
      <c r="L236" t="inlineStr">
        <is>
          <t>MEC</t>
        </is>
      </c>
      <c r="M236" t="inlineStr">
        <is>
          <t>INSP CILINDRO N2/H2O INS-1550 MEC 1M</t>
        </is>
      </c>
      <c r="N236" t="inlineStr">
        <is>
          <t>INSP CILINDRO N2/H2O INS-1550 MEC 1M</t>
        </is>
      </c>
      <c r="O236" t="inlineStr">
        <is>
          <t>PERGC-FSCI-MBB-04-34-13-04-01</t>
        </is>
      </c>
      <c r="P236" t="inlineStr">
        <is>
          <t>71CNXX006 CILINDRO H2O</t>
        </is>
      </c>
      <c r="Q236" t="n">
        <v>1</v>
      </c>
      <c r="R236" t="inlineStr">
        <is>
          <t>PLANO</t>
        </is>
      </c>
      <c r="S236" t="inlineStr">
        <is>
          <t>Z09</t>
        </is>
      </c>
      <c r="T236" s="20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F237" s="20" t="n">
        <v>46316</v>
      </c>
      <c r="G237" t="n">
        <v>3</v>
      </c>
      <c r="H237" t="n">
        <v>3</v>
      </c>
      <c r="I237" s="20" t="n">
        <v>46316</v>
      </c>
      <c r="J237" t="n">
        <v>4386476</v>
      </c>
      <c r="K237" t="n">
        <v>10</v>
      </c>
      <c r="L237" t="inlineStr">
        <is>
          <t>MEC</t>
        </is>
      </c>
      <c r="M237" t="inlineStr">
        <is>
          <t>INSP CILINDRO N2/H2O INS-1550 MEC 1M</t>
        </is>
      </c>
      <c r="N237" t="inlineStr">
        <is>
          <t>INSP CILINDRO N2/H2O INS-1550 MEC 1M</t>
        </is>
      </c>
      <c r="O237" t="inlineStr">
        <is>
          <t>PERGC-FSCI-MBB-04-34-16-04-01</t>
        </is>
      </c>
      <c r="P237" t="inlineStr">
        <is>
          <t>71CNXX008 CILINDRO H2O</t>
        </is>
      </c>
      <c r="Q237" t="n">
        <v>1</v>
      </c>
      <c r="R237" t="inlineStr">
        <is>
          <t>PLANO</t>
        </is>
      </c>
      <c r="S237" t="inlineStr">
        <is>
          <t>Z09</t>
        </is>
      </c>
      <c r="T237" s="20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F238" s="20" t="n">
        <v>46320</v>
      </c>
      <c r="G238" t="n">
        <v>3</v>
      </c>
      <c r="H238" t="n">
        <v>2</v>
      </c>
      <c r="I238" s="20" t="n">
        <v>46320</v>
      </c>
      <c r="J238" t="n">
        <v>4386756</v>
      </c>
      <c r="K238" t="n">
        <v>10</v>
      </c>
      <c r="L238" t="inlineStr">
        <is>
          <t>MEC</t>
        </is>
      </c>
      <c r="M238" t="inlineStr">
        <is>
          <t>INS-1500 INSP OPM VISUAL BOMBA</t>
        </is>
      </c>
      <c r="N238" t="inlineStr">
        <is>
          <t>INSP VISUAL BOMBA INS-1500 MEC 1M</t>
        </is>
      </c>
      <c r="O238" t="inlineStr">
        <is>
          <t>PERGC-FSCI-MBB-07-01</t>
        </is>
      </c>
      <c r="P238" t="inlineStr">
        <is>
          <t>71PA002 BOMBA JOCKEY</t>
        </is>
      </c>
      <c r="Q238" t="n">
        <v>1</v>
      </c>
      <c r="R238" t="inlineStr">
        <is>
          <t>PLANO</t>
        </is>
      </c>
      <c r="S238" t="inlineStr">
        <is>
          <t>Z09</t>
        </is>
      </c>
      <c r="T238" s="20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F239" s="20" t="n">
        <v>46319</v>
      </c>
      <c r="G239" t="n">
        <v>2</v>
      </c>
      <c r="H239" t="n">
        <v>2</v>
      </c>
      <c r="I239" s="20" t="n">
        <v>46319</v>
      </c>
      <c r="J239" t="n">
        <v>4386755</v>
      </c>
      <c r="K239" t="n">
        <v>10</v>
      </c>
      <c r="L239" t="inlineStr">
        <is>
          <t>ELE</t>
        </is>
      </c>
      <c r="M239" t="inlineStr">
        <is>
          <t>PSE-1200 MANUT ELE MOTOR BT</t>
        </is>
      </c>
      <c r="N239" t="inlineStr">
        <is>
          <t>MANUT MOTOR BAIXA TENSAO PSE-1200 ELE 1A</t>
        </is>
      </c>
      <c r="O239" t="inlineStr">
        <is>
          <t>PERGC-FSCI-MBB-07-04</t>
        </is>
      </c>
      <c r="P239" t="inlineStr">
        <is>
          <t>71PA002-M01 MOTOR ELETRICO</t>
        </is>
      </c>
      <c r="Q239" t="n">
        <v>4</v>
      </c>
      <c r="R239" t="inlineStr">
        <is>
          <t>PLANO</t>
        </is>
      </c>
      <c r="S239" t="inlineStr">
        <is>
          <t>Z12</t>
        </is>
      </c>
      <c r="T239" s="20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F240" s="20" t="n">
        <v>46312</v>
      </c>
      <c r="G240" t="n">
        <v>5</v>
      </c>
      <c r="H240" t="n">
        <v>1</v>
      </c>
      <c r="I240" s="20" t="n">
        <v>46312</v>
      </c>
      <c r="J240" t="n">
        <v>4355075</v>
      </c>
      <c r="K240" t="n">
        <v>10</v>
      </c>
      <c r="L240" t="inlineStr">
        <is>
          <t>PRO</t>
        </is>
      </c>
      <c r="M240" t="inlineStr">
        <is>
          <t>INS-1815 INSP PRO VALVULA DILUVIO</t>
        </is>
      </c>
      <c r="N240" t="inlineStr">
        <is>
          <t>INSP VALV DILUVIO INS-1815 PRO 1M</t>
        </is>
      </c>
      <c r="O240" t="inlineStr">
        <is>
          <t>PERGC-FSCI-RAC-04-01</t>
        </is>
      </c>
      <c r="P240" t="inlineStr">
        <is>
          <t>71DV0027 VALVULA ON/OFF 6"</t>
        </is>
      </c>
      <c r="Q240" t="n">
        <v>1</v>
      </c>
      <c r="R240" t="inlineStr">
        <is>
          <t>PLANO</t>
        </is>
      </c>
      <c r="S240" t="inlineStr">
        <is>
          <t>Z09</t>
        </is>
      </c>
      <c r="T240" s="20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F241" s="20" t="n">
        <v>46322</v>
      </c>
      <c r="G241" t="n">
        <v>5</v>
      </c>
      <c r="H241" t="n">
        <v>3</v>
      </c>
      <c r="I241" s="20" t="n">
        <v>46322</v>
      </c>
      <c r="J241" t="n">
        <v>4386590</v>
      </c>
      <c r="K241" t="n">
        <v>10</v>
      </c>
      <c r="L241" t="inlineStr">
        <is>
          <t>HSE</t>
        </is>
      </c>
      <c r="M241" t="inlineStr">
        <is>
          <t>INS-2129 INSP HSE BANCO CILINDROS</t>
        </is>
      </c>
      <c r="N241" t="inlineStr">
        <is>
          <t>INSP BANCO CILINDROS INS-2129 HSE 1M</t>
        </is>
      </c>
      <c r="O241" t="inlineStr">
        <is>
          <t>PERGC-FSCI-RGI-04-04</t>
        </is>
      </c>
      <c r="P241" t="inlineStr">
        <is>
          <t>CJ FM-200 72ZS001</t>
        </is>
      </c>
      <c r="Q241" t="n">
        <v>1</v>
      </c>
      <c r="R241" t="inlineStr">
        <is>
          <t>PLANO</t>
        </is>
      </c>
      <c r="S241" t="inlineStr">
        <is>
          <t>Z09</t>
        </is>
      </c>
      <c r="T241" s="20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e">
        <v>#N/A</v>
      </c>
      <c r="F242" s="20" t="n">
        <v>46322</v>
      </c>
      <c r="G242" t="n">
        <v>5</v>
      </c>
      <c r="H242" t="n">
        <v>3</v>
      </c>
      <c r="I242" s="20" t="n">
        <v>46322</v>
      </c>
      <c r="J242" t="n">
        <v>4386590</v>
      </c>
      <c r="K242" t="n">
        <v>20</v>
      </c>
      <c r="L242" t="inlineStr">
        <is>
          <t>INS</t>
        </is>
      </c>
      <c r="M242" t="inlineStr">
        <is>
          <t>INS-2129 INSP INS BANCO CILINDROS</t>
        </is>
      </c>
      <c r="N242" t="inlineStr">
        <is>
          <t>INSP BANCO CILINDROS INS-2129 HSE 1M</t>
        </is>
      </c>
      <c r="O242" t="inlineStr">
        <is>
          <t>PERGC-FSCI-RGI-04-04</t>
        </is>
      </c>
      <c r="P242" t="inlineStr">
        <is>
          <t>CJ FM-200 72ZS001</t>
        </is>
      </c>
      <c r="Q242" t="n">
        <v>1</v>
      </c>
      <c r="R242" t="inlineStr">
        <is>
          <t>PLANO</t>
        </is>
      </c>
      <c r="S242" t="inlineStr">
        <is>
          <t>Z09</t>
        </is>
      </c>
      <c r="T242" s="20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e">
        <v>#N/A</v>
      </c>
      <c r="F243" s="20" t="n">
        <v>46322</v>
      </c>
      <c r="G243" t="n">
        <v>5</v>
      </c>
      <c r="H243" t="n">
        <v>3</v>
      </c>
      <c r="I243" s="20" t="n">
        <v>46322</v>
      </c>
      <c r="J243" t="n">
        <v>4386592</v>
      </c>
      <c r="K243" t="n">
        <v>10</v>
      </c>
      <c r="L243" t="inlineStr">
        <is>
          <t>HSE</t>
        </is>
      </c>
      <c r="M243" t="inlineStr">
        <is>
          <t>INS-2129 INSP HSE BANCO CILINDROS</t>
        </is>
      </c>
      <c r="N243" t="inlineStr">
        <is>
          <t>INSP BANCO CILINDROS INS-2129 HSE 1M</t>
        </is>
      </c>
      <c r="O243" t="inlineStr">
        <is>
          <t>PERGC-FSCI-RGI-04-10</t>
        </is>
      </c>
      <c r="P243" t="inlineStr">
        <is>
          <t>CJ FM-200 72ZS003</t>
        </is>
      </c>
      <c r="Q243" t="n">
        <v>1</v>
      </c>
      <c r="R243" t="inlineStr">
        <is>
          <t>PLANO</t>
        </is>
      </c>
      <c r="S243" t="inlineStr">
        <is>
          <t>Z09</t>
        </is>
      </c>
      <c r="T243" s="20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e">
        <v>#N/A</v>
      </c>
      <c r="F244" s="20" t="n">
        <v>46322</v>
      </c>
      <c r="G244" t="n">
        <v>5</v>
      </c>
      <c r="H244" t="n">
        <v>3</v>
      </c>
      <c r="I244" s="20" t="n">
        <v>46322</v>
      </c>
      <c r="J244" t="n">
        <v>4386592</v>
      </c>
      <c r="K244" t="n">
        <v>20</v>
      </c>
      <c r="L244" t="inlineStr">
        <is>
          <t>INS</t>
        </is>
      </c>
      <c r="M244" t="inlineStr">
        <is>
          <t>INS-2129 INSP INS BANCO CILINDROS</t>
        </is>
      </c>
      <c r="N244" t="inlineStr">
        <is>
          <t>INSP BANCO CILINDROS INS-2129 HSE 1M</t>
        </is>
      </c>
      <c r="O244" t="inlineStr">
        <is>
          <t>PERGC-FSCI-RGI-04-10</t>
        </is>
      </c>
      <c r="P244" t="inlineStr">
        <is>
          <t>CJ FM-200 72ZS003</t>
        </is>
      </c>
      <c r="Q244" t="n">
        <v>1</v>
      </c>
      <c r="R244" t="inlineStr">
        <is>
          <t>PLANO</t>
        </is>
      </c>
      <c r="S244" t="inlineStr">
        <is>
          <t>Z09</t>
        </is>
      </c>
      <c r="T244" s="20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F245" s="20" t="n">
        <v>46317</v>
      </c>
      <c r="G245" t="n">
        <v>5</v>
      </c>
      <c r="H245" t="n">
        <v>3</v>
      </c>
      <c r="I245" s="20" t="n">
        <v>46317</v>
      </c>
      <c r="J245" t="n">
        <v>4386498</v>
      </c>
      <c r="K245" t="n">
        <v>10</v>
      </c>
      <c r="L245" t="inlineStr">
        <is>
          <t>MEC</t>
        </is>
      </c>
      <c r="M245" t="inlineStr">
        <is>
          <t>INSP CILINDRO N2/H2O INS-1550 MEC 1M</t>
        </is>
      </c>
      <c r="N245" t="inlineStr">
        <is>
          <t>INSP CILINDRO N2/H2O INS-1550 MEC 1M</t>
        </is>
      </c>
      <c r="O245" t="inlineStr">
        <is>
          <t>PERGC-FSCI-RGI-04-13</t>
        </is>
      </c>
      <c r="P245" t="inlineStr">
        <is>
          <t>CJ FM-200 72ZS004</t>
        </is>
      </c>
      <c r="Q245" t="n">
        <v>1</v>
      </c>
      <c r="R245" t="inlineStr">
        <is>
          <t>PLANO</t>
        </is>
      </c>
      <c r="S245" t="inlineStr">
        <is>
          <t>Z09</t>
        </is>
      </c>
      <c r="T245" s="20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F246" s="20" t="n">
        <v>46318</v>
      </c>
      <c r="G246" t="n">
        <v>5</v>
      </c>
      <c r="H246" t="n">
        <v>3</v>
      </c>
      <c r="I246" s="20" t="n">
        <v>46318</v>
      </c>
      <c r="J246" t="n">
        <v>4386513</v>
      </c>
      <c r="K246" t="n">
        <v>10</v>
      </c>
      <c r="L246" t="inlineStr">
        <is>
          <t>MEC</t>
        </is>
      </c>
      <c r="M246" t="inlineStr">
        <is>
          <t>INSP CILINDRO N2/H2O INS-1550 MEC 1M</t>
        </is>
      </c>
      <c r="N246" t="inlineStr">
        <is>
          <t>INSP CILINDRO N2/H2O INS-1550 MEC 1M</t>
        </is>
      </c>
      <c r="O246" t="inlineStr">
        <is>
          <t>PERGC-FSCI-RGI-04-16</t>
        </is>
      </c>
      <c r="P246" t="inlineStr">
        <is>
          <t>CJ FM-200 72ZS005</t>
        </is>
      </c>
      <c r="Q246" t="n">
        <v>1</v>
      </c>
      <c r="R246" t="inlineStr">
        <is>
          <t>PLANO</t>
        </is>
      </c>
      <c r="S246" t="inlineStr">
        <is>
          <t>Z09</t>
        </is>
      </c>
      <c r="T246" s="20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F247" s="20" t="n">
        <v>46320</v>
      </c>
      <c r="G247" t="n">
        <v>5</v>
      </c>
      <c r="H247" t="n">
        <v>3</v>
      </c>
      <c r="I247" s="20" t="n">
        <v>46320</v>
      </c>
      <c r="J247" t="n">
        <v>4386551</v>
      </c>
      <c r="K247" t="n">
        <v>10</v>
      </c>
      <c r="L247" t="inlineStr">
        <is>
          <t>MEC</t>
        </is>
      </c>
      <c r="M247" t="inlineStr">
        <is>
          <t>INSP CILINDRO N2/H2O INS-1550 MEC 1M</t>
        </is>
      </c>
      <c r="N247" t="inlineStr">
        <is>
          <t>INSP CILINDRO N2/H2O INS-1550 MEC 1M</t>
        </is>
      </c>
      <c r="O247" t="inlineStr">
        <is>
          <t>PERGC-FSCI-RGI-04-19</t>
        </is>
      </c>
      <c r="P247" t="inlineStr">
        <is>
          <t>CJ FM-200 72ZS006</t>
        </is>
      </c>
      <c r="Q247" t="n">
        <v>1</v>
      </c>
      <c r="R247" t="inlineStr">
        <is>
          <t>PLANO</t>
        </is>
      </c>
      <c r="S247" t="inlineStr">
        <is>
          <t>Z09</t>
        </is>
      </c>
      <c r="T247" s="20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F248" s="20" t="n">
        <v>46311</v>
      </c>
      <c r="G248" t="n">
        <v>5</v>
      </c>
      <c r="H248" t="n">
        <v>3</v>
      </c>
      <c r="I248" s="20" t="n">
        <v>46311</v>
      </c>
      <c r="J248" t="n">
        <v>4386417</v>
      </c>
      <c r="K248" t="n">
        <v>10</v>
      </c>
      <c r="L248" t="inlineStr">
        <is>
          <t>HSE</t>
        </is>
      </c>
      <c r="M248" t="inlineStr">
        <is>
          <t>INS-2129 INSP HSE BANCO CILINDROS</t>
        </is>
      </c>
      <c r="N248" t="inlineStr">
        <is>
          <t>INSP BANCO CILINDROS INS-2129 HSE 1M</t>
        </is>
      </c>
      <c r="O248" t="inlineStr">
        <is>
          <t>PERGC-FSCI-RGI-07-10-10</t>
        </is>
      </c>
      <c r="P248" t="inlineStr">
        <is>
          <t>CJ BANCO CILINDROS - RESERVA</t>
        </is>
      </c>
      <c r="Q248" t="n">
        <v>1</v>
      </c>
      <c r="R248" t="inlineStr">
        <is>
          <t>PLANO</t>
        </is>
      </c>
      <c r="S248" t="inlineStr">
        <is>
          <t>Z09</t>
        </is>
      </c>
      <c r="T248" s="20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F249" s="20" t="n">
        <v>46311</v>
      </c>
      <c r="G249" t="n">
        <v>5</v>
      </c>
      <c r="H249" t="n">
        <v>3</v>
      </c>
      <c r="I249" s="20" t="n">
        <v>46311</v>
      </c>
      <c r="J249" t="n">
        <v>4386417</v>
      </c>
      <c r="K249" t="n">
        <v>20</v>
      </c>
      <c r="L249" t="inlineStr">
        <is>
          <t>INS</t>
        </is>
      </c>
      <c r="M249" t="inlineStr">
        <is>
          <t>INS-2129 INSP INS BANCO CILINDROS</t>
        </is>
      </c>
      <c r="N249" t="inlineStr">
        <is>
          <t>INSP BANCO CILINDROS INS-2129 HSE 1M</t>
        </is>
      </c>
      <c r="O249" t="inlineStr">
        <is>
          <t>PERGC-FSCI-RGI-07-10-10</t>
        </is>
      </c>
      <c r="P249" t="inlineStr">
        <is>
          <t>CJ BANCO CILINDROS - RESERVA</t>
        </is>
      </c>
      <c r="Q249" t="n">
        <v>1</v>
      </c>
      <c r="R249" t="inlineStr">
        <is>
          <t>PLANO</t>
        </is>
      </c>
      <c r="S249" t="inlineStr">
        <is>
          <t>Z09</t>
        </is>
      </c>
      <c r="T249" s="20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F250" s="20" t="n">
        <v>46315</v>
      </c>
      <c r="G250" t="n">
        <v>5</v>
      </c>
      <c r="H250" t="n">
        <v>3</v>
      </c>
      <c r="I250" s="20" t="n">
        <v>46315</v>
      </c>
      <c r="J250" t="n">
        <v>4386469</v>
      </c>
      <c r="K250" t="n">
        <v>10</v>
      </c>
      <c r="L250" t="inlineStr">
        <is>
          <t>INS</t>
        </is>
      </c>
      <c r="M250" t="inlineStr">
        <is>
          <t>PTF-1306 TEST FUNC INS DETECTOR GAS</t>
        </is>
      </c>
      <c r="N250" t="inlineStr">
        <is>
          <t>TEST FUNC DETECT GAS CH4 PTF-1306 INS 6M</t>
        </is>
      </c>
      <c r="O250" t="inlineStr">
        <is>
          <t>PERGC-FSFG-DTC-04-01</t>
        </is>
      </c>
      <c r="P250" t="inlineStr">
        <is>
          <t>CJ DETECTOR GAS FIRE AREA G00W</t>
        </is>
      </c>
      <c r="Q250" t="n">
        <v>8</v>
      </c>
      <c r="R250" t="inlineStr">
        <is>
          <t>PLANO</t>
        </is>
      </c>
      <c r="S250" t="inlineStr">
        <is>
          <t>Z08</t>
        </is>
      </c>
      <c r="T250" s="20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F251" s="20" t="n">
        <v>46321</v>
      </c>
      <c r="G251" t="n">
        <v>5</v>
      </c>
      <c r="H251" t="n">
        <v>3</v>
      </c>
      <c r="I251" s="20" t="n">
        <v>46321</v>
      </c>
      <c r="J251" t="n">
        <v>4385911</v>
      </c>
      <c r="K251" t="n">
        <v>10</v>
      </c>
      <c r="L251" t="inlineStr">
        <is>
          <t>INS</t>
        </is>
      </c>
      <c r="M251" t="inlineStr">
        <is>
          <t>INS-1312 INSP INS DETECTOR GAS</t>
        </is>
      </c>
      <c r="N251" t="inlineStr">
        <is>
          <t>INSP DETECT GAS CH4 INS-1312 INS 3M</t>
        </is>
      </c>
      <c r="O251" t="inlineStr">
        <is>
          <t>PERGC-FSFG-DTC-07-01</t>
        </is>
      </c>
      <c r="P251" t="inlineStr">
        <is>
          <t>CJ DETECTOR GAS FIRE AREA L100</t>
        </is>
      </c>
      <c r="Q251" t="n">
        <v>8</v>
      </c>
      <c r="R251" t="inlineStr">
        <is>
          <t>PLANO</t>
        </is>
      </c>
      <c r="S251" t="inlineStr">
        <is>
          <t>Z09</t>
        </is>
      </c>
      <c r="T251" s="20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F252" s="20" t="n">
        <v>46323</v>
      </c>
      <c r="G252" t="n">
        <v>5</v>
      </c>
      <c r="H252" t="n">
        <v>3</v>
      </c>
      <c r="I252" s="20" t="n">
        <v>46323</v>
      </c>
      <c r="J252" t="n">
        <v>4385920</v>
      </c>
      <c r="K252" t="n">
        <v>10</v>
      </c>
      <c r="L252" t="inlineStr">
        <is>
          <t>INS</t>
        </is>
      </c>
      <c r="M252" t="inlineStr">
        <is>
          <t>PTF-1306 TEST FUNC INS DETECTOR GAS</t>
        </is>
      </c>
      <c r="N252" t="inlineStr">
        <is>
          <t>TEST FUNC DETECT GAS CH4 PTF-1306 INS 6M</t>
        </is>
      </c>
      <c r="O252" t="inlineStr">
        <is>
          <t>PERGC-FSFG-DTC-07-01</t>
        </is>
      </c>
      <c r="P252" t="inlineStr">
        <is>
          <t>CJ DETECTOR GAS FIRE AREA L100</t>
        </is>
      </c>
      <c r="Q252" t="n">
        <v>8</v>
      </c>
      <c r="R252" t="inlineStr">
        <is>
          <t>PLANO</t>
        </is>
      </c>
      <c r="S252" t="inlineStr">
        <is>
          <t>Z08</t>
        </is>
      </c>
      <c r="T252" s="20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F253" s="20" t="n">
        <v>46315</v>
      </c>
      <c r="G253" t="n">
        <v>5</v>
      </c>
      <c r="H253" t="n">
        <v>3</v>
      </c>
      <c r="I253" s="20" t="n">
        <v>46315</v>
      </c>
      <c r="J253" t="n">
        <v>4386466</v>
      </c>
      <c r="K253" t="n">
        <v>10</v>
      </c>
      <c r="L253" t="inlineStr">
        <is>
          <t>INS</t>
        </is>
      </c>
      <c r="M253" t="inlineStr">
        <is>
          <t>PCL-1308 CALIB INS DETECTOR GAS</t>
        </is>
      </c>
      <c r="N253" t="inlineStr">
        <is>
          <t>CALIB DETECT GAS CH4 PCL-1308 INS 1A</t>
        </is>
      </c>
      <c r="O253" t="inlineStr">
        <is>
          <t>PERGC-FSFG-DTC-08-01</t>
        </is>
      </c>
      <c r="P253" t="inlineStr">
        <is>
          <t>CJ DETECTOR GAS FIRE AREA L200</t>
        </is>
      </c>
      <c r="Q253" t="n">
        <v>8</v>
      </c>
      <c r="R253" t="inlineStr">
        <is>
          <t>PLANO</t>
        </is>
      </c>
      <c r="S253" t="inlineStr">
        <is>
          <t>Z04</t>
        </is>
      </c>
      <c r="T253" s="20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F254" s="20" t="n">
        <v>46312</v>
      </c>
      <c r="G254" t="n">
        <v>5</v>
      </c>
      <c r="H254" t="n">
        <v>3</v>
      </c>
      <c r="I254" s="20" t="n">
        <v>46312</v>
      </c>
      <c r="J254" t="n">
        <v>4386428</v>
      </c>
      <c r="K254" t="n">
        <v>10</v>
      </c>
      <c r="L254" t="inlineStr">
        <is>
          <t>INS</t>
        </is>
      </c>
      <c r="M254" t="inlineStr">
        <is>
          <t>INS-1313 INSP INS DETECTOR FUMACA</t>
        </is>
      </c>
      <c r="N254" t="inlineStr">
        <is>
          <t>INSP DETECT FUMACA INS-1313 INS 6M</t>
        </is>
      </c>
      <c r="O254" t="inlineStr">
        <is>
          <t>PERGC-FSFG-DTC-09-07</t>
        </is>
      </c>
      <c r="P254" t="inlineStr">
        <is>
          <t>CJ DETECTOR FUMACA FIRE AREA L300</t>
        </is>
      </c>
      <c r="Q254" t="n">
        <v>8</v>
      </c>
      <c r="R254" t="inlineStr">
        <is>
          <t>PLANO</t>
        </is>
      </c>
      <c r="S254" t="inlineStr">
        <is>
          <t>Z09</t>
        </is>
      </c>
      <c r="T254" s="20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F255" s="20" t="n">
        <v>46321</v>
      </c>
      <c r="G255" t="n">
        <v>5</v>
      </c>
      <c r="H255" t="n">
        <v>3</v>
      </c>
      <c r="I255" s="20" t="n">
        <v>46321</v>
      </c>
      <c r="J255" t="n">
        <v>4386580</v>
      </c>
      <c r="K255" t="n">
        <v>10</v>
      </c>
      <c r="L255" t="inlineStr">
        <is>
          <t>INS</t>
        </is>
      </c>
      <c r="M255" t="inlineStr">
        <is>
          <t>INS-1312 INSP INS DETECTOR GAS</t>
        </is>
      </c>
      <c r="N255" t="inlineStr">
        <is>
          <t>INSP DETECT GAS CH4 INS-1312 INS 3M</t>
        </is>
      </c>
      <c r="O255" t="inlineStr">
        <is>
          <t>PERGC-FSFG-DTC-12-01</t>
        </is>
      </c>
      <c r="P255" t="inlineStr">
        <is>
          <t>CJ DETECTOR GAS FIRE AREA L600</t>
        </is>
      </c>
      <c r="Q255" t="n">
        <v>8</v>
      </c>
      <c r="R255" t="inlineStr">
        <is>
          <t>PLANO</t>
        </is>
      </c>
      <c r="S255" t="inlineStr">
        <is>
          <t>Z09</t>
        </is>
      </c>
      <c r="T255" s="20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F256" s="20" t="n">
        <v>46319</v>
      </c>
      <c r="G256" t="n">
        <v>5</v>
      </c>
      <c r="H256" t="n">
        <v>3</v>
      </c>
      <c r="I256" s="20" t="n">
        <v>46319</v>
      </c>
      <c r="J256" t="n">
        <v>4386537</v>
      </c>
      <c r="K256" t="n">
        <v>10</v>
      </c>
      <c r="L256" t="inlineStr">
        <is>
          <t>INS</t>
        </is>
      </c>
      <c r="M256" t="inlineStr">
        <is>
          <t>PTF-1310 TEST FUNC INS DETECTOR FUMACA</t>
        </is>
      </c>
      <c r="N256" t="inlineStr">
        <is>
          <t>TEST FUNC DETECT FUMACA PTF-1310 INS 1A</t>
        </is>
      </c>
      <c r="O256" t="inlineStr">
        <is>
          <t>PERGC-FSFG-DTC-12-04</t>
        </is>
      </c>
      <c r="P256" t="inlineStr">
        <is>
          <t>CJ DETECTOR FUMACA FIRE AREA L600</t>
        </is>
      </c>
      <c r="Q256" t="n">
        <v>8</v>
      </c>
      <c r="R256" t="inlineStr">
        <is>
          <t>PLANO</t>
        </is>
      </c>
      <c r="S256" t="inlineStr">
        <is>
          <t>Z08</t>
        </is>
      </c>
      <c r="T256" s="20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F257" s="20" t="n">
        <v>46321</v>
      </c>
      <c r="G257" t="n">
        <v>5</v>
      </c>
      <c r="H257" t="n">
        <v>3</v>
      </c>
      <c r="I257" s="20" t="n">
        <v>46321</v>
      </c>
      <c r="J257" t="n">
        <v>4385912</v>
      </c>
      <c r="K257" t="n">
        <v>10</v>
      </c>
      <c r="L257" t="inlineStr">
        <is>
          <t>INS</t>
        </is>
      </c>
      <c r="M257" t="inlineStr">
        <is>
          <t>INS-1312 INSP INS DETECTOR GAS</t>
        </is>
      </c>
      <c r="N257" t="inlineStr">
        <is>
          <t>INSP DETECT GAS CH4 INS-1312 INS 3M</t>
        </is>
      </c>
      <c r="O257" t="inlineStr">
        <is>
          <t>PERGC-FSFG-DTC-14-01</t>
        </is>
      </c>
      <c r="P257" t="inlineStr">
        <is>
          <t>CJ DETECTOR GAS FIRE AREA Q10CA</t>
        </is>
      </c>
      <c r="Q257" t="n">
        <v>8</v>
      </c>
      <c r="R257" t="inlineStr">
        <is>
          <t>PLANO</t>
        </is>
      </c>
      <c r="S257" t="inlineStr">
        <is>
          <t>Z09</t>
        </is>
      </c>
      <c r="T257" s="20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F258" s="20" t="n">
        <v>46321</v>
      </c>
      <c r="G258" t="n">
        <v>5</v>
      </c>
      <c r="H258" t="n">
        <v>3</v>
      </c>
      <c r="I258" s="20" t="n">
        <v>46321</v>
      </c>
      <c r="J258" t="n">
        <v>4385913</v>
      </c>
      <c r="K258" t="n">
        <v>10</v>
      </c>
      <c r="L258" t="inlineStr">
        <is>
          <t>INS</t>
        </is>
      </c>
      <c r="M258" t="inlineStr">
        <is>
          <t>PTF-1306 TEST FUNC INS DETECTOR GAS</t>
        </is>
      </c>
      <c r="N258" t="inlineStr">
        <is>
          <t>TEST FUNC DETECT GAS CH4 PTF-1306 INS 6M</t>
        </is>
      </c>
      <c r="O258" t="inlineStr">
        <is>
          <t>PERGC-FSFG-DTC-14-01</t>
        </is>
      </c>
      <c r="P258" t="inlineStr">
        <is>
          <t>CJ DETECTOR GAS FIRE AREA Q10CA</t>
        </is>
      </c>
      <c r="Q258" t="n">
        <v>8</v>
      </c>
      <c r="R258" t="inlineStr">
        <is>
          <t>PLANO</t>
        </is>
      </c>
      <c r="S258" t="inlineStr">
        <is>
          <t>Z08</t>
        </is>
      </c>
      <c r="T258" s="20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F259" s="20" t="n">
        <v>46315</v>
      </c>
      <c r="G259" t="n">
        <v>5</v>
      </c>
      <c r="H259" t="n">
        <v>3</v>
      </c>
      <c r="I259" s="20" t="n">
        <v>46315</v>
      </c>
      <c r="J259" t="n">
        <v>4385882</v>
      </c>
      <c r="K259" t="n">
        <v>10</v>
      </c>
      <c r="L259" t="inlineStr">
        <is>
          <t>INS</t>
        </is>
      </c>
      <c r="M259" t="inlineStr">
        <is>
          <t>PTF-1302 TEST FUNC INS DETECTOR CHAMA</t>
        </is>
      </c>
      <c r="N259" t="inlineStr">
        <is>
          <t>TEST FUNC DETECTOR CHAMA PTF-1302 INS 1A</t>
        </is>
      </c>
      <c r="O259" t="inlineStr">
        <is>
          <t>PERGC-FSFG-DTC-14-07</t>
        </is>
      </c>
      <c r="P259" t="inlineStr">
        <is>
          <t>CJ DETECTOR CHAMA FIRE AREA Q10CA</t>
        </is>
      </c>
      <c r="Q259" t="n">
        <v>8</v>
      </c>
      <c r="R259" t="inlineStr">
        <is>
          <t>PLANO</t>
        </is>
      </c>
      <c r="S259" t="inlineStr">
        <is>
          <t>Z08</t>
        </is>
      </c>
      <c r="T259" s="20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F260" s="20" t="n">
        <v>46312</v>
      </c>
      <c r="G260" t="n">
        <v>5</v>
      </c>
      <c r="H260" t="n">
        <v>3</v>
      </c>
      <c r="I260" s="20" t="n">
        <v>46312</v>
      </c>
      <c r="J260" t="n">
        <v>4385870</v>
      </c>
      <c r="K260" t="n">
        <v>10</v>
      </c>
      <c r="L260" t="inlineStr">
        <is>
          <t>INS</t>
        </is>
      </c>
      <c r="M260" t="inlineStr">
        <is>
          <t>PCL-1308 CALIB INS DETECTOR GAS</t>
        </is>
      </c>
      <c r="N260" t="inlineStr">
        <is>
          <t>CALIB DETECT GAS CH4 PCL-1308 INS 1A</t>
        </is>
      </c>
      <c r="O260" t="inlineStr">
        <is>
          <t>PERGC-FSFG-DTC-19-01</t>
        </is>
      </c>
      <c r="P260" t="inlineStr">
        <is>
          <t>CJ DETECTOR GAS FIRE AREA Q20CA</t>
        </is>
      </c>
      <c r="Q260" t="n">
        <v>8</v>
      </c>
      <c r="R260" t="inlineStr">
        <is>
          <t>PLANO</t>
        </is>
      </c>
      <c r="S260" t="inlineStr">
        <is>
          <t>Z04</t>
        </is>
      </c>
      <c r="T260" s="20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F261" s="20" t="n">
        <v>46313</v>
      </c>
      <c r="G261" t="n">
        <v>5</v>
      </c>
      <c r="H261" t="n">
        <v>3</v>
      </c>
      <c r="I261" s="20" t="n">
        <v>46313</v>
      </c>
      <c r="J261" t="n">
        <v>4386437</v>
      </c>
      <c r="K261" t="n">
        <v>10</v>
      </c>
      <c r="L261" t="inlineStr">
        <is>
          <t>INS</t>
        </is>
      </c>
      <c r="M261" t="inlineStr">
        <is>
          <t>INS-1312 INSP INS DETECTOR GAS</t>
        </is>
      </c>
      <c r="N261" t="inlineStr">
        <is>
          <t>INSP DETECT GAS CH4 INS-1312 INS 3M</t>
        </is>
      </c>
      <c r="O261" t="inlineStr">
        <is>
          <t>PERGC-FSFG-DTC-19-01</t>
        </is>
      </c>
      <c r="P261" t="inlineStr">
        <is>
          <t>CJ DETECTOR GAS FIRE AREA Q20CA</t>
        </is>
      </c>
      <c r="Q261" t="n">
        <v>8</v>
      </c>
      <c r="R261" t="inlineStr">
        <is>
          <t>PLANO</t>
        </is>
      </c>
      <c r="S261" t="inlineStr">
        <is>
          <t>Z09</t>
        </is>
      </c>
      <c r="T261" s="20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F262" s="20" t="n">
        <v>46314</v>
      </c>
      <c r="G262" t="n">
        <v>5</v>
      </c>
      <c r="H262" t="n">
        <v>3</v>
      </c>
      <c r="I262" s="20" t="n">
        <v>46314</v>
      </c>
      <c r="J262" t="n">
        <v>4386454</v>
      </c>
      <c r="K262" t="n">
        <v>10</v>
      </c>
      <c r="L262" t="inlineStr">
        <is>
          <t>INS</t>
        </is>
      </c>
      <c r="M262" t="inlineStr">
        <is>
          <t>PTF-1306 TEST FUNC INS DETECTOR GAS</t>
        </is>
      </c>
      <c r="N262" t="inlineStr">
        <is>
          <t>TEST FUNC DETECT GAS CH4 PTF-1306 INS 6M</t>
        </is>
      </c>
      <c r="O262" t="inlineStr">
        <is>
          <t>PERGC-FSFG-DTC-21-01</t>
        </is>
      </c>
      <c r="P262" t="inlineStr">
        <is>
          <t>CJ DETECTOR GAS FIRE AREA Q20EA</t>
        </is>
      </c>
      <c r="Q262" t="n">
        <v>8</v>
      </c>
      <c r="R262" t="inlineStr">
        <is>
          <t>PLANO</t>
        </is>
      </c>
      <c r="S262" t="inlineStr">
        <is>
          <t>Z08</t>
        </is>
      </c>
      <c r="T262" s="20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F263" s="20" t="n">
        <v>46314</v>
      </c>
      <c r="G263" t="n">
        <v>5</v>
      </c>
      <c r="H263" t="n">
        <v>3</v>
      </c>
      <c r="I263" s="20" t="n">
        <v>46314</v>
      </c>
      <c r="J263" t="n">
        <v>4386446</v>
      </c>
      <c r="K263" t="n">
        <v>10</v>
      </c>
      <c r="L263" t="inlineStr">
        <is>
          <t>AUT</t>
        </is>
      </c>
      <c r="M263" t="inlineStr">
        <is>
          <t>INS-1016 INSP AUT SISTEMA PAGA</t>
        </is>
      </c>
      <c r="N263" t="inlineStr">
        <is>
          <t>INSP SISTEMA PAGA INS-1016 AUT 6M</t>
        </is>
      </c>
      <c r="O263" t="inlineStr">
        <is>
          <t>PERGC-FSFG-DTC-21-13</t>
        </is>
      </c>
      <c r="P263" t="inlineStr">
        <is>
          <t>CJ SINALIZACAO FIRE AREA Q20EA</t>
        </is>
      </c>
      <c r="Q263" t="n">
        <v>2</v>
      </c>
      <c r="R263" t="inlineStr">
        <is>
          <t>PLANO</t>
        </is>
      </c>
      <c r="S263" t="inlineStr">
        <is>
          <t>Z09</t>
        </is>
      </c>
      <c r="T263" s="20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F264" s="20" t="n">
        <v>46312</v>
      </c>
      <c r="G264" t="n">
        <v>5</v>
      </c>
      <c r="H264" t="n">
        <v>3</v>
      </c>
      <c r="I264" s="20" t="n">
        <v>46312</v>
      </c>
      <c r="J264" t="n">
        <v>4386429</v>
      </c>
      <c r="K264" t="n">
        <v>10</v>
      </c>
      <c r="L264" t="inlineStr">
        <is>
          <t>INS</t>
        </is>
      </c>
      <c r="M264" t="inlineStr">
        <is>
          <t>PTF-1301 TEST FUNC INS BOTOEIRAS</t>
        </is>
      </c>
      <c r="N264" t="inlineStr">
        <is>
          <t>TEST FUNC BOTOEIRAS PTF-1301 INS 6M</t>
        </is>
      </c>
      <c r="O264" t="inlineStr">
        <is>
          <t>PERGC-FSFG-DTC-22-01</t>
        </is>
      </c>
      <c r="P264" t="inlineStr">
        <is>
          <t>CJ MANUAL CALL POINT FIRE AREA Q20W</t>
        </is>
      </c>
      <c r="Q264" t="n">
        <v>0.5</v>
      </c>
      <c r="R264" t="inlineStr">
        <is>
          <t>PLANO</t>
        </is>
      </c>
      <c r="S264" t="inlineStr">
        <is>
          <t>Z08</t>
        </is>
      </c>
      <c r="T264" s="20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F265" s="20" t="n">
        <v>46318</v>
      </c>
      <c r="G265" t="n">
        <v>5</v>
      </c>
      <c r="H265" t="n">
        <v>3</v>
      </c>
      <c r="I265" s="20" t="n">
        <v>46318</v>
      </c>
      <c r="J265" t="n">
        <v>4386525</v>
      </c>
      <c r="K265" t="n">
        <v>10</v>
      </c>
      <c r="L265" t="inlineStr">
        <is>
          <t>INS</t>
        </is>
      </c>
      <c r="M265" t="inlineStr">
        <is>
          <t>INS-1312 INSP INS DETECTOR GAS</t>
        </is>
      </c>
      <c r="N265" t="inlineStr">
        <is>
          <t>INSP DETECT GAS CH4 INS-1312 INS 3M</t>
        </is>
      </c>
      <c r="O265" t="inlineStr">
        <is>
          <t>PERGC-FSFG-DTC-23-01</t>
        </is>
      </c>
      <c r="P265" t="inlineStr">
        <is>
          <t>CJ DETECTOR GAS FIRE AREA Q20WA</t>
        </is>
      </c>
      <c r="Q265" t="n">
        <v>8</v>
      </c>
      <c r="R265" t="inlineStr">
        <is>
          <t>PLANO</t>
        </is>
      </c>
      <c r="S265" t="inlineStr">
        <is>
          <t>Z09</t>
        </is>
      </c>
      <c r="T265" s="20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F266" s="20" t="n">
        <v>46322</v>
      </c>
      <c r="G266" t="n">
        <v>5</v>
      </c>
      <c r="H266" t="n">
        <v>3</v>
      </c>
      <c r="I266" s="20" t="n">
        <v>46322</v>
      </c>
      <c r="J266" t="n">
        <v>4386595</v>
      </c>
      <c r="K266" t="n">
        <v>10</v>
      </c>
      <c r="L266" t="inlineStr">
        <is>
          <t>INS</t>
        </is>
      </c>
      <c r="M266" t="inlineStr">
        <is>
          <t>INS-1313 INSP INS DETECTOR FUMACA</t>
        </is>
      </c>
      <c r="N266" t="inlineStr">
        <is>
          <t>INSP DETECT FUMACA INS-1313 INS 6M</t>
        </is>
      </c>
      <c r="O266" t="inlineStr">
        <is>
          <t>PERGC-FSFG-DTC-23-07</t>
        </is>
      </c>
      <c r="P266" t="inlineStr">
        <is>
          <t>CJ DETECTOR FUMACA FIRE AREA Q20WA</t>
        </is>
      </c>
      <c r="Q266" t="n">
        <v>8</v>
      </c>
      <c r="R266" t="inlineStr">
        <is>
          <t>PLANO</t>
        </is>
      </c>
      <c r="S266" t="inlineStr">
        <is>
          <t>Z09</t>
        </is>
      </c>
      <c r="T266" s="20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F267" s="20" t="n">
        <v>46316</v>
      </c>
      <c r="G267" t="n">
        <v>5</v>
      </c>
      <c r="H267" t="n">
        <v>3</v>
      </c>
      <c r="I267" s="20" t="n">
        <v>46316</v>
      </c>
      <c r="J267" t="n">
        <v>4385888</v>
      </c>
      <c r="K267" t="n">
        <v>10</v>
      </c>
      <c r="L267" t="inlineStr">
        <is>
          <t>AUT</t>
        </is>
      </c>
      <c r="M267" t="inlineStr">
        <is>
          <t>INS-1016 INSP AUT SISTEMA PAGA</t>
        </is>
      </c>
      <c r="N267" t="inlineStr">
        <is>
          <t>INSP SISTEMA PAGA INS-1016 AUT 6M</t>
        </is>
      </c>
      <c r="O267" t="inlineStr">
        <is>
          <t>PERGC-FSFG-DTC-23-13</t>
        </is>
      </c>
      <c r="P267" t="inlineStr">
        <is>
          <t>CJ SINALIZACAO FIRE AREA Q20WA</t>
        </is>
      </c>
      <c r="Q267" t="n">
        <v>2</v>
      </c>
      <c r="R267" t="inlineStr">
        <is>
          <t>PLANO</t>
        </is>
      </c>
      <c r="S267" t="inlineStr">
        <is>
          <t>Z09</t>
        </is>
      </c>
      <c r="T267" s="20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F268" s="20" t="n">
        <v>46315</v>
      </c>
      <c r="G268" t="n">
        <v>5</v>
      </c>
      <c r="H268" t="n">
        <v>3</v>
      </c>
      <c r="I268" s="20" t="n">
        <v>46315</v>
      </c>
      <c r="J268" t="n">
        <v>4385883</v>
      </c>
      <c r="K268" t="n">
        <v>10</v>
      </c>
      <c r="L268" t="inlineStr">
        <is>
          <t>INS</t>
        </is>
      </c>
      <c r="M268" t="inlineStr">
        <is>
          <t>PTF-1306 TEST FUNC INS DETECTOR GAS</t>
        </is>
      </c>
      <c r="N268" t="inlineStr">
        <is>
          <t>TEST FUNC DETECT GAS CH4 PTF-1306 INS 6M</t>
        </is>
      </c>
      <c r="O268" t="inlineStr">
        <is>
          <t>PERGC-FSFG-DTC-26-01</t>
        </is>
      </c>
      <c r="P268" t="inlineStr">
        <is>
          <t>CJ DETECTOR GAS FIRE AREA Q25EA</t>
        </is>
      </c>
      <c r="Q268" t="n">
        <v>8</v>
      </c>
      <c r="R268" t="inlineStr">
        <is>
          <t>PLANO</t>
        </is>
      </c>
      <c r="S268" t="inlineStr">
        <is>
          <t>Z08</t>
        </is>
      </c>
      <c r="T268" s="20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F269" s="20" t="n">
        <v>46322</v>
      </c>
      <c r="G269" t="n">
        <v>5</v>
      </c>
      <c r="H269" t="n">
        <v>3</v>
      </c>
      <c r="I269" s="20" t="n">
        <v>46322</v>
      </c>
      <c r="J269" t="n">
        <v>4385918</v>
      </c>
      <c r="K269" t="n">
        <v>10</v>
      </c>
      <c r="L269" t="inlineStr">
        <is>
          <t>INS</t>
        </is>
      </c>
      <c r="M269" t="inlineStr">
        <is>
          <t>INS-1312 INSP INS DETECTOR GAS</t>
        </is>
      </c>
      <c r="N269" t="inlineStr">
        <is>
          <t>INSP DETECT GAS CH4 INS-1312 INS 3M</t>
        </is>
      </c>
      <c r="O269" t="inlineStr">
        <is>
          <t>PERGC-FSFG-DTC-26-01</t>
        </is>
      </c>
      <c r="P269" t="inlineStr">
        <is>
          <t>CJ DETECTOR GAS FIRE AREA Q25EA</t>
        </is>
      </c>
      <c r="Q269" t="n">
        <v>8</v>
      </c>
      <c r="R269" t="inlineStr">
        <is>
          <t>PLANO</t>
        </is>
      </c>
      <c r="S269" t="inlineStr">
        <is>
          <t>Z09</t>
        </is>
      </c>
      <c r="T269" s="20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F270" s="20" t="n">
        <v>46316</v>
      </c>
      <c r="G270" t="n">
        <v>5</v>
      </c>
      <c r="H270" t="n">
        <v>3</v>
      </c>
      <c r="I270" s="20" t="n">
        <v>46316</v>
      </c>
      <c r="J270" t="n">
        <v>4386481</v>
      </c>
      <c r="K270" t="n">
        <v>10</v>
      </c>
      <c r="L270" t="inlineStr">
        <is>
          <t>INS</t>
        </is>
      </c>
      <c r="M270" t="inlineStr">
        <is>
          <t>PCL-1308 CALIB INS DETECTOR GAS</t>
        </is>
      </c>
      <c r="N270" t="inlineStr">
        <is>
          <t>CALIB DETECT GAS CH4 PCL-1308 INS 1A</t>
        </is>
      </c>
      <c r="O270" t="inlineStr">
        <is>
          <t>PERGC-FSFG-DTC-26-01</t>
        </is>
      </c>
      <c r="P270" t="inlineStr">
        <is>
          <t>CJ DETECTOR GAS FIRE AREA Q25EA</t>
        </is>
      </c>
      <c r="Q270" t="n">
        <v>8</v>
      </c>
      <c r="R270" t="inlineStr">
        <is>
          <t>PLANO</t>
        </is>
      </c>
      <c r="S270" t="inlineStr">
        <is>
          <t>Z04</t>
        </is>
      </c>
      <c r="T270" s="20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F271" s="20" t="n">
        <v>46324</v>
      </c>
      <c r="G271" t="n">
        <v>5</v>
      </c>
      <c r="H271" t="n">
        <v>3</v>
      </c>
      <c r="I271" s="20" t="n">
        <v>46324</v>
      </c>
      <c r="J271" t="n">
        <v>4385922</v>
      </c>
      <c r="K271" t="n">
        <v>10</v>
      </c>
      <c r="L271" t="inlineStr">
        <is>
          <t>INS</t>
        </is>
      </c>
      <c r="M271" t="inlineStr">
        <is>
          <t>PTF-1306 TEST FUNC INS DETECTOR GAS</t>
        </is>
      </c>
      <c r="N271" t="inlineStr">
        <is>
          <t>TEST FUNC DETECT GAS CH4 PTF-1306 INS 6M</t>
        </is>
      </c>
      <c r="O271" t="inlineStr">
        <is>
          <t>PERGC-FSFG-DTC-27-01</t>
        </is>
      </c>
      <c r="P271" t="inlineStr">
        <is>
          <t>CJ DETECTOR GAS FIRE AREA Q25WA</t>
        </is>
      </c>
      <c r="Q271" t="n">
        <v>8</v>
      </c>
      <c r="R271" t="inlineStr">
        <is>
          <t>PLANO</t>
        </is>
      </c>
      <c r="S271" t="inlineStr">
        <is>
          <t>Z08</t>
        </is>
      </c>
      <c r="T271" s="20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F272" s="20" t="n">
        <v>46313</v>
      </c>
      <c r="G272" t="n">
        <v>5</v>
      </c>
      <c r="H272" t="n">
        <v>3</v>
      </c>
      <c r="I272" s="20" t="n">
        <v>46313</v>
      </c>
      <c r="J272" t="n">
        <v>4385875</v>
      </c>
      <c r="K272" t="n">
        <v>10</v>
      </c>
      <c r="L272" t="inlineStr">
        <is>
          <t>INS</t>
        </is>
      </c>
      <c r="M272" t="inlineStr">
        <is>
          <t>INS-1312 INSP INS DETECTOR GAS</t>
        </is>
      </c>
      <c r="N272" t="inlineStr">
        <is>
          <t>INSP DETECT GAS CH4 INS-1312 INS 3M</t>
        </is>
      </c>
      <c r="O272" t="inlineStr">
        <is>
          <t>PERGC-FSFG-DTC-31-01</t>
        </is>
      </c>
      <c r="P272" t="inlineStr">
        <is>
          <t>CJ DETECTOR GAS FIRE AREA S10E</t>
        </is>
      </c>
      <c r="Q272" t="n">
        <v>8</v>
      </c>
      <c r="R272" t="inlineStr">
        <is>
          <t>PLANO</t>
        </is>
      </c>
      <c r="S272" t="inlineStr">
        <is>
          <t>Z09</t>
        </is>
      </c>
      <c r="T272" s="20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F273" s="20" t="n">
        <v>46323</v>
      </c>
      <c r="G273" t="n">
        <v>5</v>
      </c>
      <c r="H273" t="n">
        <v>3</v>
      </c>
      <c r="I273" s="20" t="n">
        <v>46323</v>
      </c>
      <c r="J273" t="n">
        <v>4386604</v>
      </c>
      <c r="K273" t="n">
        <v>10</v>
      </c>
      <c r="L273" t="inlineStr">
        <is>
          <t>INS</t>
        </is>
      </c>
      <c r="M273" t="inlineStr">
        <is>
          <t>PTF-1306 TEST FUNC INS DETECTOR GAS</t>
        </is>
      </c>
      <c r="N273" t="inlineStr">
        <is>
          <t>TEST FUNC DETECT GAS CH4 PTF-1306 INS 6M</t>
        </is>
      </c>
      <c r="O273" t="inlineStr">
        <is>
          <t>PERGC-FSFG-DTC-31-01</t>
        </is>
      </c>
      <c r="P273" t="inlineStr">
        <is>
          <t>CJ DETECTOR GAS FIRE AREA S10E</t>
        </is>
      </c>
      <c r="Q273" t="n">
        <v>8</v>
      </c>
      <c r="R273" t="inlineStr">
        <is>
          <t>PLANO</t>
        </is>
      </c>
      <c r="S273" t="inlineStr">
        <is>
          <t>Z08</t>
        </is>
      </c>
      <c r="T273" s="20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F274" s="20" t="n">
        <v>46311</v>
      </c>
      <c r="G274" t="n">
        <v>5</v>
      </c>
      <c r="H274" t="n">
        <v>3</v>
      </c>
      <c r="I274" s="20" t="n">
        <v>46311</v>
      </c>
      <c r="J274" t="n">
        <v>4385869</v>
      </c>
      <c r="K274" t="n">
        <v>10</v>
      </c>
      <c r="L274" t="inlineStr">
        <is>
          <t>INS</t>
        </is>
      </c>
      <c r="M274" t="inlineStr">
        <is>
          <t>PTF-1310 TEST FUNC INS DETECTOR FUMACA</t>
        </is>
      </c>
      <c r="N274" t="inlineStr">
        <is>
          <t>TEST FUNC DETECT FUMACA PTF-1310 INS 1A</t>
        </is>
      </c>
      <c r="O274" t="inlineStr">
        <is>
          <t>PERGC-FSFG-DTC-33-04</t>
        </is>
      </c>
      <c r="P274" t="inlineStr">
        <is>
          <t>CJ DETECTOR FUMACA FIRE AREA S20CA</t>
        </is>
      </c>
      <c r="Q274" t="n">
        <v>8</v>
      </c>
      <c r="R274" t="inlineStr">
        <is>
          <t>PLANO</t>
        </is>
      </c>
      <c r="S274" t="inlineStr">
        <is>
          <t>Z08</t>
        </is>
      </c>
      <c r="T274" s="20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F275" s="20" t="n">
        <v>46316</v>
      </c>
      <c r="G275" t="n">
        <v>5</v>
      </c>
      <c r="H275" t="n">
        <v>3</v>
      </c>
      <c r="I275" s="20" t="n">
        <v>46316</v>
      </c>
      <c r="J275" t="n">
        <v>4386480</v>
      </c>
      <c r="K275" t="n">
        <v>10</v>
      </c>
      <c r="L275" t="inlineStr">
        <is>
          <t>AUT</t>
        </is>
      </c>
      <c r="M275" t="inlineStr">
        <is>
          <t>INS-1016 INSP AUT SISTEMA PAGA</t>
        </is>
      </c>
      <c r="N275" t="inlineStr">
        <is>
          <t>INSP SISTEMA PAGA INS-1016 AUT 6M</t>
        </is>
      </c>
      <c r="O275" t="inlineStr">
        <is>
          <t>PERGC-FSFG-DTC-33-07</t>
        </is>
      </c>
      <c r="P275" t="inlineStr">
        <is>
          <t>CJ SINALIZACAO FIRE AREA S20CA</t>
        </is>
      </c>
      <c r="Q275" t="n">
        <v>2</v>
      </c>
      <c r="R275" t="inlineStr">
        <is>
          <t>PLANO</t>
        </is>
      </c>
      <c r="S275" t="inlineStr">
        <is>
          <t>Z09</t>
        </is>
      </c>
      <c r="T275" s="20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F276" s="20" t="n">
        <v>46311</v>
      </c>
      <c r="G276" t="n">
        <v>5</v>
      </c>
      <c r="H276" t="n">
        <v>3</v>
      </c>
      <c r="I276" s="20" t="n">
        <v>46311</v>
      </c>
      <c r="J276" t="n">
        <v>4386420</v>
      </c>
      <c r="K276" t="n">
        <v>10</v>
      </c>
      <c r="L276" t="inlineStr">
        <is>
          <t>INS</t>
        </is>
      </c>
      <c r="M276" t="inlineStr">
        <is>
          <t>INS-1312 INSP INS DETECTOR GAS</t>
        </is>
      </c>
      <c r="N276" t="inlineStr">
        <is>
          <t>INSP DETECT GAS CH4 INS-1312 INS 3M</t>
        </is>
      </c>
      <c r="O276" t="inlineStr">
        <is>
          <t>PERGC-FSFG-DTC-44-01</t>
        </is>
      </c>
      <c r="P276" t="inlineStr">
        <is>
          <t>CJ DETECTOR GAS FIRE AREA W150</t>
        </is>
      </c>
      <c r="Q276" t="n">
        <v>8</v>
      </c>
      <c r="R276" t="inlineStr">
        <is>
          <t>PLANO</t>
        </is>
      </c>
      <c r="S276" t="inlineStr">
        <is>
          <t>Z09</t>
        </is>
      </c>
      <c r="T276" s="20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F277" s="20" t="n">
        <v>46313</v>
      </c>
      <c r="G277" t="n">
        <v>5</v>
      </c>
      <c r="H277" t="n">
        <v>3</v>
      </c>
      <c r="I277" s="20" t="n">
        <v>46313</v>
      </c>
      <c r="J277" t="n">
        <v>4385876</v>
      </c>
      <c r="K277" t="n">
        <v>10</v>
      </c>
      <c r="L277" t="inlineStr">
        <is>
          <t>INS</t>
        </is>
      </c>
      <c r="M277" t="inlineStr">
        <is>
          <t>INS-1312 INSP INS DETECTOR GAS</t>
        </is>
      </c>
      <c r="N277" t="inlineStr">
        <is>
          <t>INSP DETECT GAS CH4 INS-1312 INS 3M</t>
        </is>
      </c>
      <c r="O277" t="inlineStr">
        <is>
          <t>PERGC-FSFG-DTC-45-01</t>
        </is>
      </c>
      <c r="P277" t="inlineStr">
        <is>
          <t>CJ DETECTOR GAS FIRE AREA W20C</t>
        </is>
      </c>
      <c r="Q277" t="n">
        <v>8</v>
      </c>
      <c r="R277" t="inlineStr">
        <is>
          <t>PLANO</t>
        </is>
      </c>
      <c r="S277" t="inlineStr">
        <is>
          <t>Z09</t>
        </is>
      </c>
      <c r="T277" s="20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F278" s="20" t="n">
        <v>46324</v>
      </c>
      <c r="G278" t="n">
        <v>5</v>
      </c>
      <c r="H278" t="n">
        <v>3</v>
      </c>
      <c r="I278" s="20" t="n">
        <v>46325</v>
      </c>
      <c r="J278" t="n">
        <v>4385923</v>
      </c>
      <c r="K278" t="n">
        <v>10</v>
      </c>
      <c r="L278" t="inlineStr">
        <is>
          <t>INS</t>
        </is>
      </c>
      <c r="M278" t="inlineStr">
        <is>
          <t>PTF-1306 TEST FUNC INS DETECTOR GAS</t>
        </is>
      </c>
      <c r="N278" t="inlineStr">
        <is>
          <t>TEST FUNC DETECT GAS CH4 PTF-1306 INS 6M</t>
        </is>
      </c>
      <c r="O278" t="inlineStr">
        <is>
          <t>PERGC-FSFG-DTC-45-01</t>
        </is>
      </c>
      <c r="P278" t="inlineStr">
        <is>
          <t>CJ DETECTOR GAS FIRE AREA W20C</t>
        </is>
      </c>
      <c r="Q278" t="n">
        <v>8</v>
      </c>
      <c r="R278" t="inlineStr">
        <is>
          <t>PLANO</t>
        </is>
      </c>
      <c r="S278" t="inlineStr">
        <is>
          <t>Z08</t>
        </is>
      </c>
      <c r="T278" s="20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F279" s="20" t="n">
        <v>46313</v>
      </c>
      <c r="G279" t="n">
        <v>5</v>
      </c>
      <c r="H279" t="n">
        <v>3</v>
      </c>
      <c r="I279" s="20" t="n">
        <v>46313</v>
      </c>
      <c r="J279" t="n">
        <v>4386435</v>
      </c>
      <c r="K279" t="n">
        <v>10</v>
      </c>
      <c r="L279" t="inlineStr">
        <is>
          <t>INS</t>
        </is>
      </c>
      <c r="M279" t="inlineStr">
        <is>
          <t>PCL-1308 CALIB INS DETECTOR GAS</t>
        </is>
      </c>
      <c r="N279" t="inlineStr">
        <is>
          <t>CALIB DETECT GAS CH4 PCL-1308 INS 1A</t>
        </is>
      </c>
      <c r="O279" t="inlineStr">
        <is>
          <t>PERGC-FSFG-DTC-45-01</t>
        </is>
      </c>
      <c r="P279" t="inlineStr">
        <is>
          <t>CJ DETECTOR GAS FIRE AREA W20C</t>
        </is>
      </c>
      <c r="Q279" t="n">
        <v>8</v>
      </c>
      <c r="R279" t="inlineStr">
        <is>
          <t>PLANO</t>
        </is>
      </c>
      <c r="S279" t="inlineStr">
        <is>
          <t>Z04</t>
        </is>
      </c>
      <c r="T279" s="20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F280" s="20" t="n">
        <v>46317</v>
      </c>
      <c r="G280" t="n">
        <v>5</v>
      </c>
      <c r="H280" t="n">
        <v>3</v>
      </c>
      <c r="I280" s="20" t="n">
        <v>46317</v>
      </c>
      <c r="J280" t="n">
        <v>4386503</v>
      </c>
      <c r="K280" t="n">
        <v>10</v>
      </c>
      <c r="L280" t="inlineStr">
        <is>
          <t>INS</t>
        </is>
      </c>
      <c r="M280" t="inlineStr">
        <is>
          <t>INS-1312 INSP INS DETECTOR GAS</t>
        </is>
      </c>
      <c r="N280" t="inlineStr">
        <is>
          <t>INSP DETECT GAS CH4 INS-1312 INS 3M</t>
        </is>
      </c>
      <c r="O280" t="inlineStr">
        <is>
          <t>PERGC-FSFG-DTC-47-01</t>
        </is>
      </c>
      <c r="P280" t="inlineStr">
        <is>
          <t>CJ DETECTOR GAS FIRE AREA W20W</t>
        </is>
      </c>
      <c r="Q280" t="n">
        <v>8</v>
      </c>
      <c r="R280" t="inlineStr">
        <is>
          <t>PLANO</t>
        </is>
      </c>
      <c r="S280" t="inlineStr">
        <is>
          <t>Z09</t>
        </is>
      </c>
      <c r="T280" s="20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F281" s="20" t="n">
        <v>46320</v>
      </c>
      <c r="G281" t="n">
        <v>5</v>
      </c>
      <c r="H281" t="n">
        <v>3</v>
      </c>
      <c r="I281" s="20" t="n">
        <v>46320</v>
      </c>
      <c r="J281" t="n">
        <v>4386557</v>
      </c>
      <c r="K281" t="n">
        <v>10</v>
      </c>
      <c r="L281" t="inlineStr">
        <is>
          <t>INS</t>
        </is>
      </c>
      <c r="M281" t="inlineStr">
        <is>
          <t>PTF-1306 TEST FUNC INS DETECTOR GAS</t>
        </is>
      </c>
      <c r="N281" t="inlineStr">
        <is>
          <t>TEST FUNC DETECT GAS CH4 PTF-1306 INS 6M</t>
        </is>
      </c>
      <c r="O281" t="inlineStr">
        <is>
          <t>PERGC-FSFG-DTC-48-01</t>
        </is>
      </c>
      <c r="P281" t="inlineStr">
        <is>
          <t>CJ DETECTOR GAS FIRE AREA W25C</t>
        </is>
      </c>
      <c r="Q281" t="n">
        <v>8</v>
      </c>
      <c r="R281" t="inlineStr">
        <is>
          <t>PLANO</t>
        </is>
      </c>
      <c r="S281" t="inlineStr">
        <is>
          <t>Z08</t>
        </is>
      </c>
      <c r="T281" s="20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F282" s="20" t="n">
        <v>46319</v>
      </c>
      <c r="G282" t="n">
        <v>5</v>
      </c>
      <c r="H282" t="n">
        <v>3</v>
      </c>
      <c r="I282" s="20" t="n">
        <v>46319</v>
      </c>
      <c r="J282" t="n">
        <v>4386541</v>
      </c>
      <c r="K282" t="n">
        <v>10</v>
      </c>
      <c r="L282" t="inlineStr">
        <is>
          <t>INS</t>
        </is>
      </c>
      <c r="M282" t="inlineStr">
        <is>
          <t>INS-1312 INSP INS DETECTOR GAS</t>
        </is>
      </c>
      <c r="N282" t="inlineStr">
        <is>
          <t>INSP DETECT GAS CH4 INS-1312 INS 3M</t>
        </is>
      </c>
      <c r="O282" t="inlineStr">
        <is>
          <t>PERGC-FSFG-DTC-54-01</t>
        </is>
      </c>
      <c r="P282" t="inlineStr">
        <is>
          <t>CJ DETECTOR GAS FIRE AREA DFZ001</t>
        </is>
      </c>
      <c r="Q282" t="n">
        <v>8</v>
      </c>
      <c r="R282" t="inlineStr">
        <is>
          <t>PLANO</t>
        </is>
      </c>
      <c r="S282" t="inlineStr">
        <is>
          <t>Z09</t>
        </is>
      </c>
      <c r="T282" s="20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F283" s="20" t="n">
        <v>46323</v>
      </c>
      <c r="G283" t="n">
        <v>5</v>
      </c>
      <c r="H283" t="n">
        <v>3</v>
      </c>
      <c r="I283" s="20" t="n">
        <v>46323</v>
      </c>
      <c r="J283" t="n">
        <v>4386605</v>
      </c>
      <c r="K283" t="n">
        <v>10</v>
      </c>
      <c r="L283" t="inlineStr">
        <is>
          <t>INS</t>
        </is>
      </c>
      <c r="M283" t="inlineStr">
        <is>
          <t>INS-1312 INSP INS DETECTOR GAS</t>
        </is>
      </c>
      <c r="N283" t="inlineStr">
        <is>
          <t>INSP DETECT GAS CH4 INS-1312 INS 3M</t>
        </is>
      </c>
      <c r="O283" t="inlineStr">
        <is>
          <t>PERGC-FSFG-DTC-57-01</t>
        </is>
      </c>
      <c r="P283" t="inlineStr">
        <is>
          <t>CJ DETECTOR GAS FIRE AREA DFZ004</t>
        </is>
      </c>
      <c r="Q283" t="n">
        <v>8</v>
      </c>
      <c r="R283" t="inlineStr">
        <is>
          <t>PLANO</t>
        </is>
      </c>
      <c r="S283" t="inlineStr">
        <is>
          <t>Z09</t>
        </is>
      </c>
      <c r="T283" s="20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F284" s="20" t="n">
        <v>46324</v>
      </c>
      <c r="G284" t="n">
        <v>5</v>
      </c>
      <c r="H284" t="n">
        <v>3</v>
      </c>
      <c r="I284" s="20" t="n">
        <v>46325</v>
      </c>
      <c r="J284" t="n">
        <v>4385924</v>
      </c>
      <c r="K284" t="n">
        <v>10</v>
      </c>
      <c r="L284" t="inlineStr">
        <is>
          <t>INS</t>
        </is>
      </c>
      <c r="M284" t="inlineStr">
        <is>
          <t>PTF-1306 TEST FUNC INS DETECTOR GAS</t>
        </is>
      </c>
      <c r="N284" t="inlineStr">
        <is>
          <t>TEST FUNC DETECT GAS CH4 PTF-1306 INS 6M</t>
        </is>
      </c>
      <c r="O284" t="inlineStr">
        <is>
          <t>PERGC-FSFG-DTC-58-01</t>
        </is>
      </c>
      <c r="P284" t="inlineStr">
        <is>
          <t>CJ DETECTOR GAS FIRE AREA DFZ005</t>
        </is>
      </c>
      <c r="Q284" t="n">
        <v>8</v>
      </c>
      <c r="R284" t="inlineStr">
        <is>
          <t>PLANO</t>
        </is>
      </c>
      <c r="S284" t="inlineStr">
        <is>
          <t>Z08</t>
        </is>
      </c>
      <c r="T284" s="20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F285" s="20" t="n">
        <v>46321</v>
      </c>
      <c r="G285" t="n">
        <v>5</v>
      </c>
      <c r="H285" t="n">
        <v>3</v>
      </c>
      <c r="I285" s="20" t="n">
        <v>46321</v>
      </c>
      <c r="J285" t="n">
        <v>4386576</v>
      </c>
      <c r="K285" t="n">
        <v>10</v>
      </c>
      <c r="L285" t="inlineStr">
        <is>
          <t>INS</t>
        </is>
      </c>
      <c r="M285" t="inlineStr">
        <is>
          <t>INS-1313 INSP INS DETECTOR FUMACA</t>
        </is>
      </c>
      <c r="N285" t="inlineStr">
        <is>
          <t>INSP DETECT FUMACA INS-1313 INS 6M</t>
        </is>
      </c>
      <c r="O285" t="inlineStr">
        <is>
          <t>PERGC-FSFG-DTC-59-04</t>
        </is>
      </c>
      <c r="P285" t="inlineStr">
        <is>
          <t>CJ DETECTOR FUMACA FIRE AREA DFZ006</t>
        </is>
      </c>
      <c r="Q285" t="n">
        <v>8</v>
      </c>
      <c r="R285" t="inlineStr">
        <is>
          <t>PLANO</t>
        </is>
      </c>
      <c r="S285" t="inlineStr">
        <is>
          <t>Z09</t>
        </is>
      </c>
      <c r="T285" s="20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F286" s="20" t="n">
        <v>46321</v>
      </c>
      <c r="G286" t="n">
        <v>5</v>
      </c>
      <c r="H286" t="n">
        <v>3</v>
      </c>
      <c r="I286" s="20" t="n">
        <v>46321</v>
      </c>
      <c r="J286" t="n">
        <v>4385909</v>
      </c>
      <c r="K286" t="n">
        <v>10</v>
      </c>
      <c r="L286" t="inlineStr">
        <is>
          <t>INS</t>
        </is>
      </c>
      <c r="M286" t="inlineStr">
        <is>
          <t>PCL-1308 CALIB INS DETECTOR GAS</t>
        </is>
      </c>
      <c r="N286" t="inlineStr">
        <is>
          <t>CALIB DETECT GAS CH4 PCL-1308 INS 1A</t>
        </is>
      </c>
      <c r="O286" t="inlineStr">
        <is>
          <t>PERGC-FSFG-DTC-62-01</t>
        </is>
      </c>
      <c r="P286" t="inlineStr">
        <is>
          <t>CJ DETECTOR GAS FIRE AREA DFZ403</t>
        </is>
      </c>
      <c r="Q286" t="n">
        <v>8</v>
      </c>
      <c r="R286" t="inlineStr">
        <is>
          <t>PLANO</t>
        </is>
      </c>
      <c r="S286" t="inlineStr">
        <is>
          <t>Z04</t>
        </is>
      </c>
      <c r="T286" s="20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F287" s="20" t="n">
        <v>46314</v>
      </c>
      <c r="G287" t="n">
        <v>5</v>
      </c>
      <c r="H287" t="n">
        <v>3</v>
      </c>
      <c r="I287" s="20" t="n">
        <v>46314</v>
      </c>
      <c r="J287" t="n">
        <v>4385880</v>
      </c>
      <c r="K287" t="n">
        <v>10</v>
      </c>
      <c r="L287" t="inlineStr">
        <is>
          <t>INS</t>
        </is>
      </c>
      <c r="M287" t="inlineStr">
        <is>
          <t>PTF-1306 TEST FUNC INS DETECTOR GAS</t>
        </is>
      </c>
      <c r="N287" t="inlineStr">
        <is>
          <t>TEST FUNC DETECT GAS CH4 PTF-1306 INS 6M</t>
        </is>
      </c>
      <c r="O287" t="inlineStr">
        <is>
          <t>PERGC-FSFG-DTC-66-01</t>
        </is>
      </c>
      <c r="P287" t="inlineStr">
        <is>
          <t>CJ DETECTOR GAS FIRE AREA DFZ407</t>
        </is>
      </c>
      <c r="Q287" t="n">
        <v>8</v>
      </c>
      <c r="R287" t="inlineStr">
        <is>
          <t>PLANO</t>
        </is>
      </c>
      <c r="S287" t="inlineStr">
        <is>
          <t>Z08</t>
        </is>
      </c>
      <c r="T287" s="20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F288" s="20" t="n">
        <v>46326</v>
      </c>
      <c r="G288" t="n">
        <v>5</v>
      </c>
      <c r="H288" t="n">
        <v>3</v>
      </c>
      <c r="I288" s="20" t="n">
        <v>46326</v>
      </c>
      <c r="J288" t="n">
        <v>4385925</v>
      </c>
      <c r="K288" t="n">
        <v>10</v>
      </c>
      <c r="L288" t="inlineStr">
        <is>
          <t>INS</t>
        </is>
      </c>
      <c r="M288" t="inlineStr">
        <is>
          <t>PTF-1306 TEST FUNC INS DETECTOR GAS</t>
        </is>
      </c>
      <c r="N288" t="inlineStr">
        <is>
          <t>TEST FUNC DETECT GAS CH4 PTF-1306 INS 6M</t>
        </is>
      </c>
      <c r="O288" t="inlineStr">
        <is>
          <t>PERGC-FSFG-DTC-70-01</t>
        </is>
      </c>
      <c r="P288" t="inlineStr">
        <is>
          <t>CJ DETECTOR GAS FIRE AREA DFZ504</t>
        </is>
      </c>
      <c r="Q288" t="n">
        <v>8</v>
      </c>
      <c r="R288" t="inlineStr">
        <is>
          <t>PLANO</t>
        </is>
      </c>
      <c r="S288" t="inlineStr">
        <is>
          <t>Z08</t>
        </is>
      </c>
      <c r="T288" s="20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F289" s="20" t="n">
        <v>46320</v>
      </c>
      <c r="G289" t="n">
        <v>5</v>
      </c>
      <c r="H289" t="n">
        <v>3</v>
      </c>
      <c r="I289" s="20" t="n">
        <v>46320</v>
      </c>
      <c r="J289" t="n">
        <v>4385905</v>
      </c>
      <c r="K289" t="n">
        <v>10</v>
      </c>
      <c r="L289" t="inlineStr">
        <is>
          <t>INS</t>
        </is>
      </c>
      <c r="M289" t="inlineStr">
        <is>
          <t>PTF-1310 TEST FUNC INS DETECTOR FUMACA</t>
        </is>
      </c>
      <c r="N289" t="inlineStr">
        <is>
          <t>TEST FUNC DETECT FUMACA PTF-1310 INS 1A</t>
        </is>
      </c>
      <c r="O289" t="inlineStr">
        <is>
          <t>PERGC-FSFG-DTC-70-04</t>
        </is>
      </c>
      <c r="P289" t="inlineStr">
        <is>
          <t>CJ DETECTOR FUMACA FIRE AREA DFZ504</t>
        </is>
      </c>
      <c r="Q289" t="n">
        <v>8</v>
      </c>
      <c r="R289" t="inlineStr">
        <is>
          <t>PLANO</t>
        </is>
      </c>
      <c r="S289" t="inlineStr">
        <is>
          <t>Z08</t>
        </is>
      </c>
      <c r="T289" s="20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F290" s="20" t="n">
        <v>46316</v>
      </c>
      <c r="G290" t="n">
        <v>5</v>
      </c>
      <c r="H290" t="n">
        <v>3</v>
      </c>
      <c r="I290" s="20" t="n">
        <v>46316</v>
      </c>
      <c r="J290" t="n">
        <v>4385891</v>
      </c>
      <c r="K290" t="n">
        <v>10</v>
      </c>
      <c r="L290" t="inlineStr">
        <is>
          <t>INS</t>
        </is>
      </c>
      <c r="M290" t="inlineStr">
        <is>
          <t>INS-1312 INSP INS DETECTOR GAS</t>
        </is>
      </c>
      <c r="N290" t="inlineStr">
        <is>
          <t>INSP DETECT GAS CH4 INS-1312 INS 3M</t>
        </is>
      </c>
      <c r="O290" t="inlineStr">
        <is>
          <t>PERGC-FSFG-DTC-79-01</t>
        </is>
      </c>
      <c r="P290" t="inlineStr">
        <is>
          <t>CJ DETECTOR GAS FIRE AREA DFZ701</t>
        </is>
      </c>
      <c r="Q290" t="n">
        <v>8</v>
      </c>
      <c r="R290" t="inlineStr">
        <is>
          <t>PLANO</t>
        </is>
      </c>
      <c r="S290" t="inlineStr">
        <is>
          <t>Z09</t>
        </is>
      </c>
      <c r="T290" s="20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F291" s="20" t="n">
        <v>46323</v>
      </c>
      <c r="G291" t="n">
        <v>5</v>
      </c>
      <c r="H291" t="n">
        <v>3</v>
      </c>
      <c r="I291" s="20" t="n">
        <v>46323</v>
      </c>
      <c r="J291" t="n">
        <v>4385921</v>
      </c>
      <c r="K291" t="n">
        <v>10</v>
      </c>
      <c r="L291" t="inlineStr">
        <is>
          <t>INS</t>
        </is>
      </c>
      <c r="M291" t="inlineStr">
        <is>
          <t>PTF-1306 TEST FUNC INS DETECTOR GAS</t>
        </is>
      </c>
      <c r="N291" t="inlineStr">
        <is>
          <t>TEST FUNC DETECT GAS CH4 PTF-1306 INS 6M</t>
        </is>
      </c>
      <c r="O291" t="inlineStr">
        <is>
          <t>PERGC-FSFG-DTC-79-01</t>
        </is>
      </c>
      <c r="P291" t="inlineStr">
        <is>
          <t>CJ DETECTOR GAS FIRE AREA DFZ701</t>
        </is>
      </c>
      <c r="Q291" t="n">
        <v>8</v>
      </c>
      <c r="R291" t="inlineStr">
        <is>
          <t>PLANO</t>
        </is>
      </c>
      <c r="S291" t="inlineStr">
        <is>
          <t>Z08</t>
        </is>
      </c>
      <c r="T291" s="20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F292" s="20" t="n">
        <v>46320</v>
      </c>
      <c r="G292" t="n">
        <v>5</v>
      </c>
      <c r="H292" t="n">
        <v>3</v>
      </c>
      <c r="I292" s="20" t="n">
        <v>46320</v>
      </c>
      <c r="J292" t="n">
        <v>4385906</v>
      </c>
      <c r="K292" t="n">
        <v>10</v>
      </c>
      <c r="L292" t="inlineStr">
        <is>
          <t>INS</t>
        </is>
      </c>
      <c r="M292" t="inlineStr">
        <is>
          <t>PCL-1308 CALIB INS DETECTOR GAS</t>
        </is>
      </c>
      <c r="N292" t="inlineStr">
        <is>
          <t>CALIB DETECT GAS CH4 PCL-1308 INS 1A</t>
        </is>
      </c>
      <c r="O292" t="inlineStr">
        <is>
          <t>PERGC-FSFG-DTC-80-01</t>
        </is>
      </c>
      <c r="P292" t="inlineStr">
        <is>
          <t>CJ DETECTOR GAS FIRE AREA DFZ702</t>
        </is>
      </c>
      <c r="Q292" t="n">
        <v>8</v>
      </c>
      <c r="R292" t="inlineStr">
        <is>
          <t>PLANO</t>
        </is>
      </c>
      <c r="S292" t="inlineStr">
        <is>
          <t>Z04</t>
        </is>
      </c>
      <c r="T292" s="20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F293" s="20" t="n">
        <v>46320</v>
      </c>
      <c r="G293" t="n">
        <v>5</v>
      </c>
      <c r="H293" t="n">
        <v>3</v>
      </c>
      <c r="I293" s="20" t="n">
        <v>46320</v>
      </c>
      <c r="J293" t="n">
        <v>4386558</v>
      </c>
      <c r="K293" t="n">
        <v>10</v>
      </c>
      <c r="L293" t="inlineStr">
        <is>
          <t>INS</t>
        </is>
      </c>
      <c r="M293" t="inlineStr">
        <is>
          <t>INS-1312 INSP INS DETECTOR GAS</t>
        </is>
      </c>
      <c r="N293" t="inlineStr">
        <is>
          <t>INSP DETECT GAS CH4 INS-1312 INS 3M</t>
        </is>
      </c>
      <c r="O293" t="inlineStr">
        <is>
          <t>PERGC-FSFG-DTC-81-01</t>
        </is>
      </c>
      <c r="P293" t="inlineStr">
        <is>
          <t>CJ DETECTOR GAS FIRE AREA DFZ703</t>
        </is>
      </c>
      <c r="Q293" t="n">
        <v>8</v>
      </c>
      <c r="R293" t="inlineStr">
        <is>
          <t>PLANO</t>
        </is>
      </c>
      <c r="S293" t="inlineStr">
        <is>
          <t>Z09</t>
        </is>
      </c>
      <c r="T293" s="20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F294" s="20" t="n">
        <v>46316</v>
      </c>
      <c r="G294" t="n">
        <v>5</v>
      </c>
      <c r="H294" t="n">
        <v>3</v>
      </c>
      <c r="I294" s="20" t="n">
        <v>46316</v>
      </c>
      <c r="J294" t="n">
        <v>4385892</v>
      </c>
      <c r="K294" t="n">
        <v>10</v>
      </c>
      <c r="L294" t="inlineStr">
        <is>
          <t>INS</t>
        </is>
      </c>
      <c r="M294" t="inlineStr">
        <is>
          <t>INS-1312 INSP INS DETECTOR GAS</t>
        </is>
      </c>
      <c r="N294" t="inlineStr">
        <is>
          <t>INSP DETECT GAS CH4 INS-1312 INS 3M</t>
        </is>
      </c>
      <c r="O294" t="inlineStr">
        <is>
          <t>PERGC-FSFG-DTC-82-01</t>
        </is>
      </c>
      <c r="P294" t="inlineStr">
        <is>
          <t>CJ DETECTOR GAS FIRE AREA DFZ704</t>
        </is>
      </c>
      <c r="Q294" t="n">
        <v>8</v>
      </c>
      <c r="R294" t="inlineStr">
        <is>
          <t>PLANO</t>
        </is>
      </c>
      <c r="S294" t="inlineStr">
        <is>
          <t>Z09</t>
        </is>
      </c>
      <c r="T294" s="20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F295" s="20" t="n">
        <v>46317</v>
      </c>
      <c r="G295" t="n">
        <v>5</v>
      </c>
      <c r="H295" t="n">
        <v>3</v>
      </c>
      <c r="I295" s="20" t="n">
        <v>46317</v>
      </c>
      <c r="J295" t="n">
        <v>4386504</v>
      </c>
      <c r="K295" t="n">
        <v>10</v>
      </c>
      <c r="L295" t="inlineStr">
        <is>
          <t>INS</t>
        </is>
      </c>
      <c r="M295" t="inlineStr">
        <is>
          <t>PTF-1306 TEST FUNC INS DETECTOR GAS</t>
        </is>
      </c>
      <c r="N295" t="inlineStr">
        <is>
          <t>TEST FUNC DETECT GAS CH4 PTF-1306 INS 6M</t>
        </is>
      </c>
      <c r="O295" t="inlineStr">
        <is>
          <t>PERGC-FSFG-DTC-82-01</t>
        </is>
      </c>
      <c r="P295" t="inlineStr">
        <is>
          <t>CJ DETECTOR GAS FIRE AREA DFZ704</t>
        </is>
      </c>
      <c r="Q295" t="n">
        <v>8</v>
      </c>
      <c r="R295" t="inlineStr">
        <is>
          <t>PLANO</t>
        </is>
      </c>
      <c r="S295" t="inlineStr">
        <is>
          <t>Z08</t>
        </is>
      </c>
      <c r="T295" s="20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F296" s="20" t="n">
        <v>46311</v>
      </c>
      <c r="G296" t="n">
        <v>5</v>
      </c>
      <c r="H296" t="n">
        <v>3</v>
      </c>
      <c r="I296" s="20" t="n">
        <v>46311</v>
      </c>
      <c r="J296" t="n">
        <v>4386419</v>
      </c>
      <c r="K296" t="n">
        <v>10</v>
      </c>
      <c r="L296" t="inlineStr">
        <is>
          <t>INS</t>
        </is>
      </c>
      <c r="M296" t="inlineStr">
        <is>
          <t>PTF-1306 TEST FUNC INS DETECTOR GAS</t>
        </is>
      </c>
      <c r="N296" t="inlineStr">
        <is>
          <t>TEST FUNC DETECT GAS CH4 PTF-1306 INS 6M</t>
        </is>
      </c>
      <c r="O296" t="inlineStr">
        <is>
          <t>PERGC-FSFG-DTC-87-01</t>
        </is>
      </c>
      <c r="P296" t="inlineStr">
        <is>
          <t>CJ DETECTOR GAS FIRE AREA DFZ709</t>
        </is>
      </c>
      <c r="Q296" t="n">
        <v>8</v>
      </c>
      <c r="R296" t="inlineStr">
        <is>
          <t>PLANO</t>
        </is>
      </c>
      <c r="S296" t="inlineStr">
        <is>
          <t>Z08</t>
        </is>
      </c>
      <c r="T296" s="20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F297" s="20" t="n">
        <v>46314</v>
      </c>
      <c r="G297" t="n">
        <v>2</v>
      </c>
      <c r="H297" t="n">
        <v>3</v>
      </c>
      <c r="I297" s="20" t="n">
        <v>46314</v>
      </c>
      <c r="J297" t="n">
        <v>4386455</v>
      </c>
      <c r="K297" t="n">
        <v>10</v>
      </c>
      <c r="L297" t="inlineStr">
        <is>
          <t>INS</t>
        </is>
      </c>
      <c r="M297" t="inlineStr">
        <is>
          <t>INS-1312 INSP INS DETECTOR GAS</t>
        </is>
      </c>
      <c r="N297" t="inlineStr">
        <is>
          <t>INSP DETECT GAS CH4 INS-1312 INS 3M</t>
        </is>
      </c>
      <c r="O297" t="inlineStr">
        <is>
          <t>PERGC-FSFG-DTC-89-01</t>
        </is>
      </c>
      <c r="P297" t="inlineStr">
        <is>
          <t>CJ DETECTOR GAS FIRE AREA DFZ711</t>
        </is>
      </c>
      <c r="Q297" t="n">
        <v>8</v>
      </c>
      <c r="R297" t="inlineStr">
        <is>
          <t>PLANO</t>
        </is>
      </c>
      <c r="S297" t="inlineStr">
        <is>
          <t>Z09</t>
        </is>
      </c>
      <c r="T297" s="20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F298" s="20" t="n">
        <v>46326</v>
      </c>
      <c r="G298" t="n">
        <v>2</v>
      </c>
      <c r="H298" t="n">
        <v>1</v>
      </c>
      <c r="I298" s="20" t="n">
        <v>46328</v>
      </c>
      <c r="J298" t="n">
        <v>4379543</v>
      </c>
      <c r="K298" t="n">
        <v>10</v>
      </c>
      <c r="L298" t="inlineStr">
        <is>
          <t>ELE</t>
        </is>
      </c>
      <c r="M298" t="inlineStr">
        <is>
          <t>INS-1206 INSP ELE BANCO BATERIAS</t>
        </is>
      </c>
      <c r="N298" t="inlineStr">
        <is>
          <t>INSP BATERIAS INS-1206 ELE 3M</t>
        </is>
      </c>
      <c r="O298" t="inlineStr">
        <is>
          <t>PERGC-FSGE-MGE-01-01</t>
        </is>
      </c>
      <c r="P298" t="inlineStr">
        <is>
          <t>84EZ001 SKID GERADOR EMERGENCIA</t>
        </is>
      </c>
      <c r="Q298" t="n">
        <v>2.5</v>
      </c>
      <c r="R298" t="inlineStr">
        <is>
          <t>PLANO</t>
        </is>
      </c>
      <c r="S298" t="inlineStr">
        <is>
          <t>Z09</t>
        </is>
      </c>
      <c r="T298" s="20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F299" s="20" t="n">
        <v>46311</v>
      </c>
      <c r="G299" t="n">
        <v>2</v>
      </c>
      <c r="H299" t="n">
        <v>1</v>
      </c>
      <c r="I299" s="20" t="n">
        <v>46311</v>
      </c>
      <c r="J299" t="n">
        <v>4391240</v>
      </c>
      <c r="K299" t="n">
        <v>10</v>
      </c>
      <c r="L299" t="inlineStr">
        <is>
          <t>ELE</t>
        </is>
      </c>
      <c r="M299" t="inlineStr">
        <is>
          <t>PTF-1203 TEST FUNC ELE GERADOR</t>
        </is>
      </c>
      <c r="N299" t="inlineStr">
        <is>
          <t>TEST FUNC GERADOR PTF-1203 ELE 1S</t>
        </is>
      </c>
      <c r="O299" t="inlineStr">
        <is>
          <t>PERGC-FSGE-MGE-01-04-01</t>
        </is>
      </c>
      <c r="P299" t="inlineStr">
        <is>
          <t>84EG001 GERADOR DIESEL</t>
        </is>
      </c>
      <c r="Q299" t="n">
        <v>2</v>
      </c>
      <c r="R299" t="inlineStr">
        <is>
          <t>PLANO</t>
        </is>
      </c>
      <c r="S299" t="inlineStr">
        <is>
          <t>Z08</t>
        </is>
      </c>
      <c r="T299" s="20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F300" s="20" t="n">
        <v>46318</v>
      </c>
      <c r="G300" t="n">
        <v>2</v>
      </c>
      <c r="H300" t="n">
        <v>1</v>
      </c>
      <c r="I300" s="20" t="n">
        <v>46318</v>
      </c>
      <c r="J300" t="n">
        <v>4392939</v>
      </c>
      <c r="K300" t="n">
        <v>10</v>
      </c>
      <c r="L300" t="inlineStr">
        <is>
          <t>ELE</t>
        </is>
      </c>
      <c r="M300" t="inlineStr">
        <is>
          <t>PTF-1203 TEST FUNC ELE GERADOR</t>
        </is>
      </c>
      <c r="N300" t="inlineStr">
        <is>
          <t>TEST FUNC GERADOR PTF-1203 ELE 1S</t>
        </is>
      </c>
      <c r="O300" t="inlineStr">
        <is>
          <t>PERGC-FSGE-MGE-01-04-01</t>
        </is>
      </c>
      <c r="P300" t="inlineStr">
        <is>
          <t>84EG001 GERADOR DIESEL</t>
        </is>
      </c>
      <c r="Q300" t="n">
        <v>2</v>
      </c>
      <c r="R300" t="inlineStr">
        <is>
          <t>PLANO</t>
        </is>
      </c>
      <c r="S300" t="inlineStr">
        <is>
          <t>Z08</t>
        </is>
      </c>
      <c r="T300" s="20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F301" s="20" t="n">
        <v>46324</v>
      </c>
      <c r="G301" t="n">
        <v>5</v>
      </c>
      <c r="H301" t="n">
        <v>1</v>
      </c>
      <c r="I301" s="20" t="n">
        <v>46325</v>
      </c>
      <c r="J301" t="n">
        <v>4394271</v>
      </c>
      <c r="K301" t="n">
        <v>10</v>
      </c>
      <c r="L301" t="inlineStr">
        <is>
          <t>ELE</t>
        </is>
      </c>
      <c r="M301" t="inlineStr">
        <is>
          <t>PTF-1203 TEST FUNC ELE GERADOR</t>
        </is>
      </c>
      <c r="N301" t="inlineStr">
        <is>
          <t>TEST FUNC GERADOR PTF-1203 ELE 1S</t>
        </is>
      </c>
      <c r="O301" t="inlineStr">
        <is>
          <t>PERGC-FSGE-MGE-01-04-01</t>
        </is>
      </c>
      <c r="P301" t="inlineStr">
        <is>
          <t>84EG001 GERADOR DIESEL</t>
        </is>
      </c>
      <c r="Q301" t="n">
        <v>2</v>
      </c>
      <c r="R301" t="inlineStr">
        <is>
          <t>PLANO</t>
        </is>
      </c>
      <c r="S301" t="inlineStr">
        <is>
          <t>Z08</t>
        </is>
      </c>
      <c r="T301" s="20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F302" s="20" t="n">
        <v>46313</v>
      </c>
      <c r="G302" t="n">
        <v>3</v>
      </c>
      <c r="H302" t="n">
        <v>3</v>
      </c>
      <c r="I302" s="20" t="n">
        <v>46313</v>
      </c>
      <c r="J302" t="n">
        <v>4385874</v>
      </c>
      <c r="K302" t="n">
        <v>10</v>
      </c>
      <c r="L302" t="inlineStr">
        <is>
          <t>INS</t>
        </is>
      </c>
      <c r="M302" t="inlineStr">
        <is>
          <t>PTF-1314 LUBR MEC 6M PREP TEST FUNC</t>
        </is>
      </c>
      <c r="N302" t="inlineStr">
        <is>
          <t>TEST FUNC DAMPER PTF-1314 INS 1A</t>
        </is>
      </c>
      <c r="O302" t="inlineStr">
        <is>
          <t>PERGC-FSGE-MGE-01-25-04</t>
        </is>
      </c>
      <c r="P302" t="inlineStr">
        <is>
          <t>CJ FIRE DAMPER 84GM002</t>
        </is>
      </c>
      <c r="Q302" t="n">
        <v>2</v>
      </c>
      <c r="R302" t="inlineStr">
        <is>
          <t>PLANO</t>
        </is>
      </c>
      <c r="S302" t="inlineStr">
        <is>
          <t>Z08</t>
        </is>
      </c>
      <c r="T302" s="20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F303" s="20" t="n">
        <v>46320</v>
      </c>
      <c r="G303" t="n">
        <v>5</v>
      </c>
      <c r="H303" t="n">
        <v>2</v>
      </c>
      <c r="I303" s="20" t="n">
        <v>46320</v>
      </c>
      <c r="J303" t="n">
        <v>4386542</v>
      </c>
      <c r="K303" t="n">
        <v>10</v>
      </c>
      <c r="L303" t="inlineStr">
        <is>
          <t>MEC</t>
        </is>
      </c>
      <c r="M303" t="inlineStr">
        <is>
          <t>INSP CILINDRO N2/H2O INS-1550 MEC 1M</t>
        </is>
      </c>
      <c r="N303" t="inlineStr">
        <is>
          <t>INSP CILINDRO N2/H2O INS-1550 MEC 1M</t>
        </is>
      </c>
      <c r="O303" t="inlineStr">
        <is>
          <t>PERGC-FSGE-MGE-01-28-07-01</t>
        </is>
      </c>
      <c r="P303" t="inlineStr">
        <is>
          <t>84CN001 CILINDRO N2</t>
        </is>
      </c>
      <c r="Q303" t="n">
        <v>1</v>
      </c>
      <c r="R303" t="inlineStr">
        <is>
          <t>PLANO</t>
        </is>
      </c>
      <c r="S303" t="inlineStr">
        <is>
          <t>Z09</t>
        </is>
      </c>
      <c r="T303" s="20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F304" s="20" t="n">
        <v>46321</v>
      </c>
      <c r="G304" t="n">
        <v>5</v>
      </c>
      <c r="H304" t="n">
        <v>3</v>
      </c>
      <c r="I304" s="20" t="n">
        <v>46321</v>
      </c>
      <c r="J304" t="n">
        <v>4386563</v>
      </c>
      <c r="K304" t="n">
        <v>10</v>
      </c>
      <c r="L304" t="inlineStr">
        <is>
          <t>MEC</t>
        </is>
      </c>
      <c r="M304" t="inlineStr">
        <is>
          <t>INS-1500 INSP OPM VISUAL BOMBA</t>
        </is>
      </c>
      <c r="N304" t="inlineStr">
        <is>
          <t>INSP VISUAL BOMBA INS-1500 MEC 1M</t>
        </is>
      </c>
      <c r="O304" t="inlineStr">
        <is>
          <t>PERGC-FSGP-GTG-01-13-01</t>
        </is>
      </c>
      <c r="P304" t="inlineStr">
        <is>
          <t>CJ BOMBAS LUBRIFICACAO OLEO SINTETICO</t>
        </is>
      </c>
      <c r="Q304" t="n">
        <v>1</v>
      </c>
      <c r="R304" t="inlineStr">
        <is>
          <t>PLANO</t>
        </is>
      </c>
      <c r="S304" t="inlineStr">
        <is>
          <t>Z09</t>
        </is>
      </c>
      <c r="T304" s="20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F305" s="20" t="n">
        <v>46311</v>
      </c>
      <c r="G305" t="n">
        <v>5</v>
      </c>
      <c r="H305" t="n">
        <v>3</v>
      </c>
      <c r="I305" s="20" t="n">
        <v>46311</v>
      </c>
      <c r="J305" t="n">
        <v>4386412</v>
      </c>
      <c r="K305" t="n">
        <v>10</v>
      </c>
      <c r="L305" t="inlineStr">
        <is>
          <t>PRO</t>
        </is>
      </c>
      <c r="M305" t="inlineStr">
        <is>
          <t>INS-1813 INSP PRO FILTRO</t>
        </is>
      </c>
      <c r="N305" t="inlineStr">
        <is>
          <t>INSP FILTRO INS-1813 PRO 4M</t>
        </is>
      </c>
      <c r="O305" t="inlineStr">
        <is>
          <t>PERGC-FSGP-GTG-01-16</t>
        </is>
      </c>
      <c r="P305" t="inlineStr">
        <is>
          <t>CJ CONSOLE OLEO SINTETICO TRAIN A</t>
        </is>
      </c>
      <c r="Q305" t="n">
        <v>3</v>
      </c>
      <c r="R305" t="inlineStr">
        <is>
          <t>PLANO</t>
        </is>
      </c>
      <c r="S305" t="inlineStr">
        <is>
          <t>Z09</t>
        </is>
      </c>
      <c r="T305" s="20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F306" s="20" t="n">
        <v>46311</v>
      </c>
      <c r="G306" t="n">
        <v>3</v>
      </c>
      <c r="H306" t="n">
        <v>3</v>
      </c>
      <c r="I306" s="20" t="n">
        <v>46311</v>
      </c>
      <c r="J306" t="n">
        <v>4385866</v>
      </c>
      <c r="K306" t="n">
        <v>10</v>
      </c>
      <c r="L306" t="inlineStr">
        <is>
          <t>PRO</t>
        </is>
      </c>
      <c r="M306" t="inlineStr">
        <is>
          <t>INS-1813 INSP PRO FILTRO</t>
        </is>
      </c>
      <c r="N306" t="inlineStr">
        <is>
          <t>INSP FILTRO INS-1813 PRO 4M</t>
        </is>
      </c>
      <c r="O306" t="inlineStr">
        <is>
          <t>PERGC-FSGP-GTG-01-22</t>
        </is>
      </c>
      <c r="P306" t="inlineStr">
        <is>
          <t>CJ SISTEMA PARTIDA HIDRAULICA TRAIN A</t>
        </is>
      </c>
      <c r="Q306" t="n">
        <v>3</v>
      </c>
      <c r="R306" t="inlineStr">
        <is>
          <t>PLANO</t>
        </is>
      </c>
      <c r="S306" t="inlineStr">
        <is>
          <t>Z09</t>
        </is>
      </c>
      <c r="T306" s="20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F307" s="20" t="n">
        <v>46320</v>
      </c>
      <c r="G307" t="n">
        <v>5</v>
      </c>
      <c r="H307" t="n">
        <v>2</v>
      </c>
      <c r="I307" s="20" t="n">
        <v>46320</v>
      </c>
      <c r="J307" t="n">
        <v>4386649</v>
      </c>
      <c r="K307" t="n">
        <v>10</v>
      </c>
      <c r="L307" t="inlineStr">
        <is>
          <t>PRO</t>
        </is>
      </c>
      <c r="M307" t="inlineStr">
        <is>
          <t>INS-1813 INSP PRO FILTRO</t>
        </is>
      </c>
      <c r="N307" t="inlineStr">
        <is>
          <t>INSP FILTRO INS-1813 PRO 4M</t>
        </is>
      </c>
      <c r="O307" t="inlineStr">
        <is>
          <t>PERGC-FSGP-GTG-01-28-19-01</t>
        </is>
      </c>
      <c r="P307" t="inlineStr">
        <is>
          <t>SI-0093 FILTRO</t>
        </is>
      </c>
      <c r="Q307" t="n">
        <v>3</v>
      </c>
      <c r="R307" t="inlineStr">
        <is>
          <t>PLANO</t>
        </is>
      </c>
      <c r="S307" t="inlineStr">
        <is>
          <t>Z09</t>
        </is>
      </c>
      <c r="T307" s="20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F308" s="20" t="n">
        <v>46320</v>
      </c>
      <c r="G308" t="n">
        <v>5</v>
      </c>
      <c r="H308" t="n">
        <v>3</v>
      </c>
      <c r="I308" s="20" t="n">
        <v>46320</v>
      </c>
      <c r="J308" t="n">
        <v>4385900</v>
      </c>
      <c r="K308" t="n">
        <v>10</v>
      </c>
      <c r="L308" t="inlineStr">
        <is>
          <t>ELE</t>
        </is>
      </c>
      <c r="M308" t="inlineStr">
        <is>
          <t>PTF-1301 TEST FUNC INS BOTOEIRAS</t>
        </is>
      </c>
      <c r="N308" t="inlineStr">
        <is>
          <t>TEST FUNC BOTOEIRAS PTF-1301 INS 6M</t>
        </is>
      </c>
      <c r="O308" t="inlineStr">
        <is>
          <t>PERGC-FSGP-GTG-01-37</t>
        </is>
      </c>
      <c r="P308" t="inlineStr">
        <is>
          <t>CJ SIST COMB A INCENDIO (WATER MIST) A</t>
        </is>
      </c>
      <c r="Q308" t="n">
        <v>4</v>
      </c>
      <c r="R308" t="inlineStr">
        <is>
          <t>PLANO</t>
        </is>
      </c>
      <c r="S308" t="inlineStr">
        <is>
          <t>Z08</t>
        </is>
      </c>
      <c r="T308" s="20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F309" s="20" t="n">
        <v>46315</v>
      </c>
      <c r="G309" t="n">
        <v>3</v>
      </c>
      <c r="H309" t="n">
        <v>3</v>
      </c>
      <c r="I309" s="20" t="n">
        <v>46315</v>
      </c>
      <c r="J309" t="n">
        <v>4386460</v>
      </c>
      <c r="K309" t="n">
        <v>10</v>
      </c>
      <c r="L309" t="inlineStr">
        <is>
          <t>MEC</t>
        </is>
      </c>
      <c r="M309" t="inlineStr">
        <is>
          <t>INS-1500 INSP OPM VISUAL BOMBA</t>
        </is>
      </c>
      <c r="N309" t="inlineStr">
        <is>
          <t>INSP VISUAL BOMBA INS-1500 MEC 1M</t>
        </is>
      </c>
      <c r="O309" t="inlineStr">
        <is>
          <t>PERGC-FSGP-GTG-01-37-10</t>
        </is>
      </c>
      <c r="P309" t="inlineStr">
        <is>
          <t>72SM001-P01 BOMBA HIDRAULICA MANUAL</t>
        </is>
      </c>
      <c r="Q309" t="n">
        <v>1</v>
      </c>
      <c r="R309" t="inlineStr">
        <is>
          <t>PLANO</t>
        </is>
      </c>
      <c r="S309" t="inlineStr">
        <is>
          <t>Z09</t>
        </is>
      </c>
      <c r="T309" s="20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F310" s="20" t="n">
        <v>46318</v>
      </c>
      <c r="G310" t="n">
        <v>3</v>
      </c>
      <c r="H310" t="n">
        <v>2</v>
      </c>
      <c r="I310" s="20" t="n">
        <v>46318</v>
      </c>
      <c r="J310" t="n">
        <v>4385307</v>
      </c>
      <c r="K310" t="n">
        <v>10</v>
      </c>
      <c r="L310" t="inlineStr">
        <is>
          <t>ELE</t>
        </is>
      </c>
      <c r="M310" t="inlineStr">
        <is>
          <t>PSE-1812 MANUT PRO CONDE/TROC CALOR</t>
        </is>
      </c>
      <c r="N310" t="inlineStr">
        <is>
          <t>MANUT TROCADOR PSE-1812 PRO 1A</t>
        </is>
      </c>
      <c r="O310" t="inlineStr">
        <is>
          <t>PERGC-FSGP-GTG-04-07-10-04</t>
        </is>
      </c>
      <c r="P310" t="inlineStr">
        <is>
          <t>80EG001B-H02 AQUECEDOR ANTI CONDENSACAO</t>
        </is>
      </c>
      <c r="Q310" t="n">
        <v>1</v>
      </c>
      <c r="R310" t="inlineStr">
        <is>
          <t>PLANO</t>
        </is>
      </c>
      <c r="S310" t="inlineStr">
        <is>
          <t>Z12</t>
        </is>
      </c>
      <c r="T310" s="20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F311" s="20" t="n">
        <v>46317</v>
      </c>
      <c r="G311" t="n">
        <v>5</v>
      </c>
      <c r="H311" t="n">
        <v>2</v>
      </c>
      <c r="I311" s="20" t="n">
        <v>46317</v>
      </c>
      <c r="J311" t="n">
        <v>4389346</v>
      </c>
      <c r="K311" t="n">
        <v>10</v>
      </c>
      <c r="L311" t="inlineStr">
        <is>
          <t>MEC</t>
        </is>
      </c>
      <c r="M311" t="inlineStr">
        <is>
          <t>PLP-1501 MANUT MEC TURBINA GE</t>
        </is>
      </c>
      <c r="N311" t="inlineStr">
        <is>
          <t>MANUT TURBINA GE PLP-1501 MEC 2000 HRS</t>
        </is>
      </c>
      <c r="O311" t="inlineStr">
        <is>
          <t>PERGC-FSGP-GTG-04-10-01</t>
        </is>
      </c>
      <c r="P311" t="inlineStr">
        <is>
          <t>80EG001B-R01 TURBINA GAS (GG/PT)</t>
        </is>
      </c>
      <c r="Q311" t="n">
        <v>6</v>
      </c>
      <c r="R311" t="inlineStr">
        <is>
          <t>PLANO</t>
        </is>
      </c>
      <c r="S311" t="inlineStr">
        <is>
          <t>Z12</t>
        </is>
      </c>
      <c r="T311" s="20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F312" s="20" t="n">
        <v>46315</v>
      </c>
      <c r="G312" t="n">
        <v>5</v>
      </c>
      <c r="H312" t="n">
        <v>3</v>
      </c>
      <c r="I312" s="20" t="n">
        <v>46315</v>
      </c>
      <c r="J312" t="n">
        <v>4386462</v>
      </c>
      <c r="K312" t="n">
        <v>10</v>
      </c>
      <c r="L312" t="inlineStr">
        <is>
          <t>MEC</t>
        </is>
      </c>
      <c r="M312" t="inlineStr">
        <is>
          <t>INS-1500 INSP OPM VISUAL BOMBA</t>
        </is>
      </c>
      <c r="N312" t="inlineStr">
        <is>
          <t>INSP VISUAL BOMBA INS-1500 MEC 1M</t>
        </is>
      </c>
      <c r="O312" t="inlineStr">
        <is>
          <t>PERGC-FSGP-GTG-04-13-01</t>
        </is>
      </c>
      <c r="P312" t="inlineStr">
        <is>
          <t>CJ BOMBAS LUBRIFICACAO OLEO SINTETICO</t>
        </is>
      </c>
      <c r="Q312" t="n">
        <v>1</v>
      </c>
      <c r="R312" t="inlineStr">
        <is>
          <t>PLANO</t>
        </is>
      </c>
      <c r="S312" t="inlineStr">
        <is>
          <t>Z09</t>
        </is>
      </c>
      <c r="T312" s="20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F313" s="20" t="n">
        <v>46323</v>
      </c>
      <c r="G313" t="n">
        <v>3</v>
      </c>
      <c r="H313" t="n">
        <v>3</v>
      </c>
      <c r="I313" s="20" t="n">
        <v>46323</v>
      </c>
      <c r="J313" t="n">
        <v>4386601</v>
      </c>
      <c r="K313" t="n">
        <v>10</v>
      </c>
      <c r="L313" t="inlineStr">
        <is>
          <t>PRO</t>
        </is>
      </c>
      <c r="M313" t="inlineStr">
        <is>
          <t>INS-1813 INSP PRO FILTRO</t>
        </is>
      </c>
      <c r="N313" t="inlineStr">
        <is>
          <t>INSP FILTRO INS-1813 PRO 4M</t>
        </is>
      </c>
      <c r="O313" t="inlineStr">
        <is>
          <t>PERGC-FSGP-GTG-04-16</t>
        </is>
      </c>
      <c r="P313" t="inlineStr">
        <is>
          <t>CJ CONSOLE OLEO SINTETICO TRAIN B</t>
        </is>
      </c>
      <c r="Q313" t="n">
        <v>3</v>
      </c>
      <c r="R313" t="inlineStr">
        <is>
          <t>PLANO</t>
        </is>
      </c>
      <c r="S313" t="inlineStr">
        <is>
          <t>Z09</t>
        </is>
      </c>
      <c r="T313" s="20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F314" s="20" t="n">
        <v>46311</v>
      </c>
      <c r="G314" t="n">
        <v>3</v>
      </c>
      <c r="H314" t="n">
        <v>2</v>
      </c>
      <c r="I314" s="20" t="n">
        <v>46311</v>
      </c>
      <c r="J314" t="n">
        <v>4386643</v>
      </c>
      <c r="K314" t="n">
        <v>10</v>
      </c>
      <c r="L314" t="inlineStr">
        <is>
          <t>MEC</t>
        </is>
      </c>
      <c r="M314" t="inlineStr">
        <is>
          <t>INS-1500 INSP OPM VISUAL BOMBA</t>
        </is>
      </c>
      <c r="N314" t="inlineStr">
        <is>
          <t>INSP VISUAL BOMBA INS-1500 MEC 1M</t>
        </is>
      </c>
      <c r="O314" t="inlineStr">
        <is>
          <t>PERGC-FSGP-GTG-04-19-01-07-01</t>
        </is>
      </c>
      <c r="P314" t="inlineStr">
        <is>
          <t>80PX004 BOMBA LUBRIF AUXILIAR</t>
        </is>
      </c>
      <c r="Q314" t="n">
        <v>1</v>
      </c>
      <c r="R314" t="inlineStr">
        <is>
          <t>PLANO</t>
        </is>
      </c>
      <c r="S314" t="inlineStr">
        <is>
          <t>Z09</t>
        </is>
      </c>
      <c r="T314" s="20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F315" s="20" t="n">
        <v>46326</v>
      </c>
      <c r="G315" t="n">
        <v>3</v>
      </c>
      <c r="H315" t="n">
        <v>2</v>
      </c>
      <c r="I315" s="20" t="n">
        <v>46317</v>
      </c>
      <c r="J315" t="n">
        <v>4385356</v>
      </c>
      <c r="K315" t="n">
        <v>10</v>
      </c>
      <c r="L315" t="inlineStr">
        <is>
          <t>ELE</t>
        </is>
      </c>
      <c r="M315" t="inlineStr">
        <is>
          <t>PSE-1200 MANUT ELE MOTOR BT</t>
        </is>
      </c>
      <c r="N315" t="inlineStr">
        <is>
          <t>MANUT MOTOR BAIXA TENSAO PSE-1200 ELE 1A</t>
        </is>
      </c>
      <c r="O315" t="inlineStr">
        <is>
          <t>PERGC-FSGP-GTG-04-19-10-07</t>
        </is>
      </c>
      <c r="P315" t="inlineStr">
        <is>
          <t>80KF002-M01 MOTOR ELETRICO BLOWER</t>
        </is>
      </c>
      <c r="Q315" t="n">
        <v>4</v>
      </c>
      <c r="R315" t="inlineStr">
        <is>
          <t>PLANO</t>
        </is>
      </c>
      <c r="S315" t="inlineStr">
        <is>
          <t>Z12</t>
        </is>
      </c>
      <c r="T315" s="20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F316" s="20" t="n">
        <v>46318</v>
      </c>
      <c r="G316" t="n">
        <v>5</v>
      </c>
      <c r="H316" t="n">
        <v>2</v>
      </c>
      <c r="I316" s="20" t="n">
        <v>46318</v>
      </c>
      <c r="J316" t="n">
        <v>4386650</v>
      </c>
      <c r="K316" t="n">
        <v>10</v>
      </c>
      <c r="L316" t="inlineStr">
        <is>
          <t>ELE</t>
        </is>
      </c>
      <c r="M316" t="inlineStr">
        <is>
          <t>PSE-1200 MANUT ELE MOTOR BT</t>
        </is>
      </c>
      <c r="N316" t="inlineStr">
        <is>
          <t>MANUT MOTOR BAIXA TENSAO PSE-1200 ELE 1A</t>
        </is>
      </c>
      <c r="O316" t="inlineStr">
        <is>
          <t>PERGC-FSGP-GTG-04-34-10-04</t>
        </is>
      </c>
      <c r="P316" t="inlineStr">
        <is>
          <t>80KE002A-M01 MOTOR ELETRICO</t>
        </is>
      </c>
      <c r="Q316" t="n">
        <v>4</v>
      </c>
      <c r="R316" t="inlineStr">
        <is>
          <t>PLANO</t>
        </is>
      </c>
      <c r="S316" t="inlineStr">
        <is>
          <t>Z12</t>
        </is>
      </c>
      <c r="T316" s="20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F317" s="20" t="n">
        <v>46322</v>
      </c>
      <c r="G317" t="n">
        <v>5</v>
      </c>
      <c r="H317" t="n">
        <v>3</v>
      </c>
      <c r="I317" s="20" t="n">
        <v>46322</v>
      </c>
      <c r="J317" t="n">
        <v>4386583</v>
      </c>
      <c r="K317" t="n">
        <v>10</v>
      </c>
      <c r="L317" t="inlineStr">
        <is>
          <t>MEC</t>
        </is>
      </c>
      <c r="M317" t="inlineStr">
        <is>
          <t>INSP CILINDRO N2/H2O INS-1550 MEC 1M</t>
        </is>
      </c>
      <c r="N317" t="inlineStr">
        <is>
          <t>INSP CILINDRO N2 INS-1550 MEC 1M</t>
        </is>
      </c>
      <c r="O317" t="inlineStr">
        <is>
          <t>PERGC-FSGP-GTG-04-37</t>
        </is>
      </c>
      <c r="P317" t="inlineStr">
        <is>
          <t>CJ SIST COMB A INCENDIO (WATER MIST) B</t>
        </is>
      </c>
      <c r="Q317" t="n">
        <v>1</v>
      </c>
      <c r="R317" t="inlineStr">
        <is>
          <t>PLANO</t>
        </is>
      </c>
      <c r="S317" t="inlineStr">
        <is>
          <t>Z09</t>
        </is>
      </c>
      <c r="T317" s="20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F318" s="20" t="n">
        <v>46317</v>
      </c>
      <c r="G318" t="n">
        <v>5</v>
      </c>
      <c r="H318" t="n">
        <v>3</v>
      </c>
      <c r="I318" s="20" t="n">
        <v>46317</v>
      </c>
      <c r="J318" t="n">
        <v>4386485</v>
      </c>
      <c r="K318" t="n">
        <v>10</v>
      </c>
      <c r="L318" t="inlineStr">
        <is>
          <t>MEC</t>
        </is>
      </c>
      <c r="M318" t="inlineStr">
        <is>
          <t>INS-1500 INSP OPM VISUAL BOMBA</t>
        </is>
      </c>
      <c r="N318" t="inlineStr">
        <is>
          <t>INSP VISUAL BOMBA INS-1500 MEC 1M</t>
        </is>
      </c>
      <c r="O318" t="inlineStr">
        <is>
          <t>PERGC-FSGP-GTG-04-37-10</t>
        </is>
      </c>
      <c r="P318" t="inlineStr">
        <is>
          <t>72SM002-P01 BOMBA HIDRAULICA MANUAL</t>
        </is>
      </c>
      <c r="Q318" t="n">
        <v>1</v>
      </c>
      <c r="R318" t="inlineStr">
        <is>
          <t>PLANO</t>
        </is>
      </c>
      <c r="S318" t="inlineStr">
        <is>
          <t>Z09</t>
        </is>
      </c>
      <c r="T318" s="20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F319" s="20" t="n">
        <v>46324</v>
      </c>
      <c r="G319" t="n">
        <v>5</v>
      </c>
      <c r="H319" t="n">
        <v>3</v>
      </c>
      <c r="I319" s="20" t="n">
        <v>46317</v>
      </c>
      <c r="J319" t="n">
        <v>4385894</v>
      </c>
      <c r="K319" t="n">
        <v>10</v>
      </c>
      <c r="L319" t="inlineStr">
        <is>
          <t>ELE</t>
        </is>
      </c>
      <c r="M319" t="inlineStr">
        <is>
          <t>PSE-1812 MANUT PRO CONDE/TROC CALOR</t>
        </is>
      </c>
      <c r="N319" t="inlineStr">
        <is>
          <t>MANUT TROCADOR PSE-1812 PRO 1A</t>
        </is>
      </c>
      <c r="O319" t="inlineStr">
        <is>
          <t>PERGC-FSGP-GTG-07-07-04</t>
        </is>
      </c>
      <c r="P319" t="inlineStr">
        <is>
          <t>80FF005 AQUECEDOR SOLUCAO LAVAGEM</t>
        </is>
      </c>
      <c r="Q319" t="n">
        <v>1</v>
      </c>
      <c r="R319" t="inlineStr">
        <is>
          <t>PLANO</t>
        </is>
      </c>
      <c r="S319" t="inlineStr">
        <is>
          <t>Z12</t>
        </is>
      </c>
      <c r="T319" s="20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F320" s="20" t="n">
        <v>46320</v>
      </c>
      <c r="G320" t="n">
        <v>5</v>
      </c>
      <c r="H320" t="n">
        <v>3</v>
      </c>
      <c r="I320" s="20" t="n">
        <v>46320</v>
      </c>
      <c r="J320" t="n">
        <v>4386546</v>
      </c>
      <c r="K320" t="n">
        <v>10</v>
      </c>
      <c r="L320" t="inlineStr">
        <is>
          <t>MEC</t>
        </is>
      </c>
      <c r="M320" t="inlineStr">
        <is>
          <t>INS-1500 INSP OPM VISUAL BOMBA</t>
        </is>
      </c>
      <c r="N320" t="inlineStr">
        <is>
          <t>INSP VISUAL BOMBA INS-1500 MEC 1M</t>
        </is>
      </c>
      <c r="O320" t="inlineStr">
        <is>
          <t>PERGC-FSGP-GTG-07-10-01</t>
        </is>
      </c>
      <c r="P320" t="inlineStr">
        <is>
          <t>80PX009 BOMBA LAVAGEM</t>
        </is>
      </c>
      <c r="Q320" t="n">
        <v>1</v>
      </c>
      <c r="R320" t="inlineStr">
        <is>
          <t>PLANO</t>
        </is>
      </c>
      <c r="S320" t="inlineStr">
        <is>
          <t>Z09</t>
        </is>
      </c>
      <c r="T320" s="20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F321" s="20" t="n">
        <v>46312</v>
      </c>
      <c r="G321" t="n">
        <v>5</v>
      </c>
      <c r="H321" t="n">
        <v>2</v>
      </c>
      <c r="I321" s="20" t="n">
        <v>46312</v>
      </c>
      <c r="J321" t="n">
        <v>4391464</v>
      </c>
      <c r="K321" t="n">
        <v>10</v>
      </c>
      <c r="L321" t="inlineStr">
        <is>
          <t>MEC</t>
        </is>
      </c>
      <c r="M321" t="inlineStr">
        <is>
          <t>INSTRUÇÕES DE SEGURANÇA</t>
        </is>
      </c>
      <c r="N321" t="inlineStr">
        <is>
          <t>1M LUBRICATION PEDESTAL CRANE EAST</t>
        </is>
      </c>
      <c r="O321" t="inlineStr">
        <is>
          <t>PERGC-FSMC-GUI-01-01</t>
        </is>
      </c>
      <c r="P321" t="inlineStr">
        <is>
          <t>73MA001 GUINDASTE (CRANE) - EAST</t>
        </is>
      </c>
      <c r="Q321" t="n">
        <v>0</v>
      </c>
      <c r="R321" t="inlineStr">
        <is>
          <t>PLANO</t>
        </is>
      </c>
      <c r="S321" t="inlineStr">
        <is>
          <t>Z10</t>
        </is>
      </c>
      <c r="T321" s="20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F322" s="20" t="n">
        <v>46312</v>
      </c>
      <c r="G322" t="n">
        <v>5</v>
      </c>
      <c r="H322" t="n">
        <v>2</v>
      </c>
      <c r="I322" s="20" t="n">
        <v>46312</v>
      </c>
      <c r="J322" t="n">
        <v>4391464</v>
      </c>
      <c r="K322" t="n">
        <v>20</v>
      </c>
      <c r="L322" t="inlineStr">
        <is>
          <t>MEC</t>
        </is>
      </c>
      <c r="M322" t="inlineStr">
        <is>
          <t>LUBRIFICAÇÃO DO EIXO DE ACIONAMENTO</t>
        </is>
      </c>
      <c r="N322" t="inlineStr">
        <is>
          <t>1M LUBRICATION PEDESTAL CRANE EAST</t>
        </is>
      </c>
      <c r="O322" t="inlineStr">
        <is>
          <t>PERGC-FSMC-GUI-01-01</t>
        </is>
      </c>
      <c r="P322" t="inlineStr">
        <is>
          <t>73MA001 GUINDASTE (CRANE) - EAST</t>
        </is>
      </c>
      <c r="Q322" t="n">
        <v>1</v>
      </c>
      <c r="R322" t="inlineStr">
        <is>
          <t>PLANO</t>
        </is>
      </c>
      <c r="S322" t="inlineStr">
        <is>
          <t>Z10</t>
        </is>
      </c>
      <c r="T322" s="20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F323" s="20" t="n">
        <v>46312</v>
      </c>
      <c r="G323" t="n">
        <v>5</v>
      </c>
      <c r="H323" t="n">
        <v>2</v>
      </c>
      <c r="I323" s="20" t="n">
        <v>46312</v>
      </c>
      <c r="J323" t="n">
        <v>4391464</v>
      </c>
      <c r="K323" t="n">
        <v>30</v>
      </c>
      <c r="L323" t="inlineStr">
        <is>
          <t>MEC</t>
        </is>
      </c>
      <c r="M323" t="inlineStr">
        <is>
          <t>LUBRIFICAR RANHURA DO EIXO DE</t>
        </is>
      </c>
      <c r="N323" t="inlineStr">
        <is>
          <t>1M LUBRICATION PEDESTAL CRANE EAST</t>
        </is>
      </c>
      <c r="O323" t="inlineStr">
        <is>
          <t>PERGC-FSMC-GUI-01-01</t>
        </is>
      </c>
      <c r="P323" t="inlineStr">
        <is>
          <t>73MA001 GUINDASTE (CRANE) - EAST</t>
        </is>
      </c>
      <c r="Q323" t="n">
        <v>1</v>
      </c>
      <c r="R323" t="inlineStr">
        <is>
          <t>PLANO</t>
        </is>
      </c>
      <c r="S323" t="inlineStr">
        <is>
          <t>Z10</t>
        </is>
      </c>
      <c r="T323" s="20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F324" s="20" t="n">
        <v>46312</v>
      </c>
      <c r="G324" t="n">
        <v>5</v>
      </c>
      <c r="H324" t="n">
        <v>2</v>
      </c>
      <c r="I324" s="20" t="n">
        <v>46312</v>
      </c>
      <c r="J324" t="n">
        <v>4391464</v>
      </c>
      <c r="K324" t="n">
        <v>40</v>
      </c>
      <c r="L324" t="inlineStr">
        <is>
          <t>MEC</t>
        </is>
      </c>
      <c r="M324" t="inlineStr">
        <is>
          <t>LUBRIFICAÇÃO DAS DOBRADIÇAS</t>
        </is>
      </c>
      <c r="N324" t="inlineStr">
        <is>
          <t>1M LUBRICATION PEDESTAL CRANE EAST</t>
        </is>
      </c>
      <c r="O324" t="inlineStr">
        <is>
          <t>PERGC-FSMC-GUI-01-01</t>
        </is>
      </c>
      <c r="P324" t="inlineStr">
        <is>
          <t>73MA001 GUINDASTE (CRANE) - EAST</t>
        </is>
      </c>
      <c r="Q324" t="n">
        <v>1</v>
      </c>
      <c r="R324" t="inlineStr">
        <is>
          <t>PLANO</t>
        </is>
      </c>
      <c r="S324" t="inlineStr">
        <is>
          <t>Z10</t>
        </is>
      </c>
      <c r="T324" s="20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F325" s="20" t="n">
        <v>46312</v>
      </c>
      <c r="G325" t="n">
        <v>3</v>
      </c>
      <c r="H325" t="n">
        <v>2</v>
      </c>
      <c r="I325" s="20" t="n">
        <v>46312</v>
      </c>
      <c r="J325" t="n">
        <v>4391464</v>
      </c>
      <c r="K325" t="n">
        <v>50</v>
      </c>
      <c r="L325" t="inlineStr">
        <is>
          <t>MEC</t>
        </is>
      </c>
      <c r="M325" t="inlineStr">
        <is>
          <t>LUBRIFICAÇÃO DOS BRAÇOS DE MANUTENÇÃO</t>
        </is>
      </c>
      <c r="N325" t="inlineStr">
        <is>
          <t>1M LUBRICATION PEDESTAL CRANE EAST</t>
        </is>
      </c>
      <c r="O325" t="inlineStr">
        <is>
          <t>PERGC-FSMC-GUI-01-01</t>
        </is>
      </c>
      <c r="P325" t="inlineStr">
        <is>
          <t>73MA001 GUINDASTE (CRANE) - EAST</t>
        </is>
      </c>
      <c r="Q325" t="n">
        <v>1</v>
      </c>
      <c r="R325" t="inlineStr">
        <is>
          <t>PLANO</t>
        </is>
      </c>
      <c r="S325" t="inlineStr">
        <is>
          <t>Z10</t>
        </is>
      </c>
      <c r="T325" s="20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F326" s="20" t="n">
        <v>46313</v>
      </c>
      <c r="G326" t="n">
        <v>3</v>
      </c>
      <c r="H326" t="n">
        <v>2</v>
      </c>
      <c r="I326" s="20" t="n">
        <v>46313</v>
      </c>
      <c r="J326" t="n">
        <v>4386736</v>
      </c>
      <c r="K326" t="n">
        <v>10</v>
      </c>
      <c r="L326" t="inlineStr">
        <is>
          <t>ELE</t>
        </is>
      </c>
      <c r="M326" t="inlineStr">
        <is>
          <t>PSE-1213 MANUT ELE GUINDASTES</t>
        </is>
      </c>
      <c r="N326" t="inlineStr">
        <is>
          <t>MANUT GUINDASTES PSE-1213 ELE 1A</t>
        </is>
      </c>
      <c r="O326" t="inlineStr">
        <is>
          <t>PERGC-FSMC-GUI-04-01</t>
        </is>
      </c>
      <c r="P326" t="inlineStr">
        <is>
          <t>73MA002 GUINDASTE (CRANE) - WEST</t>
        </is>
      </c>
      <c r="Q326" t="n">
        <v>8</v>
      </c>
      <c r="R326" t="inlineStr">
        <is>
          <t>PLANO</t>
        </is>
      </c>
      <c r="S326" t="inlineStr">
        <is>
          <t>Z12</t>
        </is>
      </c>
      <c r="T326" s="20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F327" s="20" t="n">
        <v>46319</v>
      </c>
      <c r="G327" t="n">
        <v>3</v>
      </c>
      <c r="H327" t="n">
        <v>2</v>
      </c>
      <c r="I327" s="20" t="n">
        <v>46319</v>
      </c>
      <c r="J327" t="n">
        <v>4386526</v>
      </c>
      <c r="K327" t="n">
        <v>10</v>
      </c>
      <c r="L327" t="inlineStr">
        <is>
          <t>MEC</t>
        </is>
      </c>
      <c r="M327" t="inlineStr">
        <is>
          <t>INS-1500 INSP OPM VISUAL BOMBA</t>
        </is>
      </c>
      <c r="N327" t="inlineStr">
        <is>
          <t>INSP VISUAL BOMBA INS-1500 MEC 1M</t>
        </is>
      </c>
      <c r="O327" t="inlineStr">
        <is>
          <t>PERGC-FSOD-MBB-01-01</t>
        </is>
      </c>
      <c r="P327" t="inlineStr">
        <is>
          <t>62PA001A BOMBA TRANSFERENCIA DIESEL</t>
        </is>
      </c>
      <c r="Q327" t="n">
        <v>1</v>
      </c>
      <c r="R327" t="inlineStr">
        <is>
          <t>PLANO</t>
        </is>
      </c>
      <c r="S327" t="inlineStr">
        <is>
          <t>Z09</t>
        </is>
      </c>
      <c r="T327" s="20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F328" s="20" t="n">
        <v>46322</v>
      </c>
      <c r="G328" t="n">
        <v>3</v>
      </c>
      <c r="H328" t="n">
        <v>2</v>
      </c>
      <c r="I328" s="20" t="n">
        <v>46322</v>
      </c>
      <c r="J328" t="n">
        <v>4386581</v>
      </c>
      <c r="K328" t="n">
        <v>10</v>
      </c>
      <c r="L328" t="inlineStr">
        <is>
          <t>MEC</t>
        </is>
      </c>
      <c r="M328" t="inlineStr">
        <is>
          <t>INS-1500 INSP OPM VISUAL BOMBA</t>
        </is>
      </c>
      <c r="N328" t="inlineStr">
        <is>
          <t>INSP VISUAL BOMBA INS-1500 MEC 1M</t>
        </is>
      </c>
      <c r="O328" t="inlineStr">
        <is>
          <t>PERGC-FSOD-MBB-04-01</t>
        </is>
      </c>
      <c r="P328" t="inlineStr">
        <is>
          <t>62PA001B BOMBA TRANSFERENCIA DIESEL</t>
        </is>
      </c>
      <c r="Q328" t="n">
        <v>1</v>
      </c>
      <c r="R328" t="inlineStr">
        <is>
          <t>PLANO</t>
        </is>
      </c>
      <c r="S328" t="inlineStr">
        <is>
          <t>Z09</t>
        </is>
      </c>
      <c r="T328" s="20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F329" s="20" t="n">
        <v>46311</v>
      </c>
      <c r="G329" t="n">
        <v>5</v>
      </c>
      <c r="H329" t="n">
        <v>2</v>
      </c>
      <c r="I329" s="20" t="n">
        <v>46311</v>
      </c>
      <c r="J329" t="n">
        <v>4386408</v>
      </c>
      <c r="K329" t="n">
        <v>10</v>
      </c>
      <c r="L329" t="inlineStr">
        <is>
          <t>ELE</t>
        </is>
      </c>
      <c r="M329" t="inlineStr">
        <is>
          <t>PSE-1812 MANUT PRO CONDE/TROC CALOR</t>
        </is>
      </c>
      <c r="N329" t="inlineStr">
        <is>
          <t>MANUT CONDE/TROC CALOR PSE-1812 PRO 1A</t>
        </is>
      </c>
      <c r="O329" t="inlineStr">
        <is>
          <t>PERGC-FSOD-MBB-04-07</t>
        </is>
      </c>
      <c r="P329" t="inlineStr">
        <is>
          <t>62PA001B-M01-H01 AQUECEDOR MOTOR</t>
        </is>
      </c>
      <c r="Q329" t="n">
        <v>1</v>
      </c>
      <c r="R329" t="inlineStr">
        <is>
          <t>PLANO</t>
        </is>
      </c>
      <c r="S329" t="inlineStr">
        <is>
          <t>Z12</t>
        </is>
      </c>
      <c r="T329" s="20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F330" s="20" t="n">
        <v>46318</v>
      </c>
      <c r="G330" t="n">
        <v>5</v>
      </c>
      <c r="H330" t="n">
        <v>3</v>
      </c>
      <c r="I330" s="20" t="n">
        <v>46318</v>
      </c>
      <c r="J330" t="n">
        <v>4386520</v>
      </c>
      <c r="K330" t="n">
        <v>10</v>
      </c>
      <c r="L330" t="inlineStr">
        <is>
          <t>MEC</t>
        </is>
      </c>
      <c r="M330" t="inlineStr">
        <is>
          <t>INS-1500 INSP OPM VISUAL BOMBA</t>
        </is>
      </c>
      <c r="N330" t="inlineStr">
        <is>
          <t>INSP VISUAL BOMBA INS-1500 MEC 1M</t>
        </is>
      </c>
      <c r="O330" t="inlineStr">
        <is>
          <t>PERGC-FSOD-MBB-13-01-01</t>
        </is>
      </c>
      <c r="P330" t="inlineStr">
        <is>
          <t>62PA003A BOMBA TRANSF DIESEL TEMPORARIO</t>
        </is>
      </c>
      <c r="Q330" t="n">
        <v>1</v>
      </c>
      <c r="R330" t="inlineStr">
        <is>
          <t>PLANO</t>
        </is>
      </c>
      <c r="S330" t="inlineStr">
        <is>
          <t>Z09</t>
        </is>
      </c>
      <c r="T330" s="20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F331" s="20" t="n">
        <v>46320</v>
      </c>
      <c r="G331" t="n">
        <v>3</v>
      </c>
      <c r="H331" t="n">
        <v>3</v>
      </c>
      <c r="I331" s="20" t="n">
        <v>46320</v>
      </c>
      <c r="J331" t="n">
        <v>4385907</v>
      </c>
      <c r="K331" t="n">
        <v>10</v>
      </c>
      <c r="L331" t="inlineStr">
        <is>
          <t>MAR</t>
        </is>
      </c>
      <c r="M331" t="inlineStr">
        <is>
          <t>INS-1451 INSP MAR CARRETEL</t>
        </is>
      </c>
      <c r="N331" t="inlineStr">
        <is>
          <t>INSP CARRETEL INS-1451 MAR 6M</t>
        </is>
      </c>
      <c r="O331" t="inlineStr">
        <is>
          <t>PERGC-FSOD-REC-01-01-01</t>
        </is>
      </c>
      <c r="P331" t="inlineStr">
        <is>
          <t>DIESEL-01-MA CARRETEL CARREGAMENTO EAST</t>
        </is>
      </c>
      <c r="Q331" t="n">
        <v>4</v>
      </c>
      <c r="R331" t="inlineStr">
        <is>
          <t>PLANO</t>
        </is>
      </c>
      <c r="S331" t="inlineStr">
        <is>
          <t>Z09</t>
        </is>
      </c>
      <c r="T331" s="20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F332" s="20" t="n">
        <v>46311</v>
      </c>
      <c r="G332" t="n">
        <v>5</v>
      </c>
      <c r="H332" t="n">
        <v>2</v>
      </c>
      <c r="I332" s="20" t="n">
        <v>46311</v>
      </c>
      <c r="J332" t="n">
        <v>4386743</v>
      </c>
      <c r="K332" t="n">
        <v>10</v>
      </c>
      <c r="L332" t="inlineStr">
        <is>
          <t>MEC</t>
        </is>
      </c>
      <c r="M332" t="inlineStr">
        <is>
          <t>INS-1500 INSP OPM VISUAL BOMBA</t>
        </is>
      </c>
      <c r="N332" t="inlineStr">
        <is>
          <t>INSP VISUAL BOMBA INS-1500 MEC 1M</t>
        </is>
      </c>
      <c r="O332" t="inlineStr">
        <is>
          <t>PERGC-FSRA-MBB-01-04-01</t>
        </is>
      </c>
      <c r="P332" t="inlineStr">
        <is>
          <t>40PA001B BOMBA RESFRIAMENTO</t>
        </is>
      </c>
      <c r="Q332" t="n">
        <v>1</v>
      </c>
      <c r="R332" t="inlineStr">
        <is>
          <t>PLANO</t>
        </is>
      </c>
      <c r="S332" t="inlineStr">
        <is>
          <t>Z09</t>
        </is>
      </c>
      <c r="T332" s="20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F333" s="20" t="n">
        <v>46312</v>
      </c>
      <c r="G333" t="n">
        <v>2</v>
      </c>
      <c r="H333" t="n">
        <v>3</v>
      </c>
      <c r="I333" s="20" t="n">
        <v>46312</v>
      </c>
      <c r="J333" t="n">
        <v>4386430</v>
      </c>
      <c r="K333" t="n">
        <v>10</v>
      </c>
      <c r="L333" t="inlineStr">
        <is>
          <t>MAR</t>
        </is>
      </c>
      <c r="M333" t="inlineStr">
        <is>
          <t>INS-1410 INSP MAR EQUIP PIROTECNICOS</t>
        </is>
      </c>
      <c r="N333" t="inlineStr">
        <is>
          <t>INSP EQUIP PIROTECNICOS INS-1410 MAR 1M</t>
        </is>
      </c>
      <c r="O333" t="inlineStr">
        <is>
          <t>PERGC-FSSV-BEE</t>
        </is>
      </c>
      <c r="P333" t="inlineStr">
        <is>
          <t>BALEEIRAS</t>
        </is>
      </c>
      <c r="Q333" t="n">
        <v>0.2</v>
      </c>
      <c r="R333" t="inlineStr">
        <is>
          <t>PLANO</t>
        </is>
      </c>
      <c r="S333" t="inlineStr">
        <is>
          <t>Z09</t>
        </is>
      </c>
      <c r="T333" s="20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F334" s="20" t="n">
        <v>46315</v>
      </c>
      <c r="G334" t="n">
        <v>2</v>
      </c>
      <c r="H334" t="n">
        <v>1</v>
      </c>
      <c r="I334" s="20" t="n">
        <v>46315</v>
      </c>
      <c r="J334" t="n">
        <v>4355722</v>
      </c>
      <c r="K334" t="n">
        <v>10</v>
      </c>
      <c r="L334" t="inlineStr">
        <is>
          <t>MAR</t>
        </is>
      </c>
      <c r="M334" t="inlineStr">
        <is>
          <t>INS-1407 INSP MAR BALEEIRA</t>
        </is>
      </c>
      <c r="N334" t="inlineStr">
        <is>
          <t>INSP EQUIP BALEEIRA INS-1407 MAR 1M</t>
        </is>
      </c>
      <c r="O334" t="inlineStr">
        <is>
          <t>PERGC-FSSV-BEE-01-01</t>
        </is>
      </c>
      <c r="P334" t="inlineStr">
        <is>
          <t>76SA001 SURVIVAL CRAFT #1</t>
        </is>
      </c>
      <c r="Q334" t="n">
        <v>2</v>
      </c>
      <c r="R334" t="inlineStr">
        <is>
          <t>PLANO</t>
        </is>
      </c>
      <c r="S334" t="inlineStr">
        <is>
          <t>Z09</t>
        </is>
      </c>
      <c r="T334" s="20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F335" s="20" t="n">
        <v>46315</v>
      </c>
      <c r="G335" t="n">
        <v>2</v>
      </c>
      <c r="H335" t="n">
        <v>1</v>
      </c>
      <c r="I335" s="20" t="n">
        <v>46315</v>
      </c>
      <c r="J335" t="n">
        <v>4392009</v>
      </c>
      <c r="K335" t="n">
        <v>10</v>
      </c>
      <c r="L335" t="inlineStr">
        <is>
          <t>MAR</t>
        </is>
      </c>
      <c r="M335" t="inlineStr">
        <is>
          <t>INS-1400 INSP MAR BALEEIRA</t>
        </is>
      </c>
      <c r="N335" t="inlineStr">
        <is>
          <t>INSP BALEEIRA INS-1400 MAR 1S</t>
        </is>
      </c>
      <c r="O335" t="inlineStr">
        <is>
          <t>PERGC-FSSV-BEE-01-01</t>
        </is>
      </c>
      <c r="P335" t="inlineStr">
        <is>
          <t>76SA001 SURVIVAL CRAFT #1</t>
        </is>
      </c>
      <c r="Q335" t="n">
        <v>2.5</v>
      </c>
      <c r="R335" t="inlineStr">
        <is>
          <t>PLANO</t>
        </is>
      </c>
      <c r="S335" t="inlineStr">
        <is>
          <t>Z09</t>
        </is>
      </c>
      <c r="T335" s="20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F336" s="20" t="n">
        <v>46322</v>
      </c>
      <c r="G336" t="n">
        <v>3</v>
      </c>
      <c r="H336" t="n">
        <v>1</v>
      </c>
      <c r="I336" s="20" t="n">
        <v>46322</v>
      </c>
      <c r="J336" t="n">
        <v>4393630</v>
      </c>
      <c r="K336" t="n">
        <v>10</v>
      </c>
      <c r="L336" t="inlineStr">
        <is>
          <t>MAR</t>
        </is>
      </c>
      <c r="M336" t="inlineStr">
        <is>
          <t>INS-1400 INSP MAR BALEEIRA</t>
        </is>
      </c>
      <c r="N336" t="inlineStr">
        <is>
          <t>INSP BALEEIRA INS-1400 MAR 1S</t>
        </is>
      </c>
      <c r="O336" t="inlineStr">
        <is>
          <t>PERGC-FSSV-BEE-01-01</t>
        </is>
      </c>
      <c r="P336" t="inlineStr">
        <is>
          <t>76SA001 SURVIVAL CRAFT #1</t>
        </is>
      </c>
      <c r="Q336" t="n">
        <v>2.5</v>
      </c>
      <c r="R336" t="inlineStr">
        <is>
          <t>PLANO</t>
        </is>
      </c>
      <c r="S336" t="inlineStr">
        <is>
          <t>Z09</t>
        </is>
      </c>
      <c r="T336" s="20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F337" s="20" t="n">
        <v>46320</v>
      </c>
      <c r="G337" t="n">
        <v>3</v>
      </c>
      <c r="H337" t="n">
        <v>2</v>
      </c>
      <c r="I337" s="20" t="n">
        <v>46320</v>
      </c>
      <c r="J337" t="n">
        <v>4386544</v>
      </c>
      <c r="K337" t="n">
        <v>10</v>
      </c>
      <c r="L337" t="inlineStr">
        <is>
          <t>MEC</t>
        </is>
      </c>
      <c r="M337" t="inlineStr">
        <is>
          <t>INS-1500 INSP OPM VISUAL BOMBA</t>
        </is>
      </c>
      <c r="N337" t="inlineStr">
        <is>
          <t>INSP VISUAL BOMBA INS-1500 MEC 1M</t>
        </is>
      </c>
      <c r="O337" t="inlineStr">
        <is>
          <t>PERGC-FSSV-BEE-01-13</t>
        </is>
      </c>
      <c r="P337" t="inlineStr">
        <is>
          <t>76PX001 SPRAY PUMP #1</t>
        </is>
      </c>
      <c r="Q337" t="n">
        <v>1</v>
      </c>
      <c r="R337" t="inlineStr">
        <is>
          <t>PLANO</t>
        </is>
      </c>
      <c r="S337" t="inlineStr">
        <is>
          <t>Z09</t>
        </is>
      </c>
      <c r="T337" s="20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F338" s="20" t="n">
        <v>46315</v>
      </c>
      <c r="G338" t="n">
        <v>3</v>
      </c>
      <c r="H338" t="n">
        <v>2</v>
      </c>
      <c r="I338" s="20" t="n">
        <v>46315</v>
      </c>
      <c r="J338" t="n">
        <v>4392005</v>
      </c>
      <c r="K338" t="n">
        <v>10</v>
      </c>
      <c r="L338" t="inlineStr">
        <is>
          <t>MAR</t>
        </is>
      </c>
      <c r="M338" t="inlineStr">
        <is>
          <t>INS-1401 INSP MAR TURCO BALEEIRA</t>
        </is>
      </c>
      <c r="N338" t="inlineStr">
        <is>
          <t>INSP TURCO BALEEIRA INS-1401 MAR 1S</t>
        </is>
      </c>
      <c r="O338" t="inlineStr">
        <is>
          <t>PERGC-FSSV-BEE-01-16</t>
        </is>
      </c>
      <c r="P338" t="inlineStr">
        <is>
          <t>76MK001 TURCO/GUINCHO Nº1</t>
        </is>
      </c>
      <c r="Q338" t="n">
        <v>1</v>
      </c>
      <c r="R338" t="inlineStr">
        <is>
          <t>PLANO</t>
        </is>
      </c>
      <c r="S338" t="inlineStr">
        <is>
          <t>Z09</t>
        </is>
      </c>
      <c r="T338" s="20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F339" s="20" t="n">
        <v>46322</v>
      </c>
      <c r="G339" t="n">
        <v>3</v>
      </c>
      <c r="H339" t="n">
        <v>2</v>
      </c>
      <c r="I339" s="20" t="n">
        <v>46322</v>
      </c>
      <c r="J339" t="n">
        <v>4393626</v>
      </c>
      <c r="K339" t="n">
        <v>10</v>
      </c>
      <c r="L339" t="inlineStr">
        <is>
          <t>MAR</t>
        </is>
      </c>
      <c r="M339" t="inlineStr">
        <is>
          <t>INS-1401 INSP MAR TURCO BALEEIRA</t>
        </is>
      </c>
      <c r="N339" t="inlineStr">
        <is>
          <t>INSP TURCO BALEEIRA INS-1401 MAR 1S</t>
        </is>
      </c>
      <c r="O339" t="inlineStr">
        <is>
          <t>PERGC-FSSV-BEE-01-16</t>
        </is>
      </c>
      <c r="P339" t="inlineStr">
        <is>
          <t>76MK001 TURCO/GUINCHO Nº1</t>
        </is>
      </c>
      <c r="Q339" t="n">
        <v>1</v>
      </c>
      <c r="R339" t="inlineStr">
        <is>
          <t>PLANO</t>
        </is>
      </c>
      <c r="S339" t="inlineStr">
        <is>
          <t>Z09</t>
        </is>
      </c>
      <c r="T339" s="20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F340" s="20" t="n">
        <v>46312</v>
      </c>
      <c r="G340" t="n">
        <v>2</v>
      </c>
      <c r="H340" t="n">
        <v>2</v>
      </c>
      <c r="I340" s="20" t="n">
        <v>46312</v>
      </c>
      <c r="J340" t="n">
        <v>4386421</v>
      </c>
      <c r="K340" t="n">
        <v>10</v>
      </c>
      <c r="L340" t="inlineStr">
        <is>
          <t>INS</t>
        </is>
      </c>
      <c r="M340" t="inlineStr">
        <is>
          <t>PTF-1301 TEST FUNC INS BOTOEIRAS</t>
        </is>
      </c>
      <c r="N340" t="inlineStr">
        <is>
          <t>TEST FUNC BOTOEIRAS PTF-1301 INS 6M</t>
        </is>
      </c>
      <c r="O340" t="inlineStr">
        <is>
          <t>PERGC-FSSV-BEE-01-22</t>
        </is>
      </c>
      <c r="P340" t="inlineStr">
        <is>
          <t>76MK001-M01-S01 BOTOEIRA EMERG/ICAMENTO</t>
        </is>
      </c>
      <c r="Q340" t="n">
        <v>0.5</v>
      </c>
      <c r="R340" t="inlineStr">
        <is>
          <t>PLANO</t>
        </is>
      </c>
      <c r="S340" t="inlineStr">
        <is>
          <t>Z08</t>
        </is>
      </c>
      <c r="T340" s="20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F341" s="20" t="n">
        <v>46315</v>
      </c>
      <c r="G341" t="n">
        <v>2</v>
      </c>
      <c r="H341" t="n">
        <v>1</v>
      </c>
      <c r="I341" s="20" t="n">
        <v>46315</v>
      </c>
      <c r="J341" t="n">
        <v>4355723</v>
      </c>
      <c r="K341" t="n">
        <v>10</v>
      </c>
      <c r="L341" t="inlineStr">
        <is>
          <t>MAR</t>
        </is>
      </c>
      <c r="M341" t="inlineStr">
        <is>
          <t>INS-1407 INSP MAR BALEEIRA</t>
        </is>
      </c>
      <c r="N341" t="inlineStr">
        <is>
          <t>INSP EQUIP BALEEIRA INS-1407 MAR 1M</t>
        </is>
      </c>
      <c r="O341" t="inlineStr">
        <is>
          <t>PERGC-FSSV-BEE-04-01</t>
        </is>
      </c>
      <c r="P341" t="inlineStr">
        <is>
          <t>76SA002 SURVIVAL CRAFT #2</t>
        </is>
      </c>
      <c r="Q341" t="n">
        <v>2</v>
      </c>
      <c r="R341" t="inlineStr">
        <is>
          <t>PLANO</t>
        </is>
      </c>
      <c r="S341" t="inlineStr">
        <is>
          <t>Z09</t>
        </is>
      </c>
      <c r="T341" s="20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F342" s="20" t="n">
        <v>46315</v>
      </c>
      <c r="G342" t="n">
        <v>2</v>
      </c>
      <c r="H342" t="n">
        <v>1</v>
      </c>
      <c r="I342" s="20" t="n">
        <v>46315</v>
      </c>
      <c r="J342" t="n">
        <v>4392010</v>
      </c>
      <c r="K342" t="n">
        <v>10</v>
      </c>
      <c r="L342" t="inlineStr">
        <is>
          <t>MAR</t>
        </is>
      </c>
      <c r="M342" t="inlineStr">
        <is>
          <t>INS-1400 INSP MAR BALEEIRA</t>
        </is>
      </c>
      <c r="N342" t="inlineStr">
        <is>
          <t>INSP BALEEIRA INS-1400 MAR 1S</t>
        </is>
      </c>
      <c r="O342" t="inlineStr">
        <is>
          <t>PERGC-FSSV-BEE-04-01</t>
        </is>
      </c>
      <c r="P342" t="inlineStr">
        <is>
          <t>76SA002 SURVIVAL CRAFT #2</t>
        </is>
      </c>
      <c r="Q342" t="n">
        <v>2.5</v>
      </c>
      <c r="R342" t="inlineStr">
        <is>
          <t>PLANO</t>
        </is>
      </c>
      <c r="S342" t="inlineStr">
        <is>
          <t>Z09</t>
        </is>
      </c>
      <c r="T342" s="20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F343" s="20" t="n">
        <v>46322</v>
      </c>
      <c r="G343" t="n">
        <v>3</v>
      </c>
      <c r="H343" t="n">
        <v>1</v>
      </c>
      <c r="I343" s="20" t="n">
        <v>46322</v>
      </c>
      <c r="J343" t="n">
        <v>4393631</v>
      </c>
      <c r="K343" t="n">
        <v>10</v>
      </c>
      <c r="L343" t="inlineStr">
        <is>
          <t>MAR</t>
        </is>
      </c>
      <c r="M343" t="inlineStr">
        <is>
          <t>INS-1400 INSP MAR BALEEIRA</t>
        </is>
      </c>
      <c r="N343" t="inlineStr">
        <is>
          <t>INSP BALEEIRA INS-1400 MAR 1S</t>
        </is>
      </c>
      <c r="O343" t="inlineStr">
        <is>
          <t>PERGC-FSSV-BEE-04-01</t>
        </is>
      </c>
      <c r="P343" t="inlineStr">
        <is>
          <t>76SA002 SURVIVAL CRAFT #2</t>
        </is>
      </c>
      <c r="Q343" t="n">
        <v>2.5</v>
      </c>
      <c r="R343" t="inlineStr">
        <is>
          <t>PLANO</t>
        </is>
      </c>
      <c r="S343" t="inlineStr">
        <is>
          <t>Z09</t>
        </is>
      </c>
      <c r="T343" s="20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F344" s="20" t="n">
        <v>46315</v>
      </c>
      <c r="G344" t="n">
        <v>3</v>
      </c>
      <c r="H344" t="n">
        <v>2</v>
      </c>
      <c r="I344" s="20" t="n">
        <v>46315</v>
      </c>
      <c r="J344" t="n">
        <v>4392006</v>
      </c>
      <c r="K344" t="n">
        <v>10</v>
      </c>
      <c r="L344" t="inlineStr">
        <is>
          <t>MAR</t>
        </is>
      </c>
      <c r="M344" t="inlineStr">
        <is>
          <t>INS-1401 INSP MAR TURCO BALEEIRA</t>
        </is>
      </c>
      <c r="N344" t="inlineStr">
        <is>
          <t>INSP TURCO BALEEIRA INS-1401 MAR 1S</t>
        </is>
      </c>
      <c r="O344" t="inlineStr">
        <is>
          <t>PERGC-FSSV-BEE-04-16</t>
        </is>
      </c>
      <c r="P344" t="inlineStr">
        <is>
          <t>76MK002 TURCO/GUINCHO Nº2</t>
        </is>
      </c>
      <c r="Q344" t="n">
        <v>1</v>
      </c>
      <c r="R344" t="inlineStr">
        <is>
          <t>PLANO</t>
        </is>
      </c>
      <c r="S344" t="inlineStr">
        <is>
          <t>Z09</t>
        </is>
      </c>
      <c r="T344" s="20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F345" s="20" t="n">
        <v>46322</v>
      </c>
      <c r="G345" t="n">
        <v>3</v>
      </c>
      <c r="H345" t="n">
        <v>2</v>
      </c>
      <c r="I345" s="20" t="n">
        <v>46322</v>
      </c>
      <c r="J345" t="n">
        <v>4393627</v>
      </c>
      <c r="K345" t="n">
        <v>10</v>
      </c>
      <c r="L345" t="inlineStr">
        <is>
          <t>MAR</t>
        </is>
      </c>
      <c r="M345" t="inlineStr">
        <is>
          <t>INS-1401 INSP MAR TURCO BALEEIRA</t>
        </is>
      </c>
      <c r="N345" t="inlineStr">
        <is>
          <t>INSP TURCO BALEEIRA INS-1401 MAR 1S</t>
        </is>
      </c>
      <c r="O345" t="inlineStr">
        <is>
          <t>PERGC-FSSV-BEE-04-16</t>
        </is>
      </c>
      <c r="P345" t="inlineStr">
        <is>
          <t>76MK002 TURCO/GUINCHO Nº2</t>
        </is>
      </c>
      <c r="Q345" t="n">
        <v>1</v>
      </c>
      <c r="R345" t="inlineStr">
        <is>
          <t>PLANO</t>
        </is>
      </c>
      <c r="S345" t="inlineStr">
        <is>
          <t>Z09</t>
        </is>
      </c>
      <c r="T345" s="20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F346" s="20" t="n">
        <v>46316</v>
      </c>
      <c r="G346" t="n">
        <v>2</v>
      </c>
      <c r="H346" t="n">
        <v>2</v>
      </c>
      <c r="I346" s="20" t="n">
        <v>46316</v>
      </c>
      <c r="J346" t="n">
        <v>4386473</v>
      </c>
      <c r="K346" t="n">
        <v>10</v>
      </c>
      <c r="L346" t="inlineStr">
        <is>
          <t>ELE</t>
        </is>
      </c>
      <c r="M346" t="inlineStr">
        <is>
          <t>PSE-1200 MANUT ELE MOTOR BT</t>
        </is>
      </c>
      <c r="N346" t="inlineStr">
        <is>
          <t>MANUT MOTOR BAIXA TENSAO PSE-1200 ELE 1A</t>
        </is>
      </c>
      <c r="O346" t="inlineStr">
        <is>
          <t>PERGC-FSSV-BEE-04-19</t>
        </is>
      </c>
      <c r="P346" t="inlineStr">
        <is>
          <t>76MK002-M01 MOTOR TURCO/GUINCHO Nº2</t>
        </is>
      </c>
      <c r="Q346" t="n">
        <v>4</v>
      </c>
      <c r="R346" t="inlineStr">
        <is>
          <t>PLANO</t>
        </is>
      </c>
      <c r="S346" t="inlineStr">
        <is>
          <t>Z12</t>
        </is>
      </c>
      <c r="T346" s="20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F347" s="20" t="n">
        <v>46315</v>
      </c>
      <c r="G347" t="n">
        <v>2</v>
      </c>
      <c r="H347" t="n">
        <v>1</v>
      </c>
      <c r="I347" s="20" t="n">
        <v>46315</v>
      </c>
      <c r="J347" t="n">
        <v>4355724</v>
      </c>
      <c r="K347" t="n">
        <v>10</v>
      </c>
      <c r="L347" t="inlineStr">
        <is>
          <t>MAR</t>
        </is>
      </c>
      <c r="M347" t="inlineStr">
        <is>
          <t>INS-1407 INSP MAR BALEEIRA</t>
        </is>
      </c>
      <c r="N347" t="inlineStr">
        <is>
          <t>INSP EQUIP BALEEIRA INS-1407 MAR 1M</t>
        </is>
      </c>
      <c r="O347" t="inlineStr">
        <is>
          <t>PERGC-FSSV-BEE-07-01</t>
        </is>
      </c>
      <c r="P347" t="inlineStr">
        <is>
          <t>76SA003 SURVIVAL CRAFT #3</t>
        </is>
      </c>
      <c r="Q347" t="n">
        <v>2</v>
      </c>
      <c r="R347" t="inlineStr">
        <is>
          <t>PLANO</t>
        </is>
      </c>
      <c r="S347" t="inlineStr">
        <is>
          <t>Z09</t>
        </is>
      </c>
      <c r="T347" s="20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F348" s="20" t="n">
        <v>46315</v>
      </c>
      <c r="G348" t="n">
        <v>2</v>
      </c>
      <c r="H348" t="n">
        <v>1</v>
      </c>
      <c r="I348" s="20" t="n">
        <v>46315</v>
      </c>
      <c r="J348" t="n">
        <v>4392011</v>
      </c>
      <c r="K348" t="n">
        <v>10</v>
      </c>
      <c r="L348" t="inlineStr">
        <is>
          <t>MAR</t>
        </is>
      </c>
      <c r="M348" t="inlineStr">
        <is>
          <t>INS-1400 INSP MAR BALEEIRA</t>
        </is>
      </c>
      <c r="N348" t="inlineStr">
        <is>
          <t>INSP BALEEIRA INS-1400 MAR 1S</t>
        </is>
      </c>
      <c r="O348" t="inlineStr">
        <is>
          <t>PERGC-FSSV-BEE-07-01</t>
        </is>
      </c>
      <c r="P348" t="inlineStr">
        <is>
          <t>76SA003 SURVIVAL CRAFT #3</t>
        </is>
      </c>
      <c r="Q348" t="n">
        <v>2.5</v>
      </c>
      <c r="R348" t="inlineStr">
        <is>
          <t>PLANO</t>
        </is>
      </c>
      <c r="S348" t="inlineStr">
        <is>
          <t>Z09</t>
        </is>
      </c>
      <c r="T348" s="20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F349" s="20" t="n">
        <v>46322</v>
      </c>
      <c r="G349" t="n">
        <v>3</v>
      </c>
      <c r="H349" t="n">
        <v>1</v>
      </c>
      <c r="I349" s="20" t="n">
        <v>46322</v>
      </c>
      <c r="J349" t="n">
        <v>4393632</v>
      </c>
      <c r="K349" t="n">
        <v>10</v>
      </c>
      <c r="L349" t="inlineStr">
        <is>
          <t>MAR</t>
        </is>
      </c>
      <c r="M349" t="inlineStr">
        <is>
          <t>INS-1400 INSP MAR BALEEIRA</t>
        </is>
      </c>
      <c r="N349" t="inlineStr">
        <is>
          <t>INSP BALEEIRA INS-1400 MAR 1S</t>
        </is>
      </c>
      <c r="O349" t="inlineStr">
        <is>
          <t>PERGC-FSSV-BEE-07-01</t>
        </is>
      </c>
      <c r="P349" t="inlineStr">
        <is>
          <t>76SA003 SURVIVAL CRAFT #3</t>
        </is>
      </c>
      <c r="Q349" t="n">
        <v>2.5</v>
      </c>
      <c r="R349" t="inlineStr">
        <is>
          <t>PLANO</t>
        </is>
      </c>
      <c r="S349" t="inlineStr">
        <is>
          <t>Z09</t>
        </is>
      </c>
      <c r="T349" s="20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F350" s="20" t="n">
        <v>46315</v>
      </c>
      <c r="G350" t="n">
        <v>3</v>
      </c>
      <c r="H350" t="n">
        <v>2</v>
      </c>
      <c r="I350" s="20" t="n">
        <v>46315</v>
      </c>
      <c r="J350" t="n">
        <v>4392007</v>
      </c>
      <c r="K350" t="n">
        <v>10</v>
      </c>
      <c r="L350" t="inlineStr">
        <is>
          <t>MAR</t>
        </is>
      </c>
      <c r="M350" t="inlineStr">
        <is>
          <t>INS-1401 INSP MAR TURCO BALEEIRA</t>
        </is>
      </c>
      <c r="N350" t="inlineStr">
        <is>
          <t>INSP TURCO BALEEIRA INS-1401 MAR 1S</t>
        </is>
      </c>
      <c r="O350" t="inlineStr">
        <is>
          <t>PERGC-FSSV-BEE-07-16</t>
        </is>
      </c>
      <c r="P350" t="inlineStr">
        <is>
          <t>76MK003 TURCO/GUINCHO Nº3</t>
        </is>
      </c>
      <c r="Q350" t="n">
        <v>1</v>
      </c>
      <c r="R350" t="inlineStr">
        <is>
          <t>PLANO</t>
        </is>
      </c>
      <c r="S350" t="inlineStr">
        <is>
          <t>Z09</t>
        </is>
      </c>
      <c r="T350" s="20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F351" s="20" t="n">
        <v>46322</v>
      </c>
      <c r="G351" t="n">
        <v>3</v>
      </c>
      <c r="H351" t="n">
        <v>2</v>
      </c>
      <c r="I351" s="20" t="n">
        <v>46322</v>
      </c>
      <c r="J351" t="n">
        <v>4393628</v>
      </c>
      <c r="K351" t="n">
        <v>10</v>
      </c>
      <c r="L351" t="inlineStr">
        <is>
          <t>MAR</t>
        </is>
      </c>
      <c r="M351" t="inlineStr">
        <is>
          <t>INS-1401 INSP MAR TURCO BALEEIRA</t>
        </is>
      </c>
      <c r="N351" t="inlineStr">
        <is>
          <t>INSP TURCO BALEEIRA INS-1401 MAR 1S</t>
        </is>
      </c>
      <c r="O351" t="inlineStr">
        <is>
          <t>PERGC-FSSV-BEE-07-16</t>
        </is>
      </c>
      <c r="P351" t="inlineStr">
        <is>
          <t>76MK003 TURCO/GUINCHO Nº3</t>
        </is>
      </c>
      <c r="Q351" t="n">
        <v>1</v>
      </c>
      <c r="R351" t="inlineStr">
        <is>
          <t>PLANO</t>
        </is>
      </c>
      <c r="S351" t="inlineStr">
        <is>
          <t>Z09</t>
        </is>
      </c>
      <c r="T351" s="20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F352" s="20" t="n">
        <v>46315</v>
      </c>
      <c r="G352" t="n">
        <v>3</v>
      </c>
      <c r="H352" t="n">
        <v>2</v>
      </c>
      <c r="I352" s="20" t="n">
        <v>46315</v>
      </c>
      <c r="J352" t="n">
        <v>4392019</v>
      </c>
      <c r="K352" t="n">
        <v>10</v>
      </c>
      <c r="L352" t="inlineStr">
        <is>
          <t>MAR</t>
        </is>
      </c>
      <c r="M352" t="inlineStr">
        <is>
          <t>INS-1402 INSP MAR BALSA SALVA VIDAS</t>
        </is>
      </c>
      <c r="N352" t="inlineStr">
        <is>
          <t>INSP BALSA SALVA VIDAS INS-1402 MAR 1S</t>
        </is>
      </c>
      <c r="O352" t="inlineStr">
        <is>
          <t>PERGC-FSSV-BSA-01-01-01</t>
        </is>
      </c>
      <c r="P352" t="inlineStr">
        <is>
          <t>76SW001 BALSA SALVA-VIDAS</t>
        </is>
      </c>
      <c r="Q352" t="n">
        <v>0.5</v>
      </c>
      <c r="R352" t="inlineStr">
        <is>
          <t>PLANO</t>
        </is>
      </c>
      <c r="S352" t="inlineStr">
        <is>
          <t>Z09</t>
        </is>
      </c>
      <c r="T352" s="20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F353" s="20" t="n">
        <v>46322</v>
      </c>
      <c r="G353" t="n">
        <v>3</v>
      </c>
      <c r="H353" t="n">
        <v>2</v>
      </c>
      <c r="I353" s="20" t="n">
        <v>46322</v>
      </c>
      <c r="J353" t="n">
        <v>4393633</v>
      </c>
      <c r="K353" t="n">
        <v>10</v>
      </c>
      <c r="L353" t="inlineStr">
        <is>
          <t>MAR</t>
        </is>
      </c>
      <c r="M353" t="inlineStr">
        <is>
          <t>INS-1402 INSP MAR BALSA SALVA VIDAS</t>
        </is>
      </c>
      <c r="N353" t="inlineStr">
        <is>
          <t>INSP BALSA SALVA VIDAS INS-1402 MAR 1S</t>
        </is>
      </c>
      <c r="O353" t="inlineStr">
        <is>
          <t>PERGC-FSSV-BSA-01-01-01</t>
        </is>
      </c>
      <c r="P353" t="inlineStr">
        <is>
          <t>76SW001 BALSA SALVA-VIDAS</t>
        </is>
      </c>
      <c r="Q353" t="n">
        <v>0.5</v>
      </c>
      <c r="R353" t="inlineStr">
        <is>
          <t>PLANO</t>
        </is>
      </c>
      <c r="S353" t="inlineStr">
        <is>
          <t>Z09</t>
        </is>
      </c>
      <c r="T353" s="20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F354" s="20" t="n">
        <v>46315</v>
      </c>
      <c r="G354" t="n">
        <v>3</v>
      </c>
      <c r="H354" t="n">
        <v>2</v>
      </c>
      <c r="I354" s="20" t="n">
        <v>46315</v>
      </c>
      <c r="J354" t="n">
        <v>4355731</v>
      </c>
      <c r="K354" t="n">
        <v>10</v>
      </c>
      <c r="L354" t="inlineStr">
        <is>
          <t>MAR</t>
        </is>
      </c>
      <c r="M354" t="inlineStr">
        <is>
          <t>PSE-1401 LUBR MAR TURCO BALSA</t>
        </is>
      </c>
      <c r="N354" t="inlineStr">
        <is>
          <t>LUBR TURCO BALSA PSE-1401 MAR 1M</t>
        </is>
      </c>
      <c r="O354" t="inlineStr">
        <is>
          <t>PERGC-FSSV-BSA-01-01-04-01</t>
        </is>
      </c>
      <c r="P354" t="inlineStr">
        <is>
          <t>76SW003 TURCO BALSA SALVA-VIDAS</t>
        </is>
      </c>
      <c r="Q354" t="n">
        <v>1</v>
      </c>
      <c r="R354" t="inlineStr">
        <is>
          <t>PLANO</t>
        </is>
      </c>
      <c r="S354" t="inlineStr">
        <is>
          <t>Z10</t>
        </is>
      </c>
      <c r="T354" s="20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F355" s="20" t="n">
        <v>46315</v>
      </c>
      <c r="G355" t="n">
        <v>3</v>
      </c>
      <c r="H355" t="n">
        <v>2</v>
      </c>
      <c r="I355" s="20" t="n">
        <v>46315</v>
      </c>
      <c r="J355" t="n">
        <v>4392021</v>
      </c>
      <c r="K355" t="n">
        <v>10</v>
      </c>
      <c r="L355" t="inlineStr">
        <is>
          <t>MAR</t>
        </is>
      </c>
      <c r="M355" t="inlineStr">
        <is>
          <t>INS-1403 INSP MAR TURCO BALSA</t>
        </is>
      </c>
      <c r="N355" t="inlineStr">
        <is>
          <t>INSP TURCO BALSA INS-1403 MAR 1S</t>
        </is>
      </c>
      <c r="O355" t="inlineStr">
        <is>
          <t>PERGC-FSSV-BSA-01-01-04-01</t>
        </is>
      </c>
      <c r="P355" t="inlineStr">
        <is>
          <t>76SW003 TURCO BALSA SALVA-VIDAS</t>
        </is>
      </c>
      <c r="Q355" t="n">
        <v>0.5</v>
      </c>
      <c r="R355" t="inlineStr">
        <is>
          <t>PLANO</t>
        </is>
      </c>
      <c r="S355" t="inlineStr">
        <is>
          <t>Z09</t>
        </is>
      </c>
      <c r="T355" s="20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F356" s="20" t="n">
        <v>46322</v>
      </c>
      <c r="G356" t="n">
        <v>3</v>
      </c>
      <c r="H356" t="n">
        <v>2</v>
      </c>
      <c r="I356" s="20" t="n">
        <v>46322</v>
      </c>
      <c r="J356" t="n">
        <v>4393635</v>
      </c>
      <c r="K356" t="n">
        <v>10</v>
      </c>
      <c r="L356" t="inlineStr">
        <is>
          <t>MAR</t>
        </is>
      </c>
      <c r="M356" t="inlineStr">
        <is>
          <t>INS-1403 INSP MAR TURCO BALSA</t>
        </is>
      </c>
      <c r="N356" t="inlineStr">
        <is>
          <t>INSP TURCO BALSA INS-1403 MAR 1S</t>
        </is>
      </c>
      <c r="O356" t="inlineStr">
        <is>
          <t>PERGC-FSSV-BSA-01-01-04-01</t>
        </is>
      </c>
      <c r="P356" t="inlineStr">
        <is>
          <t>76SW003 TURCO BALSA SALVA-VIDAS</t>
        </is>
      </c>
      <c r="Q356" t="n">
        <v>0.5</v>
      </c>
      <c r="R356" t="inlineStr">
        <is>
          <t>PLANO</t>
        </is>
      </c>
      <c r="S356" t="inlineStr">
        <is>
          <t>Z09</t>
        </is>
      </c>
      <c r="T356" s="20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F357" s="20" t="n">
        <v>46315</v>
      </c>
      <c r="G357" t="n">
        <v>3</v>
      </c>
      <c r="H357" t="n">
        <v>2</v>
      </c>
      <c r="I357" s="20" t="n">
        <v>46315</v>
      </c>
      <c r="J357" t="n">
        <v>4392020</v>
      </c>
      <c r="K357" t="n">
        <v>10</v>
      </c>
      <c r="L357" t="inlineStr">
        <is>
          <t>MAR</t>
        </is>
      </c>
      <c r="M357" t="inlineStr">
        <is>
          <t>INS-1402 INSP MAR BALSA SALVA VIDAS</t>
        </is>
      </c>
      <c r="N357" t="inlineStr">
        <is>
          <t>INSP BALSA SALVA VIDAS INS-1402 MAR 1S</t>
        </is>
      </c>
      <c r="O357" t="inlineStr">
        <is>
          <t>PERGC-FSSV-BSA-01-04-01</t>
        </is>
      </c>
      <c r="P357" t="inlineStr">
        <is>
          <t>76SW002 BALSA SALVA-VIDAS</t>
        </is>
      </c>
      <c r="Q357" t="n">
        <v>0.5</v>
      </c>
      <c r="R357" t="inlineStr">
        <is>
          <t>PLANO</t>
        </is>
      </c>
      <c r="S357" t="inlineStr">
        <is>
          <t>Z09</t>
        </is>
      </c>
      <c r="T357" s="20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F358" s="20" t="n">
        <v>46322</v>
      </c>
      <c r="G358" t="n">
        <v>3</v>
      </c>
      <c r="H358" t="n">
        <v>2</v>
      </c>
      <c r="I358" s="20" t="n">
        <v>46322</v>
      </c>
      <c r="J358" t="n">
        <v>4393634</v>
      </c>
      <c r="K358" t="n">
        <v>10</v>
      </c>
      <c r="L358" t="inlineStr">
        <is>
          <t>MAR</t>
        </is>
      </c>
      <c r="M358" t="inlineStr">
        <is>
          <t>INS-1402 INSP MAR BALSA SALVA VIDAS</t>
        </is>
      </c>
      <c r="N358" t="inlineStr">
        <is>
          <t>INSP BALSA SALVA VIDAS INS-1402 MAR 1S</t>
        </is>
      </c>
      <c r="O358" t="inlineStr">
        <is>
          <t>PERGC-FSSV-BSA-01-04-01</t>
        </is>
      </c>
      <c r="P358" t="inlineStr">
        <is>
          <t>76SW002 BALSA SALVA-VIDAS</t>
        </is>
      </c>
      <c r="Q358" t="n">
        <v>0.5</v>
      </c>
      <c r="R358" t="inlineStr">
        <is>
          <t>PLANO</t>
        </is>
      </c>
      <c r="S358" t="inlineStr">
        <is>
          <t>Z09</t>
        </is>
      </c>
      <c r="T358" s="20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F359" s="20" t="n">
        <v>46315</v>
      </c>
      <c r="G359" t="n">
        <v>3</v>
      </c>
      <c r="H359" t="n">
        <v>2</v>
      </c>
      <c r="I359" s="20" t="n">
        <v>46315</v>
      </c>
      <c r="J359" t="n">
        <v>4355732</v>
      </c>
      <c r="K359" t="n">
        <v>10</v>
      </c>
      <c r="L359" t="inlineStr">
        <is>
          <t>MAR</t>
        </is>
      </c>
      <c r="M359" t="inlineStr">
        <is>
          <t>PSE-1401 LUBR MAR TURCO BALSA</t>
        </is>
      </c>
      <c r="N359" t="inlineStr">
        <is>
          <t>LUBR TURCO BALSA PSE-1401 MAR 1M</t>
        </is>
      </c>
      <c r="O359" t="inlineStr">
        <is>
          <t>PERGC-FSSV-BSA-01-04-04-01</t>
        </is>
      </c>
      <c r="P359" t="inlineStr">
        <is>
          <t>76SW004 TURCO BALSA SALVA-VIDAS</t>
        </is>
      </c>
      <c r="Q359" t="n">
        <v>1</v>
      </c>
      <c r="R359" t="inlineStr">
        <is>
          <t>PLANO</t>
        </is>
      </c>
      <c r="S359" t="inlineStr">
        <is>
          <t>Z10</t>
        </is>
      </c>
      <c r="T359" s="20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F360" s="20" t="n">
        <v>46315</v>
      </c>
      <c r="G360" t="n">
        <v>3</v>
      </c>
      <c r="H360" t="n">
        <v>2</v>
      </c>
      <c r="I360" s="20" t="n">
        <v>46315</v>
      </c>
      <c r="J360" t="n">
        <v>4392022</v>
      </c>
      <c r="K360" t="n">
        <v>10</v>
      </c>
      <c r="L360" t="inlineStr">
        <is>
          <t>MAR</t>
        </is>
      </c>
      <c r="M360" t="inlineStr">
        <is>
          <t>INS-1403 INSP MAR TURCO BALSA</t>
        </is>
      </c>
      <c r="N360" t="inlineStr">
        <is>
          <t>INSP TURCO BALSA INS-1403 MAR 1S</t>
        </is>
      </c>
      <c r="O360" t="inlineStr">
        <is>
          <t>PERGC-FSSV-BSA-01-04-04-01</t>
        </is>
      </c>
      <c r="P360" t="inlineStr">
        <is>
          <t>76SW004 TURCO BALSA SALVA-VIDAS</t>
        </is>
      </c>
      <c r="Q360" t="n">
        <v>0.5</v>
      </c>
      <c r="R360" t="inlineStr">
        <is>
          <t>PLANO</t>
        </is>
      </c>
      <c r="S360" t="inlineStr">
        <is>
          <t>Z09</t>
        </is>
      </c>
      <c r="T360" s="20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F361" s="20" t="n">
        <v>46322</v>
      </c>
      <c r="G361" t="n">
        <v>3</v>
      </c>
      <c r="H361" t="n">
        <v>2</v>
      </c>
      <c r="I361" s="20" t="n">
        <v>46322</v>
      </c>
      <c r="J361" t="n">
        <v>4393636</v>
      </c>
      <c r="K361" t="n">
        <v>10</v>
      </c>
      <c r="L361" t="inlineStr">
        <is>
          <t>MAR</t>
        </is>
      </c>
      <c r="M361" t="inlineStr">
        <is>
          <t>INS-1403 INSP MAR TURCO BALSA</t>
        </is>
      </c>
      <c r="N361" t="inlineStr">
        <is>
          <t>INSP TURCO BALSA INS-1403 MAR 1S</t>
        </is>
      </c>
      <c r="O361" t="inlineStr">
        <is>
          <t>PERGC-FSSV-BSA-01-04-04-01</t>
        </is>
      </c>
      <c r="P361" t="inlineStr">
        <is>
          <t>76SW004 TURCO BALSA SALVA-VIDAS</t>
        </is>
      </c>
      <c r="Q361" t="n">
        <v>0.5</v>
      </c>
      <c r="R361" t="inlineStr">
        <is>
          <t>PLANO</t>
        </is>
      </c>
      <c r="S361" t="inlineStr">
        <is>
          <t>Z09</t>
        </is>
      </c>
      <c r="T361" s="20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F362" s="20" t="n">
        <v>46314</v>
      </c>
      <c r="G362" t="n">
        <v>3</v>
      </c>
      <c r="H362" t="n">
        <v>2</v>
      </c>
      <c r="I362" s="20" t="n">
        <v>46314</v>
      </c>
      <c r="J362" t="n">
        <v>4391840</v>
      </c>
      <c r="K362" t="n">
        <v>10</v>
      </c>
      <c r="L362" t="inlineStr">
        <is>
          <t>MAR</t>
        </is>
      </c>
      <c r="M362" t="inlineStr">
        <is>
          <t>INS-1402 INSP MAR BALSA SALVA VIDAS</t>
        </is>
      </c>
      <c r="N362" t="inlineStr">
        <is>
          <t>INSP BALSA SALVA VIDAS INS-1402 MAR 1S</t>
        </is>
      </c>
      <c r="O362" t="inlineStr">
        <is>
          <t>PERGC-FSSV-BSA-01-07-01</t>
        </is>
      </c>
      <c r="P362" t="inlineStr">
        <is>
          <t>76SW007 BALSA SALVA-VIDAS</t>
        </is>
      </c>
      <c r="Q362" t="n">
        <v>0.5</v>
      </c>
      <c r="R362" t="inlineStr">
        <is>
          <t>PLANO</t>
        </is>
      </c>
      <c r="S362" t="inlineStr">
        <is>
          <t>Z09</t>
        </is>
      </c>
      <c r="T362" s="20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F363" s="20" t="n">
        <v>46321</v>
      </c>
      <c r="G363" t="n">
        <v>3</v>
      </c>
      <c r="H363" t="n">
        <v>2</v>
      </c>
      <c r="I363" s="20" t="n">
        <v>46321</v>
      </c>
      <c r="J363" t="n">
        <v>4393456</v>
      </c>
      <c r="K363" t="n">
        <v>10</v>
      </c>
      <c r="L363" t="inlineStr">
        <is>
          <t>MAR</t>
        </is>
      </c>
      <c r="M363" t="inlineStr">
        <is>
          <t>INS-1402 INSP MAR BALSA SALVA VIDAS</t>
        </is>
      </c>
      <c r="N363" t="inlineStr">
        <is>
          <t>INSP BALSA SALVA VIDAS INS-1402 MAR 1S</t>
        </is>
      </c>
      <c r="O363" t="inlineStr">
        <is>
          <t>PERGC-FSSV-BSA-01-07-01</t>
        </is>
      </c>
      <c r="P363" t="inlineStr">
        <is>
          <t>76SW007 BALSA SALVA-VIDAS</t>
        </is>
      </c>
      <c r="Q363" t="n">
        <v>0.5</v>
      </c>
      <c r="R363" t="inlineStr">
        <is>
          <t>PLANO</t>
        </is>
      </c>
      <c r="S363" t="inlineStr">
        <is>
          <t>Z09</t>
        </is>
      </c>
      <c r="T363" s="20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F364" s="20" t="n">
        <v>46314</v>
      </c>
      <c r="G364" t="n">
        <v>3</v>
      </c>
      <c r="H364" t="n">
        <v>2</v>
      </c>
      <c r="I364" s="20" t="n">
        <v>46314</v>
      </c>
      <c r="J364" t="n">
        <v>4391841</v>
      </c>
      <c r="K364" t="n">
        <v>10</v>
      </c>
      <c r="L364" t="inlineStr">
        <is>
          <t>MAR</t>
        </is>
      </c>
      <c r="M364" t="inlineStr">
        <is>
          <t>INS-1402 INSP MAR BALSA SALVA VIDAS</t>
        </is>
      </c>
      <c r="N364" t="inlineStr">
        <is>
          <t>INSP BALSA SALVA VIDAS INS-1402 MAR 1S</t>
        </is>
      </c>
      <c r="O364" t="inlineStr">
        <is>
          <t>PERGC-FSSV-BSA-01-10-01</t>
        </is>
      </c>
      <c r="P364" t="inlineStr">
        <is>
          <t>76SW008 BALSA SALVA-VIDAS</t>
        </is>
      </c>
      <c r="Q364" t="n">
        <v>0.5</v>
      </c>
      <c r="R364" t="inlineStr">
        <is>
          <t>PLANO</t>
        </is>
      </c>
      <c r="S364" t="inlineStr">
        <is>
          <t>Z09</t>
        </is>
      </c>
      <c r="T364" s="20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F365" s="20" t="n">
        <v>46321</v>
      </c>
      <c r="G365" t="n">
        <v>2</v>
      </c>
      <c r="H365" t="n">
        <v>2</v>
      </c>
      <c r="I365" s="20" t="n">
        <v>46321</v>
      </c>
      <c r="J365" t="n">
        <v>4393457</v>
      </c>
      <c r="K365" t="n">
        <v>10</v>
      </c>
      <c r="L365" t="inlineStr">
        <is>
          <t>MAR</t>
        </is>
      </c>
      <c r="M365" t="inlineStr">
        <is>
          <t>INS-1402 INSP MAR BALSA SALVA VIDAS</t>
        </is>
      </c>
      <c r="N365" t="inlineStr">
        <is>
          <t>INSP BALSA SALVA VIDAS INS-1402 MAR 1S</t>
        </is>
      </c>
      <c r="O365" t="inlineStr">
        <is>
          <t>PERGC-FSSV-BSA-01-10-01</t>
        </is>
      </c>
      <c r="P365" t="inlineStr">
        <is>
          <t>76SW008 BALSA SALVA-VIDAS</t>
        </is>
      </c>
      <c r="Q365" t="n">
        <v>0.5</v>
      </c>
      <c r="R365" t="inlineStr">
        <is>
          <t>PLANO</t>
        </is>
      </c>
      <c r="S365" t="inlineStr">
        <is>
          <t>Z09</t>
        </is>
      </c>
      <c r="T365" s="20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F366" s="20" t="n">
        <v>46315</v>
      </c>
      <c r="G366" t="n">
        <v>2</v>
      </c>
      <c r="H366" t="n">
        <v>1</v>
      </c>
      <c r="I366" s="20" t="n">
        <v>46315</v>
      </c>
      <c r="J366" t="n">
        <v>4355734</v>
      </c>
      <c r="K366" t="n">
        <v>10</v>
      </c>
      <c r="L366" t="inlineStr">
        <is>
          <t>MAR</t>
        </is>
      </c>
      <c r="M366" t="inlineStr">
        <is>
          <t>INS-1408 INSP MAR EQUIP BOTE RESGATE</t>
        </is>
      </c>
      <c r="N366" t="inlineStr">
        <is>
          <t>INSP EQUIP BOTE RESGATE INS-1408 MAR 1M</t>
        </is>
      </c>
      <c r="O366" t="inlineStr">
        <is>
          <t>PERGC-FSSV-BTE-01-01</t>
        </is>
      </c>
      <c r="P366" t="inlineStr">
        <is>
          <t>76SB001 BOTE RESGATE (FRB)</t>
        </is>
      </c>
      <c r="Q366" t="n">
        <v>0.8</v>
      </c>
      <c r="R366" t="inlineStr">
        <is>
          <t>PLANO</t>
        </is>
      </c>
      <c r="S366" t="inlineStr">
        <is>
          <t>Z09</t>
        </is>
      </c>
      <c r="T366" s="20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F367" s="20" t="n">
        <v>46315</v>
      </c>
      <c r="G367" t="n">
        <v>2</v>
      </c>
      <c r="H367" t="n">
        <v>1</v>
      </c>
      <c r="I367" s="20" t="n">
        <v>46315</v>
      </c>
      <c r="J367" t="n">
        <v>4355735</v>
      </c>
      <c r="K367" t="n">
        <v>10</v>
      </c>
      <c r="L367" t="inlineStr">
        <is>
          <t>MEC</t>
        </is>
      </c>
      <c r="M367" t="inlineStr">
        <is>
          <t>PSE-1564 MANUT MAR MOTOR BOTE RESGATE</t>
        </is>
      </c>
      <c r="N367" t="inlineStr">
        <is>
          <t>MANUT MOTOR BOTE RESGATE PSE-1564 MEC 1M</t>
        </is>
      </c>
      <c r="O367" t="inlineStr">
        <is>
          <t>PERGC-FSSV-BTE-01-01</t>
        </is>
      </c>
      <c r="P367" t="inlineStr">
        <is>
          <t>76SB001 BOTE RESGATE (FRB)</t>
        </is>
      </c>
      <c r="Q367" t="n">
        <v>3</v>
      </c>
      <c r="R367" t="inlineStr">
        <is>
          <t>PLANO</t>
        </is>
      </c>
      <c r="S367" t="inlineStr">
        <is>
          <t>Z12</t>
        </is>
      </c>
      <c r="T367" s="20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F368" s="20" t="n">
        <v>46311</v>
      </c>
      <c r="G368" t="n">
        <v>2</v>
      </c>
      <c r="H368" t="n">
        <v>1</v>
      </c>
      <c r="I368" s="20" t="n">
        <v>46311</v>
      </c>
      <c r="J368" t="n">
        <v>4391173</v>
      </c>
      <c r="K368" t="n">
        <v>10</v>
      </c>
      <c r="L368" t="inlineStr">
        <is>
          <t>MAR</t>
        </is>
      </c>
      <c r="M368" t="inlineStr">
        <is>
          <t>INS-1404 INSP MAR BOTE RESGATE</t>
        </is>
      </c>
      <c r="N368" t="inlineStr">
        <is>
          <t>INSP BOTE RESGATE INS-1404 MAR 1S</t>
        </is>
      </c>
      <c r="O368" t="inlineStr">
        <is>
          <t>PERGC-FSSV-BTE-01-01</t>
        </is>
      </c>
      <c r="P368" t="inlineStr">
        <is>
          <t>76SB001 BOTE RESGATE (FRB)</t>
        </is>
      </c>
      <c r="Q368" t="n">
        <v>1</v>
      </c>
      <c r="R368" t="inlineStr">
        <is>
          <t>PLANO</t>
        </is>
      </c>
      <c r="S368" t="inlineStr">
        <is>
          <t>Z09</t>
        </is>
      </c>
      <c r="T368" s="20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F369" s="20" t="n">
        <v>46318</v>
      </c>
      <c r="G369" t="n">
        <v>2</v>
      </c>
      <c r="H369" t="n">
        <v>1</v>
      </c>
      <c r="I369" s="20" t="n">
        <v>46318</v>
      </c>
      <c r="J369" t="n">
        <v>4392874</v>
      </c>
      <c r="K369" t="n">
        <v>10</v>
      </c>
      <c r="L369" t="inlineStr">
        <is>
          <t>MAR</t>
        </is>
      </c>
      <c r="M369" t="inlineStr">
        <is>
          <t>INS-1404 INSP MAR BOTE RESGATE</t>
        </is>
      </c>
      <c r="N369" t="inlineStr">
        <is>
          <t>INSP BOTE RESGATE INS-1404 MAR 1S</t>
        </is>
      </c>
      <c r="O369" t="inlineStr">
        <is>
          <t>PERGC-FSSV-BTE-01-01</t>
        </is>
      </c>
      <c r="P369" t="inlineStr">
        <is>
          <t>76SB001 BOTE RESGATE (FRB)</t>
        </is>
      </c>
      <c r="Q369" t="n">
        <v>1</v>
      </c>
      <c r="R369" t="inlineStr">
        <is>
          <t>PLANO</t>
        </is>
      </c>
      <c r="S369" t="inlineStr">
        <is>
          <t>Z09</t>
        </is>
      </c>
      <c r="T369" s="20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F370" s="20" t="n">
        <v>46324</v>
      </c>
      <c r="G370" t="n">
        <v>3</v>
      </c>
      <c r="H370" t="n">
        <v>1</v>
      </c>
      <c r="I370" s="20" t="n">
        <v>46325</v>
      </c>
      <c r="J370" t="n">
        <v>4394205</v>
      </c>
      <c r="K370" t="n">
        <v>10</v>
      </c>
      <c r="L370" t="inlineStr">
        <is>
          <t>MAR</t>
        </is>
      </c>
      <c r="M370" t="inlineStr">
        <is>
          <t>INS-1404 INSP MAR BOTE RESGATE</t>
        </is>
      </c>
      <c r="N370" t="inlineStr">
        <is>
          <t>INSP BOTE RESGATE INS-1404 MAR 1S</t>
        </is>
      </c>
      <c r="O370" t="inlineStr">
        <is>
          <t>PERGC-FSSV-BTE-01-01</t>
        </is>
      </c>
      <c r="P370" t="inlineStr">
        <is>
          <t>76SB001 BOTE RESGATE (FRB)</t>
        </is>
      </c>
      <c r="Q370" t="n">
        <v>1</v>
      </c>
      <c r="R370" t="inlineStr">
        <is>
          <t>PLANO</t>
        </is>
      </c>
      <c r="S370" t="inlineStr">
        <is>
          <t>Z09</t>
        </is>
      </c>
      <c r="T370" s="20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F371" s="20" t="n">
        <v>46315</v>
      </c>
      <c r="G371" t="n">
        <v>3</v>
      </c>
      <c r="H371" t="n">
        <v>2</v>
      </c>
      <c r="I371" s="20" t="n">
        <v>46315</v>
      </c>
      <c r="J371" t="n">
        <v>4355737</v>
      </c>
      <c r="K371" t="n">
        <v>10</v>
      </c>
      <c r="L371" t="inlineStr">
        <is>
          <t>MEC</t>
        </is>
      </c>
      <c r="M371" t="inlineStr">
        <is>
          <t>PSE-1577 LUBR MEC TURCO BOTE RESGATE</t>
        </is>
      </c>
      <c r="N371" t="inlineStr">
        <is>
          <t>LUBR TURCO BOTE RESGATE PSE-1577 MAR 1M</t>
        </is>
      </c>
      <c r="O371" t="inlineStr">
        <is>
          <t>PERGC-FSSV-BTE-01-10</t>
        </is>
      </c>
      <c r="P371" t="inlineStr">
        <is>
          <t>76SB002 TURCO BOTE RESGATE</t>
        </is>
      </c>
      <c r="Q371" t="n">
        <v>2</v>
      </c>
      <c r="R371" t="inlineStr">
        <is>
          <t>PLANO</t>
        </is>
      </c>
      <c r="S371" t="inlineStr">
        <is>
          <t>Z10</t>
        </is>
      </c>
      <c r="T371" s="20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F372" s="20" t="n">
        <v>46311</v>
      </c>
      <c r="G372" t="n">
        <v>3</v>
      </c>
      <c r="H372" t="n">
        <v>2</v>
      </c>
      <c r="I372" s="20" t="n">
        <v>46311</v>
      </c>
      <c r="J372" t="n">
        <v>4391174</v>
      </c>
      <c r="K372" t="n">
        <v>10</v>
      </c>
      <c r="L372" t="inlineStr">
        <is>
          <t>MAR</t>
        </is>
      </c>
      <c r="M372" t="inlineStr">
        <is>
          <t>INS-1405 INSP MAR TURCO BOTE RESGATE</t>
        </is>
      </c>
      <c r="N372" t="inlineStr">
        <is>
          <t>INSP TURCO BOTE RESGATE INS-1405 MAR 1S</t>
        </is>
      </c>
      <c r="O372" t="inlineStr">
        <is>
          <t>PERGC-FSSV-BTE-01-10</t>
        </is>
      </c>
      <c r="P372" t="inlineStr">
        <is>
          <t>76SB002 TURCO BOTE RESGATE</t>
        </is>
      </c>
      <c r="Q372" t="n">
        <v>1</v>
      </c>
      <c r="R372" t="inlineStr">
        <is>
          <t>PLANO</t>
        </is>
      </c>
      <c r="S372" t="inlineStr">
        <is>
          <t>Z09</t>
        </is>
      </c>
      <c r="T372" s="20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F373" s="20" t="n">
        <v>46318</v>
      </c>
      <c r="G373" t="n">
        <v>3</v>
      </c>
      <c r="H373" t="n">
        <v>2</v>
      </c>
      <c r="I373" s="20" t="n">
        <v>46318</v>
      </c>
      <c r="J373" t="n">
        <v>4392877</v>
      </c>
      <c r="K373" t="n">
        <v>10</v>
      </c>
      <c r="L373" t="inlineStr">
        <is>
          <t>MAR</t>
        </is>
      </c>
      <c r="M373" t="inlineStr">
        <is>
          <t>INS-1405 INSP MAR TURCO BOTE RESGATE</t>
        </is>
      </c>
      <c r="N373" t="inlineStr">
        <is>
          <t>INSP TURCO BOTE RESGATE INS-1405 MAR 1S</t>
        </is>
      </c>
      <c r="O373" t="inlineStr">
        <is>
          <t>PERGC-FSSV-BTE-01-10</t>
        </is>
      </c>
      <c r="P373" t="inlineStr">
        <is>
          <t>76SB002 TURCO BOTE RESGATE</t>
        </is>
      </c>
      <c r="Q373" t="n">
        <v>1</v>
      </c>
      <c r="R373" t="inlineStr">
        <is>
          <t>PLANO</t>
        </is>
      </c>
      <c r="S373" t="inlineStr">
        <is>
          <t>Z09</t>
        </is>
      </c>
      <c r="T373" s="20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F374" s="20" t="n">
        <v>46324</v>
      </c>
      <c r="G374" t="n">
        <v>5</v>
      </c>
      <c r="H374" t="n">
        <v>2</v>
      </c>
      <c r="I374" s="20" t="n">
        <v>46325</v>
      </c>
      <c r="J374" t="n">
        <v>4394206</v>
      </c>
      <c r="K374" t="n">
        <v>10</v>
      </c>
      <c r="L374" t="inlineStr">
        <is>
          <t>MAR</t>
        </is>
      </c>
      <c r="M374" t="inlineStr">
        <is>
          <t>INS-1405 INSP MAR TURCO BOTE RESGATE</t>
        </is>
      </c>
      <c r="N374" t="inlineStr">
        <is>
          <t>INSP TURCO BOTE RESGATE INS-1405 MAR 1S</t>
        </is>
      </c>
      <c r="O374" t="inlineStr">
        <is>
          <t>PERGC-FSSV-BTE-01-10</t>
        </is>
      </c>
      <c r="P374" t="inlineStr">
        <is>
          <t>76SB002 TURCO BOTE RESGATE</t>
        </is>
      </c>
      <c r="Q374" t="n">
        <v>1</v>
      </c>
      <c r="R374" t="inlineStr">
        <is>
          <t>PLANO</t>
        </is>
      </c>
      <c r="S374" t="inlineStr">
        <is>
          <t>Z09</t>
        </is>
      </c>
      <c r="T374" s="20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F375" s="20" t="n">
        <v>46314</v>
      </c>
      <c r="G375" t="n">
        <v>5</v>
      </c>
      <c r="H375" t="n">
        <v>3</v>
      </c>
      <c r="I375" s="20" t="n">
        <v>46314</v>
      </c>
      <c r="J375" t="n">
        <v>4386450</v>
      </c>
      <c r="K375" t="n">
        <v>10</v>
      </c>
      <c r="L375" t="inlineStr">
        <is>
          <t>HSE</t>
        </is>
      </c>
      <c r="M375" t="inlineStr">
        <is>
          <t>INS-2112 INSP HSE CHUVEIRO EMERG</t>
        </is>
      </c>
      <c r="N375" t="inlineStr">
        <is>
          <t>INSP CHUVEIRO EMERG INS-2112 HSE 1M</t>
        </is>
      </c>
      <c r="O375" t="inlineStr">
        <is>
          <t>PERGC-FSSV-EPC-01-04</t>
        </is>
      </c>
      <c r="P375" t="inlineStr">
        <is>
          <t>CJ CHUVEIRO WELL HEAD MEZZANINE DECK</t>
        </is>
      </c>
      <c r="Q375" t="n">
        <v>3</v>
      </c>
      <c r="R375" t="inlineStr">
        <is>
          <t>PLANO</t>
        </is>
      </c>
      <c r="S375" t="inlineStr">
        <is>
          <t>Z09</t>
        </is>
      </c>
      <c r="T375" s="20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F376" s="20" t="n">
        <v>46315</v>
      </c>
      <c r="G376" t="n">
        <v>5</v>
      </c>
      <c r="H376" t="n">
        <v>3</v>
      </c>
      <c r="I376" s="20" t="n">
        <v>46315</v>
      </c>
      <c r="J376" t="n">
        <v>4386467</v>
      </c>
      <c r="K376" t="n">
        <v>10</v>
      </c>
      <c r="L376" t="inlineStr">
        <is>
          <t>HSE</t>
        </is>
      </c>
      <c r="M376" t="inlineStr">
        <is>
          <t>INS-2112 INSP HSE CHUVEIRO EMERG</t>
        </is>
      </c>
      <c r="N376" t="inlineStr">
        <is>
          <t>INSP CHUVEIRO EMERG INS-2112 HSE 1M</t>
        </is>
      </c>
      <c r="O376" t="inlineStr">
        <is>
          <t>PERGC-FSSV-EPC-01-10</t>
        </is>
      </c>
      <c r="P376" t="inlineStr">
        <is>
          <t>CJ CHUVEIRO CELLAR DECK</t>
        </is>
      </c>
      <c r="Q376" t="n">
        <v>3</v>
      </c>
      <c r="R376" t="inlineStr">
        <is>
          <t>PLANO</t>
        </is>
      </c>
      <c r="S376" t="inlineStr">
        <is>
          <t>Z09</t>
        </is>
      </c>
      <c r="T376" s="20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F377" s="20" t="n">
        <v>46317</v>
      </c>
      <c r="G377" t="n">
        <v>5</v>
      </c>
      <c r="H377" t="n">
        <v>3</v>
      </c>
      <c r="I377" s="20" t="n">
        <v>46317</v>
      </c>
      <c r="J377" t="n">
        <v>4386452</v>
      </c>
      <c r="K377" t="n">
        <v>10</v>
      </c>
      <c r="L377" t="inlineStr">
        <is>
          <t>MAR</t>
        </is>
      </c>
      <c r="M377" t="inlineStr">
        <is>
          <t>INS-1409 INSP MAR COLETE SAVA VIDAS</t>
        </is>
      </c>
      <c r="N377" t="inlineStr">
        <is>
          <t>INSP COLETE SALVA VIDAS INS-1409 MAR 1M</t>
        </is>
      </c>
      <c r="O377" t="inlineStr">
        <is>
          <t>PERGC-FSSV-EPC-04</t>
        </is>
      </c>
      <c r="P377" t="inlineStr">
        <is>
          <t>CJ COLETES SALVA VIDA</t>
        </is>
      </c>
      <c r="Q377" t="n">
        <v>16</v>
      </c>
      <c r="R377" t="inlineStr">
        <is>
          <t>PLANO</t>
        </is>
      </c>
      <c r="S377" t="inlineStr">
        <is>
          <t>Z09</t>
        </is>
      </c>
      <c r="T377" s="20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F378" s="20" t="n">
        <v>46323</v>
      </c>
      <c r="G378" t="n">
        <v>5</v>
      </c>
      <c r="H378" t="n">
        <v>3</v>
      </c>
      <c r="I378" s="20" t="n">
        <v>46323</v>
      </c>
      <c r="J378" t="n">
        <v>4386602</v>
      </c>
      <c r="K378" t="n">
        <v>10</v>
      </c>
      <c r="L378" t="inlineStr">
        <is>
          <t>MAR</t>
        </is>
      </c>
      <c r="M378" t="inlineStr">
        <is>
          <t>INS-1406 INSP MAR BOIA SALVA-VIDA</t>
        </is>
      </c>
      <c r="N378" t="inlineStr">
        <is>
          <t>INSP BOIA SALVA-VIDA INS-1406 MAR 1M</t>
        </is>
      </c>
      <c r="O378" t="inlineStr">
        <is>
          <t>PERGC-FSSV-EPC-07</t>
        </is>
      </c>
      <c r="P378" t="inlineStr">
        <is>
          <t>CJ BOIA SALVA VIDAS</t>
        </is>
      </c>
      <c r="Q378" t="n">
        <v>2</v>
      </c>
      <c r="R378" t="inlineStr">
        <is>
          <t>PLANO</t>
        </is>
      </c>
      <c r="S378" t="inlineStr">
        <is>
          <t>Z09</t>
        </is>
      </c>
      <c r="T378" s="20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F379" s="20" t="n">
        <v>46319</v>
      </c>
      <c r="G379" t="n">
        <v>5</v>
      </c>
      <c r="H379" t="n">
        <v>3</v>
      </c>
      <c r="I379" s="20" t="n">
        <v>46319</v>
      </c>
      <c r="J379" t="n">
        <v>4386539</v>
      </c>
      <c r="K379" t="n">
        <v>10</v>
      </c>
      <c r="L379" t="inlineStr">
        <is>
          <t>HSE</t>
        </is>
      </c>
      <c r="M379" t="inlineStr">
        <is>
          <t>INS-2112 INSP HSE CHUVEIRO EMERG</t>
        </is>
      </c>
      <c r="N379" t="inlineStr">
        <is>
          <t>INSP CHUVEIRO EMERG INS-2112 HSE 1M</t>
        </is>
      </c>
      <c r="O379" t="inlineStr">
        <is>
          <t>PERGC-FSSV-EPC-10</t>
        </is>
      </c>
      <c r="P379" t="inlineStr">
        <is>
          <t>CJ CHUVEIRO/LAVA OLHOS</t>
        </is>
      </c>
      <c r="Q379" t="n">
        <v>3</v>
      </c>
      <c r="R379" t="inlineStr">
        <is>
          <t>PLANO</t>
        </is>
      </c>
      <c r="S379" t="inlineStr">
        <is>
          <t>Z09</t>
        </is>
      </c>
      <c r="T379" s="20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F380" s="20" t="n">
        <v>46321</v>
      </c>
      <c r="G380" t="n">
        <v>5</v>
      </c>
      <c r="H380" t="n">
        <v>3</v>
      </c>
      <c r="I380" s="20" t="n">
        <v>46321</v>
      </c>
      <c r="J380" t="n">
        <v>4386578</v>
      </c>
      <c r="K380" t="n">
        <v>10</v>
      </c>
      <c r="L380" t="inlineStr">
        <is>
          <t>HSE</t>
        </is>
      </c>
      <c r="M380" t="inlineStr">
        <is>
          <t>INS-2106 INSP HSE EQUIP APROX INCEND</t>
        </is>
      </c>
      <c r="N380" t="inlineStr">
        <is>
          <t>INSP EQUIP APROX INCEND INS-2106 HSE 1M</t>
        </is>
      </c>
      <c r="O380" t="inlineStr">
        <is>
          <t>PERGC-FSSV-EPC-16</t>
        </is>
      </c>
      <c r="P380" t="inlineStr">
        <is>
          <t>CJ ROUPA TRABALHO (WORK VEST)</t>
        </is>
      </c>
      <c r="Q380" t="n">
        <v>8</v>
      </c>
      <c r="R380" t="inlineStr">
        <is>
          <t>PLANO</t>
        </is>
      </c>
      <c r="S380" t="inlineStr">
        <is>
          <t>Z09</t>
        </is>
      </c>
      <c r="T380" s="20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F381" s="20" t="n">
        <v>46322</v>
      </c>
      <c r="G381" t="n">
        <v>5</v>
      </c>
      <c r="H381" t="n">
        <v>3</v>
      </c>
      <c r="I381" s="20" t="n">
        <v>46322</v>
      </c>
      <c r="J381" t="n">
        <v>4386596</v>
      </c>
      <c r="K381" t="n">
        <v>10</v>
      </c>
      <c r="L381" t="inlineStr">
        <is>
          <t>HSE</t>
        </is>
      </c>
      <c r="M381" t="inlineStr">
        <is>
          <t>INS-1434 INSP MAR KIT SOPEP</t>
        </is>
      </c>
      <c r="N381" t="inlineStr">
        <is>
          <t>INSP KIT SOPEP INS-1434 HSE 1M</t>
        </is>
      </c>
      <c r="O381" t="inlineStr">
        <is>
          <t>PERGC-FSSV-EPC-37</t>
        </is>
      </c>
      <c r="P381" t="inlineStr">
        <is>
          <t>CJ KIT SOPEP</t>
        </is>
      </c>
      <c r="Q381" t="n">
        <v>1</v>
      </c>
      <c r="R381" t="inlineStr">
        <is>
          <t>PLANO</t>
        </is>
      </c>
      <c r="S381" t="inlineStr">
        <is>
          <t>Z09</t>
        </is>
      </c>
      <c r="T381" s="20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F382" s="20" t="n">
        <v>46316</v>
      </c>
      <c r="G382" t="n">
        <v>3</v>
      </c>
      <c r="H382" t="n">
        <v>3</v>
      </c>
      <c r="I382" s="20" t="n">
        <v>46316</v>
      </c>
      <c r="J382" t="n">
        <v>4386482</v>
      </c>
      <c r="K382" t="n">
        <v>10</v>
      </c>
      <c r="L382" t="inlineStr">
        <is>
          <t>ENF</t>
        </is>
      </c>
      <c r="M382" t="inlineStr">
        <is>
          <t>INSP MACAS</t>
        </is>
      </c>
      <c r="N382" t="inlineStr">
        <is>
          <t>INSP MACAS INS-2128 HSE 1M</t>
        </is>
      </c>
      <c r="O382" t="inlineStr">
        <is>
          <t>PERGC-FSSV-EPC-43</t>
        </is>
      </c>
      <c r="P382" t="inlineStr">
        <is>
          <t>CJ MACA</t>
        </is>
      </c>
      <c r="Q382" t="n">
        <v>1</v>
      </c>
      <c r="R382" t="inlineStr">
        <is>
          <t>PLANO</t>
        </is>
      </c>
      <c r="S382" t="inlineStr">
        <is>
          <t>Z09</t>
        </is>
      </c>
      <c r="T382" s="20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F383" s="20" t="n">
        <v>46323</v>
      </c>
      <c r="G383" t="n">
        <v>3</v>
      </c>
      <c r="H383" t="n">
        <v>2</v>
      </c>
      <c r="I383" s="20" t="n">
        <v>46323</v>
      </c>
      <c r="J383" t="n">
        <v>4386600</v>
      </c>
      <c r="K383" t="n">
        <v>10</v>
      </c>
      <c r="L383" t="inlineStr">
        <is>
          <t>MEC</t>
        </is>
      </c>
      <c r="M383" t="inlineStr">
        <is>
          <t>PSE-1559 MANUT MEC UNID TRAT DEJETOS</t>
        </is>
      </c>
      <c r="N383" t="inlineStr">
        <is>
          <t>MANUT UNID TRAT DEJETOS PSE-1559 MEC 3M</t>
        </is>
      </c>
      <c r="O383" t="inlineStr">
        <is>
          <t>PERGC-FSTD-TRA-01-01</t>
        </is>
      </c>
      <c r="P383" t="inlineStr">
        <is>
          <t>66XX001 SKID TRATAMENTO SEAWAGE</t>
        </is>
      </c>
      <c r="Q383" t="n">
        <v>4</v>
      </c>
      <c r="R383" t="inlineStr">
        <is>
          <t>PLANO</t>
        </is>
      </c>
      <c r="S383" t="inlineStr">
        <is>
          <t>Z12</t>
        </is>
      </c>
      <c r="T383" s="20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F384" s="20" t="n">
        <v>46316</v>
      </c>
      <c r="G384" t="n">
        <v>3</v>
      </c>
      <c r="H384" t="n">
        <v>2</v>
      </c>
      <c r="I384" s="20" t="n">
        <v>46316</v>
      </c>
      <c r="J384" t="n">
        <v>4385884</v>
      </c>
      <c r="K384" t="n">
        <v>10</v>
      </c>
      <c r="L384" t="inlineStr">
        <is>
          <t>ELE</t>
        </is>
      </c>
      <c r="M384" t="inlineStr">
        <is>
          <t>INS-1222 INSP ELE TRANSF SECO</t>
        </is>
      </c>
      <c r="N384" t="inlineStr">
        <is>
          <t>INSP TRANSF SECO INS-1222 ELE 6M</t>
        </is>
      </c>
      <c r="O384" t="inlineStr">
        <is>
          <t>PERGC-FSTD-TRA-01-16</t>
        </is>
      </c>
      <c r="P384" t="inlineStr">
        <is>
          <t>66ET001 TRANSFORMADOR</t>
        </is>
      </c>
      <c r="Q384" t="n">
        <v>2</v>
      </c>
      <c r="R384" t="inlineStr">
        <is>
          <t>PLANO</t>
        </is>
      </c>
      <c r="S384" t="inlineStr">
        <is>
          <t>Z09</t>
        </is>
      </c>
      <c r="T384" s="20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F385" s="20" t="n">
        <v>46311</v>
      </c>
      <c r="G385" t="n">
        <v>3</v>
      </c>
      <c r="H385" t="n">
        <v>2</v>
      </c>
      <c r="I385" s="20" t="n">
        <v>46311</v>
      </c>
      <c r="J385" t="n">
        <v>4386410</v>
      </c>
      <c r="K385" t="n">
        <v>10</v>
      </c>
      <c r="L385" t="inlineStr">
        <is>
          <t>MEC</t>
        </is>
      </c>
      <c r="M385" t="inlineStr">
        <is>
          <t>INS-1500 INSP OPM VISUAL BOMBA</t>
        </is>
      </c>
      <c r="N385" t="inlineStr">
        <is>
          <t>INSP VISUAL BOMBA INS-1500 MEC 1M</t>
        </is>
      </c>
      <c r="O385" t="inlineStr">
        <is>
          <t>PERGC-FSTD-TRA-01-43-04-01</t>
        </is>
      </c>
      <c r="P385" t="inlineStr">
        <is>
          <t>66PX004 BOMBA DEFOAM</t>
        </is>
      </c>
      <c r="Q385" t="n">
        <v>1</v>
      </c>
      <c r="R385" t="inlineStr">
        <is>
          <t>PLANO</t>
        </is>
      </c>
      <c r="S385" t="inlineStr">
        <is>
          <t>Z09</t>
        </is>
      </c>
      <c r="T385" s="20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F386" s="20" t="n">
        <v>46318</v>
      </c>
      <c r="G386" t="n">
        <v>3</v>
      </c>
      <c r="H386" t="n">
        <v>2</v>
      </c>
      <c r="I386" s="20" t="n">
        <v>46318</v>
      </c>
      <c r="J386" t="n">
        <v>4386507</v>
      </c>
      <c r="K386" t="n">
        <v>10</v>
      </c>
      <c r="L386" t="inlineStr">
        <is>
          <t>MEC</t>
        </is>
      </c>
      <c r="M386" t="inlineStr">
        <is>
          <t>INS-1500 INSP OPM VISUAL BOMBA</t>
        </is>
      </c>
      <c r="N386" t="inlineStr">
        <is>
          <t>INSP VISUAL BOMBA INS-1500 MEC 1M</t>
        </is>
      </c>
      <c r="O386" t="inlineStr">
        <is>
          <t>PERGC-FSTD-TRA-01-46-01</t>
        </is>
      </c>
      <c r="P386" t="inlineStr">
        <is>
          <t>66PX005 BOMBA TRANSFERENCIA SOLIDOS</t>
        </is>
      </c>
      <c r="Q386" t="n">
        <v>1</v>
      </c>
      <c r="R386" t="inlineStr">
        <is>
          <t>PLANO</t>
        </is>
      </c>
      <c r="S386" t="inlineStr">
        <is>
          <t>Z09</t>
        </is>
      </c>
      <c r="T386" s="20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F387" s="20" t="n">
        <v>46315</v>
      </c>
      <c r="G387" t="n">
        <v>3</v>
      </c>
      <c r="H387" t="n">
        <v>2</v>
      </c>
      <c r="I387" s="20" t="n">
        <v>46315</v>
      </c>
      <c r="J387" t="n">
        <v>4386458</v>
      </c>
      <c r="K387" t="n">
        <v>10</v>
      </c>
      <c r="L387" t="inlineStr">
        <is>
          <t>MEC</t>
        </is>
      </c>
      <c r="M387" t="inlineStr">
        <is>
          <t>INS-1500 INSP OPM VISUAL BOMBA</t>
        </is>
      </c>
      <c r="N387" t="inlineStr">
        <is>
          <t>INSP VISUAL BOMBA INS-1500 MEC 1M</t>
        </is>
      </c>
      <c r="O387" t="inlineStr">
        <is>
          <t>PERGC-FSTD-TRA-01-49-01</t>
        </is>
      </c>
      <c r="P387" t="inlineStr">
        <is>
          <t>66PX003 BOMBA RECIRCULACAO</t>
        </is>
      </c>
      <c r="Q387" t="n">
        <v>1</v>
      </c>
      <c r="R387" t="inlineStr">
        <is>
          <t>PLANO</t>
        </is>
      </c>
      <c r="S387" t="inlineStr">
        <is>
          <t>Z09</t>
        </is>
      </c>
      <c r="T387" s="20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F388" s="20" t="n">
        <v>46319</v>
      </c>
      <c r="G388" t="n">
        <v>3</v>
      </c>
      <c r="H388" t="n">
        <v>2</v>
      </c>
      <c r="I388" s="20" t="n">
        <v>46319</v>
      </c>
      <c r="J388" t="n">
        <v>4386528</v>
      </c>
      <c r="K388" t="n">
        <v>10</v>
      </c>
      <c r="L388" t="inlineStr">
        <is>
          <t>MEC</t>
        </is>
      </c>
      <c r="M388" t="inlineStr">
        <is>
          <t>INS-1500 INSP OPM VISUAL BOMBA</t>
        </is>
      </c>
      <c r="N388" t="inlineStr">
        <is>
          <t>INSP VISUAL BOMBA INS-1500 MEC 1M</t>
        </is>
      </c>
      <c r="O388" t="inlineStr">
        <is>
          <t>PERGC-FSTD-TRA-01-49-01</t>
        </is>
      </c>
      <c r="P388" t="inlineStr">
        <is>
          <t>66PX003 BOMBA RECIRCULACAO</t>
        </is>
      </c>
      <c r="Q388" t="n">
        <v>1</v>
      </c>
      <c r="R388" t="inlineStr">
        <is>
          <t>PLANO</t>
        </is>
      </c>
      <c r="S388" t="inlineStr">
        <is>
          <t>Z09</t>
        </is>
      </c>
      <c r="T388" s="20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F389" s="20" t="n">
        <v>46316</v>
      </c>
      <c r="G389" t="n">
        <v>3</v>
      </c>
      <c r="H389" t="n">
        <v>2</v>
      </c>
      <c r="I389" s="20" t="n">
        <v>46316</v>
      </c>
      <c r="J389" t="n">
        <v>4385885</v>
      </c>
      <c r="K389" t="n">
        <v>10</v>
      </c>
      <c r="L389" t="inlineStr">
        <is>
          <t>ELE</t>
        </is>
      </c>
      <c r="M389" t="inlineStr">
        <is>
          <t>PSE-1200 MANUT ELE MOTOR BT</t>
        </is>
      </c>
      <c r="N389" t="inlineStr">
        <is>
          <t>MANUT MOTOR BAIXA TENSAO PSE-1200 ELE 1A</t>
        </is>
      </c>
      <c r="O389" t="inlineStr">
        <is>
          <t>PERGC-FSTD-TRA-01-49-04</t>
        </is>
      </c>
      <c r="P389" t="inlineStr">
        <is>
          <t>66PX003-M01 MOTOR ELETRICO</t>
        </is>
      </c>
      <c r="Q389" t="n">
        <v>4</v>
      </c>
      <c r="R389" t="inlineStr">
        <is>
          <t>PLANO</t>
        </is>
      </c>
      <c r="S389" t="inlineStr">
        <is>
          <t>Z12</t>
        </is>
      </c>
      <c r="T389" s="20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F390" s="20" t="n">
        <v>46312</v>
      </c>
      <c r="G390" t="n">
        <v>5</v>
      </c>
      <c r="H390" t="n">
        <v>2</v>
      </c>
      <c r="I390" s="20" t="n">
        <v>46312</v>
      </c>
      <c r="J390" t="n">
        <v>4386422</v>
      </c>
      <c r="K390" t="n">
        <v>10</v>
      </c>
      <c r="L390" t="inlineStr">
        <is>
          <t>MEC</t>
        </is>
      </c>
      <c r="M390" t="inlineStr">
        <is>
          <t>INS-1500 INSP OPM VISUAL BOMBA</t>
        </is>
      </c>
      <c r="N390" t="inlineStr">
        <is>
          <t>INSP VISUAL BOMBA INS-1500 MEC 1M</t>
        </is>
      </c>
      <c r="O390" t="inlineStr">
        <is>
          <t>PERGC-FSTD-TRA-01-67-01</t>
        </is>
      </c>
      <c r="P390" t="inlineStr">
        <is>
          <t>66PX006 BOMBA RECIRCULACAO</t>
        </is>
      </c>
      <c r="Q390" t="n">
        <v>1</v>
      </c>
      <c r="R390" t="inlineStr">
        <is>
          <t>PLANO</t>
        </is>
      </c>
      <c r="S390" t="inlineStr">
        <is>
          <t>Z09</t>
        </is>
      </c>
      <c r="T390" s="20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F391" s="20" t="n">
        <v>46318</v>
      </c>
      <c r="G391" t="n">
        <v>3</v>
      </c>
      <c r="H391" t="n">
        <v>3</v>
      </c>
      <c r="I391" s="20" t="n">
        <v>46318</v>
      </c>
      <c r="J391" t="n">
        <v>4386523</v>
      </c>
      <c r="K391" t="n">
        <v>10</v>
      </c>
      <c r="L391" t="inlineStr">
        <is>
          <t>MEC</t>
        </is>
      </c>
      <c r="M391" t="inlineStr">
        <is>
          <t>INS-1500 INSP OPM VISUAL BOMBA</t>
        </is>
      </c>
      <c r="N391" t="inlineStr">
        <is>
          <t>INSP VISUAL BOMBA INS-1500 MEC 1M</t>
        </is>
      </c>
      <c r="O391" t="inlineStr">
        <is>
          <t>PERGC-FSTD-TRA-01-70-01</t>
        </is>
      </c>
      <c r="P391" t="inlineStr">
        <is>
          <t>66PX007 BOMBA DRENAGEM</t>
        </is>
      </c>
      <c r="Q391" t="n">
        <v>1</v>
      </c>
      <c r="R391" t="inlineStr">
        <is>
          <t>PLANO</t>
        </is>
      </c>
      <c r="S391" t="inlineStr">
        <is>
          <t>Z09</t>
        </is>
      </c>
      <c r="T391" s="20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F392" s="20" t="n">
        <v>46321</v>
      </c>
      <c r="G392" t="n">
        <v>3</v>
      </c>
      <c r="H392" t="n">
        <v>2</v>
      </c>
      <c r="I392" s="20" t="n">
        <v>46321</v>
      </c>
      <c r="J392" t="n">
        <v>4386561</v>
      </c>
      <c r="K392" t="n">
        <v>10</v>
      </c>
      <c r="L392" t="inlineStr">
        <is>
          <t>AUT</t>
        </is>
      </c>
      <c r="M392" t="inlineStr">
        <is>
          <t>PTF-1000 TEST FUNC AUT GMDSS</t>
        </is>
      </c>
      <c r="N392" t="inlineStr">
        <is>
          <t>TEST FUNC GMDSS PTF-1000 AUT 1M</t>
        </is>
      </c>
      <c r="O392" t="inlineStr">
        <is>
          <t>PERGC-FSTI-GMD-01</t>
        </is>
      </c>
      <c r="P392" t="inlineStr">
        <is>
          <t>86RJX2301 RADIO CONSOLE</t>
        </is>
      </c>
      <c r="Q392" t="n">
        <v>2</v>
      </c>
      <c r="R392" t="inlineStr">
        <is>
          <t>PLANO</t>
        </is>
      </c>
      <c r="S392" t="inlineStr">
        <is>
          <t>Z08</t>
        </is>
      </c>
      <c r="T392" s="20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F393" s="20" t="n">
        <v>46323</v>
      </c>
      <c r="G393" t="n">
        <v>3</v>
      </c>
      <c r="H393" t="n">
        <v>2</v>
      </c>
      <c r="I393" s="20" t="n">
        <v>46323</v>
      </c>
      <c r="J393" t="n">
        <v>4386598</v>
      </c>
      <c r="K393" t="n">
        <v>10</v>
      </c>
      <c r="L393" t="inlineStr">
        <is>
          <t>AUT</t>
        </is>
      </c>
      <c r="M393" t="inlineStr">
        <is>
          <t>INS-1008 INSP AUT SISTEMA DGPS</t>
        </is>
      </c>
      <c r="N393" t="inlineStr">
        <is>
          <t>INSP SISTEMA DGPS INS-1008 AUT 1M</t>
        </is>
      </c>
      <c r="O393" t="inlineStr">
        <is>
          <t>PERGC-FSTI-GMD-01</t>
        </is>
      </c>
      <c r="P393" t="inlineStr">
        <is>
          <t>86RJX2301 RADIO CONSOLE</t>
        </is>
      </c>
      <c r="Q393" t="n">
        <v>5</v>
      </c>
      <c r="R393" t="inlineStr">
        <is>
          <t>PLANO</t>
        </is>
      </c>
      <c r="S393" t="inlineStr">
        <is>
          <t>Z09</t>
        </is>
      </c>
      <c r="T393" s="20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F394" s="20" t="n">
        <v>46311</v>
      </c>
      <c r="G394" t="n">
        <v>5</v>
      </c>
      <c r="H394" t="n">
        <v>2</v>
      </c>
      <c r="I394" s="20" t="n">
        <v>46311</v>
      </c>
      <c r="J394" t="n">
        <v>4386409</v>
      </c>
      <c r="K394" t="n">
        <v>10</v>
      </c>
      <c r="L394" t="inlineStr">
        <is>
          <t>AUT</t>
        </is>
      </c>
      <c r="M394" t="inlineStr">
        <is>
          <t>INS-1009 INSP AUT PAINEL IT-LAN</t>
        </is>
      </c>
      <c r="N394" t="inlineStr">
        <is>
          <t>INSP PAINEL IT-LAN INS-1009 AUT 6M</t>
        </is>
      </c>
      <c r="O394" t="inlineStr">
        <is>
          <t>PERGC-FSTI-INT-01-19-04</t>
        </is>
      </c>
      <c r="P394" t="inlineStr">
        <is>
          <t>86RAK5101 PAEAS ACCESS PANEL - INDOOR</t>
        </is>
      </c>
      <c r="Q394" t="n">
        <v>4</v>
      </c>
      <c r="R394" t="inlineStr">
        <is>
          <t>PLANO</t>
        </is>
      </c>
      <c r="S394" t="inlineStr">
        <is>
          <t>Z09</t>
        </is>
      </c>
      <c r="T394" s="20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F395" s="20" t="n">
        <v>46320</v>
      </c>
      <c r="G395" t="n">
        <v>5</v>
      </c>
      <c r="H395" t="n">
        <v>3</v>
      </c>
      <c r="I395" s="20" t="n">
        <v>46320</v>
      </c>
      <c r="J395" t="n">
        <v>4386556</v>
      </c>
      <c r="K395" t="n">
        <v>10</v>
      </c>
      <c r="L395" t="inlineStr">
        <is>
          <t>AUT</t>
        </is>
      </c>
      <c r="M395" t="inlineStr">
        <is>
          <t>PTF-2101 TEST FUNC PRO SISTEMA PAGA</t>
        </is>
      </c>
      <c r="N395" t="inlineStr">
        <is>
          <t>TEST FUNC SISTEMA PAGA PTF-2101 HSE 6M</t>
        </is>
      </c>
      <c r="O395" t="inlineStr">
        <is>
          <t>PERGC-FSTI-INT-07-01</t>
        </is>
      </c>
      <c r="P395" t="inlineStr">
        <is>
          <t>CJ PA/GA (FIELD EQUIP) - GRUPO 1</t>
        </is>
      </c>
      <c r="Q395" t="n">
        <v>0.5</v>
      </c>
      <c r="R395" t="inlineStr">
        <is>
          <t>PLANO</t>
        </is>
      </c>
      <c r="S395" t="inlineStr">
        <is>
          <t>Z08</t>
        </is>
      </c>
      <c r="T395" s="20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F396" s="20" t="n">
        <v>46316</v>
      </c>
      <c r="G396" t="n">
        <v>5</v>
      </c>
      <c r="H396" t="n">
        <v>3</v>
      </c>
      <c r="I396" s="20" t="n">
        <v>46316</v>
      </c>
      <c r="J396" t="n">
        <v>4386484</v>
      </c>
      <c r="K396" t="n">
        <v>10</v>
      </c>
      <c r="L396" t="inlineStr">
        <is>
          <t>TER</t>
        </is>
      </c>
      <c r="M396" t="inlineStr">
        <is>
          <t>PSE-1001 MANUT PRV TER SISTEMA PAGA</t>
        </is>
      </c>
      <c r="N396" t="inlineStr">
        <is>
          <t>MANUT PRV SISTEMA PAGA PSE-1001 AUT 1A</t>
        </is>
      </c>
      <c r="O396" t="inlineStr">
        <is>
          <t>PERGC-FSTI-INT-07-04</t>
        </is>
      </c>
      <c r="P396" t="inlineStr">
        <is>
          <t>CJ PA/GA (FIELD EQUIP) - GRUPO 2</t>
        </is>
      </c>
      <c r="Q396" t="n">
        <v>16</v>
      </c>
      <c r="R396" t="inlineStr">
        <is>
          <t>PLANO-VEND</t>
        </is>
      </c>
      <c r="S396" t="inlineStr">
        <is>
          <t>Z12</t>
        </is>
      </c>
      <c r="T396" s="20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F397" s="20" t="n">
        <v>46313</v>
      </c>
      <c r="G397" t="n">
        <v>5</v>
      </c>
      <c r="H397" t="n">
        <v>3</v>
      </c>
      <c r="I397" s="20" t="n">
        <v>46313</v>
      </c>
      <c r="J397" t="n">
        <v>4386436</v>
      </c>
      <c r="K397" t="n">
        <v>10</v>
      </c>
      <c r="L397" t="inlineStr">
        <is>
          <t>AUT</t>
        </is>
      </c>
      <c r="M397" t="inlineStr">
        <is>
          <t>PTF-2101 TEST FUNC PRO SISTEMA PAGA</t>
        </is>
      </c>
      <c r="N397" t="inlineStr">
        <is>
          <t>TEST FUNC SISTEMA PAGA PTF-2101 HSE 6M</t>
        </is>
      </c>
      <c r="O397" t="inlineStr">
        <is>
          <t>PERGC-FSTI-INT-07-07</t>
        </is>
      </c>
      <c r="P397" t="inlineStr">
        <is>
          <t>CJ PA/GA (FIELD EQUIP) - GRUPO 3</t>
        </is>
      </c>
      <c r="Q397" t="n">
        <v>0.5</v>
      </c>
      <c r="R397" t="inlineStr">
        <is>
          <t>PLANO</t>
        </is>
      </c>
      <c r="S397" t="inlineStr">
        <is>
          <t>Z08</t>
        </is>
      </c>
      <c r="T397" s="20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F398" s="20" t="n">
        <v>46318</v>
      </c>
      <c r="G398" t="n">
        <v>5</v>
      </c>
      <c r="H398" t="n">
        <v>3</v>
      </c>
      <c r="I398" s="20" t="n">
        <v>46318</v>
      </c>
      <c r="J398" t="n">
        <v>4386522</v>
      </c>
      <c r="K398" t="n">
        <v>10</v>
      </c>
      <c r="L398" t="inlineStr">
        <is>
          <t>AUT</t>
        </is>
      </c>
      <c r="M398" t="inlineStr">
        <is>
          <t>INS-1016 INSP AUT SISTEMA PAGA</t>
        </is>
      </c>
      <c r="N398" t="inlineStr">
        <is>
          <t>INSP SISTEMA PAGA INS-1016 AUT 6M</t>
        </is>
      </c>
      <c r="O398" t="inlineStr">
        <is>
          <t>PERGC-FSTI-INT-07-07</t>
        </is>
      </c>
      <c r="P398" t="inlineStr">
        <is>
          <t>CJ PA/GA (FIELD EQUIP) - GRUPO 3</t>
        </is>
      </c>
      <c r="Q398" t="n">
        <v>2</v>
      </c>
      <c r="R398" t="inlineStr">
        <is>
          <t>PLANO</t>
        </is>
      </c>
      <c r="S398" t="inlineStr">
        <is>
          <t>Z09</t>
        </is>
      </c>
      <c r="T398" s="20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F399" s="20" t="n">
        <v>46317</v>
      </c>
      <c r="G399" t="n">
        <v>5</v>
      </c>
      <c r="H399" t="n">
        <v>3</v>
      </c>
      <c r="I399" s="20" t="n">
        <v>46317</v>
      </c>
      <c r="J399" t="n">
        <v>4385896</v>
      </c>
      <c r="K399" t="n">
        <v>10</v>
      </c>
      <c r="L399" t="inlineStr">
        <is>
          <t>AUT</t>
        </is>
      </c>
      <c r="M399" t="inlineStr">
        <is>
          <t>INS-1016 INSP AUT SISTEMA PAGA</t>
        </is>
      </c>
      <c r="N399" t="inlineStr">
        <is>
          <t>INSP SISTEMA PAGA INS-1016 AUT 6M</t>
        </is>
      </c>
      <c r="O399" t="inlineStr">
        <is>
          <t>PERGC-FSTI-INT-07-10</t>
        </is>
      </c>
      <c r="P399" t="inlineStr">
        <is>
          <t>CJ PA/GA (FIELD EQUIP) - GRUPO 4</t>
        </is>
      </c>
      <c r="Q399" t="n">
        <v>2</v>
      </c>
      <c r="R399" t="inlineStr">
        <is>
          <t>PLANO</t>
        </is>
      </c>
      <c r="S399" t="inlineStr">
        <is>
          <t>Z09</t>
        </is>
      </c>
      <c r="T399" s="20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F400" s="20" t="n">
        <v>46320</v>
      </c>
      <c r="G400" t="n">
        <v>5</v>
      </c>
      <c r="H400" t="n">
        <v>3</v>
      </c>
      <c r="I400" s="20" t="n">
        <v>46320</v>
      </c>
      <c r="J400" t="n">
        <v>4385908</v>
      </c>
      <c r="K400" t="n">
        <v>10</v>
      </c>
      <c r="L400" t="inlineStr">
        <is>
          <t>AUT</t>
        </is>
      </c>
      <c r="M400" t="inlineStr">
        <is>
          <t>PTF-2101 TEST FUNC PRO SISTEMA PAGA</t>
        </is>
      </c>
      <c r="N400" t="inlineStr">
        <is>
          <t>TEST FUNC SISTEMA PAGA PTF-2101 HSE 6M</t>
        </is>
      </c>
      <c r="O400" t="inlineStr">
        <is>
          <t>PERGC-FSTI-INT-07-10</t>
        </is>
      </c>
      <c r="P400" t="inlineStr">
        <is>
          <t>CJ PA/GA (FIELD EQUIP) - GRUPO 4</t>
        </is>
      </c>
      <c r="Q400" t="n">
        <v>0.5</v>
      </c>
      <c r="R400" t="inlineStr">
        <is>
          <t>PLANO</t>
        </is>
      </c>
      <c r="S400" t="inlineStr">
        <is>
          <t>Z08</t>
        </is>
      </c>
      <c r="T400" s="20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F401" s="20" t="n">
        <v>46320</v>
      </c>
      <c r="G401" t="n">
        <v>3</v>
      </c>
      <c r="H401" t="n">
        <v>3</v>
      </c>
      <c r="I401" s="20" t="n">
        <v>46320</v>
      </c>
      <c r="J401" t="n">
        <v>4385903</v>
      </c>
      <c r="K401" t="n">
        <v>10</v>
      </c>
      <c r="L401" t="inlineStr">
        <is>
          <t>ELE</t>
        </is>
      </c>
      <c r="M401" t="inlineStr">
        <is>
          <t>PTF-1301 TEST FUNC INS BOTOEIRAS</t>
        </is>
      </c>
      <c r="N401" t="inlineStr">
        <is>
          <t>TEST FUNC BOTOEIRAS PTF-1301 INS 6M</t>
        </is>
      </c>
      <c r="O401" t="inlineStr">
        <is>
          <t>PERGC-FSVE-DSC-01-01-04</t>
        </is>
      </c>
      <c r="P401" t="inlineStr">
        <is>
          <t>CJ FIRE DAMPER F&amp;G LQ LEVEL 1</t>
        </is>
      </c>
      <c r="Q401" t="n">
        <v>4</v>
      </c>
      <c r="R401" t="inlineStr">
        <is>
          <t>PLANO</t>
        </is>
      </c>
      <c r="S401" t="inlineStr">
        <is>
          <t>Z08</t>
        </is>
      </c>
      <c r="T401" s="20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F402" s="20" t="n">
        <v>46313</v>
      </c>
      <c r="G402" t="n">
        <v>5</v>
      </c>
      <c r="H402" t="n">
        <v>2</v>
      </c>
      <c r="I402" s="20" t="n">
        <v>46313</v>
      </c>
      <c r="J402" t="n">
        <v>4385745</v>
      </c>
      <c r="K402" t="n">
        <v>10</v>
      </c>
      <c r="L402" t="inlineStr">
        <is>
          <t>AUT</t>
        </is>
      </c>
      <c r="M402" t="inlineStr">
        <is>
          <t>INS-1017 INSP AUT PAINEL CONTROLE</t>
        </is>
      </c>
      <c r="N402" t="inlineStr">
        <is>
          <t>INSP PAINEL CONTROLE INS-1017 AUT 1A</t>
        </is>
      </c>
      <c r="O402" t="inlineStr">
        <is>
          <t>PERGC-FSVE-DSC-04-04-07</t>
        </is>
      </c>
      <c r="P402" t="inlineStr">
        <is>
          <t>77GX034-S01 PAINEL CONTROLE LOCAL</t>
        </is>
      </c>
      <c r="Q402" t="n">
        <v>2</v>
      </c>
      <c r="R402" t="inlineStr">
        <is>
          <t>PLANO</t>
        </is>
      </c>
      <c r="S402" t="inlineStr">
        <is>
          <t>Z09</t>
        </is>
      </c>
      <c r="T402" s="20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F403" s="20" t="n">
        <v>46322</v>
      </c>
      <c r="G403" t="n">
        <v>5</v>
      </c>
      <c r="H403" t="n">
        <v>3</v>
      </c>
      <c r="I403" s="20" t="n">
        <v>46322</v>
      </c>
      <c r="J403" t="n">
        <v>4385917</v>
      </c>
      <c r="K403" t="n">
        <v>10</v>
      </c>
      <c r="L403" t="inlineStr">
        <is>
          <t>PRO</t>
        </is>
      </c>
      <c r="M403" t="inlineStr">
        <is>
          <t>INS-1813 INSP PRO FILTRO</t>
        </is>
      </c>
      <c r="N403" t="inlineStr">
        <is>
          <t>INSP FILTRO INS-1813 OPE 4M</t>
        </is>
      </c>
      <c r="O403" t="inlineStr">
        <is>
          <t>PERGC-PDAC-DRE-01-01-25-01</t>
        </is>
      </c>
      <c r="P403" t="inlineStr">
        <is>
          <t>SI-0063 FILTRO LINHA</t>
        </is>
      </c>
      <c r="Q403" t="n">
        <v>3</v>
      </c>
      <c r="R403" t="inlineStr">
        <is>
          <t>PLANO</t>
        </is>
      </c>
      <c r="S403" t="inlineStr">
        <is>
          <t>Z09</t>
        </is>
      </c>
      <c r="T403" s="20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F404" s="20" t="n">
        <v>46316</v>
      </c>
      <c r="G404" t="n">
        <v>5</v>
      </c>
      <c r="H404" t="n">
        <v>3</v>
      </c>
      <c r="I404" s="20" t="n">
        <v>46316</v>
      </c>
      <c r="J404" t="n">
        <v>4385890</v>
      </c>
      <c r="K404" t="n">
        <v>10</v>
      </c>
      <c r="L404" t="inlineStr">
        <is>
          <t>OPM</t>
        </is>
      </c>
      <c r="M404" t="inlineStr">
        <is>
          <t>INS-1500 INSP OPM VISUAL BOMBA</t>
        </is>
      </c>
      <c r="N404" t="inlineStr">
        <is>
          <t>INSP VISUAL BOMBA INS-1500 MEC 3M</t>
        </is>
      </c>
      <c r="O404" t="inlineStr">
        <is>
          <t>PERGC-PDAC-DRE-01-04-01</t>
        </is>
      </c>
      <c r="P404" t="inlineStr">
        <is>
          <t>15PG003 BOMBA DRENAGEM</t>
        </is>
      </c>
      <c r="Q404" t="n">
        <v>1</v>
      </c>
      <c r="R404" t="inlineStr">
        <is>
          <t>PLANO</t>
        </is>
      </c>
      <c r="S404" t="inlineStr">
        <is>
          <t>Z09</t>
        </is>
      </c>
      <c r="T404" s="20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F405" s="20" t="n">
        <v>46318</v>
      </c>
      <c r="G405" t="n">
        <v>5</v>
      </c>
      <c r="H405" t="n">
        <v>3</v>
      </c>
      <c r="I405" s="20" t="n">
        <v>46318</v>
      </c>
      <c r="J405" t="n">
        <v>4386517</v>
      </c>
      <c r="K405" t="n">
        <v>10</v>
      </c>
      <c r="L405" t="inlineStr">
        <is>
          <t>OPM</t>
        </is>
      </c>
      <c r="M405" t="inlineStr">
        <is>
          <t>INS-1500 INSP OPM VISUAL BOMBA</t>
        </is>
      </c>
      <c r="N405" t="inlineStr">
        <is>
          <t>INSP VISUAL BOMBA INS-1500 MEC 3M</t>
        </is>
      </c>
      <c r="O405" t="inlineStr">
        <is>
          <t>PERGC-PDAC-DRE-01-16-01</t>
        </is>
      </c>
      <c r="P405" t="inlineStr">
        <is>
          <t>56PA008A BOMBA DRENAGEM</t>
        </is>
      </c>
      <c r="Q405" t="n">
        <v>1</v>
      </c>
      <c r="R405" t="inlineStr">
        <is>
          <t>PLANO</t>
        </is>
      </c>
      <c r="S405" t="inlineStr">
        <is>
          <t>Z09</t>
        </is>
      </c>
      <c r="T405" s="20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F406" s="20" t="n">
        <v>46321</v>
      </c>
      <c r="G406" t="n">
        <v>5</v>
      </c>
      <c r="H406" t="n">
        <v>3</v>
      </c>
      <c r="I406" s="20" t="n">
        <v>46321</v>
      </c>
      <c r="J406" t="n">
        <v>4385910</v>
      </c>
      <c r="K406" t="n">
        <v>10</v>
      </c>
      <c r="L406" t="inlineStr">
        <is>
          <t>OPM</t>
        </is>
      </c>
      <c r="M406" t="inlineStr">
        <is>
          <t>INS-1500 INSP OPM VISUAL BOMBA</t>
        </is>
      </c>
      <c r="N406" t="inlineStr">
        <is>
          <t>INSP VISUAL BOMBA INS-1500 MEC 3M</t>
        </is>
      </c>
      <c r="O406" t="inlineStr">
        <is>
          <t>PERGC-PDAC-DRE-01-19-01</t>
        </is>
      </c>
      <c r="P406" t="inlineStr">
        <is>
          <t>56PA008B BOMBA DRENAGEM</t>
        </is>
      </c>
      <c r="Q406" t="n">
        <v>1</v>
      </c>
      <c r="R406" t="inlineStr">
        <is>
          <t>PLANO</t>
        </is>
      </c>
      <c r="S406" t="inlineStr">
        <is>
          <t>Z09</t>
        </is>
      </c>
      <c r="T406" s="20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F407" s="20" t="n">
        <v>46317</v>
      </c>
      <c r="G407" t="n">
        <v>5</v>
      </c>
      <c r="H407" t="n">
        <v>3</v>
      </c>
      <c r="I407" s="20" t="n">
        <v>46317</v>
      </c>
      <c r="J407" t="n">
        <v>4385895</v>
      </c>
      <c r="K407" t="n">
        <v>10</v>
      </c>
      <c r="L407" t="inlineStr">
        <is>
          <t>OPM</t>
        </is>
      </c>
      <c r="M407" t="inlineStr">
        <is>
          <t>INS-1500 INSP OPM VISUAL BOMBA</t>
        </is>
      </c>
      <c r="N407" t="inlineStr">
        <is>
          <t>INSP VISUAL BOMBA INS-1500 MEC 3M</t>
        </is>
      </c>
      <c r="O407" t="inlineStr">
        <is>
          <t>PERGC-PDAC-DRE-04-01-10-01</t>
        </is>
      </c>
      <c r="P407" t="inlineStr">
        <is>
          <t>15PH005A BOMBA DRENAGEM</t>
        </is>
      </c>
      <c r="Q407" t="n">
        <v>1</v>
      </c>
      <c r="R407" t="inlineStr">
        <is>
          <t>PLANO</t>
        </is>
      </c>
      <c r="S407" t="inlineStr">
        <is>
          <t>Z09</t>
        </is>
      </c>
      <c r="T407" s="20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F408" s="20" t="n">
        <v>46319</v>
      </c>
      <c r="G408" t="n">
        <v>5</v>
      </c>
      <c r="H408" t="n">
        <v>3</v>
      </c>
      <c r="I408" s="20" t="n">
        <v>46319</v>
      </c>
      <c r="J408" t="n">
        <v>4386538</v>
      </c>
      <c r="K408" t="n">
        <v>10</v>
      </c>
      <c r="L408" t="inlineStr">
        <is>
          <t>OPM</t>
        </is>
      </c>
      <c r="M408" t="inlineStr">
        <is>
          <t>INS-1500 INSP OPM VISUAL BOMBA</t>
        </is>
      </c>
      <c r="N408" t="inlineStr">
        <is>
          <t>INSP VISUAL BOMBA INS-1500 MEC 3M</t>
        </is>
      </c>
      <c r="O408" t="inlineStr">
        <is>
          <t>PERGC-PDAC-DRE-04-04-01</t>
        </is>
      </c>
      <c r="P408" t="inlineStr">
        <is>
          <t>15PG002 BOMBA DRENAGEM</t>
        </is>
      </c>
      <c r="Q408" t="n">
        <v>1</v>
      </c>
      <c r="R408" t="inlineStr">
        <is>
          <t>PLANO</t>
        </is>
      </c>
      <c r="S408" t="inlineStr">
        <is>
          <t>Z09</t>
        </is>
      </c>
      <c r="T408" s="20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F409" s="20" t="n">
        <v>46318</v>
      </c>
      <c r="G409" t="n">
        <v>5</v>
      </c>
      <c r="H409" t="n">
        <v>3</v>
      </c>
      <c r="I409" s="20" t="n">
        <v>46318</v>
      </c>
      <c r="J409" t="n">
        <v>4385899</v>
      </c>
      <c r="K409" t="n">
        <v>10</v>
      </c>
      <c r="L409" t="inlineStr">
        <is>
          <t>OPM</t>
        </is>
      </c>
      <c r="M409" t="inlineStr">
        <is>
          <t>INS-1500 INSP OPM VISUAL BOMBA</t>
        </is>
      </c>
      <c r="N409" t="inlineStr">
        <is>
          <t>INSP VISUAL BOMBA INS-1500 MEC 3M</t>
        </is>
      </c>
      <c r="O409" t="inlineStr">
        <is>
          <t>PERGC-PDAC-DRE-04-07-01</t>
        </is>
      </c>
      <c r="P409" t="inlineStr">
        <is>
          <t>15PA007A BOMBA DRENAGEM</t>
        </is>
      </c>
      <c r="Q409" t="n">
        <v>1</v>
      </c>
      <c r="R409" t="inlineStr">
        <is>
          <t>PLANO</t>
        </is>
      </c>
      <c r="S409" t="inlineStr">
        <is>
          <t>Z09</t>
        </is>
      </c>
      <c r="T409" s="20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F410" s="20" t="n">
        <v>46320</v>
      </c>
      <c r="G410" t="n">
        <v>5</v>
      </c>
      <c r="H410" t="n">
        <v>3</v>
      </c>
      <c r="I410" s="20" t="n">
        <v>46320</v>
      </c>
      <c r="J410" t="n">
        <v>4386555</v>
      </c>
      <c r="K410" t="n">
        <v>10</v>
      </c>
      <c r="L410" t="inlineStr">
        <is>
          <t>OPM</t>
        </is>
      </c>
      <c r="M410" t="inlineStr">
        <is>
          <t>INS-1500 INSP OPM VISUAL BOMBA</t>
        </is>
      </c>
      <c r="N410" t="inlineStr">
        <is>
          <t>INSP VISUAL BOMBA INS-1500 MEC 3M</t>
        </is>
      </c>
      <c r="O410" t="inlineStr">
        <is>
          <t>PERGC-PDAC-DRE-04-19-01</t>
        </is>
      </c>
      <c r="P410" t="inlineStr">
        <is>
          <t>56PA007B BOMBA DRENAGEM</t>
        </is>
      </c>
      <c r="Q410" t="n">
        <v>1</v>
      </c>
      <c r="R410" t="inlineStr">
        <is>
          <t>PLANO</t>
        </is>
      </c>
      <c r="S410" t="inlineStr">
        <is>
          <t>Z09</t>
        </is>
      </c>
      <c r="T410" s="20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F411" s="20" t="n">
        <v>46321</v>
      </c>
      <c r="G411" t="n">
        <v>5</v>
      </c>
      <c r="H411" t="n">
        <v>3</v>
      </c>
      <c r="I411" s="20" t="n">
        <v>46321</v>
      </c>
      <c r="J411" t="n">
        <v>4386577</v>
      </c>
      <c r="K411" t="n">
        <v>10</v>
      </c>
      <c r="L411" t="inlineStr">
        <is>
          <t>PRO</t>
        </is>
      </c>
      <c r="M411" t="inlineStr">
        <is>
          <t>INS-1804 INSP PRO DRENAGEM ABERTA</t>
        </is>
      </c>
      <c r="N411" t="inlineStr">
        <is>
          <t>INSP DRENAGEM ABERTA INS-1804 PRO 3M</t>
        </is>
      </c>
      <c r="O411" t="inlineStr">
        <is>
          <t>PERGC-PDAC-DRE-07-10</t>
        </is>
      </c>
      <c r="P411" t="inlineStr">
        <is>
          <t>CJ COLETA WELLHEAD DECK</t>
        </is>
      </c>
      <c r="Q411" t="n">
        <v>4</v>
      </c>
      <c r="R411" t="inlineStr">
        <is>
          <t>PLANO</t>
        </is>
      </c>
      <c r="S411" t="inlineStr">
        <is>
          <t>Z09</t>
        </is>
      </c>
      <c r="T411" s="20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F412" s="20" t="n">
        <v>46314</v>
      </c>
      <c r="G412" t="n">
        <v>5</v>
      </c>
      <c r="H412" t="n">
        <v>3</v>
      </c>
      <c r="I412" s="20" t="n">
        <v>46314</v>
      </c>
      <c r="J412" t="n">
        <v>4385879</v>
      </c>
      <c r="K412" t="n">
        <v>10</v>
      </c>
      <c r="L412" t="inlineStr">
        <is>
          <t>PRO</t>
        </is>
      </c>
      <c r="M412" t="inlineStr">
        <is>
          <t>INS-1804 INSP PRO DRENAGEM ABERTA</t>
        </is>
      </c>
      <c r="N412" t="inlineStr">
        <is>
          <t>INSP DRENAGEM ABERTA INS-1804 PRO 3M</t>
        </is>
      </c>
      <c r="O412" t="inlineStr">
        <is>
          <t>PERGC-PDAC-DRE-10-10</t>
        </is>
      </c>
      <c r="P412" t="inlineStr">
        <is>
          <t>CJ COLETA WELLHEAD DECK</t>
        </is>
      </c>
      <c r="Q412" t="n">
        <v>4</v>
      </c>
      <c r="R412" t="inlineStr">
        <is>
          <t>PLANO</t>
        </is>
      </c>
      <c r="S412" t="inlineStr">
        <is>
          <t>Z09</t>
        </is>
      </c>
      <c r="T412" s="20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F413" s="20" t="n">
        <v>46314</v>
      </c>
      <c r="G413" t="n">
        <v>5</v>
      </c>
      <c r="H413" t="n">
        <v>3</v>
      </c>
      <c r="I413" s="20" t="n">
        <v>46314</v>
      </c>
      <c r="J413" t="n">
        <v>4386447</v>
      </c>
      <c r="K413" t="n">
        <v>10</v>
      </c>
      <c r="L413" t="inlineStr">
        <is>
          <t>PRO</t>
        </is>
      </c>
      <c r="M413" t="inlineStr">
        <is>
          <t>INS-1804 INSP PRO DRENAGEM ABERTA</t>
        </is>
      </c>
      <c r="N413" t="inlineStr">
        <is>
          <t>INSP DRENAGEM ABERTA INS-1804 PRO 3M</t>
        </is>
      </c>
      <c r="O413" t="inlineStr">
        <is>
          <t>PERGC-PDAC-DRE-10-16</t>
        </is>
      </c>
      <c r="P413" t="inlineStr">
        <is>
          <t>CJ COLETA DRENO ABERTO EL 40640</t>
        </is>
      </c>
      <c r="Q413" t="n">
        <v>4</v>
      </c>
      <c r="R413" t="inlineStr">
        <is>
          <t>PLANO</t>
        </is>
      </c>
      <c r="S413" t="inlineStr">
        <is>
          <t>Z09</t>
        </is>
      </c>
      <c r="T413" s="20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F414" s="20" t="n">
        <v>46312</v>
      </c>
      <c r="G414" t="n">
        <v>5</v>
      </c>
      <c r="H414" t="n">
        <v>3</v>
      </c>
      <c r="I414" s="20" t="n">
        <v>46312</v>
      </c>
      <c r="J414" t="n">
        <v>4385871</v>
      </c>
      <c r="K414" t="n">
        <v>10</v>
      </c>
      <c r="L414" t="inlineStr">
        <is>
          <t>PRO</t>
        </is>
      </c>
      <c r="M414" t="inlineStr">
        <is>
          <t>INS-1804 INSP PRO DRENAGEM ABERTA</t>
        </is>
      </c>
      <c r="N414" t="inlineStr">
        <is>
          <t>INSP DRENAGEM ABERTA INS-1804 PRO 3M</t>
        </is>
      </c>
      <c r="O414" t="inlineStr">
        <is>
          <t>PERGC-PDAC-DRE-10-19</t>
        </is>
      </c>
      <c r="P414" t="inlineStr">
        <is>
          <t>CJ COLETA DRENO ABERTO EL 56488</t>
        </is>
      </c>
      <c r="Q414" t="n">
        <v>4</v>
      </c>
      <c r="R414" t="inlineStr">
        <is>
          <t>PLANO</t>
        </is>
      </c>
      <c r="S414" t="inlineStr">
        <is>
          <t>Z09</t>
        </is>
      </c>
      <c r="T414" s="20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F415" s="20" t="n">
        <v>46322</v>
      </c>
      <c r="G415" t="n">
        <v>3</v>
      </c>
      <c r="H415" t="n">
        <v>3</v>
      </c>
      <c r="I415" s="20" t="n">
        <v>46322</v>
      </c>
      <c r="J415" t="n">
        <v>4386586</v>
      </c>
      <c r="K415" t="n">
        <v>10</v>
      </c>
      <c r="L415" t="inlineStr">
        <is>
          <t>MEC</t>
        </is>
      </c>
      <c r="M415" t="inlineStr">
        <is>
          <t>INS-1500 INSP OPM VISUAL BOMBA</t>
        </is>
      </c>
      <c r="N415" t="inlineStr">
        <is>
          <t>INSP VISUAL BOMBA INS-1500 MEC 1M</t>
        </is>
      </c>
      <c r="O415" t="inlineStr">
        <is>
          <t>PERGC-PSAI-MBB-01</t>
        </is>
      </c>
      <c r="P415" t="inlineStr">
        <is>
          <t>CJ SKID BOMBA INJECAO AGUA 29PA001A</t>
        </is>
      </c>
      <c r="Q415" t="n">
        <v>1</v>
      </c>
      <c r="R415" t="inlineStr">
        <is>
          <t>PLANO</t>
        </is>
      </c>
      <c r="S415" t="inlineStr">
        <is>
          <t>Z09</t>
        </is>
      </c>
      <c r="T415" s="20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F416" s="20" t="n">
        <v>46311</v>
      </c>
      <c r="G416" t="n">
        <v>3</v>
      </c>
      <c r="H416" t="n">
        <v>2</v>
      </c>
      <c r="I416" s="20" t="n">
        <v>46311</v>
      </c>
      <c r="J416" t="n">
        <v>4385693</v>
      </c>
      <c r="K416" t="n">
        <v>10</v>
      </c>
      <c r="L416" t="inlineStr">
        <is>
          <t>ELE</t>
        </is>
      </c>
      <c r="M416" t="inlineStr">
        <is>
          <t>INS-1202 INSP ELE TRANSFORMADOR AT/BT</t>
        </is>
      </c>
      <c r="N416" t="inlineStr">
        <is>
          <t>INSP TRANSFORMADOR AT/BT INS-1202 ELE 6M</t>
        </is>
      </c>
      <c r="O416" t="inlineStr">
        <is>
          <t>PERGC-PSAI-MBB-01-10-01</t>
        </is>
      </c>
      <c r="P416" t="inlineStr">
        <is>
          <t>29ET001A TRANSFORMADOR</t>
        </is>
      </c>
      <c r="Q416" t="n">
        <v>2</v>
      </c>
      <c r="R416" t="inlineStr">
        <is>
          <t>PLANO</t>
        </is>
      </c>
      <c r="S416" t="inlineStr">
        <is>
          <t>Z09</t>
        </is>
      </c>
      <c r="T416" s="20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F417" s="20" t="n">
        <v>46315</v>
      </c>
      <c r="G417" t="n">
        <v>5</v>
      </c>
      <c r="H417" t="n">
        <v>2</v>
      </c>
      <c r="I417" s="20" t="n">
        <v>46315</v>
      </c>
      <c r="J417" t="n">
        <v>4385695</v>
      </c>
      <c r="K417" t="n">
        <v>10</v>
      </c>
      <c r="L417" t="inlineStr">
        <is>
          <t>ELE</t>
        </is>
      </c>
      <c r="M417" t="inlineStr">
        <is>
          <t>PSE-1201 MANUT ELE TRANSFORMADOR AT</t>
        </is>
      </c>
      <c r="N417" t="inlineStr">
        <is>
          <t>MANUT TRANSFORMADOR AT PSE-1201 ELE 5A</t>
        </is>
      </c>
      <c r="O417" t="inlineStr">
        <is>
          <t>PERGC-PSAI-MBB-01-10-01</t>
        </is>
      </c>
      <c r="P417" t="inlineStr">
        <is>
          <t>29ET001A TRANSFORMADOR</t>
        </is>
      </c>
      <c r="Q417" t="n">
        <v>16</v>
      </c>
      <c r="R417" t="inlineStr">
        <is>
          <t>PLANO</t>
        </is>
      </c>
      <c r="S417" t="inlineStr">
        <is>
          <t>Z12</t>
        </is>
      </c>
      <c r="T417" s="20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F418" s="20" t="n">
        <v>46318</v>
      </c>
      <c r="G418" t="n">
        <v>3</v>
      </c>
      <c r="H418" t="n">
        <v>3</v>
      </c>
      <c r="I418" s="20" t="n">
        <v>46318</v>
      </c>
      <c r="J418" t="n">
        <v>4385898</v>
      </c>
      <c r="K418" t="n">
        <v>10</v>
      </c>
      <c r="L418" t="inlineStr">
        <is>
          <t>ELE</t>
        </is>
      </c>
      <c r="M418" t="inlineStr">
        <is>
          <t>PSE-1812 MANUT PRO CONDE/TROC CALOR</t>
        </is>
      </c>
      <c r="N418" t="inlineStr">
        <is>
          <t>MANUT TROCADOR PSE-1812 PRO 1A</t>
        </is>
      </c>
      <c r="O418" t="inlineStr">
        <is>
          <t>PERGC-PSAI-MBB-04-07-13</t>
        </is>
      </c>
      <c r="P418" t="inlineStr">
        <is>
          <t>29ER001B-H04 VFD A SPACE HEATER NO. 4</t>
        </is>
      </c>
      <c r="Q418" t="n">
        <v>1</v>
      </c>
      <c r="R418" t="inlineStr">
        <is>
          <t>PLANO</t>
        </is>
      </c>
      <c r="S418" t="inlineStr">
        <is>
          <t>Z12</t>
        </is>
      </c>
      <c r="T418" s="20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F419" s="20" t="n">
        <v>46321</v>
      </c>
      <c r="G419" t="n">
        <v>5</v>
      </c>
      <c r="H419" t="n">
        <v>3</v>
      </c>
      <c r="I419" s="20" t="n">
        <v>46321</v>
      </c>
      <c r="J419" t="n">
        <v>4386567</v>
      </c>
      <c r="K419" t="n">
        <v>10</v>
      </c>
      <c r="L419" t="inlineStr">
        <is>
          <t>MEC</t>
        </is>
      </c>
      <c r="M419" t="inlineStr">
        <is>
          <t>INS-1500 INSP OPM VISUAL BOMBA</t>
        </is>
      </c>
      <c r="N419" t="inlineStr">
        <is>
          <t>INSP VISUAL BOMBA INS-1500 MEC 1M</t>
        </is>
      </c>
      <c r="O419" t="inlineStr">
        <is>
          <t>PERGC-PSCO-MBB-01-04</t>
        </is>
      </c>
      <c r="P419" t="inlineStr">
        <is>
          <t>CJ SKID BOMBA BOOSTER PRODUCAO 21PX001A</t>
        </is>
      </c>
      <c r="Q419" t="n">
        <v>1</v>
      </c>
      <c r="R419" t="inlineStr">
        <is>
          <t>PLANO</t>
        </is>
      </c>
      <c r="S419" t="inlineStr">
        <is>
          <t>Z09</t>
        </is>
      </c>
      <c r="T419" s="20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F420" s="20" t="n">
        <v>46319</v>
      </c>
      <c r="G420" t="n">
        <v>3</v>
      </c>
      <c r="H420" t="n">
        <v>2</v>
      </c>
      <c r="I420" s="20" t="n">
        <v>46319</v>
      </c>
      <c r="J420" t="n">
        <v>4383615</v>
      </c>
      <c r="K420" t="n">
        <v>10</v>
      </c>
      <c r="L420" t="inlineStr">
        <is>
          <t>PRO</t>
        </is>
      </c>
      <c r="M420" t="inlineStr">
        <is>
          <t>INS-1500 INSP PRO VISUAL BOMBA</t>
        </is>
      </c>
      <c r="N420" t="inlineStr">
        <is>
          <t>INSP VISUAL BOMBA INS-1500 MEC 1M</t>
        </is>
      </c>
      <c r="O420" t="inlineStr">
        <is>
          <t>PERGC-PSCO-MBB-01-04-07-01</t>
        </is>
      </c>
      <c r="P420" t="inlineStr">
        <is>
          <t>21PX001A BOMBA BOOSTER PRODUCAO</t>
        </is>
      </c>
      <c r="Q420" t="n">
        <v>1</v>
      </c>
      <c r="R420" t="inlineStr">
        <is>
          <t>PLANO</t>
        </is>
      </c>
      <c r="S420" t="inlineStr">
        <is>
          <t>Z09</t>
        </is>
      </c>
      <c r="T420" s="20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F421" s="20" t="n">
        <v>46313</v>
      </c>
      <c r="G421" t="n">
        <v>5</v>
      </c>
      <c r="H421" t="n">
        <v>2</v>
      </c>
      <c r="I421" s="20" t="n">
        <v>46313</v>
      </c>
      <c r="J421" t="n">
        <v>4385465</v>
      </c>
      <c r="K421" t="n">
        <v>10</v>
      </c>
      <c r="L421" t="inlineStr">
        <is>
          <t>ELE</t>
        </is>
      </c>
      <c r="M421" t="inlineStr">
        <is>
          <t>PSE-1200 MANUT ELE MOTOR BT</t>
        </is>
      </c>
      <c r="N421" t="inlineStr">
        <is>
          <t>MANUT MOTOR BAIXA TENSAO PSE-1200 ELE 1A</t>
        </is>
      </c>
      <c r="O421" t="inlineStr">
        <is>
          <t>PERGC-PSCO-MBB-01-04-19-01-04</t>
        </is>
      </c>
      <c r="P421" t="inlineStr">
        <is>
          <t>21PX003-M01 MOTOR ELETRICO</t>
        </is>
      </c>
      <c r="Q421" t="n">
        <v>4</v>
      </c>
      <c r="R421" t="inlineStr">
        <is>
          <t>PLANO</t>
        </is>
      </c>
      <c r="S421" t="inlineStr">
        <is>
          <t>Z12</t>
        </is>
      </c>
      <c r="T421" s="20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F422" s="20" t="n">
        <v>46321</v>
      </c>
      <c r="G422" t="n">
        <v>5</v>
      </c>
      <c r="H422" t="n">
        <v>3</v>
      </c>
      <c r="I422" s="20" t="n">
        <v>46321</v>
      </c>
      <c r="J422" t="n">
        <v>4386569</v>
      </c>
      <c r="K422" t="n">
        <v>10</v>
      </c>
      <c r="L422" t="inlineStr">
        <is>
          <t>MEC</t>
        </is>
      </c>
      <c r="M422" t="inlineStr">
        <is>
          <t>INS-1500 INSP OPM VISUAL BOMBA</t>
        </is>
      </c>
      <c r="N422" t="inlineStr">
        <is>
          <t>INSP VISUAL BOMBA INS-1500 MEC 1M</t>
        </is>
      </c>
      <c r="O422" t="inlineStr">
        <is>
          <t>PERGC-PSCO-MBB-01-07</t>
        </is>
      </c>
      <c r="P422" t="inlineStr">
        <is>
          <t>CJ SKID BOMBA BOOSTER PRODUCAO 21PX001B</t>
        </is>
      </c>
      <c r="Q422" t="n">
        <v>1</v>
      </c>
      <c r="R422" t="inlineStr">
        <is>
          <t>PLANO</t>
        </is>
      </c>
      <c r="S422" t="inlineStr">
        <is>
          <t>Z09</t>
        </is>
      </c>
      <c r="T422" s="20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F423" s="20" t="n">
        <v>46319</v>
      </c>
      <c r="G423" t="n">
        <v>3</v>
      </c>
      <c r="H423" t="n">
        <v>2</v>
      </c>
      <c r="I423" s="20" t="n">
        <v>46319</v>
      </c>
      <c r="J423" t="n">
        <v>4383616</v>
      </c>
      <c r="K423" t="n">
        <v>10</v>
      </c>
      <c r="L423" t="inlineStr">
        <is>
          <t>PRO</t>
        </is>
      </c>
      <c r="M423" t="inlineStr">
        <is>
          <t>INS-1500 INSP PRO VISUAL BOMBA</t>
        </is>
      </c>
      <c r="N423" t="inlineStr">
        <is>
          <t>INSP VISUAL BOMBA INS-1500 MEC 1M</t>
        </is>
      </c>
      <c r="O423" t="inlineStr">
        <is>
          <t>PERGC-PSCO-MBB-01-07-07-01</t>
        </is>
      </c>
      <c r="P423" t="inlineStr">
        <is>
          <t>21PX001B BOMBA BOOSTER PRODUCAO</t>
        </is>
      </c>
      <c r="Q423" t="n">
        <v>1</v>
      </c>
      <c r="R423" t="inlineStr">
        <is>
          <t>PLANO</t>
        </is>
      </c>
      <c r="S423" t="inlineStr">
        <is>
          <t>Z09</t>
        </is>
      </c>
      <c r="T423" s="20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F424" s="20" t="n">
        <v>46312</v>
      </c>
      <c r="G424" t="n">
        <v>5</v>
      </c>
      <c r="H424" t="n">
        <v>2</v>
      </c>
      <c r="I424" s="20" t="n">
        <v>46312</v>
      </c>
      <c r="J424" t="n">
        <v>4385474</v>
      </c>
      <c r="K424" t="n">
        <v>10</v>
      </c>
      <c r="L424" t="inlineStr">
        <is>
          <t>ELE</t>
        </is>
      </c>
      <c r="M424" t="inlineStr">
        <is>
          <t>PSE-1201 MANUT ELE TRANSFORMADOR AT</t>
        </is>
      </c>
      <c r="N424" t="inlineStr">
        <is>
          <t>MANUT TRANSFORMADOR AT PSE-1201 ELE 5A</t>
        </is>
      </c>
      <c r="O424" t="inlineStr">
        <is>
          <t>PERGC-PSCO-MBB-01-07-13-16-01</t>
        </is>
      </c>
      <c r="P424" t="inlineStr">
        <is>
          <t>21ET001B TRANSFORMADOR ENERGIA</t>
        </is>
      </c>
      <c r="Q424" t="n">
        <v>16</v>
      </c>
      <c r="R424" t="inlineStr">
        <is>
          <t>PLANO</t>
        </is>
      </c>
      <c r="S424" t="inlineStr">
        <is>
          <t>Z12</t>
        </is>
      </c>
      <c r="T424" s="20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F425" s="20" t="n">
        <v>46317</v>
      </c>
      <c r="G425" t="n">
        <v>5</v>
      </c>
      <c r="H425" t="n">
        <v>3</v>
      </c>
      <c r="I425" s="20" t="n">
        <v>46317</v>
      </c>
      <c r="J425" t="n">
        <v>4386489</v>
      </c>
      <c r="K425" t="n">
        <v>10</v>
      </c>
      <c r="L425" t="inlineStr">
        <is>
          <t>MEC</t>
        </is>
      </c>
      <c r="M425" t="inlineStr">
        <is>
          <t>INS-1500 INSP OPM VISUAL BOMBA</t>
        </is>
      </c>
      <c r="N425" t="inlineStr">
        <is>
          <t>INSP VISUAL BOMBA INS-1500 MEC 1M</t>
        </is>
      </c>
      <c r="O425" t="inlineStr">
        <is>
          <t>PERGC-PSCO-MBB-01-10</t>
        </is>
      </c>
      <c r="P425" t="inlineStr">
        <is>
          <t>CJ SKID BOMBA BOOSTER PRODUCAO 21PX001C</t>
        </is>
      </c>
      <c r="Q425" t="n">
        <v>1</v>
      </c>
      <c r="R425" t="inlineStr">
        <is>
          <t>PLANO</t>
        </is>
      </c>
      <c r="S425" t="inlineStr">
        <is>
          <t>Z09</t>
        </is>
      </c>
      <c r="T425" s="20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F426" s="20" t="n">
        <v>46319</v>
      </c>
      <c r="G426" t="n">
        <v>5</v>
      </c>
      <c r="H426" t="n">
        <v>2</v>
      </c>
      <c r="I426" s="20" t="n">
        <v>46319</v>
      </c>
      <c r="J426" t="n">
        <v>4383617</v>
      </c>
      <c r="K426" t="n">
        <v>10</v>
      </c>
      <c r="L426" t="inlineStr">
        <is>
          <t>PRO</t>
        </is>
      </c>
      <c r="M426" t="inlineStr">
        <is>
          <t>INS-1500 INSP PRO VISUAL BOMBA</t>
        </is>
      </c>
      <c r="N426" t="inlineStr">
        <is>
          <t>INSP VISUAL BOMBA INS-1500 MEC 1M</t>
        </is>
      </c>
      <c r="O426" t="inlineStr">
        <is>
          <t>PERGC-PSCO-MBB-01-10-07-01</t>
        </is>
      </c>
      <c r="P426" t="inlineStr">
        <is>
          <t>21PX001C BOMBA BOOSTER PRODUCAO</t>
        </is>
      </c>
      <c r="Q426" t="n">
        <v>1</v>
      </c>
      <c r="R426" t="inlineStr">
        <is>
          <t>PLANO</t>
        </is>
      </c>
      <c r="S426" t="inlineStr">
        <is>
          <t>Z09</t>
        </is>
      </c>
      <c r="T426" s="20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F427" s="20" t="n">
        <v>46316</v>
      </c>
      <c r="G427" t="n">
        <v>5</v>
      </c>
      <c r="H427" t="n">
        <v>3</v>
      </c>
      <c r="I427" s="20" t="n">
        <v>46316</v>
      </c>
      <c r="J427" t="n">
        <v>4386478</v>
      </c>
      <c r="K427" t="n">
        <v>10</v>
      </c>
      <c r="L427" t="inlineStr">
        <is>
          <t>MEC</t>
        </is>
      </c>
      <c r="M427" t="inlineStr">
        <is>
          <t>INS-1500 INSP OPM VISUAL BOMBA</t>
        </is>
      </c>
      <c r="N427" t="inlineStr">
        <is>
          <t>INSP VISUAL BOMBA INS-1500 MEC 1M</t>
        </is>
      </c>
      <c r="O427" t="inlineStr">
        <is>
          <t>PERGC-PSCP-PNN-01-55-01</t>
        </is>
      </c>
      <c r="P427" t="inlineStr">
        <is>
          <t>65JC001-PA1 BOMBA PRIMARIA</t>
        </is>
      </c>
      <c r="Q427" t="n">
        <v>1</v>
      </c>
      <c r="R427" t="inlineStr">
        <is>
          <t>PLANO</t>
        </is>
      </c>
      <c r="S427" t="inlineStr">
        <is>
          <t>Z09</t>
        </is>
      </c>
      <c r="T427" s="20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F428" s="20" t="n">
        <v>46317</v>
      </c>
      <c r="G428" t="n">
        <v>5</v>
      </c>
      <c r="H428" t="n">
        <v>3</v>
      </c>
      <c r="I428" s="20" t="n">
        <v>46317</v>
      </c>
      <c r="J428" t="n">
        <v>4386500</v>
      </c>
      <c r="K428" t="n">
        <v>10</v>
      </c>
      <c r="L428" t="inlineStr">
        <is>
          <t>MEC</t>
        </is>
      </c>
      <c r="M428" t="inlineStr">
        <is>
          <t>INS-1500 INSP OPM VISUAL BOMBA</t>
        </is>
      </c>
      <c r="N428" t="inlineStr">
        <is>
          <t>INSP VISUAL BOMBA INS-1500 MEC 1M</t>
        </is>
      </c>
      <c r="O428" t="inlineStr">
        <is>
          <t>PERGC-PSCP-PNN-01-58-01</t>
        </is>
      </c>
      <c r="P428" t="inlineStr">
        <is>
          <t>65JC001-PA2 BOMBA SECUNDARIA</t>
        </is>
      </c>
      <c r="Q428" t="n">
        <v>1</v>
      </c>
      <c r="R428" t="inlineStr">
        <is>
          <t>PLANO</t>
        </is>
      </c>
      <c r="S428" t="inlineStr">
        <is>
          <t>Z09</t>
        </is>
      </c>
      <c r="T428" s="20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F429" s="20" t="n">
        <v>46318</v>
      </c>
      <c r="G429" t="n">
        <v>5</v>
      </c>
      <c r="H429" t="n">
        <v>3</v>
      </c>
      <c r="I429" s="20" t="n">
        <v>46318</v>
      </c>
      <c r="J429" t="n">
        <v>4386515</v>
      </c>
      <c r="K429" t="n">
        <v>10</v>
      </c>
      <c r="L429" t="inlineStr">
        <is>
          <t>MEC</t>
        </is>
      </c>
      <c r="M429" t="inlineStr">
        <is>
          <t>INS-1500 INSP OPM VISUAL BOMBA</t>
        </is>
      </c>
      <c r="N429" t="inlineStr">
        <is>
          <t>INSP VISUAL BOMBA INS-1500 MEC 1M</t>
        </is>
      </c>
      <c r="O429" t="inlineStr">
        <is>
          <t>PERGC-PSCP-PNN-01-61-01</t>
        </is>
      </c>
      <c r="P429" t="inlineStr">
        <is>
          <t>65JC001-PB1 BOMBA MANUAL</t>
        </is>
      </c>
      <c r="Q429" t="n">
        <v>1</v>
      </c>
      <c r="R429" t="inlineStr">
        <is>
          <t>PLANO</t>
        </is>
      </c>
      <c r="S429" t="inlineStr">
        <is>
          <t>Z09</t>
        </is>
      </c>
      <c r="T429" s="20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F430" s="20" t="n">
        <v>46319</v>
      </c>
      <c r="G430" t="n">
        <v>5</v>
      </c>
      <c r="H430" t="n">
        <v>3</v>
      </c>
      <c r="I430" s="20" t="n">
        <v>46319</v>
      </c>
      <c r="J430" t="n">
        <v>4386535</v>
      </c>
      <c r="K430" t="n">
        <v>10</v>
      </c>
      <c r="L430" t="inlineStr">
        <is>
          <t>MEC</t>
        </is>
      </c>
      <c r="M430" t="inlineStr">
        <is>
          <t>INS-1500 INSP OPM VISUAL BOMBA</t>
        </is>
      </c>
      <c r="N430" t="inlineStr">
        <is>
          <t>INSP VISUAL BOMBA INS-1500 MEC 1M</t>
        </is>
      </c>
      <c r="O430" t="inlineStr">
        <is>
          <t>PERGC-PSCP-PNN-04-40-01</t>
        </is>
      </c>
      <c r="P430" t="inlineStr">
        <is>
          <t>65JC002-PA1 BOMBA PRIMARIA</t>
        </is>
      </c>
      <c r="Q430" t="n">
        <v>1</v>
      </c>
      <c r="R430" t="inlineStr">
        <is>
          <t>PLANO</t>
        </is>
      </c>
      <c r="S430" t="inlineStr">
        <is>
          <t>Z09</t>
        </is>
      </c>
      <c r="T430" s="20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F431" s="20" t="n">
        <v>46320</v>
      </c>
      <c r="G431" t="n">
        <v>5</v>
      </c>
      <c r="H431" t="n">
        <v>3</v>
      </c>
      <c r="I431" s="20" t="n">
        <v>46320</v>
      </c>
      <c r="J431" t="n">
        <v>4386553</v>
      </c>
      <c r="K431" t="n">
        <v>10</v>
      </c>
      <c r="L431" t="inlineStr">
        <is>
          <t>MEC</t>
        </is>
      </c>
      <c r="M431" t="inlineStr">
        <is>
          <t>INS-1500 INSP OPM VISUAL BOMBA</t>
        </is>
      </c>
      <c r="N431" t="inlineStr">
        <is>
          <t>INSP VISUAL BOMBA INS-1500 MEC 1M</t>
        </is>
      </c>
      <c r="O431" t="inlineStr">
        <is>
          <t>PERGC-PSCP-PNN-04-43-01</t>
        </is>
      </c>
      <c r="P431" t="inlineStr">
        <is>
          <t>65JC002-PA2 BOMBA SECUNDARIA</t>
        </is>
      </c>
      <c r="Q431" t="n">
        <v>1</v>
      </c>
      <c r="R431" t="inlineStr">
        <is>
          <t>PLANO</t>
        </is>
      </c>
      <c r="S431" t="inlineStr">
        <is>
          <t>Z09</t>
        </is>
      </c>
      <c r="T431" s="20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F432" s="20" t="n">
        <v>46321</v>
      </c>
      <c r="G432" t="n">
        <v>3</v>
      </c>
      <c r="H432" t="n">
        <v>3</v>
      </c>
      <c r="I432" s="20" t="n">
        <v>46321</v>
      </c>
      <c r="J432" t="n">
        <v>4386574</v>
      </c>
      <c r="K432" t="n">
        <v>10</v>
      </c>
      <c r="L432" t="inlineStr">
        <is>
          <t>MEC</t>
        </is>
      </c>
      <c r="M432" t="inlineStr">
        <is>
          <t>INS-1500 INSP OPM VISUAL BOMBA</t>
        </is>
      </c>
      <c r="N432" t="inlineStr">
        <is>
          <t>INSP VISUAL BOMBA INS-1500 MEC 1M</t>
        </is>
      </c>
      <c r="O432" t="inlineStr">
        <is>
          <t>PERGC-PSCP-PNN-04-46-01</t>
        </is>
      </c>
      <c r="P432" t="inlineStr">
        <is>
          <t>65JC002-PB1 BOMBA MANUAL</t>
        </is>
      </c>
      <c r="Q432" t="n">
        <v>1</v>
      </c>
      <c r="R432" t="inlineStr">
        <is>
          <t>PLANO</t>
        </is>
      </c>
      <c r="S432" t="inlineStr">
        <is>
          <t>Z09</t>
        </is>
      </c>
      <c r="T432" s="20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F433" s="20" t="n">
        <v>46323</v>
      </c>
      <c r="G433" t="n">
        <v>5</v>
      </c>
      <c r="H433" t="n">
        <v>2</v>
      </c>
      <c r="I433" s="20" t="n">
        <v>46323</v>
      </c>
      <c r="J433" t="n">
        <v>4386762</v>
      </c>
      <c r="K433" t="n">
        <v>10</v>
      </c>
      <c r="L433" t="inlineStr">
        <is>
          <t>ELE</t>
        </is>
      </c>
      <c r="M433" t="inlineStr">
        <is>
          <t>INS-1224 INSP INS SCR/VFD/SOFT START</t>
        </is>
      </c>
      <c r="N433" t="inlineStr">
        <is>
          <t>INSP SCR/VFD/SOFT START INS-1224 ELE 1M</t>
        </is>
      </c>
      <c r="O433" t="inlineStr">
        <is>
          <t>PERGC-PSCP-POC-04-13-01</t>
        </is>
      </c>
      <c r="P433" t="inlineStr">
        <is>
          <t>13ER011 VFD MOTOR BOMBA SUBMERSA</t>
        </is>
      </c>
      <c r="Q433" t="n">
        <v>2</v>
      </c>
      <c r="R433" t="inlineStr">
        <is>
          <t>PLANO</t>
        </is>
      </c>
      <c r="S433" t="inlineStr">
        <is>
          <t>Z09</t>
        </is>
      </c>
      <c r="T433" s="20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F434" s="20" t="n">
        <v>46322</v>
      </c>
      <c r="G434" t="n">
        <v>5</v>
      </c>
      <c r="H434" t="n">
        <v>3</v>
      </c>
      <c r="I434" s="20" t="n">
        <v>46322</v>
      </c>
      <c r="J434" t="n">
        <v>4386594</v>
      </c>
      <c r="K434" t="n">
        <v>10</v>
      </c>
      <c r="L434" t="inlineStr">
        <is>
          <t>TER</t>
        </is>
      </c>
      <c r="M434" t="inlineStr">
        <is>
          <t>PSE-1224 MANUT TER CONTROL/INVERS</t>
        </is>
      </c>
      <c r="N434" t="inlineStr">
        <is>
          <t>MANUT CONTROL/INVERS PSE-1224 ELE 3A</t>
        </is>
      </c>
      <c r="O434" t="inlineStr">
        <is>
          <t>PERGC-PSCP-POC-19-13-01</t>
        </is>
      </c>
      <c r="P434" t="inlineStr">
        <is>
          <t>13ER0701 VFD MOTOR BOMBA SUBMERSA</t>
        </is>
      </c>
      <c r="Q434" t="n">
        <v>4</v>
      </c>
      <c r="R434" t="inlineStr">
        <is>
          <t>PLANO-VEND</t>
        </is>
      </c>
      <c r="S434" t="inlineStr">
        <is>
          <t>Z12</t>
        </is>
      </c>
      <c r="T434" s="20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F435" s="20" t="n">
        <v>46316</v>
      </c>
      <c r="G435" t="n">
        <v>3</v>
      </c>
      <c r="H435" t="n">
        <v>3</v>
      </c>
      <c r="I435" s="20" t="n">
        <v>46316</v>
      </c>
      <c r="J435" t="n">
        <v>4385887</v>
      </c>
      <c r="K435" t="n">
        <v>10</v>
      </c>
      <c r="L435" t="inlineStr">
        <is>
          <t>TER</t>
        </is>
      </c>
      <c r="M435" t="inlineStr">
        <is>
          <t>PSE-1224 MANUT TER CONTROL/INVERS</t>
        </is>
      </c>
      <c r="N435" t="inlineStr">
        <is>
          <t>MANUT CONTROL/INVERS PSE-1224 ELE 3A</t>
        </is>
      </c>
      <c r="O435" t="inlineStr">
        <is>
          <t>PERGC-PSCP-POC-55-13-01</t>
        </is>
      </c>
      <c r="P435" t="inlineStr">
        <is>
          <t>13ER019 VFD MOTOR BOMBA SUBMERSA</t>
        </is>
      </c>
      <c r="Q435" t="n">
        <v>4</v>
      </c>
      <c r="R435" t="inlineStr">
        <is>
          <t>PLANO-VEND</t>
        </is>
      </c>
      <c r="S435" t="inlineStr">
        <is>
          <t>Z12</t>
        </is>
      </c>
      <c r="T435" s="20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F436" s="20" t="n">
        <v>46311</v>
      </c>
      <c r="G436" t="n">
        <v>3</v>
      </c>
      <c r="H436" t="n">
        <v>2</v>
      </c>
      <c r="I436" s="20" t="n">
        <v>46311</v>
      </c>
      <c r="J436" t="n">
        <v>4386402</v>
      </c>
      <c r="K436" t="n">
        <v>10</v>
      </c>
      <c r="L436" t="inlineStr">
        <is>
          <t>ELE</t>
        </is>
      </c>
      <c r="M436" t="inlineStr">
        <is>
          <t>INS-1224 INSP INS SCR/VFD/SOFT START</t>
        </is>
      </c>
      <c r="N436" t="inlineStr">
        <is>
          <t>INSP SCR/VFD/SOFT START INS-1224 ELE 1M</t>
        </is>
      </c>
      <c r="O436" t="inlineStr">
        <is>
          <t>PERGC-PSCP-POC-64-13-01</t>
        </is>
      </c>
      <c r="P436" t="inlineStr">
        <is>
          <t>13ER021 VFD MOTOR BOMBA SUBMERSA</t>
        </is>
      </c>
      <c r="Q436" t="n">
        <v>2</v>
      </c>
      <c r="R436" t="inlineStr">
        <is>
          <t>PLANO</t>
        </is>
      </c>
      <c r="S436" t="inlineStr">
        <is>
          <t>Z09</t>
        </is>
      </c>
      <c r="T436" s="20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F437" s="20" t="n">
        <v>46313</v>
      </c>
      <c r="G437" t="n">
        <v>3</v>
      </c>
      <c r="H437" t="n">
        <v>2</v>
      </c>
      <c r="I437" s="20" t="n">
        <v>46313</v>
      </c>
      <c r="J437" t="n">
        <v>4386432</v>
      </c>
      <c r="K437" t="n">
        <v>10</v>
      </c>
      <c r="L437" t="inlineStr">
        <is>
          <t>ELE</t>
        </is>
      </c>
      <c r="M437" t="inlineStr">
        <is>
          <t>INS-1224 INSP INS SCR/VFD/SOFT START</t>
        </is>
      </c>
      <c r="N437" t="inlineStr">
        <is>
          <t>INSP SCR/VFD/SOFT START INS-1224 ELE 1M</t>
        </is>
      </c>
      <c r="O437" t="inlineStr">
        <is>
          <t>PERGC-PSCP-POC-70-13-01</t>
        </is>
      </c>
      <c r="P437" t="inlineStr">
        <is>
          <t>13ER030 VFD MOTOR BOMBA SUBMERSA</t>
        </is>
      </c>
      <c r="Q437" t="n">
        <v>2</v>
      </c>
      <c r="R437" t="inlineStr">
        <is>
          <t>PLANO</t>
        </is>
      </c>
      <c r="S437" t="inlineStr">
        <is>
          <t>Z09</t>
        </is>
      </c>
      <c r="T437" s="20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F438" s="20" t="n">
        <v>46311</v>
      </c>
      <c r="G438" t="n">
        <v>3</v>
      </c>
      <c r="H438" t="n">
        <v>2</v>
      </c>
      <c r="I438" s="20" t="n">
        <v>46311</v>
      </c>
      <c r="J438" t="n">
        <v>4386404</v>
      </c>
      <c r="K438" t="n">
        <v>10</v>
      </c>
      <c r="L438" t="inlineStr">
        <is>
          <t>ELE</t>
        </is>
      </c>
      <c r="M438" t="inlineStr">
        <is>
          <t>INS-1224 INSP INS SCR/VFD/SOFT START</t>
        </is>
      </c>
      <c r="N438" t="inlineStr">
        <is>
          <t>INSP SCR/VFD/SOFT START INS-1224 ELE 1M</t>
        </is>
      </c>
      <c r="O438" t="inlineStr">
        <is>
          <t>PERGC-PSCP-POC-76-13-01</t>
        </is>
      </c>
      <c r="P438" t="inlineStr">
        <is>
          <t>13ER026 VFD MOTOR BOMBA SUBMERSA</t>
        </is>
      </c>
      <c r="Q438" t="n">
        <v>2</v>
      </c>
      <c r="R438" t="inlineStr">
        <is>
          <t>PLANO</t>
        </is>
      </c>
      <c r="S438" t="inlineStr">
        <is>
          <t>Z09</t>
        </is>
      </c>
      <c r="T438" s="20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F439" s="20" t="n">
        <v>46326</v>
      </c>
      <c r="G439" t="n">
        <v>3</v>
      </c>
      <c r="H439" t="n">
        <v>2</v>
      </c>
      <c r="I439" s="20" t="n">
        <v>46325</v>
      </c>
      <c r="J439" t="n">
        <v>4390910</v>
      </c>
      <c r="K439" t="n">
        <v>10</v>
      </c>
      <c r="L439" t="inlineStr">
        <is>
          <t>POMMET</t>
        </is>
      </c>
      <c r="M439" t="inlineStr">
        <is>
          <t>03M TEMP TRANSMITTER - CALIBRATION</t>
        </is>
      </c>
      <c r="N439" t="inlineStr">
        <is>
          <t>STOP-U 43TIT0001 TEMP TRANS FLARE CALIB</t>
        </is>
      </c>
      <c r="O439" t="inlineStr">
        <is>
          <t>PERGC-PSFL-FLR-04-04-01</t>
        </is>
      </c>
      <c r="P439" t="inlineStr">
        <is>
          <t>43TIT0001 TRANSMISSOR IND TEMPERATURA</t>
        </is>
      </c>
      <c r="Q439" t="n">
        <v>1</v>
      </c>
      <c r="R439" t="inlineStr">
        <is>
          <t>PLANO</t>
        </is>
      </c>
      <c r="S439" t="inlineStr">
        <is>
          <t>Z12</t>
        </is>
      </c>
      <c r="T439" s="20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F440" s="20" t="n">
        <v>46326</v>
      </c>
      <c r="G440" t="n">
        <v>3</v>
      </c>
      <c r="H440" t="n">
        <v>2</v>
      </c>
      <c r="I440" s="20" t="n">
        <v>46325</v>
      </c>
      <c r="J440" t="n">
        <v>4390910</v>
      </c>
      <c r="K440" t="n">
        <v>20</v>
      </c>
      <c r="L440" t="inlineStr">
        <is>
          <t>E38AUT</t>
        </is>
      </c>
      <c r="M440" t="inlineStr">
        <is>
          <t>03M TEMP TRANSMITTER - CALIBRATION SUPP</t>
        </is>
      </c>
      <c r="N440" t="inlineStr">
        <is>
          <t>STOP-U 43TIT0001 TEMP TRANS FLARE CALIB</t>
        </is>
      </c>
      <c r="O440" t="inlineStr">
        <is>
          <t>PERGC-PSFL-FLR-04-04-01</t>
        </is>
      </c>
      <c r="P440" t="inlineStr">
        <is>
          <t>43TIT0001 TRANSMISSOR IND TEMPERATURA</t>
        </is>
      </c>
      <c r="Q440" t="n">
        <v>3</v>
      </c>
      <c r="R440" t="inlineStr">
        <is>
          <t>PLANO</t>
        </is>
      </c>
      <c r="S440" t="inlineStr">
        <is>
          <t>Z12</t>
        </is>
      </c>
      <c r="T440" s="20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F441" s="20" t="n">
        <v>46326</v>
      </c>
      <c r="G441" t="n">
        <v>3</v>
      </c>
      <c r="H441" t="n">
        <v>2</v>
      </c>
      <c r="I441" s="20" t="n">
        <v>46325</v>
      </c>
      <c r="J441" t="n">
        <v>4390910</v>
      </c>
      <c r="K441" t="n">
        <v>30</v>
      </c>
      <c r="L441" t="inlineStr">
        <is>
          <t>POMMET</t>
        </is>
      </c>
      <c r="M441" t="inlineStr">
        <is>
          <t>03M COMPUTER FLOW CALIBRATION</t>
        </is>
      </c>
      <c r="N441" t="inlineStr">
        <is>
          <t>STOP-U 43TIT0001 TEMP TRANS FLARE CALIB</t>
        </is>
      </c>
      <c r="O441" t="inlineStr">
        <is>
          <t>PERGC-PSFL-FLR-04-04-01</t>
        </is>
      </c>
      <c r="P441" t="inlineStr">
        <is>
          <t>43TIT0001 TRANSMISSOR IND TEMPERATURA</t>
        </is>
      </c>
      <c r="Q441" t="n">
        <v>0.5</v>
      </c>
      <c r="R441" t="inlineStr">
        <is>
          <t>PLANO</t>
        </is>
      </c>
      <c r="S441" t="inlineStr">
        <is>
          <t>Z12</t>
        </is>
      </c>
      <c r="T441" s="20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F442" s="20" t="n">
        <v>46316</v>
      </c>
      <c r="G442" t="n">
        <v>3</v>
      </c>
      <c r="H442" t="n">
        <v>2</v>
      </c>
      <c r="I442" s="20" t="n">
        <v>46316</v>
      </c>
      <c r="J442" t="n">
        <v>4386729</v>
      </c>
      <c r="K442" t="n">
        <v>10</v>
      </c>
      <c r="L442" t="inlineStr">
        <is>
          <t>MEC</t>
        </is>
      </c>
      <c r="M442" t="inlineStr">
        <is>
          <t>INS-1500 INSP OPM VISUAL BOMBA</t>
        </is>
      </c>
      <c r="N442" t="inlineStr">
        <is>
          <t>INSP VISUAL BOMBA INS-1500 MEC 1M</t>
        </is>
      </c>
      <c r="O442" t="inlineStr">
        <is>
          <t>PERGC-PSFL-VAS-07-01</t>
        </is>
      </c>
      <c r="P442" t="inlineStr">
        <is>
          <t>43PG001B BOMBA DREANGEM</t>
        </is>
      </c>
      <c r="Q442" t="n">
        <v>1</v>
      </c>
      <c r="R442" t="inlineStr">
        <is>
          <t>PLANO</t>
        </is>
      </c>
      <c r="S442" t="inlineStr">
        <is>
          <t>Z09</t>
        </is>
      </c>
      <c r="T442" s="20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F443" s="20" t="n">
        <v>46323</v>
      </c>
      <c r="G443" t="n">
        <v>3</v>
      </c>
      <c r="H443" t="n">
        <v>2</v>
      </c>
      <c r="I443" s="20" t="n">
        <v>46323</v>
      </c>
      <c r="J443" t="n">
        <v>4385671</v>
      </c>
      <c r="K443" t="n">
        <v>10</v>
      </c>
      <c r="L443" t="inlineStr">
        <is>
          <t>PRO</t>
        </is>
      </c>
      <c r="M443" t="inlineStr">
        <is>
          <t>INS-1813 INSP PRO FILTRO</t>
        </is>
      </c>
      <c r="N443" t="inlineStr">
        <is>
          <t>INSP FILTRO INS-1813 PRO 4M</t>
        </is>
      </c>
      <c r="O443" t="inlineStr">
        <is>
          <t>PERGC-PSFL-VAS-07-31-01</t>
        </is>
      </c>
      <c r="P443" t="inlineStr">
        <is>
          <t>SI-0011 FILTRO LINHA</t>
        </is>
      </c>
      <c r="Q443" t="n">
        <v>3</v>
      </c>
      <c r="R443" t="inlineStr">
        <is>
          <t>PLANO</t>
        </is>
      </c>
      <c r="S443" t="inlineStr">
        <is>
          <t>Z09</t>
        </is>
      </c>
      <c r="T443" s="20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F444" s="20" t="n">
        <v>46326</v>
      </c>
      <c r="G444" t="n">
        <v>3</v>
      </c>
      <c r="H444" t="n">
        <v>2</v>
      </c>
      <c r="I444" s="20" t="n">
        <v>46325</v>
      </c>
      <c r="J444" t="n">
        <v>4390906</v>
      </c>
      <c r="K444" t="n">
        <v>10</v>
      </c>
      <c r="L444" t="inlineStr">
        <is>
          <t>POMMET</t>
        </is>
      </c>
      <c r="M444" t="inlineStr">
        <is>
          <t>03M PRESSURE LOOP - CALIBRATION</t>
        </is>
      </c>
      <c r="N444" t="inlineStr">
        <is>
          <t>STOP-U 45PIT0050 TRANSMITTER CALIBRATION</t>
        </is>
      </c>
      <c r="O444" t="inlineStr">
        <is>
          <t>PERGC-PSGC-GIM-01-13-01-10-01</t>
        </is>
      </c>
      <c r="P444" t="inlineStr">
        <is>
          <t>45PIT0050 TRANSMISSOR IND PRESSAO</t>
        </is>
      </c>
      <c r="Q444" t="n">
        <v>1</v>
      </c>
      <c r="R444" t="inlineStr">
        <is>
          <t>PLANO</t>
        </is>
      </c>
      <c r="S444" t="inlineStr">
        <is>
          <t>Z12</t>
        </is>
      </c>
      <c r="T444" s="20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F445" s="20" t="n">
        <v>46326</v>
      </c>
      <c r="G445" t="n">
        <v>3</v>
      </c>
      <c r="H445" t="n">
        <v>2</v>
      </c>
      <c r="I445" s="20" t="n">
        <v>46325</v>
      </c>
      <c r="J445" t="n">
        <v>4390906</v>
      </c>
      <c r="K445" t="n">
        <v>20</v>
      </c>
      <c r="L445" t="inlineStr">
        <is>
          <t>E38AUT</t>
        </is>
      </c>
      <c r="M445" t="inlineStr">
        <is>
          <t>03M PRESSURE LOOP - CALIBRATION SUPPORT</t>
        </is>
      </c>
      <c r="N445" t="inlineStr">
        <is>
          <t>STOP-U 45PIT0050 TRANSMITTER CALIBRATION</t>
        </is>
      </c>
      <c r="O445" t="inlineStr">
        <is>
          <t>PERGC-PSGC-GIM-01-13-01-10-01</t>
        </is>
      </c>
      <c r="P445" t="inlineStr">
        <is>
          <t>45PIT0050 TRANSMISSOR IND PRESSAO</t>
        </is>
      </c>
      <c r="Q445" t="n">
        <v>3</v>
      </c>
      <c r="R445" t="inlineStr">
        <is>
          <t>PLANO</t>
        </is>
      </c>
      <c r="S445" t="inlineStr">
        <is>
          <t>Z12</t>
        </is>
      </c>
      <c r="T445" s="20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F446" s="20" t="n">
        <v>46326</v>
      </c>
      <c r="G446" t="n">
        <v>3</v>
      </c>
      <c r="H446" t="n">
        <v>2</v>
      </c>
      <c r="I446" s="20" t="n">
        <v>46325</v>
      </c>
      <c r="J446" t="n">
        <v>4390906</v>
      </c>
      <c r="K446" t="n">
        <v>30</v>
      </c>
      <c r="L446" t="inlineStr">
        <is>
          <t>POMMET</t>
        </is>
      </c>
      <c r="M446" t="inlineStr">
        <is>
          <t>03M COMPUTER FLOW CALIBRATION</t>
        </is>
      </c>
      <c r="N446" t="inlineStr">
        <is>
          <t>STOP-U 45PIT0050 TRANSMITTER CALIBRATION</t>
        </is>
      </c>
      <c r="O446" t="inlineStr">
        <is>
          <t>PERGC-PSGC-GIM-01-13-01-10-01</t>
        </is>
      </c>
      <c r="P446" t="inlineStr">
        <is>
          <t>45PIT0050 TRANSMISSOR IND PRESSAO</t>
        </is>
      </c>
      <c r="Q446" t="n">
        <v>0.5</v>
      </c>
      <c r="R446" t="inlineStr">
        <is>
          <t>PLANO</t>
        </is>
      </c>
      <c r="S446" t="inlineStr">
        <is>
          <t>Z12</t>
        </is>
      </c>
      <c r="T446" s="20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F447" s="20" t="n">
        <v>46326</v>
      </c>
      <c r="G447" t="n">
        <v>3</v>
      </c>
      <c r="H447" t="n">
        <v>2</v>
      </c>
      <c r="I447" s="20" t="n">
        <v>46325</v>
      </c>
      <c r="J447" t="n">
        <v>4390911</v>
      </c>
      <c r="K447" t="n">
        <v>10</v>
      </c>
      <c r="L447" t="inlineStr">
        <is>
          <t>POMMET</t>
        </is>
      </c>
      <c r="M447" t="inlineStr">
        <is>
          <t>03M TEMP TRANSMITTER - CALIBRATION</t>
        </is>
      </c>
      <c r="N447" t="inlineStr">
        <is>
          <t>STOP-U 45TIT0050 STR1_IMP GAS TT CALIB</t>
        </is>
      </c>
      <c r="O447" t="inlineStr">
        <is>
          <t>PERGC-PSGC-GIM-01-13-01-13-01</t>
        </is>
      </c>
      <c r="P447" t="inlineStr">
        <is>
          <t>45TIT0050 TRANSMISSOR IND TEMPERATURA</t>
        </is>
      </c>
      <c r="Q447" t="n">
        <v>1</v>
      </c>
      <c r="R447" t="inlineStr">
        <is>
          <t>PLANO</t>
        </is>
      </c>
      <c r="S447" t="inlineStr">
        <is>
          <t>Z12</t>
        </is>
      </c>
      <c r="T447" s="20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F448" s="20" t="n">
        <v>46326</v>
      </c>
      <c r="G448" t="n">
        <v>3</v>
      </c>
      <c r="H448" t="n">
        <v>2</v>
      </c>
      <c r="I448" s="20" t="n">
        <v>46325</v>
      </c>
      <c r="J448" t="n">
        <v>4390911</v>
      </c>
      <c r="K448" t="n">
        <v>20</v>
      </c>
      <c r="L448" t="inlineStr">
        <is>
          <t>E38AUT</t>
        </is>
      </c>
      <c r="M448" t="inlineStr">
        <is>
          <t>03M TEMP TRANSMITTER - CALIBRATION SUPP</t>
        </is>
      </c>
      <c r="N448" t="inlineStr">
        <is>
          <t>STOP-U 45TIT0050 STR1_IMP GAS TT CALIB</t>
        </is>
      </c>
      <c r="O448" t="inlineStr">
        <is>
          <t>PERGC-PSGC-GIM-01-13-01-13-01</t>
        </is>
      </c>
      <c r="P448" t="inlineStr">
        <is>
          <t>45TIT0050 TRANSMISSOR IND TEMPERATURA</t>
        </is>
      </c>
      <c r="Q448" t="n">
        <v>3</v>
      </c>
      <c r="R448" t="inlineStr">
        <is>
          <t>PLANO</t>
        </is>
      </c>
      <c r="S448" t="inlineStr">
        <is>
          <t>Z12</t>
        </is>
      </c>
      <c r="T448" s="20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F449" s="20" t="n">
        <v>46326</v>
      </c>
      <c r="G449" t="n">
        <v>3</v>
      </c>
      <c r="H449" t="n">
        <v>2</v>
      </c>
      <c r="I449" s="20" t="n">
        <v>46325</v>
      </c>
      <c r="J449" t="n">
        <v>4390911</v>
      </c>
      <c r="K449" t="n">
        <v>30</v>
      </c>
      <c r="L449" t="inlineStr">
        <is>
          <t>POMMET</t>
        </is>
      </c>
      <c r="M449" t="inlineStr">
        <is>
          <t>03M COMPUTER FLOW CALIBRATION</t>
        </is>
      </c>
      <c r="N449" t="inlineStr">
        <is>
          <t>STOP-U 45TIT0050 STR1_IMP GAS TT CALIB</t>
        </is>
      </c>
      <c r="O449" t="inlineStr">
        <is>
          <t>PERGC-PSGC-GIM-01-13-01-13-01</t>
        </is>
      </c>
      <c r="P449" t="inlineStr">
        <is>
          <t>45TIT0050 TRANSMISSOR IND TEMPERATURA</t>
        </is>
      </c>
      <c r="Q449" t="n">
        <v>0.5</v>
      </c>
      <c r="R449" t="inlineStr">
        <is>
          <t>PLANO</t>
        </is>
      </c>
      <c r="S449" t="inlineStr">
        <is>
          <t>Z12</t>
        </is>
      </c>
      <c r="T449" s="20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F450" s="20" t="n">
        <v>46326</v>
      </c>
      <c r="G450" t="n">
        <v>3</v>
      </c>
      <c r="H450" t="n">
        <v>2</v>
      </c>
      <c r="I450" s="20" t="n">
        <v>46325</v>
      </c>
      <c r="J450" t="n">
        <v>4390904</v>
      </c>
      <c r="K450" t="n">
        <v>10</v>
      </c>
      <c r="L450" t="inlineStr">
        <is>
          <t>POMMET</t>
        </is>
      </c>
      <c r="M450" t="inlineStr">
        <is>
          <t>03M DIF PRESS TRANSM - CALIBRATION</t>
        </is>
      </c>
      <c r="N450" t="inlineStr">
        <is>
          <t>STOP-U 45FIT0050 TRANSMITTER CALIBRATION</t>
        </is>
      </c>
      <c r="O450" t="inlineStr">
        <is>
          <t>PERGC-PSGC-GIM-01-13-01-16-01</t>
        </is>
      </c>
      <c r="P450" t="inlineStr">
        <is>
          <t>45FIT0050 TRANSMISSOR IND VAZAO</t>
        </is>
      </c>
      <c r="Q450" t="n">
        <v>1</v>
      </c>
      <c r="R450" t="inlineStr">
        <is>
          <t>PLANO</t>
        </is>
      </c>
      <c r="S450" t="inlineStr">
        <is>
          <t>Z12</t>
        </is>
      </c>
      <c r="T450" s="20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F451" s="20" t="n">
        <v>46326</v>
      </c>
      <c r="G451" t="n">
        <v>3</v>
      </c>
      <c r="H451" t="n">
        <v>2</v>
      </c>
      <c r="I451" s="20" t="n">
        <v>46325</v>
      </c>
      <c r="J451" t="n">
        <v>4390904</v>
      </c>
      <c r="K451" t="n">
        <v>20</v>
      </c>
      <c r="L451" t="inlineStr">
        <is>
          <t>E38AUT</t>
        </is>
      </c>
      <c r="M451" t="inlineStr">
        <is>
          <t>03M DIF PRESS TRANSM - CALIBRATION SUPP</t>
        </is>
      </c>
      <c r="N451" t="inlineStr">
        <is>
          <t>STOP-U 45FIT0050 TRANSMITTER CALIBRATION</t>
        </is>
      </c>
      <c r="O451" t="inlineStr">
        <is>
          <t>PERGC-PSGC-GIM-01-13-01-16-01</t>
        </is>
      </c>
      <c r="P451" t="inlineStr">
        <is>
          <t>45FIT0050 TRANSMISSOR IND VAZAO</t>
        </is>
      </c>
      <c r="Q451" t="n">
        <v>3</v>
      </c>
      <c r="R451" t="inlineStr">
        <is>
          <t>PLANO</t>
        </is>
      </c>
      <c r="S451" t="inlineStr">
        <is>
          <t>Z12</t>
        </is>
      </c>
      <c r="T451" s="20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F452" s="20" t="n">
        <v>46326</v>
      </c>
      <c r="G452" t="n">
        <v>3</v>
      </c>
      <c r="H452" t="n">
        <v>2</v>
      </c>
      <c r="I452" s="20" t="n">
        <v>46325</v>
      </c>
      <c r="J452" t="n">
        <v>4390904</v>
      </c>
      <c r="K452" t="n">
        <v>30</v>
      </c>
      <c r="L452" t="inlineStr">
        <is>
          <t>POMMET</t>
        </is>
      </c>
      <c r="M452" t="inlineStr">
        <is>
          <t>03M COMPUTER FLOW CALIBRATION</t>
        </is>
      </c>
      <c r="N452" t="inlineStr">
        <is>
          <t>STOP-U 45FIT0050 TRANSMITTER CALIBRATION</t>
        </is>
      </c>
      <c r="O452" t="inlineStr">
        <is>
          <t>PERGC-PSGC-GIM-01-13-01-16-01</t>
        </is>
      </c>
      <c r="P452" t="inlineStr">
        <is>
          <t>45FIT0050 TRANSMISSOR IND VAZAO</t>
        </is>
      </c>
      <c r="Q452" t="n">
        <v>0.5</v>
      </c>
      <c r="R452" t="inlineStr">
        <is>
          <t>PLANO</t>
        </is>
      </c>
      <c r="S452" t="inlineStr">
        <is>
          <t>Z12</t>
        </is>
      </c>
      <c r="T452" s="20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F453" s="20" t="n">
        <v>46326</v>
      </c>
      <c r="G453" t="n">
        <v>3</v>
      </c>
      <c r="H453" t="n">
        <v>2</v>
      </c>
      <c r="I453" s="20" t="n">
        <v>46325</v>
      </c>
      <c r="J453" t="n">
        <v>4390907</v>
      </c>
      <c r="K453" t="n">
        <v>10</v>
      </c>
      <c r="L453" t="inlineStr">
        <is>
          <t>POMMET</t>
        </is>
      </c>
      <c r="M453" t="inlineStr">
        <is>
          <t>03M PRESSURE LOOP - CALIBRATION</t>
        </is>
      </c>
      <c r="N453" t="inlineStr">
        <is>
          <t>STOP-U 45PIT0051 TRANSMITTER CALIBRATION</t>
        </is>
      </c>
      <c r="O453" t="inlineStr">
        <is>
          <t>PERGC-PSGC-GIM-01-13-04-10-01</t>
        </is>
      </c>
      <c r="P453" t="inlineStr">
        <is>
          <t>45PIT0051 TRANSMISSOR IND PRESSAO</t>
        </is>
      </c>
      <c r="Q453" t="n">
        <v>1</v>
      </c>
      <c r="R453" t="inlineStr">
        <is>
          <t>PLANO</t>
        </is>
      </c>
      <c r="S453" t="inlineStr">
        <is>
          <t>Z12</t>
        </is>
      </c>
      <c r="T453" s="20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F454" s="20" t="n">
        <v>46326</v>
      </c>
      <c r="G454" t="n">
        <v>3</v>
      </c>
      <c r="H454" t="n">
        <v>2</v>
      </c>
      <c r="I454" s="20" t="n">
        <v>46325</v>
      </c>
      <c r="J454" t="n">
        <v>4390907</v>
      </c>
      <c r="K454" t="n">
        <v>20</v>
      </c>
      <c r="L454" t="inlineStr">
        <is>
          <t>E38AUT</t>
        </is>
      </c>
      <c r="M454" t="inlineStr">
        <is>
          <t>03M PRESSURE LOOP - CALIBRATION SUPPORT</t>
        </is>
      </c>
      <c r="N454" t="inlineStr">
        <is>
          <t>STOP-U 45PIT0051 TRANSMITTER CALIBRATION</t>
        </is>
      </c>
      <c r="O454" t="inlineStr">
        <is>
          <t>PERGC-PSGC-GIM-01-13-04-10-01</t>
        </is>
      </c>
      <c r="P454" t="inlineStr">
        <is>
          <t>45PIT0051 TRANSMISSOR IND PRESSAO</t>
        </is>
      </c>
      <c r="Q454" t="n">
        <v>3</v>
      </c>
      <c r="R454" t="inlineStr">
        <is>
          <t>PLANO</t>
        </is>
      </c>
      <c r="S454" t="inlineStr">
        <is>
          <t>Z12</t>
        </is>
      </c>
      <c r="T454" s="20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F455" s="20" t="n">
        <v>46326</v>
      </c>
      <c r="G455" t="n">
        <v>3</v>
      </c>
      <c r="H455" t="n">
        <v>2</v>
      </c>
      <c r="I455" s="20" t="n">
        <v>46325</v>
      </c>
      <c r="J455" t="n">
        <v>4390907</v>
      </c>
      <c r="K455" t="n">
        <v>30</v>
      </c>
      <c r="L455" t="inlineStr">
        <is>
          <t>POMMET</t>
        </is>
      </c>
      <c r="M455" t="inlineStr">
        <is>
          <t>03M COMPUTER FLOW CALIBRATION</t>
        </is>
      </c>
      <c r="N455" t="inlineStr">
        <is>
          <t>STOP-U 45PIT0051 TRANSMITTER CALIBRATION</t>
        </is>
      </c>
      <c r="O455" t="inlineStr">
        <is>
          <t>PERGC-PSGC-GIM-01-13-04-10-01</t>
        </is>
      </c>
      <c r="P455" t="inlineStr">
        <is>
          <t>45PIT0051 TRANSMISSOR IND PRESSAO</t>
        </is>
      </c>
      <c r="Q455" t="n">
        <v>0.5</v>
      </c>
      <c r="R455" t="inlineStr">
        <is>
          <t>PLANO</t>
        </is>
      </c>
      <c r="S455" t="inlineStr">
        <is>
          <t>Z12</t>
        </is>
      </c>
      <c r="T455" s="20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F456" s="20" t="n">
        <v>46325</v>
      </c>
      <c r="G456" t="n">
        <v>3</v>
      </c>
      <c r="H456" t="n">
        <v>2</v>
      </c>
      <c r="I456" s="20" t="n">
        <v>46325</v>
      </c>
      <c r="J456" t="n">
        <v>4390914</v>
      </c>
      <c r="K456" t="n">
        <v>10</v>
      </c>
      <c r="L456" t="inlineStr">
        <is>
          <t>POMMET</t>
        </is>
      </c>
      <c r="M456" t="inlineStr">
        <is>
          <t>03M TEMP TRANSMITTER - CALIBRATION</t>
        </is>
      </c>
      <c r="N456" t="inlineStr">
        <is>
          <t>STOP-U 45TIT0051 STR2_IMP GAS TT CALIB</t>
        </is>
      </c>
      <c r="O456" t="inlineStr">
        <is>
          <t>PERGC-PSGC-GIM-01-13-04-13-01</t>
        </is>
      </c>
      <c r="P456" t="inlineStr">
        <is>
          <t>45TIT0051 TRANSMISSOR IND TEMPERATURA</t>
        </is>
      </c>
      <c r="Q456" t="n">
        <v>1</v>
      </c>
      <c r="R456" t="inlineStr">
        <is>
          <t>PLANO</t>
        </is>
      </c>
      <c r="S456" t="inlineStr">
        <is>
          <t>Z12</t>
        </is>
      </c>
      <c r="T456" s="20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F457" s="20" t="n">
        <v>46325</v>
      </c>
      <c r="G457" t="n">
        <v>3</v>
      </c>
      <c r="H457" t="n">
        <v>2</v>
      </c>
      <c r="I457" s="20" t="n">
        <v>46325</v>
      </c>
      <c r="J457" t="n">
        <v>4390914</v>
      </c>
      <c r="K457" t="n">
        <v>20</v>
      </c>
      <c r="L457" t="inlineStr">
        <is>
          <t>E38AUT</t>
        </is>
      </c>
      <c r="M457" t="inlineStr">
        <is>
          <t>03M TEMP TRANSMITTER - CALIBRATION SUPP</t>
        </is>
      </c>
      <c r="N457" t="inlineStr">
        <is>
          <t>STOP-U 45TIT0051 STR2_IMP GAS TT CALIB</t>
        </is>
      </c>
      <c r="O457" t="inlineStr">
        <is>
          <t>PERGC-PSGC-GIM-01-13-04-13-01</t>
        </is>
      </c>
      <c r="P457" t="inlineStr">
        <is>
          <t>45TIT0051 TRANSMISSOR IND TEMPERATURA</t>
        </is>
      </c>
      <c r="Q457" t="n">
        <v>3</v>
      </c>
      <c r="R457" t="inlineStr">
        <is>
          <t>PLANO</t>
        </is>
      </c>
      <c r="S457" t="inlineStr">
        <is>
          <t>Z12</t>
        </is>
      </c>
      <c r="T457" s="20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F458" s="20" t="n">
        <v>46325</v>
      </c>
      <c r="G458" t="n">
        <v>3</v>
      </c>
      <c r="H458" t="n">
        <v>2</v>
      </c>
      <c r="I458" s="20" t="n">
        <v>46325</v>
      </c>
      <c r="J458" t="n">
        <v>4390914</v>
      </c>
      <c r="K458" t="n">
        <v>30</v>
      </c>
      <c r="L458" t="inlineStr">
        <is>
          <t>POMMET</t>
        </is>
      </c>
      <c r="M458" t="inlineStr">
        <is>
          <t>03M COMPUTER FLOW CALIBRATION</t>
        </is>
      </c>
      <c r="N458" t="inlineStr">
        <is>
          <t>STOP-U 45TIT0051 STR2_IMP GAS TT CALIB</t>
        </is>
      </c>
      <c r="O458" t="inlineStr">
        <is>
          <t>PERGC-PSGC-GIM-01-13-04-13-01</t>
        </is>
      </c>
      <c r="P458" t="inlineStr">
        <is>
          <t>45TIT0051 TRANSMISSOR IND TEMPERATURA</t>
        </is>
      </c>
      <c r="Q458" t="n">
        <v>0.5</v>
      </c>
      <c r="R458" t="inlineStr">
        <is>
          <t>PLANO</t>
        </is>
      </c>
      <c r="S458" t="inlineStr">
        <is>
          <t>Z12</t>
        </is>
      </c>
      <c r="T458" s="20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F459" s="20" t="n">
        <v>46325</v>
      </c>
      <c r="G459" t="n">
        <v>3</v>
      </c>
      <c r="H459" t="n">
        <v>2</v>
      </c>
      <c r="I459" s="20" t="n">
        <v>46325</v>
      </c>
      <c r="J459" t="n">
        <v>4390905</v>
      </c>
      <c r="K459" t="n">
        <v>10</v>
      </c>
      <c r="L459" t="inlineStr">
        <is>
          <t>POMMET</t>
        </is>
      </c>
      <c r="M459" t="inlineStr">
        <is>
          <t>03M DIF PRESS TRANSM - CALIBRATION</t>
        </is>
      </c>
      <c r="N459" t="inlineStr">
        <is>
          <t>STOP-U 45FIT0051 IMP GAS METER STREAM 2</t>
        </is>
      </c>
      <c r="O459" t="inlineStr">
        <is>
          <t>PERGC-PSGC-GIM-01-13-04-16-01</t>
        </is>
      </c>
      <c r="P459" t="inlineStr">
        <is>
          <t>45FIT0051 TRANSMISSOR IND VAZAO</t>
        </is>
      </c>
      <c r="Q459" t="n">
        <v>1</v>
      </c>
      <c r="R459" t="inlineStr">
        <is>
          <t>PLANO</t>
        </is>
      </c>
      <c r="S459" t="inlineStr">
        <is>
          <t>Z12</t>
        </is>
      </c>
      <c r="T459" s="20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F460" s="20" t="n">
        <v>46325</v>
      </c>
      <c r="G460" t="n">
        <v>3</v>
      </c>
      <c r="H460" t="n">
        <v>2</v>
      </c>
      <c r="I460" s="20" t="n">
        <v>46325</v>
      </c>
      <c r="J460" t="n">
        <v>4390905</v>
      </c>
      <c r="K460" t="n">
        <v>20</v>
      </c>
      <c r="L460" t="inlineStr">
        <is>
          <t>E38AUT</t>
        </is>
      </c>
      <c r="M460" t="inlineStr">
        <is>
          <t>03M DIF PRESS TRANSM - CALIBRATION SUPP</t>
        </is>
      </c>
      <c r="N460" t="inlineStr">
        <is>
          <t>STOP-U 45FIT0051 IMP GAS METER STREAM 2</t>
        </is>
      </c>
      <c r="O460" t="inlineStr">
        <is>
          <t>PERGC-PSGC-GIM-01-13-04-16-01</t>
        </is>
      </c>
      <c r="P460" t="inlineStr">
        <is>
          <t>45FIT0051 TRANSMISSOR IND VAZAO</t>
        </is>
      </c>
      <c r="Q460" t="n">
        <v>3</v>
      </c>
      <c r="R460" t="inlineStr">
        <is>
          <t>PLANO</t>
        </is>
      </c>
      <c r="S460" t="inlineStr">
        <is>
          <t>Z12</t>
        </is>
      </c>
      <c r="T460" s="20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F461" s="20" t="n">
        <v>46325</v>
      </c>
      <c r="G461" t="n">
        <v>3</v>
      </c>
      <c r="H461" t="n">
        <v>2</v>
      </c>
      <c r="I461" s="20" t="n">
        <v>46325</v>
      </c>
      <c r="J461" t="n">
        <v>4390905</v>
      </c>
      <c r="K461" t="n">
        <v>30</v>
      </c>
      <c r="L461" t="inlineStr">
        <is>
          <t>POMMET</t>
        </is>
      </c>
      <c r="M461" t="inlineStr">
        <is>
          <t>03M COMPUTER FLOW CALIBRATION</t>
        </is>
      </c>
      <c r="N461" t="inlineStr">
        <is>
          <t>STOP-U 45FIT0051 IMP GAS METER STREAM 2</t>
        </is>
      </c>
      <c r="O461" t="inlineStr">
        <is>
          <t>PERGC-PSGC-GIM-01-13-04-16-01</t>
        </is>
      </c>
      <c r="P461" t="inlineStr">
        <is>
          <t>45FIT0051 TRANSMISSOR IND VAZAO</t>
        </is>
      </c>
      <c r="Q461" t="n">
        <v>0.5</v>
      </c>
      <c r="R461" t="inlineStr">
        <is>
          <t>PLANO</t>
        </is>
      </c>
      <c r="S461" t="inlineStr">
        <is>
          <t>Z12</t>
        </is>
      </c>
      <c r="T461" s="20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F462" s="20" t="n">
        <v>46318</v>
      </c>
      <c r="G462" t="n">
        <v>3</v>
      </c>
      <c r="H462" t="n">
        <v>2</v>
      </c>
      <c r="I462" s="20" t="n">
        <v>46318</v>
      </c>
      <c r="J462" t="n">
        <v>4385897</v>
      </c>
      <c r="K462" t="n">
        <v>10</v>
      </c>
      <c r="L462" t="inlineStr">
        <is>
          <t>LAB</t>
        </is>
      </c>
      <c r="M462" t="inlineStr">
        <is>
          <t>PTF-1322 TEST FUNC LAB ANALIS UMIDADE</t>
        </is>
      </c>
      <c r="N462" t="inlineStr">
        <is>
          <t>TEST FUNC ANALIS UMIDADE PTF-1322 INS 6M</t>
        </is>
      </c>
      <c r="O462" t="inlineStr">
        <is>
          <t>PERGC-PSGC-GIM-01-13-07-04-01</t>
        </is>
      </c>
      <c r="P462" t="inlineStr">
        <is>
          <t>45AT0052 ANALISADOR % AGUA</t>
        </is>
      </c>
      <c r="Q462" t="n">
        <v>3</v>
      </c>
      <c r="R462" t="inlineStr">
        <is>
          <t>PLANO</t>
        </is>
      </c>
      <c r="S462" t="inlineStr">
        <is>
          <t>Z08</t>
        </is>
      </c>
      <c r="T462" s="20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F463" s="20" t="n">
        <v>46318</v>
      </c>
      <c r="G463" t="n">
        <v>3</v>
      </c>
      <c r="H463" t="n">
        <v>2</v>
      </c>
      <c r="I463" s="20" t="n">
        <v>46318</v>
      </c>
      <c r="J463" t="n">
        <v>4385897</v>
      </c>
      <c r="K463" t="n">
        <v>20</v>
      </c>
      <c r="L463" t="inlineStr">
        <is>
          <t>INS</t>
        </is>
      </c>
      <c r="M463" t="inlineStr">
        <is>
          <t>PTF-1322 TEST FUNC INS ANALIS UMIDADE</t>
        </is>
      </c>
      <c r="N463" t="inlineStr">
        <is>
          <t>TEST FUNC ANALIS UMIDADE PTF-1322 INS 6M</t>
        </is>
      </c>
      <c r="O463" t="inlineStr">
        <is>
          <t>PERGC-PSGC-GIM-01-13-07-04-01</t>
        </is>
      </c>
      <c r="P463" t="inlineStr">
        <is>
          <t>45AT0052 ANALISADOR % AGUA</t>
        </is>
      </c>
      <c r="Q463" t="n">
        <v>3</v>
      </c>
      <c r="R463" t="inlineStr">
        <is>
          <t>PLANO</t>
        </is>
      </c>
      <c r="S463" t="inlineStr">
        <is>
          <t>Z08</t>
        </is>
      </c>
      <c r="T463" s="20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F464" s="20" t="n">
        <v>46318</v>
      </c>
      <c r="G464" t="n">
        <v>3</v>
      </c>
      <c r="H464" t="n">
        <v>2</v>
      </c>
      <c r="I464" s="20" t="n">
        <v>46318</v>
      </c>
      <c r="J464" t="n">
        <v>4385897</v>
      </c>
      <c r="K464" t="n">
        <v>30</v>
      </c>
      <c r="L464" t="inlineStr">
        <is>
          <t>AUT</t>
        </is>
      </c>
      <c r="M464" t="inlineStr">
        <is>
          <t>PTF-1322 TEST FUNC AUT ANALIS UMIDADE</t>
        </is>
      </c>
      <c r="N464" t="inlineStr">
        <is>
          <t>TEST FUNC ANALIS UMIDADE PTF-1322 INS 6M</t>
        </is>
      </c>
      <c r="O464" t="inlineStr">
        <is>
          <t>PERGC-PSGC-GIM-01-13-07-04-01</t>
        </is>
      </c>
      <c r="P464" t="inlineStr">
        <is>
          <t>45AT0052 ANALISADOR % AGUA</t>
        </is>
      </c>
      <c r="Q464" t="n">
        <v>3</v>
      </c>
      <c r="R464" t="inlineStr">
        <is>
          <t>PLANO</t>
        </is>
      </c>
      <c r="S464" t="inlineStr">
        <is>
          <t>Z08</t>
        </is>
      </c>
      <c r="T464" s="20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F465" s="20" t="n">
        <v>46325</v>
      </c>
      <c r="G465" t="n">
        <v>3</v>
      </c>
      <c r="H465" t="n">
        <v>2</v>
      </c>
      <c r="I465" s="20" t="n">
        <v>46325</v>
      </c>
      <c r="J465" t="n">
        <v>4390908</v>
      </c>
      <c r="K465" t="n">
        <v>10</v>
      </c>
      <c r="L465" t="inlineStr">
        <is>
          <t>POMMET</t>
        </is>
      </c>
      <c r="M465" t="inlineStr">
        <is>
          <t>03M PRESSURE LOOP - CALIBRATION</t>
        </is>
      </c>
      <c r="N465" t="inlineStr">
        <is>
          <t>STOP-U 45PIT0052 TRANSMITTER CALIBRATION</t>
        </is>
      </c>
      <c r="O465" t="inlineStr">
        <is>
          <t>PERGC-PSGC-GIM-01-13-07-07-01</t>
        </is>
      </c>
      <c r="P465" t="inlineStr">
        <is>
          <t>45PIT0052 TRANSMISSOR IND PRESSAO</t>
        </is>
      </c>
      <c r="Q465" t="n">
        <v>1</v>
      </c>
      <c r="R465" t="inlineStr">
        <is>
          <t>PLANO</t>
        </is>
      </c>
      <c r="S465" t="inlineStr">
        <is>
          <t>Z12</t>
        </is>
      </c>
      <c r="T465" s="20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F466" s="20" t="n">
        <v>46325</v>
      </c>
      <c r="G466" t="n">
        <v>3</v>
      </c>
      <c r="H466" t="n">
        <v>2</v>
      </c>
      <c r="I466" s="20" t="n">
        <v>46325</v>
      </c>
      <c r="J466" t="n">
        <v>4390908</v>
      </c>
      <c r="K466" t="n">
        <v>20</v>
      </c>
      <c r="L466" t="inlineStr">
        <is>
          <t>E38AUT</t>
        </is>
      </c>
      <c r="M466" t="inlineStr">
        <is>
          <t>03M PRESSURE LOOP - CALIBRATION SUPPORT</t>
        </is>
      </c>
      <c r="N466" t="inlineStr">
        <is>
          <t>STOP-U 45PIT0052 TRANSMITTER CALIBRATION</t>
        </is>
      </c>
      <c r="O466" t="inlineStr">
        <is>
          <t>PERGC-PSGC-GIM-01-13-07-07-01</t>
        </is>
      </c>
      <c r="P466" t="inlineStr">
        <is>
          <t>45PIT0052 TRANSMISSOR IND PRESSAO</t>
        </is>
      </c>
      <c r="Q466" t="n">
        <v>3</v>
      </c>
      <c r="R466" t="inlineStr">
        <is>
          <t>PLANO</t>
        </is>
      </c>
      <c r="S466" t="inlineStr">
        <is>
          <t>Z12</t>
        </is>
      </c>
      <c r="T466" s="20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F467" s="20" t="n">
        <v>46325</v>
      </c>
      <c r="G467" t="n">
        <v>3</v>
      </c>
      <c r="H467" t="n">
        <v>2</v>
      </c>
      <c r="I467" s="20" t="n">
        <v>46325</v>
      </c>
      <c r="J467" t="n">
        <v>4390908</v>
      </c>
      <c r="K467" t="n">
        <v>30</v>
      </c>
      <c r="L467" t="inlineStr">
        <is>
          <t>POMMET</t>
        </is>
      </c>
      <c r="M467" t="inlineStr">
        <is>
          <t>03M COMPUTER FLOW CALIBRATION</t>
        </is>
      </c>
      <c r="N467" t="inlineStr">
        <is>
          <t>STOP-U 45PIT0052 TRANSMITTER CALIBRATION</t>
        </is>
      </c>
      <c r="O467" t="inlineStr">
        <is>
          <t>PERGC-PSGC-GIM-01-13-07-07-01</t>
        </is>
      </c>
      <c r="P467" t="inlineStr">
        <is>
          <t>45PIT0052 TRANSMISSOR IND PRESSAO</t>
        </is>
      </c>
      <c r="Q467" t="n">
        <v>0.5</v>
      </c>
      <c r="R467" t="inlineStr">
        <is>
          <t>PLANO</t>
        </is>
      </c>
      <c r="S467" t="inlineStr">
        <is>
          <t>Z12</t>
        </is>
      </c>
      <c r="T467" s="20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F468" s="20" t="n">
        <v>46325</v>
      </c>
      <c r="G468" t="n">
        <v>3</v>
      </c>
      <c r="H468" t="n">
        <v>2</v>
      </c>
      <c r="I468" s="20" t="n">
        <v>46325</v>
      </c>
      <c r="J468" t="n">
        <v>4390912</v>
      </c>
      <c r="K468" t="n">
        <v>10</v>
      </c>
      <c r="L468" t="inlineStr">
        <is>
          <t>POMMET</t>
        </is>
      </c>
      <c r="M468" t="inlineStr">
        <is>
          <t>03M TEMP TRANSMITTER - CALIBRATION</t>
        </is>
      </c>
      <c r="N468" t="inlineStr">
        <is>
          <t>STOP-U 45TIT0052 IMP GAS CONDEN TT CALIB</t>
        </is>
      </c>
      <c r="O468" t="inlineStr">
        <is>
          <t>PERGC-PSGC-GIM-01-13-07-10-01</t>
        </is>
      </c>
      <c r="P468" t="inlineStr">
        <is>
          <t>45TIT0052 TRANSMISSOR IND TEMPERATURA</t>
        </is>
      </c>
      <c r="Q468" t="n">
        <v>1</v>
      </c>
      <c r="R468" t="inlineStr">
        <is>
          <t>PLANO</t>
        </is>
      </c>
      <c r="S468" t="inlineStr">
        <is>
          <t>Z12</t>
        </is>
      </c>
      <c r="T468" s="20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F469" s="20" t="n">
        <v>46325</v>
      </c>
      <c r="G469" t="n">
        <v>3</v>
      </c>
      <c r="H469" t="n">
        <v>2</v>
      </c>
      <c r="I469" s="20" t="n">
        <v>46325</v>
      </c>
      <c r="J469" t="n">
        <v>4390912</v>
      </c>
      <c r="K469" t="n">
        <v>20</v>
      </c>
      <c r="L469" t="inlineStr">
        <is>
          <t>E38AUT</t>
        </is>
      </c>
      <c r="M469" t="inlineStr">
        <is>
          <t>03M TEMP TRANSMITTER - CALIBRATION SUPP</t>
        </is>
      </c>
      <c r="N469" t="inlineStr">
        <is>
          <t>STOP-U 45TIT0052 IMP GAS CONDEN TT CALIB</t>
        </is>
      </c>
      <c r="O469" t="inlineStr">
        <is>
          <t>PERGC-PSGC-GIM-01-13-07-10-01</t>
        </is>
      </c>
      <c r="P469" t="inlineStr">
        <is>
          <t>45TIT0052 TRANSMISSOR IND TEMPERATURA</t>
        </is>
      </c>
      <c r="Q469" t="n">
        <v>3</v>
      </c>
      <c r="R469" t="inlineStr">
        <is>
          <t>PLANO</t>
        </is>
      </c>
      <c r="S469" t="inlineStr">
        <is>
          <t>Z12</t>
        </is>
      </c>
      <c r="T469" s="20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F470" s="20" t="n">
        <v>46325</v>
      </c>
      <c r="G470" t="n">
        <v>3</v>
      </c>
      <c r="H470" t="n">
        <v>2</v>
      </c>
      <c r="I470" s="20" t="n">
        <v>46325</v>
      </c>
      <c r="J470" t="n">
        <v>4390912</v>
      </c>
      <c r="K470" t="n">
        <v>30</v>
      </c>
      <c r="L470" t="inlineStr">
        <is>
          <t>POMMET</t>
        </is>
      </c>
      <c r="M470" t="inlineStr">
        <is>
          <t>03M COMPUTER FLOW CALIBRATION</t>
        </is>
      </c>
      <c r="N470" t="inlineStr">
        <is>
          <t>STOP-U 45TIT0052 IMP GAS CONDEN TT CALIB</t>
        </is>
      </c>
      <c r="O470" t="inlineStr">
        <is>
          <t>PERGC-PSGC-GIM-01-13-07-10-01</t>
        </is>
      </c>
      <c r="P470" t="inlineStr">
        <is>
          <t>45TIT0052 TRANSMISSOR IND TEMPERATURA</t>
        </is>
      </c>
      <c r="Q470" t="n">
        <v>0.5</v>
      </c>
      <c r="R470" t="inlineStr">
        <is>
          <t>PLANO</t>
        </is>
      </c>
      <c r="S470" t="inlineStr">
        <is>
          <t>Z12</t>
        </is>
      </c>
      <c r="T470" s="20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F471" s="20" t="n">
        <v>46321</v>
      </c>
      <c r="G471" t="n">
        <v>5</v>
      </c>
      <c r="H471" t="n">
        <v>2</v>
      </c>
      <c r="I471" s="20" t="n">
        <v>46321</v>
      </c>
      <c r="J471" t="n">
        <v>4386559</v>
      </c>
      <c r="K471" t="n">
        <v>10</v>
      </c>
      <c r="L471" t="inlineStr">
        <is>
          <t>ELE</t>
        </is>
      </c>
      <c r="M471" t="inlineStr">
        <is>
          <t>PSE-1200 MANUT ELE MOTOR BT</t>
        </is>
      </c>
      <c r="N471" t="inlineStr">
        <is>
          <t>MANUT MOTOR BAIXA TENSAO PSE-1200 ELE 1A</t>
        </is>
      </c>
      <c r="O471" t="inlineStr">
        <is>
          <t>PERGC-PSGC-GIM-01-13-13-04-04</t>
        </is>
      </c>
      <c r="P471" t="inlineStr">
        <is>
          <t>45EC004-A01 MOTOR STARTER</t>
        </is>
      </c>
      <c r="Q471" t="n">
        <v>4</v>
      </c>
      <c r="R471" t="inlineStr">
        <is>
          <t>PLANO</t>
        </is>
      </c>
      <c r="S471" t="inlineStr">
        <is>
          <t>Z12</t>
        </is>
      </c>
      <c r="T471" s="20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F472" s="20" t="n">
        <v>46314</v>
      </c>
      <c r="G472" t="n">
        <v>5</v>
      </c>
      <c r="H472" t="n">
        <v>3</v>
      </c>
      <c r="I472" s="20" t="n">
        <v>46314</v>
      </c>
      <c r="J472" t="n">
        <v>4386448</v>
      </c>
      <c r="K472" t="n">
        <v>10</v>
      </c>
      <c r="L472" t="inlineStr">
        <is>
          <t>MEC</t>
        </is>
      </c>
      <c r="M472" t="inlineStr">
        <is>
          <t>INSP CILINDRO N2/H2O INS-1550 MEC 1M</t>
        </is>
      </c>
      <c r="N472" t="inlineStr">
        <is>
          <t>INSP CILINDRO N2/H2O INS-1550 MEC 1M</t>
        </is>
      </c>
      <c r="O472" t="inlineStr">
        <is>
          <t>PERGC-PSGC-GIM-01-13-13-07</t>
        </is>
      </c>
      <c r="P472" t="inlineStr">
        <is>
          <t>CJ CONTROLE HIDRAULICO PROVER 45CX001</t>
        </is>
      </c>
      <c r="Q472" t="n">
        <v>1</v>
      </c>
      <c r="R472" t="inlineStr">
        <is>
          <t>PLANO</t>
        </is>
      </c>
      <c r="S472" t="inlineStr">
        <is>
          <t>Z09</t>
        </is>
      </c>
      <c r="T472" s="20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F473" s="20" t="n">
        <v>46318</v>
      </c>
      <c r="G473" t="n">
        <v>3</v>
      </c>
      <c r="H473" t="n">
        <v>3</v>
      </c>
      <c r="I473" s="20" t="n">
        <v>46318</v>
      </c>
      <c r="J473" t="n">
        <v>4386518</v>
      </c>
      <c r="K473" t="n">
        <v>10</v>
      </c>
      <c r="L473" t="inlineStr">
        <is>
          <t>MEC</t>
        </is>
      </c>
      <c r="M473" t="inlineStr">
        <is>
          <t>INSP CILINDRO N2/H2O INS-1550 MEC 1M</t>
        </is>
      </c>
      <c r="N473" t="inlineStr">
        <is>
          <t>INSP CILINDRO N2/H2O INS-1550 MEC 1M</t>
        </is>
      </c>
      <c r="O473" t="inlineStr">
        <is>
          <t>PERGC-PSGC-GIM-01-13-13-07</t>
        </is>
      </c>
      <c r="P473" t="inlineStr">
        <is>
          <t>CJ CONTROLE HIDRAULICO PROVER 45CX001</t>
        </is>
      </c>
      <c r="Q473" t="n">
        <v>1</v>
      </c>
      <c r="R473" t="inlineStr">
        <is>
          <t>PLANO</t>
        </is>
      </c>
      <c r="S473" t="inlineStr">
        <is>
          <t>Z09</t>
        </is>
      </c>
      <c r="T473" s="20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F474" s="20" t="n">
        <v>46325</v>
      </c>
      <c r="G474" t="n">
        <v>3</v>
      </c>
      <c r="H474" t="n">
        <v>2</v>
      </c>
      <c r="I474" s="20" t="n">
        <v>46325</v>
      </c>
      <c r="J474" t="n">
        <v>4390909</v>
      </c>
      <c r="K474" t="n">
        <v>10</v>
      </c>
      <c r="L474" t="inlineStr">
        <is>
          <t>POMMET</t>
        </is>
      </c>
      <c r="M474" t="inlineStr">
        <is>
          <t>03M PRESSURE LOOP - CALIBRATION</t>
        </is>
      </c>
      <c r="N474" t="inlineStr">
        <is>
          <t>STOP-U 45PIT0089 TRANSMITTER CALIBRATION</t>
        </is>
      </c>
      <c r="O474" t="inlineStr">
        <is>
          <t>PERGC-PSGC-GIM-01-13-13-13-01</t>
        </is>
      </c>
      <c r="P474" t="inlineStr">
        <is>
          <t>45PIT0089 TRANSMISSOR IND PRESSAO</t>
        </is>
      </c>
      <c r="Q474" t="n">
        <v>1</v>
      </c>
      <c r="R474" t="inlineStr">
        <is>
          <t>PLANO</t>
        </is>
      </c>
      <c r="S474" t="inlineStr">
        <is>
          <t>Z12</t>
        </is>
      </c>
      <c r="T474" s="20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F475" s="20" t="n">
        <v>46325</v>
      </c>
      <c r="G475" t="n">
        <v>3</v>
      </c>
      <c r="H475" t="n">
        <v>2</v>
      </c>
      <c r="I475" s="20" t="n">
        <v>46325</v>
      </c>
      <c r="J475" t="n">
        <v>4390909</v>
      </c>
      <c r="K475" t="n">
        <v>20</v>
      </c>
      <c r="L475" t="inlineStr">
        <is>
          <t>E38AUT</t>
        </is>
      </c>
      <c r="M475" t="inlineStr">
        <is>
          <t>03M PRESSURE LOOP - CALIBRATION SUPPORT</t>
        </is>
      </c>
      <c r="N475" t="inlineStr">
        <is>
          <t>STOP-U 45PIT0089 TRANSMITTER CALIBRATION</t>
        </is>
      </c>
      <c r="O475" t="inlineStr">
        <is>
          <t>PERGC-PSGC-GIM-01-13-13-13-01</t>
        </is>
      </c>
      <c r="P475" t="inlineStr">
        <is>
          <t>45PIT0089 TRANSMISSOR IND PRESSAO</t>
        </is>
      </c>
      <c r="Q475" t="n">
        <v>3</v>
      </c>
      <c r="R475" t="inlineStr">
        <is>
          <t>PLANO</t>
        </is>
      </c>
      <c r="S475" t="inlineStr">
        <is>
          <t>Z12</t>
        </is>
      </c>
      <c r="T475" s="20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F476" s="20" t="n">
        <v>46325</v>
      </c>
      <c r="G476" t="n">
        <v>3</v>
      </c>
      <c r="H476" t="n">
        <v>2</v>
      </c>
      <c r="I476" s="20" t="n">
        <v>46325</v>
      </c>
      <c r="J476" t="n">
        <v>4390909</v>
      </c>
      <c r="K476" t="n">
        <v>30</v>
      </c>
      <c r="L476" t="inlineStr">
        <is>
          <t>POMMET</t>
        </is>
      </c>
      <c r="M476" t="inlineStr">
        <is>
          <t>03M COMPUTER FLOW CALIBRATION</t>
        </is>
      </c>
      <c r="N476" t="inlineStr">
        <is>
          <t>STOP-U 45PIT0089 TRANSMITTER CALIBRATION</t>
        </is>
      </c>
      <c r="O476" t="inlineStr">
        <is>
          <t>PERGC-PSGC-GIM-01-13-13-13-01</t>
        </is>
      </c>
      <c r="P476" t="inlineStr">
        <is>
          <t>45PIT0089 TRANSMISSOR IND PRESSAO</t>
        </is>
      </c>
      <c r="Q476" t="n">
        <v>0.5</v>
      </c>
      <c r="R476" t="inlineStr">
        <is>
          <t>PLANO</t>
        </is>
      </c>
      <c r="S476" t="inlineStr">
        <is>
          <t>Z12</t>
        </is>
      </c>
      <c r="T476" s="20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F477" s="20" t="n">
        <v>46325</v>
      </c>
      <c r="G477" t="n">
        <v>3</v>
      </c>
      <c r="H477" t="n">
        <v>2</v>
      </c>
      <c r="I477" s="20" t="n">
        <v>46325</v>
      </c>
      <c r="J477" t="n">
        <v>4390913</v>
      </c>
      <c r="K477" t="n">
        <v>10</v>
      </c>
      <c r="L477" t="inlineStr">
        <is>
          <t>POMMET</t>
        </is>
      </c>
      <c r="M477" t="inlineStr">
        <is>
          <t>03M TEMP TRANSMITTER - CALIBRATION</t>
        </is>
      </c>
      <c r="N477" t="inlineStr">
        <is>
          <t>STOP-U 45TIT0088 PROVER TT CALIBRATION</t>
        </is>
      </c>
      <c r="O477" t="inlineStr">
        <is>
          <t>PERGC-PSGC-GIM-01-13-13-16-01</t>
        </is>
      </c>
      <c r="P477" t="inlineStr">
        <is>
          <t>45TIT0088 TRANSMISSOR IND TEMPERATURA</t>
        </is>
      </c>
      <c r="Q477" t="n">
        <v>1</v>
      </c>
      <c r="R477" t="inlineStr">
        <is>
          <t>PLANO</t>
        </is>
      </c>
      <c r="S477" t="inlineStr">
        <is>
          <t>Z12</t>
        </is>
      </c>
      <c r="T477" s="20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F478" s="20" t="n">
        <v>46325</v>
      </c>
      <c r="G478" t="n">
        <v>3</v>
      </c>
      <c r="H478" t="n">
        <v>2</v>
      </c>
      <c r="I478" s="20" t="n">
        <v>46325</v>
      </c>
      <c r="J478" t="n">
        <v>4390913</v>
      </c>
      <c r="K478" t="n">
        <v>20</v>
      </c>
      <c r="L478" t="inlineStr">
        <is>
          <t>E38AUT</t>
        </is>
      </c>
      <c r="M478" t="inlineStr">
        <is>
          <t>03M TEMP TRANSMITTER - CALIBRATION SUPP</t>
        </is>
      </c>
      <c r="N478" t="inlineStr">
        <is>
          <t>STOP-U 45TIT0088 PROVER TT CALIBRATION</t>
        </is>
      </c>
      <c r="O478" t="inlineStr">
        <is>
          <t>PERGC-PSGC-GIM-01-13-13-16-01</t>
        </is>
      </c>
      <c r="P478" t="inlineStr">
        <is>
          <t>45TIT0088 TRANSMISSOR IND TEMPERATURA</t>
        </is>
      </c>
      <c r="Q478" t="n">
        <v>3</v>
      </c>
      <c r="R478" t="inlineStr">
        <is>
          <t>PLANO</t>
        </is>
      </c>
      <c r="S478" t="inlineStr">
        <is>
          <t>Z12</t>
        </is>
      </c>
      <c r="T478" s="20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F479" s="20" t="n">
        <v>46325</v>
      </c>
      <c r="G479" t="n">
        <v>3</v>
      </c>
      <c r="H479" t="n">
        <v>2</v>
      </c>
      <c r="I479" s="20" t="n">
        <v>46325</v>
      </c>
      <c r="J479" t="n">
        <v>4390913</v>
      </c>
      <c r="K479" t="n">
        <v>30</v>
      </c>
      <c r="L479" t="inlineStr">
        <is>
          <t>POMMET</t>
        </is>
      </c>
      <c r="M479" t="inlineStr">
        <is>
          <t>03M COMPUTER FLOW CALIBRATION</t>
        </is>
      </c>
      <c r="N479" t="inlineStr">
        <is>
          <t>STOP-U 45TIT0088 PROVER TT CALIBRATION</t>
        </is>
      </c>
      <c r="O479" t="inlineStr">
        <is>
          <t>PERGC-PSGC-GIM-01-13-13-16-01</t>
        </is>
      </c>
      <c r="P479" t="inlineStr">
        <is>
          <t>45TIT0088 TRANSMISSOR IND TEMPERATURA</t>
        </is>
      </c>
      <c r="Q479" t="n">
        <v>0.5</v>
      </c>
      <c r="R479" t="inlineStr">
        <is>
          <t>PLANO</t>
        </is>
      </c>
      <c r="S479" t="inlineStr">
        <is>
          <t>Z12</t>
        </is>
      </c>
      <c r="T479" s="20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F480" s="20" t="n">
        <v>46321</v>
      </c>
      <c r="G480" t="n">
        <v>5</v>
      </c>
      <c r="H480" t="n">
        <v>2</v>
      </c>
      <c r="I480" s="20" t="n">
        <v>46321</v>
      </c>
      <c r="J480" t="n">
        <v>4386560</v>
      </c>
      <c r="K480" t="n">
        <v>10</v>
      </c>
      <c r="L480" t="inlineStr">
        <is>
          <t>PRO</t>
        </is>
      </c>
      <c r="M480" t="inlineStr">
        <is>
          <t>INS-1813 INSP PRO FILTRO</t>
        </is>
      </c>
      <c r="N480" t="inlineStr">
        <is>
          <t>INSP FILTRO INS-1813 OPE 4M</t>
        </is>
      </c>
      <c r="O480" t="inlineStr">
        <is>
          <t>PERGC-PSGC-GIM-01-28-16-28</t>
        </is>
      </c>
      <c r="P480" t="inlineStr">
        <is>
          <t>45CB001 FILTRO BYPASS</t>
        </is>
      </c>
      <c r="Q480" t="n">
        <v>3</v>
      </c>
      <c r="R480" t="inlineStr">
        <is>
          <t>PLANO</t>
        </is>
      </c>
      <c r="S480" t="inlineStr">
        <is>
          <t>Z09</t>
        </is>
      </c>
      <c r="T480" s="20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F481" s="20" t="n">
        <v>46326</v>
      </c>
      <c r="G481" t="n">
        <v>5</v>
      </c>
      <c r="H481" t="n">
        <v>3</v>
      </c>
      <c r="I481" s="20" t="n">
        <v>46326</v>
      </c>
      <c r="J481" t="n">
        <v>4370618</v>
      </c>
      <c r="K481" t="n">
        <v>10</v>
      </c>
      <c r="L481" t="inlineStr">
        <is>
          <t>POMMET</t>
        </is>
      </c>
      <c r="M481" t="inlineStr">
        <is>
          <t>04W PREPARATION OF ACTIVITY</t>
        </is>
      </c>
      <c r="N481" t="inlineStr">
        <is>
          <t>SAMPLING OF CONDENSATE 45JX002</t>
        </is>
      </c>
      <c r="O481" t="inlineStr">
        <is>
          <t>PERGC-PSGC-GIM-01-46-01</t>
        </is>
      </c>
      <c r="P481" t="inlineStr">
        <is>
          <t>45JX002 ESTACAO AMOSTRAGEM SC-1</t>
        </is>
      </c>
      <c r="Q481" t="n">
        <v>0.1</v>
      </c>
      <c r="R481" t="inlineStr">
        <is>
          <t>PLANO</t>
        </is>
      </c>
      <c r="S481" t="inlineStr">
        <is>
          <t>Z12</t>
        </is>
      </c>
      <c r="T481" s="20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F482" s="20" t="n">
        <v>46326</v>
      </c>
      <c r="G482" t="n">
        <v>5</v>
      </c>
      <c r="H482" t="n">
        <v>3</v>
      </c>
      <c r="I482" s="20" t="n">
        <v>46326</v>
      </c>
      <c r="J482" t="n">
        <v>4370618</v>
      </c>
      <c r="K482" t="n">
        <v>20</v>
      </c>
      <c r="L482" t="inlineStr">
        <is>
          <t>E14AUT</t>
        </is>
      </c>
      <c r="M482" t="inlineStr">
        <is>
          <t>04W TAKE SAMPLE</t>
        </is>
      </c>
      <c r="N482" t="inlineStr">
        <is>
          <t>SAMPLING OF CONDENSATE 45JX002</t>
        </is>
      </c>
      <c r="O482" t="inlineStr">
        <is>
          <t>PERGC-PSGC-GIM-01-46-01</t>
        </is>
      </c>
      <c r="P482" t="inlineStr">
        <is>
          <t>45JX002 ESTACAO AMOSTRAGEM SC-1</t>
        </is>
      </c>
      <c r="Q482" t="n">
        <v>0.5</v>
      </c>
      <c r="R482" t="inlineStr">
        <is>
          <t>PLANO</t>
        </is>
      </c>
      <c r="S482" t="inlineStr">
        <is>
          <t>Z12</t>
        </is>
      </c>
      <c r="T482" s="20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F483" s="20" t="n">
        <v>46326</v>
      </c>
      <c r="G483" t="n">
        <v>5</v>
      </c>
      <c r="H483" t="n">
        <v>3</v>
      </c>
      <c r="I483" s="20" t="n">
        <v>46326</v>
      </c>
      <c r="J483" t="n">
        <v>4370618</v>
      </c>
      <c r="K483" t="n">
        <v>30</v>
      </c>
      <c r="L483" t="inlineStr">
        <is>
          <t>POMMET</t>
        </is>
      </c>
      <c r="M483" t="inlineStr">
        <is>
          <t>04W PREPARE SAMPLE FOR DISEMBARK</t>
        </is>
      </c>
      <c r="N483" t="inlineStr">
        <is>
          <t>SAMPLING OF CONDENSATE 45JX002</t>
        </is>
      </c>
      <c r="O483" t="inlineStr">
        <is>
          <t>PERGC-PSGC-GIM-01-46-01</t>
        </is>
      </c>
      <c r="P483" t="inlineStr">
        <is>
          <t>45JX002 ESTACAO AMOSTRAGEM SC-1</t>
        </is>
      </c>
      <c r="Q483" t="n">
        <v>0.5</v>
      </c>
      <c r="R483" t="inlineStr">
        <is>
          <t>PLANO</t>
        </is>
      </c>
      <c r="S483" t="inlineStr">
        <is>
          <t>Z12</t>
        </is>
      </c>
      <c r="T483" s="20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F484" s="20" t="n">
        <v>46326</v>
      </c>
      <c r="G484" t="n">
        <v>3</v>
      </c>
      <c r="H484" t="n">
        <v>3</v>
      </c>
      <c r="I484" s="20" t="n">
        <v>46326</v>
      </c>
      <c r="J484" t="n">
        <v>4370618</v>
      </c>
      <c r="K484" t="n">
        <v>40</v>
      </c>
      <c r="L484" t="inlineStr">
        <is>
          <t>POMMET</t>
        </is>
      </c>
      <c r="M484" t="inlineStr">
        <is>
          <t>04W RECEIVE IMPLEMENT AND STORE</t>
        </is>
      </c>
      <c r="N484" t="inlineStr">
        <is>
          <t>SAMPLING OF CONDENSATE 45JX002</t>
        </is>
      </c>
      <c r="O484" t="inlineStr">
        <is>
          <t>PERGC-PSGC-GIM-01-46-01</t>
        </is>
      </c>
      <c r="P484" t="inlineStr">
        <is>
          <t>45JX002 ESTACAO AMOSTRAGEM SC-1</t>
        </is>
      </c>
      <c r="Q484" t="n">
        <v>0.5</v>
      </c>
      <c r="R484" t="inlineStr">
        <is>
          <t>PLANO</t>
        </is>
      </c>
      <c r="S484" t="inlineStr">
        <is>
          <t>Z12</t>
        </is>
      </c>
      <c r="T484" s="20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F485" s="20" t="n">
        <v>46314</v>
      </c>
      <c r="G485" t="n">
        <v>3</v>
      </c>
      <c r="H485" t="n">
        <v>2</v>
      </c>
      <c r="I485" s="20" t="n">
        <v>46314</v>
      </c>
      <c r="J485" t="n">
        <v>4386438</v>
      </c>
      <c r="K485" t="n">
        <v>10</v>
      </c>
      <c r="L485" t="inlineStr">
        <is>
          <t>MEC</t>
        </is>
      </c>
      <c r="M485" t="inlineStr">
        <is>
          <t>INS-1500 INSP OPM VISUAL BOMBA</t>
        </is>
      </c>
      <c r="N485" t="inlineStr">
        <is>
          <t>INSP VISUAL BOMBA INS-1500 MEC 1M</t>
        </is>
      </c>
      <c r="O485" t="inlineStr">
        <is>
          <t>PERGC-PSGC-GIM-07-13-01</t>
        </is>
      </c>
      <c r="P485" t="inlineStr">
        <is>
          <t>32PX001A BOMBA SUPPLY</t>
        </is>
      </c>
      <c r="Q485" t="n">
        <v>1</v>
      </c>
      <c r="R485" t="inlineStr">
        <is>
          <t>PLANO</t>
        </is>
      </c>
      <c r="S485" t="inlineStr">
        <is>
          <t>Z09</t>
        </is>
      </c>
      <c r="T485" s="20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F486" s="20" t="n">
        <v>46317</v>
      </c>
      <c r="G486" t="n">
        <v>3</v>
      </c>
      <c r="H486" t="n">
        <v>2</v>
      </c>
      <c r="I486" s="20" t="n">
        <v>46317</v>
      </c>
      <c r="J486" t="n">
        <v>4385893</v>
      </c>
      <c r="K486" t="n">
        <v>10</v>
      </c>
      <c r="L486" t="inlineStr">
        <is>
          <t>PRO</t>
        </is>
      </c>
      <c r="M486" t="inlineStr">
        <is>
          <t>INS-1813 INSP PRO FILTRO</t>
        </is>
      </c>
      <c r="N486" t="inlineStr">
        <is>
          <t>INSP FILTRO INS-1813 OPE 4M</t>
        </is>
      </c>
      <c r="O486" t="inlineStr">
        <is>
          <t>PERGC-PSGC-GIM-07-13-13</t>
        </is>
      </c>
      <c r="P486" t="inlineStr">
        <is>
          <t>32CB001A FILTRO STRAINER 1"</t>
        </is>
      </c>
      <c r="Q486" t="n">
        <v>3</v>
      </c>
      <c r="R486" t="inlineStr">
        <is>
          <t>PLANO</t>
        </is>
      </c>
      <c r="S486" t="inlineStr">
        <is>
          <t>Z09</t>
        </is>
      </c>
      <c r="T486" s="20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F487" s="20" t="n">
        <v>46318</v>
      </c>
      <c r="G487" t="n">
        <v>3</v>
      </c>
      <c r="H487" t="n">
        <v>2</v>
      </c>
      <c r="I487" s="20" t="n">
        <v>46318</v>
      </c>
      <c r="J487" t="n">
        <v>4386505</v>
      </c>
      <c r="K487" t="n">
        <v>10</v>
      </c>
      <c r="L487" t="inlineStr">
        <is>
          <t>MEC</t>
        </is>
      </c>
      <c r="M487" t="inlineStr">
        <is>
          <t>INS-1500 INSP OPM VISUAL BOMBA</t>
        </is>
      </c>
      <c r="N487" t="inlineStr">
        <is>
          <t>INSP VISUAL BOMBA INS-1500 MEC 1M</t>
        </is>
      </c>
      <c r="O487" t="inlineStr">
        <is>
          <t>PERGC-PSGC-GIM-07-16-01</t>
        </is>
      </c>
      <c r="P487" t="inlineStr">
        <is>
          <t>32PX001B BOMBA SUPPLY</t>
        </is>
      </c>
      <c r="Q487" t="n">
        <v>1</v>
      </c>
      <c r="R487" t="inlineStr">
        <is>
          <t>PLANO</t>
        </is>
      </c>
      <c r="S487" t="inlineStr">
        <is>
          <t>Z09</t>
        </is>
      </c>
      <c r="T487" s="20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F488" s="20" t="n">
        <v>46316</v>
      </c>
      <c r="G488" t="n">
        <v>3</v>
      </c>
      <c r="H488" t="n">
        <v>2</v>
      </c>
      <c r="I488" s="20" t="n">
        <v>46316</v>
      </c>
      <c r="J488" t="n">
        <v>4386470</v>
      </c>
      <c r="K488" t="n">
        <v>10</v>
      </c>
      <c r="L488" t="inlineStr">
        <is>
          <t>PRO</t>
        </is>
      </c>
      <c r="M488" t="inlineStr">
        <is>
          <t>INS-1813 INSP PRO FILTRO</t>
        </is>
      </c>
      <c r="N488" t="inlineStr">
        <is>
          <t>INSP FILTRO INS-1813 OPE 4M</t>
        </is>
      </c>
      <c r="O488" t="inlineStr">
        <is>
          <t>PERGC-PSGI-GNI-01-10-01</t>
        </is>
      </c>
      <c r="P488" t="inlineStr">
        <is>
          <t>64CA001 PRE FILTRO</t>
        </is>
      </c>
      <c r="Q488" t="n">
        <v>3</v>
      </c>
      <c r="R488" t="inlineStr">
        <is>
          <t>PLANO</t>
        </is>
      </c>
      <c r="S488" t="inlineStr">
        <is>
          <t>Z09</t>
        </is>
      </c>
      <c r="T488" s="20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F489" s="20" t="n">
        <v>46311</v>
      </c>
      <c r="G489" t="n">
        <v>3</v>
      </c>
      <c r="H489" t="n">
        <v>2</v>
      </c>
      <c r="I489" s="20" t="n">
        <v>46311</v>
      </c>
      <c r="J489" t="n">
        <v>4386406</v>
      </c>
      <c r="K489" t="n">
        <v>10</v>
      </c>
      <c r="L489" t="inlineStr">
        <is>
          <t>MEC</t>
        </is>
      </c>
      <c r="M489" t="inlineStr">
        <is>
          <t>INSP CILINDRO N2/H2O INS-1550 MEC 1M</t>
        </is>
      </c>
      <c r="N489" t="inlineStr">
        <is>
          <t>INSP CILINDRO N2/H2O INS-1550 MEC 1M</t>
        </is>
      </c>
      <c r="O489" t="inlineStr">
        <is>
          <t>PERGC-PSGI-GNI-01-28-01</t>
        </is>
      </c>
      <c r="P489" t="inlineStr">
        <is>
          <t>64XX001 RACK ARMAZ CILINDRO N2</t>
        </is>
      </c>
      <c r="Q489" t="n">
        <v>1</v>
      </c>
      <c r="R489" t="inlineStr">
        <is>
          <t>PLANO</t>
        </is>
      </c>
      <c r="S489" t="inlineStr">
        <is>
          <t>Z09</t>
        </is>
      </c>
      <c r="T489" s="20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F490" s="20" t="n">
        <v>46316</v>
      </c>
      <c r="G490" t="n">
        <v>3</v>
      </c>
      <c r="H490" t="n">
        <v>2</v>
      </c>
      <c r="I490" s="20" t="n">
        <v>46316</v>
      </c>
      <c r="J490" t="n">
        <v>4386471</v>
      </c>
      <c r="K490" t="n">
        <v>10</v>
      </c>
      <c r="L490" t="inlineStr">
        <is>
          <t>MEC</t>
        </is>
      </c>
      <c r="M490" t="inlineStr">
        <is>
          <t>INSP CILINDRO N2/H2O INS-1550 MEC 1M</t>
        </is>
      </c>
      <c r="N490" t="inlineStr">
        <is>
          <t>INSP CILINDRO N2/H2O INS-1550 MEC 1M</t>
        </is>
      </c>
      <c r="O490" t="inlineStr">
        <is>
          <t>PERGC-PSGI-GNI-01-28-07</t>
        </is>
      </c>
      <c r="P490" t="inlineStr">
        <is>
          <t>64XX001-02 CILINDRO N2</t>
        </is>
      </c>
      <c r="Q490" t="n">
        <v>1</v>
      </c>
      <c r="R490" t="inlineStr">
        <is>
          <t>PLANO</t>
        </is>
      </c>
      <c r="S490" t="inlineStr">
        <is>
          <t>Z09</t>
        </is>
      </c>
      <c r="T490" s="20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F491" s="20" t="n">
        <v>46314</v>
      </c>
      <c r="G491" t="n">
        <v>3</v>
      </c>
      <c r="H491" t="n">
        <v>2</v>
      </c>
      <c r="I491" s="20" t="n">
        <v>46314</v>
      </c>
      <c r="J491" t="n">
        <v>4386440</v>
      </c>
      <c r="K491" t="n">
        <v>10</v>
      </c>
      <c r="L491" t="inlineStr">
        <is>
          <t>MEC</t>
        </is>
      </c>
      <c r="M491" t="inlineStr">
        <is>
          <t>INSP CILINDRO N2/H2O INS-1550 MEC 1M</t>
        </is>
      </c>
      <c r="N491" t="inlineStr">
        <is>
          <t>INSP CILINDRO N2/H2O INS-1550 MEC 1M</t>
        </is>
      </c>
      <c r="O491" t="inlineStr">
        <is>
          <t>PERGC-PSGI-GNI-01-28-10</t>
        </is>
      </c>
      <c r="P491" t="inlineStr">
        <is>
          <t>64XX001-03 CILINDRO N2</t>
        </is>
      </c>
      <c r="Q491" t="n">
        <v>1</v>
      </c>
      <c r="R491" t="inlineStr">
        <is>
          <t>PLANO</t>
        </is>
      </c>
      <c r="S491" t="inlineStr">
        <is>
          <t>Z09</t>
        </is>
      </c>
      <c r="T491" s="20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F492" s="20" t="n">
        <v>46315</v>
      </c>
      <c r="G492" t="n">
        <v>5</v>
      </c>
      <c r="H492" t="n">
        <v>2</v>
      </c>
      <c r="I492" s="20" t="n">
        <v>46315</v>
      </c>
      <c r="J492" t="n">
        <v>4386456</v>
      </c>
      <c r="K492" t="n">
        <v>10</v>
      </c>
      <c r="L492" t="inlineStr">
        <is>
          <t>MEC</t>
        </is>
      </c>
      <c r="M492" t="inlineStr">
        <is>
          <t>INSP CILINDRO N2/H2O INS-1550 MEC 1M</t>
        </is>
      </c>
      <c r="N492" t="inlineStr">
        <is>
          <t>INSP CILINDRO N2/H2O INS-1550 MEC 1M</t>
        </is>
      </c>
      <c r="O492" t="inlineStr">
        <is>
          <t>PERGC-PSGI-GNI-01-28-13</t>
        </is>
      </c>
      <c r="P492" t="inlineStr">
        <is>
          <t>64XX001-04 CILINDRO N2</t>
        </is>
      </c>
      <c r="Q492" t="n">
        <v>1</v>
      </c>
      <c r="R492" t="inlineStr">
        <is>
          <t>PLANO</t>
        </is>
      </c>
      <c r="S492" t="inlineStr">
        <is>
          <t>Z09</t>
        </is>
      </c>
      <c r="T492" s="20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F493" s="20" t="n">
        <v>46316</v>
      </c>
      <c r="G493" t="n">
        <v>5</v>
      </c>
      <c r="H493" t="n">
        <v>3</v>
      </c>
      <c r="I493" s="20" t="n">
        <v>46316</v>
      </c>
      <c r="J493" t="n">
        <v>4385886</v>
      </c>
      <c r="K493" t="n">
        <v>10</v>
      </c>
      <c r="L493" t="inlineStr">
        <is>
          <t>PRO</t>
        </is>
      </c>
      <c r="M493" t="inlineStr">
        <is>
          <t>INS-1813 INSP PRO FILTRO</t>
        </is>
      </c>
      <c r="N493" t="inlineStr">
        <is>
          <t>INSP FILTRO INS-1813 PRO 4M</t>
        </is>
      </c>
      <c r="O493" t="inlineStr">
        <is>
          <t>PERGC-PSIQ-UJQ-01-07</t>
        </is>
      </c>
      <c r="P493" t="inlineStr">
        <is>
          <t>CJ INJECAO QUIM DESEMULSIFICANTE TOPSIDE</t>
        </is>
      </c>
      <c r="Q493" t="n">
        <v>3</v>
      </c>
      <c r="R493" t="inlineStr">
        <is>
          <t>PLANO</t>
        </is>
      </c>
      <c r="S493" t="inlineStr">
        <is>
          <t>Z09</t>
        </is>
      </c>
      <c r="T493" s="20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F494" s="20" t="n">
        <v>46318</v>
      </c>
      <c r="G494" t="n">
        <v>5</v>
      </c>
      <c r="H494" t="n">
        <v>3</v>
      </c>
      <c r="I494" s="20" t="n">
        <v>46318</v>
      </c>
      <c r="J494" t="n">
        <v>4386510</v>
      </c>
      <c r="K494" t="n">
        <v>10</v>
      </c>
      <c r="L494" t="inlineStr">
        <is>
          <t>PRO</t>
        </is>
      </c>
      <c r="M494" t="inlineStr">
        <is>
          <t>INS-1813 INSP PRO FILTRO</t>
        </is>
      </c>
      <c r="N494" t="inlineStr">
        <is>
          <t>INSP FILTRO INS-1813 PRO 4M</t>
        </is>
      </c>
      <c r="O494" t="inlineStr">
        <is>
          <t>PERGC-PSIQ-UJQ-01-13</t>
        </is>
      </c>
      <c r="P494" t="inlineStr">
        <is>
          <t>CJ INJECAO QUIMICA INIBIDOR CORROSAO</t>
        </is>
      </c>
      <c r="Q494" t="n">
        <v>3</v>
      </c>
      <c r="R494" t="inlineStr">
        <is>
          <t>PLANO</t>
        </is>
      </c>
      <c r="S494" t="inlineStr">
        <is>
          <t>Z09</t>
        </is>
      </c>
      <c r="T494" s="20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F495" s="20" t="n">
        <v>46322</v>
      </c>
      <c r="G495" t="n">
        <v>5</v>
      </c>
      <c r="H495" t="n">
        <v>3</v>
      </c>
      <c r="I495" s="20" t="n">
        <v>46322</v>
      </c>
      <c r="J495" t="n">
        <v>4385915</v>
      </c>
      <c r="K495" t="n">
        <v>10</v>
      </c>
      <c r="L495" t="inlineStr">
        <is>
          <t>ELE</t>
        </is>
      </c>
      <c r="M495" t="inlineStr">
        <is>
          <t>PSE-1200 MANUT ELE MOTOR BT</t>
        </is>
      </c>
      <c r="N495" t="inlineStr">
        <is>
          <t>MANUT MOTOR BAIXA TENSAO PSE-1200 ELE 1A</t>
        </is>
      </c>
      <c r="O495" t="inlineStr">
        <is>
          <t>PERGC-PSIQ-UJQ-01-16</t>
        </is>
      </c>
      <c r="P495" t="inlineStr">
        <is>
          <t>CJ INJECAO QUIM SURFACTANT/BIOCIDA</t>
        </is>
      </c>
      <c r="Q495" t="n">
        <v>4</v>
      </c>
      <c r="R495" t="inlineStr">
        <is>
          <t>PLANO</t>
        </is>
      </c>
      <c r="S495" t="inlineStr">
        <is>
          <t>Z12</t>
        </is>
      </c>
      <c r="T495" s="20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F496" s="20" t="n">
        <v>46319</v>
      </c>
      <c r="G496" t="n">
        <v>5</v>
      </c>
      <c r="H496" t="n">
        <v>3</v>
      </c>
      <c r="I496" s="20" t="n">
        <v>46319</v>
      </c>
      <c r="J496" t="n">
        <v>4386530</v>
      </c>
      <c r="K496" t="n">
        <v>10</v>
      </c>
      <c r="L496" t="inlineStr">
        <is>
          <t>MEC</t>
        </is>
      </c>
      <c r="M496" t="inlineStr">
        <is>
          <t>INS-1500 INSP OPM VISUAL BOMBA</t>
        </is>
      </c>
      <c r="N496" t="inlineStr">
        <is>
          <t>INSP VISUAL BOMBA INS-1500 MEC 1M</t>
        </is>
      </c>
      <c r="O496" t="inlineStr">
        <is>
          <t>PERGC-PSIQ-UJQ-01-16-04-01</t>
        </is>
      </c>
      <c r="P496" t="inlineStr">
        <is>
          <t>42PD331A BOMBA INJ SURFACTANT/BIOCIDA</t>
        </is>
      </c>
      <c r="Q496" t="n">
        <v>1</v>
      </c>
      <c r="R496" t="inlineStr">
        <is>
          <t>PLANO</t>
        </is>
      </c>
      <c r="S496" t="inlineStr">
        <is>
          <t>Z09</t>
        </is>
      </c>
      <c r="T496" s="20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F497" s="20" t="n">
        <v>46314</v>
      </c>
      <c r="G497" t="n">
        <v>5</v>
      </c>
      <c r="H497" t="n">
        <v>3</v>
      </c>
      <c r="I497" s="20" t="n">
        <v>46314</v>
      </c>
      <c r="J497" t="n">
        <v>4386442</v>
      </c>
      <c r="K497" t="n">
        <v>10</v>
      </c>
      <c r="L497" t="inlineStr">
        <is>
          <t>MEC</t>
        </is>
      </c>
      <c r="M497" t="inlineStr">
        <is>
          <t>INS-1500 INSP OPM VISUAL BOMBA</t>
        </is>
      </c>
      <c r="N497" t="inlineStr">
        <is>
          <t>INSP VISUAL BOMBA INS-1500 MEC 1M</t>
        </is>
      </c>
      <c r="O497" t="inlineStr">
        <is>
          <t>PERGC-PSIQ-UJQ-01-16-07-01</t>
        </is>
      </c>
      <c r="P497" t="inlineStr">
        <is>
          <t>42PD331B BOMBA INJ SURFACTANT/BIOCIDA</t>
        </is>
      </c>
      <c r="Q497" t="n">
        <v>1</v>
      </c>
      <c r="R497" t="inlineStr">
        <is>
          <t>PLANO</t>
        </is>
      </c>
      <c r="S497" t="inlineStr">
        <is>
          <t>Z09</t>
        </is>
      </c>
      <c r="T497" s="20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F498" s="20" t="n">
        <v>46320</v>
      </c>
      <c r="G498" t="n">
        <v>3</v>
      </c>
      <c r="H498" t="n">
        <v>3</v>
      </c>
      <c r="I498" s="20" t="n">
        <v>46320</v>
      </c>
      <c r="J498" t="n">
        <v>4385902</v>
      </c>
      <c r="K498" t="n">
        <v>10</v>
      </c>
      <c r="L498" t="inlineStr">
        <is>
          <t>PRO</t>
        </is>
      </c>
      <c r="M498" t="inlineStr">
        <is>
          <t>INS-1813 INSP PRO FILTRO</t>
        </is>
      </c>
      <c r="N498" t="inlineStr">
        <is>
          <t>INSP FILTRO INS-1813 PRO 4M</t>
        </is>
      </c>
      <c r="O498" t="inlineStr">
        <is>
          <t>PERGC-PSIQ-UJQ-01-19-31</t>
        </is>
      </c>
      <c r="P498" t="inlineStr">
        <is>
          <t>CJ TUBULACAO INJ BIOCIDA DIESEL TOPSIDE</t>
        </is>
      </c>
      <c r="Q498" t="n">
        <v>3</v>
      </c>
      <c r="R498" t="inlineStr">
        <is>
          <t>PLANO</t>
        </is>
      </c>
      <c r="S498" t="inlineStr">
        <is>
          <t>Z09</t>
        </is>
      </c>
      <c r="T498" s="20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F499" s="20" t="n">
        <v>46316</v>
      </c>
      <c r="G499" t="n">
        <v>3</v>
      </c>
      <c r="H499" t="n">
        <v>2</v>
      </c>
      <c r="I499" s="20" t="n">
        <v>46316</v>
      </c>
      <c r="J499" t="n">
        <v>4395474</v>
      </c>
      <c r="K499" t="n">
        <v>10</v>
      </c>
      <c r="L499" t="inlineStr">
        <is>
          <t>POMMET</t>
        </is>
      </c>
      <c r="M499" t="inlineStr">
        <is>
          <t>01M CALIB RELOGIOS COMPUTADOR VAZAO</t>
        </is>
      </c>
      <c r="N499" t="inlineStr">
        <is>
          <t>87JS045 FLOW COMPUTER</t>
        </is>
      </c>
      <c r="O499" t="inlineStr">
        <is>
          <t>PERGC-PSSC-PAC-07-16</t>
        </is>
      </c>
      <c r="P499" t="inlineStr">
        <is>
          <t>87JS045 SERVER</t>
        </is>
      </c>
      <c r="Q499" t="n">
        <v>2</v>
      </c>
      <c r="R499" t="inlineStr">
        <is>
          <t>PLANO</t>
        </is>
      </c>
      <c r="S499" t="inlineStr">
        <is>
          <t>Z12</t>
        </is>
      </c>
      <c r="T499" s="20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F500" s="20" t="n">
        <v>46316</v>
      </c>
      <c r="G500" t="n">
        <v>3</v>
      </c>
      <c r="H500" t="n">
        <v>2</v>
      </c>
      <c r="I500" s="20" t="n">
        <v>46316</v>
      </c>
      <c r="J500" t="n">
        <v>4395474</v>
      </c>
      <c r="K500" t="n">
        <v>30</v>
      </c>
      <c r="L500" t="inlineStr">
        <is>
          <t>POMMET</t>
        </is>
      </c>
      <c r="M500" t="inlineStr">
        <is>
          <t>03M COMPUTER FLOW - FULL BACKUP</t>
        </is>
      </c>
      <c r="N500" t="inlineStr">
        <is>
          <t>87JS045 FLOW COMPUTER</t>
        </is>
      </c>
      <c r="O500" t="inlineStr">
        <is>
          <t>PERGC-PSSC-PAC-07-16</t>
        </is>
      </c>
      <c r="P500" t="inlineStr">
        <is>
          <t>87JS045 SERVER</t>
        </is>
      </c>
      <c r="Q500" t="n">
        <v>2</v>
      </c>
      <c r="R500" t="inlineStr">
        <is>
          <t>PLANO</t>
        </is>
      </c>
      <c r="S500" t="inlineStr">
        <is>
          <t>Z12</t>
        </is>
      </c>
      <c r="T500" s="20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F501" s="20" t="n">
        <v>46312</v>
      </c>
      <c r="G501" t="n">
        <v>5</v>
      </c>
      <c r="H501" t="n">
        <v>2</v>
      </c>
      <c r="I501" s="20" t="n">
        <v>46312</v>
      </c>
      <c r="J501" t="n">
        <v>4385753</v>
      </c>
      <c r="K501" t="n">
        <v>10</v>
      </c>
      <c r="L501" t="inlineStr">
        <is>
          <t>AUT</t>
        </is>
      </c>
      <c r="M501" t="inlineStr">
        <is>
          <t>INS-1017 INSP AUT PAINEL CONTROLE</t>
        </is>
      </c>
      <c r="N501" t="inlineStr">
        <is>
          <t>INSP PAINEL CONTROLE INS-1017 AUT 1A</t>
        </is>
      </c>
      <c r="O501" t="inlineStr">
        <is>
          <t>PERGC-PSSC-PNR-07-07-13-01</t>
        </is>
      </c>
      <c r="P501" t="inlineStr">
        <is>
          <t>87JF250 PCS C29 RIO 1</t>
        </is>
      </c>
      <c r="Q501" t="n">
        <v>2</v>
      </c>
      <c r="R501" t="inlineStr">
        <is>
          <t>PLANO</t>
        </is>
      </c>
      <c r="S501" t="inlineStr">
        <is>
          <t>Z09</t>
        </is>
      </c>
      <c r="T501" s="20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F502" s="20" t="n">
        <v>46313</v>
      </c>
      <c r="G502" t="n">
        <v>5</v>
      </c>
      <c r="H502" t="n">
        <v>3</v>
      </c>
      <c r="I502" s="20" t="n">
        <v>46313</v>
      </c>
      <c r="J502" t="n">
        <v>4385873</v>
      </c>
      <c r="K502" t="n">
        <v>10</v>
      </c>
      <c r="L502" t="inlineStr">
        <is>
          <t>MEC</t>
        </is>
      </c>
      <c r="M502" t="inlineStr">
        <is>
          <t>INS-1462 INSP MAR SUSPIROS VENTILACAO</t>
        </is>
      </c>
      <c r="N502" t="inlineStr">
        <is>
          <t>INSP SUSPIROS VENTILACAO INS-1462 MAR 6M</t>
        </is>
      </c>
      <c r="O502" t="inlineStr">
        <is>
          <t>PERGC-PSVA-VNT</t>
        </is>
      </c>
      <c r="P502" t="inlineStr">
        <is>
          <t>VENT</t>
        </is>
      </c>
      <c r="Q502" t="n">
        <v>1</v>
      </c>
      <c r="R502" t="inlineStr">
        <is>
          <t>PLANO</t>
        </is>
      </c>
      <c r="S502" t="inlineStr">
        <is>
          <t>Z09</t>
        </is>
      </c>
      <c r="T502" s="20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F503" s="20" t="n">
        <v>46322</v>
      </c>
      <c r="G503" t="n">
        <v>5</v>
      </c>
      <c r="H503" t="n">
        <v>3</v>
      </c>
      <c r="I503" s="20" t="n">
        <v>46322</v>
      </c>
      <c r="J503" t="n">
        <v>4385916</v>
      </c>
      <c r="K503" t="n">
        <v>10</v>
      </c>
      <c r="L503" t="inlineStr">
        <is>
          <t>AUT</t>
        </is>
      </c>
      <c r="M503" t="inlineStr">
        <is>
          <t>INS-1012 INSP AUT INSTRUMENTOS EMMS</t>
        </is>
      </c>
      <c r="N503" t="inlineStr">
        <is>
          <t>INSP INSTRUMENTOS EMMS INS-1012 AUT 3M</t>
        </is>
      </c>
      <c r="O503" t="inlineStr">
        <is>
          <t>PERGC-SDMT-PNN-01-07</t>
        </is>
      </c>
      <c r="P503" t="inlineStr">
        <is>
          <t>CJ SENSORES METEOROLOGICOS</t>
        </is>
      </c>
      <c r="Q503" t="n">
        <v>2</v>
      </c>
      <c r="R503" t="inlineStr">
        <is>
          <t>PLANO</t>
        </is>
      </c>
      <c r="S503" t="inlineStr">
        <is>
          <t>Z09</t>
        </is>
      </c>
      <c r="T503" s="20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ENCERRADA</t>
        </is>
      </c>
      <c r="F504" s="20" t="n">
        <v>46318</v>
      </c>
      <c r="G504" t="n">
        <v>5</v>
      </c>
      <c r="H504" t="n">
        <v>3</v>
      </c>
      <c r="I504" s="20" t="n">
        <v>46318</v>
      </c>
      <c r="J504" t="n">
        <v>4386511</v>
      </c>
      <c r="K504" t="n">
        <v>10</v>
      </c>
      <c r="L504" t="inlineStr">
        <is>
          <t>HSE</t>
        </is>
      </c>
      <c r="M504" t="inlineStr">
        <is>
          <t>INS-2101 INSP HSE MASCARA FUGA</t>
        </is>
      </c>
      <c r="N504" t="inlineStr">
        <is>
          <t>INSP MASCARA FUGA SCBA INS-2101 HSE 1M</t>
        </is>
      </c>
      <c r="O504" t="inlineStr">
        <is>
          <t>PERGC-SSEG-CJA-04</t>
        </is>
      </c>
      <c r="P504" t="inlineStr">
        <is>
          <t>CJ MASCARA SCBA</t>
        </is>
      </c>
      <c r="Q504" t="n">
        <v>12</v>
      </c>
      <c r="R504" t="inlineStr">
        <is>
          <t>PLANO</t>
        </is>
      </c>
      <c r="S504" t="inlineStr">
        <is>
          <t>Z09</t>
        </is>
      </c>
      <c r="T504" s="20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F505" s="20" t="n">
        <v>46312</v>
      </c>
      <c r="G505" t="n">
        <v>5</v>
      </c>
      <c r="H505" t="n">
        <v>3</v>
      </c>
      <c r="I505" s="20" t="n">
        <v>46312</v>
      </c>
      <c r="J505" t="n">
        <v>4386425</v>
      </c>
      <c r="K505" t="n">
        <v>10</v>
      </c>
      <c r="L505" t="inlineStr">
        <is>
          <t>HSE</t>
        </is>
      </c>
      <c r="M505" t="inlineStr">
        <is>
          <t>INS-2100 INSP HSE MASCARA FUGA</t>
        </is>
      </c>
      <c r="N505" t="inlineStr">
        <is>
          <t>INSP MASCARA FUGA EEBD INS-2100 HSE 1M</t>
        </is>
      </c>
      <c r="O505" t="inlineStr">
        <is>
          <t>PERGC-SSEG-CJA-07</t>
        </is>
      </c>
      <c r="P505" t="inlineStr">
        <is>
          <t>CJ MASCARA EEBD</t>
        </is>
      </c>
      <c r="Q505" t="n">
        <v>9</v>
      </c>
      <c r="R505" t="inlineStr">
        <is>
          <t>PLANO</t>
        </is>
      </c>
      <c r="S505" t="inlineStr">
        <is>
          <t>Z09</t>
        </is>
      </c>
      <c r="T505" s="20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F506" s="20" t="n">
        <v>46317</v>
      </c>
      <c r="G506" t="n">
        <v>5</v>
      </c>
      <c r="H506" t="n">
        <v>3</v>
      </c>
      <c r="I506" s="20" t="n">
        <v>46317</v>
      </c>
      <c r="J506" t="n">
        <v>4386493</v>
      </c>
      <c r="K506" t="n">
        <v>10</v>
      </c>
      <c r="L506" t="inlineStr">
        <is>
          <t>HSE</t>
        </is>
      </c>
      <c r="M506" t="inlineStr">
        <is>
          <t>INS-2109 INSP HSE DETECTOR PORTATIL</t>
        </is>
      </c>
      <c r="N506" t="inlineStr">
        <is>
          <t>INSP DETECTOR PORTATIL INS-2109 HSE 1M</t>
        </is>
      </c>
      <c r="O506" t="inlineStr">
        <is>
          <t>PERGC-SSEG-EPC-04</t>
        </is>
      </c>
      <c r="P506" t="inlineStr">
        <is>
          <t>CJ DETECTORES GAS PORTAIES</t>
        </is>
      </c>
      <c r="Q506" t="n">
        <v>4</v>
      </c>
      <c r="R506" t="inlineStr">
        <is>
          <t>PLANO</t>
        </is>
      </c>
      <c r="S506" t="inlineStr">
        <is>
          <t>Z09</t>
        </is>
      </c>
      <c r="T506" s="20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F507" s="20" t="n">
        <v>46321</v>
      </c>
      <c r="G507" t="n">
        <v>6</v>
      </c>
      <c r="H507" t="n">
        <v>3</v>
      </c>
      <c r="J507" t="n">
        <v>4350659</v>
      </c>
      <c r="K507" t="n">
        <v>10</v>
      </c>
      <c r="L507" t="inlineStr">
        <is>
          <t>ELE</t>
        </is>
      </c>
      <c r="M507" t="inlineStr">
        <is>
          <t>Trocar luminária 82EL104-229</t>
        </is>
      </c>
      <c r="N507" t="inlineStr">
        <is>
          <t>Luminaria do teto do coffee shop apagada</t>
        </is>
      </c>
      <c r="O507" t="inlineStr">
        <is>
          <t>PERGC-FEDN-PNN-16-18</t>
        </is>
      </c>
      <c r="P507" t="inlineStr">
        <is>
          <t>82EL104-229 REST/BREAK LTG</t>
        </is>
      </c>
      <c r="Q507" t="n">
        <v>6</v>
      </c>
      <c r="R507" t="inlineStr">
        <is>
          <t>DPRO</t>
        </is>
      </c>
      <c r="S507" t="inlineStr">
        <is>
          <t>Z12</t>
        </is>
      </c>
      <c r="T507" s="20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F508" s="20" t="n">
        <v>46321</v>
      </c>
      <c r="G508" t="n">
        <v>6</v>
      </c>
      <c r="H508" t="n">
        <v>3</v>
      </c>
      <c r="J508" t="n">
        <v>4350659</v>
      </c>
      <c r="K508" t="n">
        <v>20</v>
      </c>
      <c r="L508" t="inlineStr">
        <is>
          <t>CON</t>
        </is>
      </c>
      <c r="M508" t="inlineStr">
        <is>
          <t>Apoio do IRATA</t>
        </is>
      </c>
      <c r="N508" t="inlineStr">
        <is>
          <t>Luminaria do teto do coffee shop apagada</t>
        </is>
      </c>
      <c r="O508" t="inlineStr">
        <is>
          <t>PERGC-FEDN-PNN-16-18</t>
        </is>
      </c>
      <c r="P508" t="inlineStr">
        <is>
          <t>82EL104-229 REST/BREAK LTG</t>
        </is>
      </c>
      <c r="Q508" t="n">
        <v>18</v>
      </c>
      <c r="R508" t="inlineStr">
        <is>
          <t>DPRO</t>
        </is>
      </c>
      <c r="S508" t="inlineStr">
        <is>
          <t>Z12</t>
        </is>
      </c>
      <c r="T508" s="20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F509" s="20" t="n">
        <v>46323</v>
      </c>
      <c r="G509" t="n">
        <v>6</v>
      </c>
      <c r="H509" t="n">
        <v>3</v>
      </c>
      <c r="J509" t="n">
        <v>4341497</v>
      </c>
      <c r="K509" t="n">
        <v>10</v>
      </c>
      <c r="L509" t="inlineStr">
        <is>
          <t>ELE</t>
        </is>
      </c>
      <c r="M509" t="inlineStr">
        <is>
          <t>Trocar refletor 82EL101-@Jq09-E03</t>
        </is>
      </c>
      <c r="N509" t="inlineStr">
        <is>
          <t>Refletor de 4leds com um 1led apagado.</t>
        </is>
      </c>
      <c r="O509" t="inlineStr">
        <is>
          <t>PERGC-FEIN-LUM-01-07-13-43</t>
        </is>
      </c>
      <c r="P509" t="inlineStr">
        <is>
          <t>82EL101B-2JQ09-E03 FLOODLIGHT ZONE 1</t>
        </is>
      </c>
      <c r="Q509" t="n">
        <v>0</v>
      </c>
      <c r="R509" t="inlineStr">
        <is>
          <t>AMAT</t>
        </is>
      </c>
      <c r="S509" t="inlineStr">
        <is>
          <t>Z12</t>
        </is>
      </c>
      <c r="T509" s="20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F510" s="20" t="n">
        <v>46323</v>
      </c>
      <c r="G510" t="n">
        <v>6</v>
      </c>
      <c r="H510" t="n">
        <v>3</v>
      </c>
      <c r="J510" t="n">
        <v>4341497</v>
      </c>
      <c r="K510" t="n">
        <v>20</v>
      </c>
      <c r="L510" t="inlineStr">
        <is>
          <t>CON</t>
        </is>
      </c>
      <c r="M510" t="inlineStr">
        <is>
          <t>Trocar refletor IRATA 82EL101-@Jq09-E03</t>
        </is>
      </c>
      <c r="N510" t="inlineStr">
        <is>
          <t>Refletor de 4leds com um 1led apagado.</t>
        </is>
      </c>
      <c r="O510" t="inlineStr">
        <is>
          <t>PERGC-FEIN-LUM-01-07-13-43</t>
        </is>
      </c>
      <c r="P510" t="inlineStr">
        <is>
          <t>82EL101B-2JQ09-E03 FLOODLIGHT ZONE 1</t>
        </is>
      </c>
      <c r="Q510" t="n">
        <v>0</v>
      </c>
      <c r="R510" t="inlineStr">
        <is>
          <t>AMAT</t>
        </is>
      </c>
      <c r="S510" t="inlineStr">
        <is>
          <t>Z12</t>
        </is>
      </c>
      <c r="T510" s="20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F511" s="20" t="n">
        <v>46311</v>
      </c>
      <c r="G511" t="n">
        <v>6</v>
      </c>
      <c r="H511" t="n">
        <v>3</v>
      </c>
      <c r="J511" t="n">
        <v>4350656</v>
      </c>
      <c r="K511" t="n">
        <v>10</v>
      </c>
      <c r="L511" t="inlineStr">
        <is>
          <t>ELE</t>
        </is>
      </c>
      <c r="M511" t="inlineStr">
        <is>
          <t>Trocar Luminária 82EL101B-2LQ05-E05</t>
        </is>
      </c>
      <c r="N511" t="inlineStr">
        <is>
          <t>Luminária com 75% de led  em operação</t>
        </is>
      </c>
      <c r="O511" t="inlineStr">
        <is>
          <t>PERGC-FEIN-LUM-01-07-13-59</t>
        </is>
      </c>
      <c r="P511" t="inlineStr">
        <is>
          <t>82EL101B-2KQ02-E04 LUMINARIA</t>
        </is>
      </c>
      <c r="Q511" t="n">
        <v>6</v>
      </c>
      <c r="R511" t="inlineStr">
        <is>
          <t>DPRO</t>
        </is>
      </c>
      <c r="S511" t="inlineStr">
        <is>
          <t>Z12</t>
        </is>
      </c>
      <c r="T511" s="20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F512" s="20" t="n">
        <v>46312</v>
      </c>
      <c r="G512" t="n">
        <v>6</v>
      </c>
      <c r="H512" t="n">
        <v>3</v>
      </c>
      <c r="J512" t="n">
        <v>4350656</v>
      </c>
      <c r="K512" t="n">
        <v>20</v>
      </c>
      <c r="L512" t="inlineStr">
        <is>
          <t>ELE</t>
        </is>
      </c>
      <c r="M512" t="inlineStr">
        <is>
          <t>Trocar Luminária 82EL101B-2LQ06-E04</t>
        </is>
      </c>
      <c r="N512" t="inlineStr">
        <is>
          <t>Luminária com 75% de led  em operação</t>
        </is>
      </c>
      <c r="O512" t="inlineStr">
        <is>
          <t>PERGC-FEIN-LUM-01-07-13-59</t>
        </is>
      </c>
      <c r="P512" t="inlineStr">
        <is>
          <t>82EL101B-2KQ02-E04 LUMINARIA</t>
        </is>
      </c>
      <c r="Q512" t="n">
        <v>6</v>
      </c>
      <c r="R512" t="inlineStr">
        <is>
          <t>DPRO</t>
        </is>
      </c>
      <c r="S512" t="inlineStr">
        <is>
          <t>Z12</t>
        </is>
      </c>
      <c r="T512" s="20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F513" s="20" t="n">
        <v>46313</v>
      </c>
      <c r="G513" t="n">
        <v>6</v>
      </c>
      <c r="H513" t="n">
        <v>3</v>
      </c>
      <c r="J513" t="n">
        <v>4350656</v>
      </c>
      <c r="K513" t="n">
        <v>30</v>
      </c>
      <c r="L513" t="inlineStr">
        <is>
          <t>ELE</t>
        </is>
      </c>
      <c r="M513" t="inlineStr">
        <is>
          <t>Trocar Luminária 82EL101B-2JQ04-E02</t>
        </is>
      </c>
      <c r="N513" t="inlineStr">
        <is>
          <t>Luminária com 75% de led  em operação</t>
        </is>
      </c>
      <c r="O513" t="inlineStr">
        <is>
          <t>PERGC-FEIN-LUM-01-07-13-59</t>
        </is>
      </c>
      <c r="P513" t="inlineStr">
        <is>
          <t>82EL101B-2KQ02-E04 LUMINARIA</t>
        </is>
      </c>
      <c r="Q513" t="n">
        <v>6</v>
      </c>
      <c r="R513" t="inlineStr">
        <is>
          <t>DPRO</t>
        </is>
      </c>
      <c r="S513" t="inlineStr">
        <is>
          <t>Z12</t>
        </is>
      </c>
      <c r="T513" s="20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F514" s="20" t="n">
        <v>46314</v>
      </c>
      <c r="G514" t="n">
        <v>6</v>
      </c>
      <c r="H514" t="n">
        <v>3</v>
      </c>
      <c r="J514" t="n">
        <v>4350656</v>
      </c>
      <c r="K514" t="n">
        <v>40</v>
      </c>
      <c r="L514" t="inlineStr">
        <is>
          <t>ELE</t>
        </is>
      </c>
      <c r="M514" t="inlineStr">
        <is>
          <t>Trocar Luminária 82EL101B-2JQ06-E02</t>
        </is>
      </c>
      <c r="N514" t="inlineStr">
        <is>
          <t>Luminária com 75% de led  em operação</t>
        </is>
      </c>
      <c r="O514" t="inlineStr">
        <is>
          <t>PERGC-FEIN-LUM-01-07-13-59</t>
        </is>
      </c>
      <c r="P514" t="inlineStr">
        <is>
          <t>82EL101B-2KQ02-E04 LUMINARIA</t>
        </is>
      </c>
      <c r="Q514" t="n">
        <v>6</v>
      </c>
      <c r="R514" t="inlineStr">
        <is>
          <t>DPRO</t>
        </is>
      </c>
      <c r="S514" t="inlineStr">
        <is>
          <t>Z12</t>
        </is>
      </c>
      <c r="T514" s="20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F515" s="20" t="n">
        <v>46315</v>
      </c>
      <c r="G515" t="n">
        <v>6</v>
      </c>
      <c r="H515" t="n">
        <v>3</v>
      </c>
      <c r="J515" t="n">
        <v>4350656</v>
      </c>
      <c r="K515" t="n">
        <v>50</v>
      </c>
      <c r="L515" t="inlineStr">
        <is>
          <t>ELE</t>
        </is>
      </c>
      <c r="M515" t="inlineStr">
        <is>
          <t>Trocar Luminária 82EL101B-2JQ06-E04</t>
        </is>
      </c>
      <c r="N515" t="inlineStr">
        <is>
          <t>Luminária com 75% de led  em operação</t>
        </is>
      </c>
      <c r="O515" t="inlineStr">
        <is>
          <t>PERGC-FEIN-LUM-01-07-13-59</t>
        </is>
      </c>
      <c r="P515" t="inlineStr">
        <is>
          <t>82EL101B-2KQ02-E04 LUMINARIA</t>
        </is>
      </c>
      <c r="Q515" t="n">
        <v>6</v>
      </c>
      <c r="R515" t="inlineStr">
        <is>
          <t>DPRO</t>
        </is>
      </c>
      <c r="S515" t="inlineStr">
        <is>
          <t>Z12</t>
        </is>
      </c>
      <c r="T515" s="20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F516" s="20" t="n">
        <v>46316</v>
      </c>
      <c r="G516" t="n">
        <v>6</v>
      </c>
      <c r="H516" t="n">
        <v>3</v>
      </c>
      <c r="J516" t="n">
        <v>4350656</v>
      </c>
      <c r="K516" t="n">
        <v>60</v>
      </c>
      <c r="L516" t="inlineStr">
        <is>
          <t>ELE</t>
        </is>
      </c>
      <c r="M516" t="inlineStr">
        <is>
          <t>Trocar Luminária 82EL101B-2JQ07-E01</t>
        </is>
      </c>
      <c r="N516" t="inlineStr">
        <is>
          <t>Luminária com 75% de led  em operação</t>
        </is>
      </c>
      <c r="O516" t="inlineStr">
        <is>
          <t>PERGC-FEIN-LUM-01-07-13-59</t>
        </is>
      </c>
      <c r="P516" t="inlineStr">
        <is>
          <t>82EL101B-2KQ02-E04 LUMINARIA</t>
        </is>
      </c>
      <c r="Q516" t="n">
        <v>6</v>
      </c>
      <c r="R516" t="inlineStr">
        <is>
          <t>DPRO</t>
        </is>
      </c>
      <c r="S516" t="inlineStr">
        <is>
          <t>Z12</t>
        </is>
      </c>
      <c r="T516" s="20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F517" s="20" t="n">
        <v>46317</v>
      </c>
      <c r="G517" t="n">
        <v>6</v>
      </c>
      <c r="H517" t="n">
        <v>3</v>
      </c>
      <c r="J517" t="n">
        <v>4350656</v>
      </c>
      <c r="K517" t="n">
        <v>70</v>
      </c>
      <c r="L517" t="inlineStr">
        <is>
          <t>ELE</t>
        </is>
      </c>
      <c r="M517" t="inlineStr">
        <is>
          <t>Trocar Luminária 82EL101B-2JQ07-E05</t>
        </is>
      </c>
      <c r="N517" t="inlineStr">
        <is>
          <t>Luminária com 75% de led  em operação</t>
        </is>
      </c>
      <c r="O517" t="inlineStr">
        <is>
          <t>PERGC-FEIN-LUM-01-07-13-59</t>
        </is>
      </c>
      <c r="P517" t="inlineStr">
        <is>
          <t>82EL101B-2KQ02-E04 LUMINARIA</t>
        </is>
      </c>
      <c r="Q517" t="n">
        <v>6</v>
      </c>
      <c r="R517" t="inlineStr">
        <is>
          <t>DPRO</t>
        </is>
      </c>
      <c r="S517" t="inlineStr">
        <is>
          <t>Z12</t>
        </is>
      </c>
      <c r="T517" s="20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F518" s="20" t="n">
        <v>46318</v>
      </c>
      <c r="G518" t="n">
        <v>6</v>
      </c>
      <c r="H518" t="n">
        <v>3</v>
      </c>
      <c r="J518" t="n">
        <v>4350656</v>
      </c>
      <c r="K518" t="n">
        <v>80</v>
      </c>
      <c r="L518" t="inlineStr">
        <is>
          <t>ELE</t>
        </is>
      </c>
      <c r="M518" t="inlineStr">
        <is>
          <t>Trocar Luminária 82EL101B-2JQ06-E03</t>
        </is>
      </c>
      <c r="N518" t="inlineStr">
        <is>
          <t>Luminária com 75% de led  em operação</t>
        </is>
      </c>
      <c r="O518" t="inlineStr">
        <is>
          <t>PERGC-FEIN-LUM-01-07-13-59</t>
        </is>
      </c>
      <c r="P518" t="inlineStr">
        <is>
          <t>82EL101B-2KQ02-E04 LUMINARIA</t>
        </is>
      </c>
      <c r="Q518" t="n">
        <v>6</v>
      </c>
      <c r="R518" t="inlineStr">
        <is>
          <t>DPRO</t>
        </is>
      </c>
      <c r="S518" t="inlineStr">
        <is>
          <t>Z12</t>
        </is>
      </c>
      <c r="T518" s="20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F519" s="20" t="n">
        <v>46319</v>
      </c>
      <c r="G519" t="n">
        <v>6</v>
      </c>
      <c r="H519" t="n">
        <v>3</v>
      </c>
      <c r="J519" t="n">
        <v>4350656</v>
      </c>
      <c r="K519" t="n">
        <v>90</v>
      </c>
      <c r="L519" t="inlineStr">
        <is>
          <t>ELE</t>
        </is>
      </c>
      <c r="M519" t="inlineStr">
        <is>
          <t>Trocar Luminária 82EL101-2JQ07-E09</t>
        </is>
      </c>
      <c r="N519" t="inlineStr">
        <is>
          <t>Luminária com 75% de led  em operação</t>
        </is>
      </c>
      <c r="O519" t="inlineStr">
        <is>
          <t>PERGC-FEIN-LUM-01-07-13-59</t>
        </is>
      </c>
      <c r="P519" t="inlineStr">
        <is>
          <t>82EL101B-2KQ02-E04 LUMINARIA</t>
        </is>
      </c>
      <c r="Q519" t="n">
        <v>6</v>
      </c>
      <c r="R519" t="inlineStr">
        <is>
          <t>DPRO</t>
        </is>
      </c>
      <c r="S519" t="inlineStr">
        <is>
          <t>Z12</t>
        </is>
      </c>
      <c r="T519" s="20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F520" s="20" t="n">
        <v>46320</v>
      </c>
      <c r="G520" t="n">
        <v>6</v>
      </c>
      <c r="H520" t="n">
        <v>3</v>
      </c>
      <c r="J520" t="n">
        <v>4350656</v>
      </c>
      <c r="K520" t="n">
        <v>100</v>
      </c>
      <c r="L520" t="inlineStr">
        <is>
          <t>ELE</t>
        </is>
      </c>
      <c r="M520" t="inlineStr">
        <is>
          <t>Trocar Luminária 82EL101B-2KQ02-E04</t>
        </is>
      </c>
      <c r="N520" t="inlineStr">
        <is>
          <t>Luminária com 75% de led  em operação</t>
        </is>
      </c>
      <c r="O520" t="inlineStr">
        <is>
          <t>PERGC-FEIN-LUM-01-07-13-59</t>
        </is>
      </c>
      <c r="P520" t="inlineStr">
        <is>
          <t>82EL101B-2KQ02-E04 LUMINARIA</t>
        </is>
      </c>
      <c r="Q520" t="n">
        <v>6</v>
      </c>
      <c r="R520" t="inlineStr">
        <is>
          <t>DPRO</t>
        </is>
      </c>
      <c r="S520" t="inlineStr">
        <is>
          <t>Z12</t>
        </is>
      </c>
      <c r="T520" s="20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F521" s="20" t="n">
        <v>46311</v>
      </c>
      <c r="G521" t="n">
        <v>6</v>
      </c>
      <c r="H521" t="n">
        <v>3</v>
      </c>
      <c r="J521" t="n">
        <v>4350656</v>
      </c>
      <c r="K521" t="n">
        <v>110</v>
      </c>
      <c r="L521" t="inlineStr">
        <is>
          <t>CON</t>
        </is>
      </c>
      <c r="M521" t="inlineStr">
        <is>
          <t>IRATA - 82EL101B-2LQ05-E05</t>
        </is>
      </c>
      <c r="N521" t="inlineStr">
        <is>
          <t>Luminária com 75% de led  em operação</t>
        </is>
      </c>
      <c r="O521" t="inlineStr">
        <is>
          <t>PERGC-FEIN-LUM-01-07-13-59</t>
        </is>
      </c>
      <c r="P521" t="inlineStr">
        <is>
          <t>82EL101B-2KQ02-E04 LUMINARIA</t>
        </is>
      </c>
      <c r="Q521" t="n">
        <v>18</v>
      </c>
      <c r="R521" t="inlineStr">
        <is>
          <t>DPRO</t>
        </is>
      </c>
      <c r="S521" t="inlineStr">
        <is>
          <t>Z12</t>
        </is>
      </c>
      <c r="T521" s="20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F522" s="20" t="n">
        <v>46312</v>
      </c>
      <c r="G522" t="n">
        <v>6</v>
      </c>
      <c r="H522" t="n">
        <v>3</v>
      </c>
      <c r="J522" t="n">
        <v>4350656</v>
      </c>
      <c r="K522" t="n">
        <v>120</v>
      </c>
      <c r="L522" t="inlineStr">
        <is>
          <t>CON</t>
        </is>
      </c>
      <c r="M522" t="inlineStr">
        <is>
          <t>IRATA - 82EL101B-2LQ06-E04</t>
        </is>
      </c>
      <c r="N522" t="inlineStr">
        <is>
          <t>Luminária com 75% de led  em operação</t>
        </is>
      </c>
      <c r="O522" t="inlineStr">
        <is>
          <t>PERGC-FEIN-LUM-01-07-13-59</t>
        </is>
      </c>
      <c r="P522" t="inlineStr">
        <is>
          <t>82EL101B-2KQ02-E04 LUMINARIA</t>
        </is>
      </c>
      <c r="Q522" t="n">
        <v>18</v>
      </c>
      <c r="R522" t="inlineStr">
        <is>
          <t>DPRO</t>
        </is>
      </c>
      <c r="S522" t="inlineStr">
        <is>
          <t>Z12</t>
        </is>
      </c>
      <c r="T522" s="20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F523" s="20" t="n">
        <v>46313</v>
      </c>
      <c r="G523" t="n">
        <v>6</v>
      </c>
      <c r="H523" t="n">
        <v>3</v>
      </c>
      <c r="J523" t="n">
        <v>4350656</v>
      </c>
      <c r="K523" t="n">
        <v>130</v>
      </c>
      <c r="L523" t="inlineStr">
        <is>
          <t>CON</t>
        </is>
      </c>
      <c r="M523" t="inlineStr">
        <is>
          <t>IRATA - 82EL101B-2JQ04-E02</t>
        </is>
      </c>
      <c r="N523" t="inlineStr">
        <is>
          <t>Luminária com 75% de led  em operação</t>
        </is>
      </c>
      <c r="O523" t="inlineStr">
        <is>
          <t>PERGC-FEIN-LUM-01-07-13-59</t>
        </is>
      </c>
      <c r="P523" t="inlineStr">
        <is>
          <t>82EL101B-2KQ02-E04 LUMINARIA</t>
        </is>
      </c>
      <c r="Q523" t="n">
        <v>18</v>
      </c>
      <c r="R523" t="inlineStr">
        <is>
          <t>DPRO</t>
        </is>
      </c>
      <c r="S523" t="inlineStr">
        <is>
          <t>Z12</t>
        </is>
      </c>
      <c r="T523" s="20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PARCIAL</t>
        </is>
      </c>
      <c r="F524" s="20" t="n">
        <v>46314</v>
      </c>
      <c r="G524" t="n">
        <v>6</v>
      </c>
      <c r="H524" t="n">
        <v>3</v>
      </c>
      <c r="J524" t="n">
        <v>4350656</v>
      </c>
      <c r="K524" t="n">
        <v>140</v>
      </c>
      <c r="L524" t="inlineStr">
        <is>
          <t>CON</t>
        </is>
      </c>
      <c r="M524" t="inlineStr">
        <is>
          <t>IRATA - 82EL101B-2JQ06-E02</t>
        </is>
      </c>
      <c r="N524" t="inlineStr">
        <is>
          <t>Luminária com 75% de led  em operação</t>
        </is>
      </c>
      <c r="O524" t="inlineStr">
        <is>
          <t>PERGC-FEIN-LUM-01-07-13-59</t>
        </is>
      </c>
      <c r="P524" t="inlineStr">
        <is>
          <t>82EL101B-2KQ02-E04 LUMINARIA</t>
        </is>
      </c>
      <c r="Q524" t="n">
        <v>18</v>
      </c>
      <c r="R524" t="inlineStr">
        <is>
          <t>DPRO</t>
        </is>
      </c>
      <c r="S524" t="inlineStr">
        <is>
          <t>Z12</t>
        </is>
      </c>
      <c r="T524" s="20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F525" s="20" t="n">
        <v>46315</v>
      </c>
      <c r="G525" t="n">
        <v>6</v>
      </c>
      <c r="H525" t="n">
        <v>3</v>
      </c>
      <c r="J525" t="n">
        <v>4350656</v>
      </c>
      <c r="K525" t="n">
        <v>150</v>
      </c>
      <c r="L525" t="inlineStr">
        <is>
          <t>CON</t>
        </is>
      </c>
      <c r="M525" t="inlineStr">
        <is>
          <t>IRATA - 82EL101B-2JQ06-E04</t>
        </is>
      </c>
      <c r="N525" t="inlineStr">
        <is>
          <t>Luminária com 75% de led  em operação</t>
        </is>
      </c>
      <c r="O525" t="inlineStr">
        <is>
          <t>PERGC-FEIN-LUM-01-07-13-59</t>
        </is>
      </c>
      <c r="P525" t="inlineStr">
        <is>
          <t>82EL101B-2KQ02-E04 LUMINARIA</t>
        </is>
      </c>
      <c r="Q525" t="n">
        <v>18</v>
      </c>
      <c r="R525" t="inlineStr">
        <is>
          <t>DPRO</t>
        </is>
      </c>
      <c r="S525" t="inlineStr">
        <is>
          <t>Z12</t>
        </is>
      </c>
      <c r="T525" s="20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F526" s="20" t="n">
        <v>46316</v>
      </c>
      <c r="G526" t="n">
        <v>6</v>
      </c>
      <c r="H526" t="n">
        <v>3</v>
      </c>
      <c r="J526" t="n">
        <v>4350656</v>
      </c>
      <c r="K526" t="n">
        <v>160</v>
      </c>
      <c r="L526" t="inlineStr">
        <is>
          <t>CON</t>
        </is>
      </c>
      <c r="M526" t="inlineStr">
        <is>
          <t>IRATA - 82EL101B-2JQ07-E01</t>
        </is>
      </c>
      <c r="N526" t="inlineStr">
        <is>
          <t>Luminária com 75% de led  em operação</t>
        </is>
      </c>
      <c r="O526" t="inlineStr">
        <is>
          <t>PERGC-FEIN-LUM-01-07-13-59</t>
        </is>
      </c>
      <c r="P526" t="inlineStr">
        <is>
          <t>82EL101B-2KQ02-E04 LUMINARIA</t>
        </is>
      </c>
      <c r="Q526" t="n">
        <v>18</v>
      </c>
      <c r="R526" t="inlineStr">
        <is>
          <t>DPRO</t>
        </is>
      </c>
      <c r="S526" t="inlineStr">
        <is>
          <t>Z12</t>
        </is>
      </c>
      <c r="T526" s="20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F527" s="20" t="n">
        <v>46317</v>
      </c>
      <c r="G527" t="n">
        <v>6</v>
      </c>
      <c r="H527" t="n">
        <v>3</v>
      </c>
      <c r="J527" t="n">
        <v>4350656</v>
      </c>
      <c r="K527" t="n">
        <v>170</v>
      </c>
      <c r="L527" t="inlineStr">
        <is>
          <t>CON</t>
        </is>
      </c>
      <c r="M527" t="inlineStr">
        <is>
          <t>IRATA - 82EL101B-2JQ07-E05</t>
        </is>
      </c>
      <c r="N527" t="inlineStr">
        <is>
          <t>Luminária com 75% de led  em operação</t>
        </is>
      </c>
      <c r="O527" t="inlineStr">
        <is>
          <t>PERGC-FEIN-LUM-01-07-13-59</t>
        </is>
      </c>
      <c r="P527" t="inlineStr">
        <is>
          <t>82EL101B-2KQ02-E04 LUMINARIA</t>
        </is>
      </c>
      <c r="Q527" t="n">
        <v>18</v>
      </c>
      <c r="R527" t="inlineStr">
        <is>
          <t>DPRO</t>
        </is>
      </c>
      <c r="S527" t="inlineStr">
        <is>
          <t>Z12</t>
        </is>
      </c>
      <c r="T527" s="20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F528" s="20" t="n">
        <v>46318</v>
      </c>
      <c r="G528" t="n">
        <v>6</v>
      </c>
      <c r="H528" t="n">
        <v>3</v>
      </c>
      <c r="J528" t="n">
        <v>4350656</v>
      </c>
      <c r="K528" t="n">
        <v>180</v>
      </c>
      <c r="L528" t="inlineStr">
        <is>
          <t>CON</t>
        </is>
      </c>
      <c r="M528" t="inlineStr">
        <is>
          <t>IRATA - 82EL101B-2JQ06-E03</t>
        </is>
      </c>
      <c r="N528" t="inlineStr">
        <is>
          <t>Luminária com 75% de led  em operação</t>
        </is>
      </c>
      <c r="O528" t="inlineStr">
        <is>
          <t>PERGC-FEIN-LUM-01-07-13-59</t>
        </is>
      </c>
      <c r="P528" t="inlineStr">
        <is>
          <t>82EL101B-2KQ02-E04 LUMINARIA</t>
        </is>
      </c>
      <c r="Q528" t="n">
        <v>18</v>
      </c>
      <c r="R528" t="inlineStr">
        <is>
          <t>DPRO</t>
        </is>
      </c>
      <c r="S528" t="inlineStr">
        <is>
          <t>Z12</t>
        </is>
      </c>
      <c r="T528" s="20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F529" s="20" t="n">
        <v>46319</v>
      </c>
      <c r="G529" t="n">
        <v>6</v>
      </c>
      <c r="H529" t="n">
        <v>3</v>
      </c>
      <c r="J529" t="n">
        <v>4350656</v>
      </c>
      <c r="K529" t="n">
        <v>190</v>
      </c>
      <c r="L529" t="inlineStr">
        <is>
          <t>CON</t>
        </is>
      </c>
      <c r="M529" t="inlineStr">
        <is>
          <t>IRATA - 82EL101-2JQ07-E09</t>
        </is>
      </c>
      <c r="N529" t="inlineStr">
        <is>
          <t>Luminária com 75% de led  em operação</t>
        </is>
      </c>
      <c r="O529" t="inlineStr">
        <is>
          <t>PERGC-FEIN-LUM-01-07-13-59</t>
        </is>
      </c>
      <c r="P529" t="inlineStr">
        <is>
          <t>82EL101B-2KQ02-E04 LUMINARIA</t>
        </is>
      </c>
      <c r="Q529" t="n">
        <v>18</v>
      </c>
      <c r="R529" t="inlineStr">
        <is>
          <t>DPRO</t>
        </is>
      </c>
      <c r="S529" t="inlineStr">
        <is>
          <t>Z12</t>
        </is>
      </c>
      <c r="T529" s="20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F530" s="20" t="n">
        <v>46320</v>
      </c>
      <c r="G530" t="n">
        <v>6</v>
      </c>
      <c r="H530" t="n">
        <v>3</v>
      </c>
      <c r="J530" t="n">
        <v>4350656</v>
      </c>
      <c r="K530" t="n">
        <v>200</v>
      </c>
      <c r="L530" t="inlineStr">
        <is>
          <t>CON</t>
        </is>
      </c>
      <c r="M530" t="inlineStr">
        <is>
          <t>IRATA - 82EL101B-2KQ02-E04</t>
        </is>
      </c>
      <c r="N530" t="inlineStr">
        <is>
          <t>Luminária com 75% de led  em operação</t>
        </is>
      </c>
      <c r="O530" t="inlineStr">
        <is>
          <t>PERGC-FEIN-LUM-01-07-13-59</t>
        </is>
      </c>
      <c r="P530" t="inlineStr">
        <is>
          <t>82EL101B-2KQ02-E04 LUMINARIA</t>
        </is>
      </c>
      <c r="Q530" t="n">
        <v>18</v>
      </c>
      <c r="R530" t="inlineStr">
        <is>
          <t>DPRO</t>
        </is>
      </c>
      <c r="S530" t="inlineStr">
        <is>
          <t>Z12</t>
        </is>
      </c>
      <c r="T530" s="20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F531" s="20" t="n">
        <v>46322</v>
      </c>
      <c r="G531" t="n">
        <v>6</v>
      </c>
      <c r="H531" t="n">
        <v>3</v>
      </c>
      <c r="J531" t="n">
        <v>4341488</v>
      </c>
      <c r="K531" t="n">
        <v>10</v>
      </c>
      <c r="L531" t="inlineStr">
        <is>
          <t>ELE</t>
        </is>
      </c>
      <c r="M531" t="inlineStr">
        <is>
          <t>Trocar refletor 82EL101B-2KQ05-E05</t>
        </is>
      </c>
      <c r="N531" t="inlineStr">
        <is>
          <t>Refletor de 4leds com um 1led apagado.</t>
        </is>
      </c>
      <c r="O531" t="inlineStr">
        <is>
          <t>PERGC-FEIN-LUM-01-07-13-88</t>
        </is>
      </c>
      <c r="P531" t="inlineStr">
        <is>
          <t>82EL101B-2KQ05-E08 FLOODLIGHT ZONE 1</t>
        </is>
      </c>
      <c r="Q531" t="n">
        <v>0</v>
      </c>
      <c r="R531" t="inlineStr">
        <is>
          <t>AMAT</t>
        </is>
      </c>
      <c r="S531" t="inlineStr">
        <is>
          <t>Z12</t>
        </is>
      </c>
      <c r="T531" s="20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F532" s="20" t="n">
        <v>46322</v>
      </c>
      <c r="G532" t="n">
        <v>6</v>
      </c>
      <c r="H532" t="n">
        <v>3</v>
      </c>
      <c r="J532" t="n">
        <v>4341488</v>
      </c>
      <c r="K532" t="n">
        <v>20</v>
      </c>
      <c r="L532" t="inlineStr">
        <is>
          <t>ELE</t>
        </is>
      </c>
      <c r="M532" t="inlineStr">
        <is>
          <t>Trocar refletor 82EL101B-2KQ05-E08</t>
        </is>
      </c>
      <c r="N532" t="inlineStr">
        <is>
          <t>Refletor de 4leds com um 1led apagado.</t>
        </is>
      </c>
      <c r="O532" t="inlineStr">
        <is>
          <t>PERGC-FEIN-LUM-01-07-13-88</t>
        </is>
      </c>
      <c r="P532" t="inlineStr">
        <is>
          <t>82EL101B-2KQ05-E08 FLOODLIGHT ZONE 1</t>
        </is>
      </c>
      <c r="Q532" t="n">
        <v>0</v>
      </c>
      <c r="R532" t="inlineStr">
        <is>
          <t>AMAT</t>
        </is>
      </c>
      <c r="S532" t="inlineStr">
        <is>
          <t>Z12</t>
        </is>
      </c>
      <c r="T532" s="20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F533" s="20" t="n">
        <v>46322</v>
      </c>
      <c r="G533" t="n">
        <v>6</v>
      </c>
      <c r="H533" t="n">
        <v>3</v>
      </c>
      <c r="J533" t="n">
        <v>4341488</v>
      </c>
      <c r="K533" t="n">
        <v>30</v>
      </c>
      <c r="L533" t="inlineStr">
        <is>
          <t>CON</t>
        </is>
      </c>
      <c r="M533" t="inlineStr">
        <is>
          <t>Trocar refletor IRATA</t>
        </is>
      </c>
      <c r="N533" t="inlineStr">
        <is>
          <t>Refletor de 4leds com um 1led apagado.</t>
        </is>
      </c>
      <c r="O533" t="inlineStr">
        <is>
          <t>PERGC-FEIN-LUM-01-07-13-88</t>
        </is>
      </c>
      <c r="P533" t="inlineStr">
        <is>
          <t>82EL101B-2KQ05-E08 FLOODLIGHT ZONE 1</t>
        </is>
      </c>
      <c r="Q533" t="n">
        <v>0</v>
      </c>
      <c r="R533" t="inlineStr">
        <is>
          <t>AMAT</t>
        </is>
      </c>
      <c r="S533" t="inlineStr">
        <is>
          <t>Z12</t>
        </is>
      </c>
      <c r="T533" s="20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F534" s="20" t="n">
        <v>46311</v>
      </c>
      <c r="G534" t="n">
        <v>6</v>
      </c>
      <c r="H534" t="n">
        <v>3</v>
      </c>
      <c r="J534" t="n">
        <v>4288164</v>
      </c>
      <c r="K534" t="n">
        <v>10</v>
      </c>
      <c r="L534" t="inlineStr">
        <is>
          <t>AUT</t>
        </is>
      </c>
      <c r="M534" t="inlineStr">
        <is>
          <t>Inspeção no equipamento.</t>
        </is>
      </c>
      <c r="N534" t="inlineStr">
        <is>
          <t>77FY5514 Pressure Ctrl Damper C/ avaria</t>
        </is>
      </c>
      <c r="O534" t="inlineStr">
        <is>
          <t>PERGC-FSAR</t>
        </is>
      </c>
      <c r="P534" t="inlineStr">
        <is>
          <t>SISTEMA CONDICIONAMENTO AR</t>
        </is>
      </c>
      <c r="Q534" t="n">
        <v>4</v>
      </c>
      <c r="R534" t="inlineStr">
        <is>
          <t>DPRO</t>
        </is>
      </c>
      <c r="S534" t="inlineStr">
        <is>
          <t>Z12</t>
        </is>
      </c>
      <c r="T534" s="20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F535" s="20" t="n">
        <v>46312</v>
      </c>
      <c r="G535" t="n">
        <v>6</v>
      </c>
      <c r="H535" t="n">
        <v>2</v>
      </c>
      <c r="J535" t="n">
        <v>4393385</v>
      </c>
      <c r="K535" t="n">
        <v>10</v>
      </c>
      <c r="L535" t="inlineStr">
        <is>
          <t>MEC</t>
        </is>
      </c>
      <c r="M535" t="inlineStr">
        <is>
          <t>Revisão do motor 50PS001B-M01 SWLP</t>
        </is>
      </c>
      <c r="N535" t="inlineStr">
        <is>
          <t>PRED_VIB - ROLAMENTO - SET26 SWLP</t>
        </is>
      </c>
      <c r="O535" t="inlineStr">
        <is>
          <t>PERGC-FSCA-MBB-10-04</t>
        </is>
      </c>
      <c r="P535" t="inlineStr">
        <is>
          <t>50PS001B-M01 MOTOR ELETRICO</t>
        </is>
      </c>
      <c r="Q535" t="n">
        <v>12</v>
      </c>
      <c r="R535" t="inlineStr">
        <is>
          <t>DPRO</t>
        </is>
      </c>
      <c r="S535" t="inlineStr">
        <is>
          <t>Z12</t>
        </is>
      </c>
      <c r="T535" s="20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F536" s="20" t="n">
        <v>46313</v>
      </c>
      <c r="G536" t="n">
        <v>4</v>
      </c>
      <c r="H536" t="n">
        <v>2</v>
      </c>
      <c r="J536" t="n">
        <v>4350893</v>
      </c>
      <c r="K536" t="n">
        <v>10</v>
      </c>
      <c r="L536" t="inlineStr">
        <is>
          <t>MEC</t>
        </is>
      </c>
      <c r="M536" t="inlineStr">
        <is>
          <t>Trocar óleo 71PI001A-X01</t>
        </is>
      </c>
      <c r="N536" t="inlineStr">
        <is>
          <t>PRED_OLEO - 2600031117 - Crítico</t>
        </is>
      </c>
      <c r="O536" t="inlineStr">
        <is>
          <t>PERGC-FSCI-MBB-01-13-01</t>
        </is>
      </c>
      <c r="P536" t="inlineStr">
        <is>
          <t>71PI001A-X01 GEARBOX</t>
        </is>
      </c>
      <c r="Q536" t="n">
        <v>6</v>
      </c>
      <c r="R536" t="inlineStr">
        <is>
          <t>DPRO</t>
        </is>
      </c>
      <c r="S536" t="inlineStr">
        <is>
          <t>Z10</t>
        </is>
      </c>
      <c r="T536" s="20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F537" s="20" t="n">
        <v>46314</v>
      </c>
      <c r="G537" t="n">
        <v>4</v>
      </c>
      <c r="H537" t="n">
        <v>2</v>
      </c>
      <c r="J537" t="n">
        <v>4351343</v>
      </c>
      <c r="K537" t="n">
        <v>10</v>
      </c>
      <c r="L537" t="inlineStr">
        <is>
          <t>MEC</t>
        </is>
      </c>
      <c r="M537" t="inlineStr">
        <is>
          <t>Inspecionar radiador 71PI001A-X01</t>
        </is>
      </c>
      <c r="N537" t="inlineStr">
        <is>
          <t>PRED_OLEO - 2600031035 - Anormal</t>
        </is>
      </c>
      <c r="O537" t="inlineStr">
        <is>
          <t>PERGC-FSCI-MBB-01-13-01</t>
        </is>
      </c>
      <c r="P537" t="inlineStr">
        <is>
          <t>71PI001A-X01 GEARBOX</t>
        </is>
      </c>
      <c r="Q537" t="n">
        <v>6</v>
      </c>
      <c r="R537" t="inlineStr">
        <is>
          <t>DPRO</t>
        </is>
      </c>
      <c r="S537" t="inlineStr">
        <is>
          <t>Z10</t>
        </is>
      </c>
      <c r="T537" s="20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F538" s="20" t="n">
        <v>46317</v>
      </c>
      <c r="G538" t="n">
        <v>4</v>
      </c>
      <c r="H538" t="n">
        <v>2</v>
      </c>
      <c r="J538" t="n">
        <v>4351346</v>
      </c>
      <c r="K538" t="n">
        <v>10</v>
      </c>
      <c r="L538" t="inlineStr">
        <is>
          <t>MEC</t>
        </is>
      </c>
      <c r="M538" t="inlineStr">
        <is>
          <t>Inspecionar trocador de calor 71PI001A-X</t>
        </is>
      </c>
      <c r="N538" t="inlineStr">
        <is>
          <t>PRED_OLEO - 2600031106 - Crítico</t>
        </is>
      </c>
      <c r="O538" t="inlineStr">
        <is>
          <t>PERGC-FSCI-MBB-01-13-01</t>
        </is>
      </c>
      <c r="P538" t="inlineStr">
        <is>
          <t>71PI001A-X01 GEARBOX</t>
        </is>
      </c>
      <c r="Q538" t="n">
        <v>6</v>
      </c>
      <c r="R538" t="inlineStr">
        <is>
          <t>DPRO</t>
        </is>
      </c>
      <c r="S538" t="inlineStr">
        <is>
          <t>Z10</t>
        </is>
      </c>
      <c r="T538" s="20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F539" s="20" t="n">
        <v>46317</v>
      </c>
      <c r="G539" t="n">
        <v>4</v>
      </c>
      <c r="H539" t="n">
        <v>2</v>
      </c>
      <c r="J539" t="n">
        <v>4351345</v>
      </c>
      <c r="K539" t="n">
        <v>10</v>
      </c>
      <c r="L539" t="inlineStr">
        <is>
          <t>MEC</t>
        </is>
      </c>
      <c r="M539" t="inlineStr">
        <is>
          <t>Inspecionar radiador 84EG001-D01</t>
        </is>
      </c>
      <c r="N539" t="inlineStr">
        <is>
          <t>PRED_OLEO - 2600031126 - Anormal</t>
        </is>
      </c>
      <c r="O539" t="inlineStr">
        <is>
          <t>PERGC-FSGE-MGE-01-07-01</t>
        </is>
      </c>
      <c r="P539" t="inlineStr">
        <is>
          <t>84EG001-D01 MOTOR DIESEL</t>
        </is>
      </c>
      <c r="Q539" t="n">
        <v>6</v>
      </c>
      <c r="R539" t="inlineStr">
        <is>
          <t>DPRO</t>
        </is>
      </c>
      <c r="S539" t="inlineStr">
        <is>
          <t>Z10</t>
        </is>
      </c>
      <c r="T539" s="20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F540" s="20" t="n">
        <v>46321</v>
      </c>
      <c r="G540" t="n">
        <v>4</v>
      </c>
      <c r="H540" t="n">
        <v>2</v>
      </c>
      <c r="J540" t="n">
        <v>4281996</v>
      </c>
      <c r="K540" t="n">
        <v>10</v>
      </c>
      <c r="L540" t="inlineStr">
        <is>
          <t>POMMEC</t>
        </is>
      </c>
      <c r="M540" t="inlineStr">
        <is>
          <t>Troca pendente guincho guind Leste</t>
        </is>
      </c>
      <c r="N540" t="inlineStr">
        <is>
          <t>Troca pendente guincho guind Leste</t>
        </is>
      </c>
      <c r="O540" t="inlineStr">
        <is>
          <t>PERGC-FSMC-GUI-01-01</t>
        </is>
      </c>
      <c r="P540" t="inlineStr">
        <is>
          <t>73MA001 GUINDASTE (CRANE) - EAST</t>
        </is>
      </c>
      <c r="Q540" t="n">
        <v>0</v>
      </c>
      <c r="R540" t="inlineStr">
        <is>
          <t>AMAT</t>
        </is>
      </c>
      <c r="S540" t="inlineStr">
        <is>
          <t>Z12</t>
        </is>
      </c>
      <c r="T540" s="20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F541" s="20" t="n">
        <v>46319</v>
      </c>
      <c r="G541" t="n">
        <v>4</v>
      </c>
      <c r="H541" t="n">
        <v>2</v>
      </c>
      <c r="J541" t="n">
        <v>4350071</v>
      </c>
      <c r="K541" t="n">
        <v>10</v>
      </c>
      <c r="L541" t="inlineStr">
        <is>
          <t>AUT</t>
        </is>
      </c>
      <c r="M541" t="inlineStr">
        <is>
          <t>Inspeção na câmera danificada</t>
        </is>
      </c>
      <c r="N541" t="inlineStr">
        <is>
          <t>Camera Visible/Thermal com avaria</t>
        </is>
      </c>
      <c r="O541" t="inlineStr">
        <is>
          <t>PERGC-FSTI-CTV-07-07</t>
        </is>
      </c>
      <c r="P541" t="inlineStr">
        <is>
          <t>86RCN1004 CAM ST Z1 VIS/THER PTZ</t>
        </is>
      </c>
      <c r="Q541" t="n">
        <v>5</v>
      </c>
      <c r="R541" t="inlineStr">
        <is>
          <t>DPRO</t>
        </is>
      </c>
      <c r="S541" t="inlineStr">
        <is>
          <t>Z07</t>
        </is>
      </c>
      <c r="T541" s="20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F542" s="20" t="n">
        <v>46319</v>
      </c>
      <c r="G542" t="n">
        <v>4</v>
      </c>
      <c r="H542" t="n">
        <v>1</v>
      </c>
      <c r="J542" t="n">
        <v>4360811</v>
      </c>
      <c r="K542" t="n">
        <v>10</v>
      </c>
      <c r="L542" t="inlineStr">
        <is>
          <t>INS</t>
        </is>
      </c>
      <c r="M542" t="inlineStr">
        <is>
          <t>Troubleshooting 85FSL0001</t>
        </is>
      </c>
      <c r="N542" t="inlineStr">
        <is>
          <t>Troubleshooting 85FSL0001</t>
        </is>
      </c>
      <c r="O542" t="inlineStr">
        <is>
          <t>PERGC-FSVE-VEN-01-01-07-19-01</t>
        </is>
      </c>
      <c r="P542" t="inlineStr">
        <is>
          <t>85FSL0001 CHAVE VAZAO BAIXA</t>
        </is>
      </c>
      <c r="Q542" t="n">
        <v>6</v>
      </c>
      <c r="R542" t="inlineStr">
        <is>
          <t>DPRO</t>
        </is>
      </c>
      <c r="S542" t="inlineStr">
        <is>
          <t>Z12</t>
        </is>
      </c>
      <c r="T542" s="20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F543" s="20" t="n">
        <v>46312</v>
      </c>
      <c r="G543" t="n">
        <v>6</v>
      </c>
      <c r="H543" t="n">
        <v>3</v>
      </c>
      <c r="J543" t="n">
        <v>4291494</v>
      </c>
      <c r="K543" t="n">
        <v>20</v>
      </c>
      <c r="L543" t="inlineStr">
        <is>
          <t>POMPRO</t>
        </is>
      </c>
      <c r="M543" t="inlineStr">
        <is>
          <t>Troca do selo 15PH005B</t>
        </is>
      </c>
      <c r="N543" t="inlineStr">
        <is>
          <t>Troca do selo 15PH005B</t>
        </is>
      </c>
      <c r="O543" t="inlineStr">
        <is>
          <t>PERGC-PDAC-DRE-04-01-13-01</t>
        </is>
      </c>
      <c r="P543" t="inlineStr">
        <is>
          <t>15PH005B BOMBA DRENAGEM</t>
        </is>
      </c>
      <c r="Q543" t="n">
        <v>9</v>
      </c>
      <c r="R543" t="inlineStr">
        <is>
          <t>DPRO</t>
        </is>
      </c>
      <c r="S543" t="inlineStr">
        <is>
          <t>Z12</t>
        </is>
      </c>
      <c r="T543" s="20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F544" s="20" t="n">
        <v>46313</v>
      </c>
      <c r="G544" t="n">
        <v>6</v>
      </c>
      <c r="H544" t="n">
        <v>3</v>
      </c>
      <c r="J544" t="n">
        <v>4284799</v>
      </c>
      <c r="K544" t="n">
        <v>10</v>
      </c>
      <c r="L544" t="inlineStr">
        <is>
          <t>AUT</t>
        </is>
      </c>
      <c r="M544" t="inlineStr">
        <is>
          <t>Realização do troubleshooting 87JX003/04</t>
        </is>
      </c>
      <c r="N544" t="inlineStr">
        <is>
          <t>Troubleshooting nos paineis 87JX003 e 87</t>
        </is>
      </c>
      <c r="O544" t="inlineStr">
        <is>
          <t>PERGC-PSSC</t>
        </is>
      </c>
      <c r="P544" t="inlineStr">
        <is>
          <t>SISTEMA AUTOMACAO INDUSTRIAL</t>
        </is>
      </c>
      <c r="Q544" t="n">
        <v>8</v>
      </c>
      <c r="R544" t="inlineStr">
        <is>
          <t>VEND</t>
        </is>
      </c>
      <c r="S544" t="inlineStr">
        <is>
          <t>Z12</t>
        </is>
      </c>
      <c r="T544" s="20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F545" s="20" t="n">
        <v>46311</v>
      </c>
      <c r="G545" t="n">
        <v>5</v>
      </c>
      <c r="H545" t="n">
        <v>3</v>
      </c>
      <c r="I545" s="20" t="n">
        <v>46310</v>
      </c>
      <c r="J545" t="n">
        <v>4386394</v>
      </c>
      <c r="K545" t="n">
        <v>10</v>
      </c>
      <c r="L545" t="inlineStr">
        <is>
          <t>MEC</t>
        </is>
      </c>
      <c r="M545" t="inlineStr">
        <is>
          <t>LUBR MOTOR COMPR REFRIG PSE-1550 OPM 6M</t>
        </is>
      </c>
      <c r="N545" t="inlineStr">
        <is>
          <t>PSE-1550 LUBR MEC MOTOR COMPR REFRIG</t>
        </is>
      </c>
      <c r="O545" t="inlineStr">
        <is>
          <t>PERGC-FSAL-COZ-01-01</t>
        </is>
      </c>
      <c r="P545" t="inlineStr">
        <is>
          <t>COZINHA</t>
        </is>
      </c>
      <c r="Q545" t="n">
        <v>2</v>
      </c>
      <c r="R545" t="inlineStr">
        <is>
          <t>PLANO</t>
        </is>
      </c>
      <c r="S545" t="inlineStr">
        <is>
          <t>Z10</t>
        </is>
      </c>
      <c r="T545" s="20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F546" s="20" t="n">
        <v>46313</v>
      </c>
      <c r="G546" t="n">
        <v>5</v>
      </c>
      <c r="H546" t="n">
        <v>3</v>
      </c>
      <c r="J546" t="n">
        <v>4394521</v>
      </c>
      <c r="K546" t="n">
        <v>10</v>
      </c>
      <c r="L546" t="inlineStr">
        <is>
          <t>PIN</t>
        </is>
      </c>
      <c r="M546" t="inlineStr">
        <is>
          <t>CORROSÃO FLANGE 13PIT0508 WH DECK</t>
        </is>
      </c>
      <c r="N546" t="inlineStr">
        <is>
          <t>CORROSÃO FLANGE 13PIT0508 WH DECK</t>
        </is>
      </c>
      <c r="O546" t="inlineStr">
        <is>
          <t>PERGC</t>
        </is>
      </c>
      <c r="Q546" t="n">
        <v>12</v>
      </c>
      <c r="R546" t="inlineStr">
        <is>
          <t>PROG</t>
        </is>
      </c>
      <c r="S546" t="inlineStr">
        <is>
          <t>Z13</t>
        </is>
      </c>
      <c r="T546" s="20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F547" s="20" t="n">
        <v>46314</v>
      </c>
      <c r="G547" t="n">
        <v>5</v>
      </c>
      <c r="H547" t="n">
        <v>3</v>
      </c>
      <c r="J547" t="n">
        <v>4394519</v>
      </c>
      <c r="K547" t="n">
        <v>10</v>
      </c>
      <c r="L547" t="inlineStr">
        <is>
          <t>PIN</t>
        </is>
      </c>
      <c r="M547" t="inlineStr">
        <is>
          <t>CORROSÃO VÁLV.AR L600 RECEPÇÃO</t>
        </is>
      </c>
      <c r="N547" t="inlineStr">
        <is>
          <t>CORROSÃO VÁLV.AR L600 RECEPÇÃO</t>
        </is>
      </c>
      <c r="O547" t="inlineStr">
        <is>
          <t>PERGC-FSAC-VAL</t>
        </is>
      </c>
      <c r="Q547" t="n">
        <v>12</v>
      </c>
      <c r="R547" t="inlineStr">
        <is>
          <t>PROG</t>
        </is>
      </c>
      <c r="S547" t="inlineStr">
        <is>
          <t>Z13</t>
        </is>
      </c>
      <c r="T547" s="20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F548" s="20" t="n">
        <v>46322</v>
      </c>
      <c r="G548" t="n">
        <v>5</v>
      </c>
      <c r="H548" t="n">
        <v>3</v>
      </c>
      <c r="I548" s="20" t="n">
        <v>46301</v>
      </c>
      <c r="J548" t="n">
        <v>4395545</v>
      </c>
      <c r="K548" t="n">
        <v>10</v>
      </c>
      <c r="L548" t="inlineStr">
        <is>
          <t>MEC</t>
        </is>
      </c>
      <c r="M548" t="inlineStr">
        <is>
          <t>PSE-1527 MANUT PRV MEC AR COND</t>
        </is>
      </c>
      <c r="N548" t="inlineStr">
        <is>
          <t>MANUT PRV AR COND PSE-1527 MEC 1M</t>
        </is>
      </c>
      <c r="O548" t="inlineStr">
        <is>
          <t>PERGC-FSAR-ARC-01-01-01-01</t>
        </is>
      </c>
      <c r="Q548" t="n">
        <v>6</v>
      </c>
      <c r="R548" t="inlineStr">
        <is>
          <t>PROG</t>
        </is>
      </c>
      <c r="S548" t="inlineStr">
        <is>
          <t>Z12</t>
        </is>
      </c>
      <c r="T548" s="20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F549" s="20" t="n">
        <v>46322</v>
      </c>
      <c r="G549" t="n">
        <v>5</v>
      </c>
      <c r="H549" t="n">
        <v>3</v>
      </c>
      <c r="I549" s="20" t="n">
        <v>46322</v>
      </c>
      <c r="J549" t="n">
        <v>4398031</v>
      </c>
      <c r="K549" t="n">
        <v>10</v>
      </c>
      <c r="L549" t="inlineStr">
        <is>
          <t>MEC</t>
        </is>
      </c>
      <c r="M549" t="inlineStr">
        <is>
          <t>PSE-1527 MANUT PRV MEC AR COND</t>
        </is>
      </c>
      <c r="N549" t="inlineStr">
        <is>
          <t>MANUT PRV AR COND PSE-1527 MEC 1M</t>
        </is>
      </c>
      <c r="O549" t="inlineStr">
        <is>
          <t>PERGC-FSAR-ARC-16-04-01</t>
        </is>
      </c>
      <c r="Q549" t="n">
        <v>6</v>
      </c>
      <c r="R549" t="inlineStr">
        <is>
          <t>PROG</t>
        </is>
      </c>
      <c r="S549" t="inlineStr">
        <is>
          <t>Z12</t>
        </is>
      </c>
      <c r="T549" s="20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ENCERRADA</t>
        </is>
      </c>
      <c r="F550" s="20" t="n">
        <v>46315</v>
      </c>
      <c r="G550" t="n">
        <v>5</v>
      </c>
      <c r="H550" t="n">
        <v>3</v>
      </c>
      <c r="J550" t="n">
        <v>4394525</v>
      </c>
      <c r="K550" t="n">
        <v>10</v>
      </c>
      <c r="L550" t="inlineStr">
        <is>
          <t>PIN</t>
        </is>
      </c>
      <c r="M550" t="inlineStr">
        <is>
          <t>CORROSÃO CONT.CILINDROS GER.EMERG</t>
        </is>
      </c>
      <c r="N550" t="inlineStr">
        <is>
          <t>CORROSÃO CONT.CILINDROS GER.EMERG</t>
        </is>
      </c>
      <c r="O550" t="inlineStr">
        <is>
          <t>PERGC-FSGE-MGE</t>
        </is>
      </c>
      <c r="Q550" t="n">
        <v>26</v>
      </c>
      <c r="R550" t="inlineStr">
        <is>
          <t>PROG</t>
        </is>
      </c>
      <c r="S550" t="inlineStr">
        <is>
          <t>Z13</t>
        </is>
      </c>
      <c r="T550" s="20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F551" s="20" t="n">
        <v>46312</v>
      </c>
      <c r="G551" t="n">
        <v>5</v>
      </c>
      <c r="H551" t="n">
        <v>3</v>
      </c>
      <c r="I551" s="20" t="n">
        <v>46302</v>
      </c>
      <c r="J551" t="n">
        <v>4397548</v>
      </c>
      <c r="K551" t="n">
        <v>10</v>
      </c>
      <c r="L551" t="inlineStr">
        <is>
          <t>MEC</t>
        </is>
      </c>
      <c r="M551" t="inlineStr">
        <is>
          <t>INS-1519 INSP MEC MOTOR DIESEL</t>
        </is>
      </c>
      <c r="N551" t="inlineStr">
        <is>
          <t>INSP MOTOR DIESEL INS-1519 EMN 1M</t>
        </is>
      </c>
      <c r="O551" t="inlineStr">
        <is>
          <t>PERGC-FSGE-MGE-01-07-01</t>
        </is>
      </c>
      <c r="Q551" t="n">
        <v>2</v>
      </c>
      <c r="R551" t="inlineStr">
        <is>
          <t>PLANO</t>
        </is>
      </c>
      <c r="S551" t="inlineStr">
        <is>
          <t>Z09</t>
        </is>
      </c>
      <c r="T551" s="20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F552" s="20" t="n">
        <v>46312</v>
      </c>
      <c r="G552" t="n">
        <v>5</v>
      </c>
      <c r="H552" t="n">
        <v>3</v>
      </c>
      <c r="I552" s="20" t="n">
        <v>46302</v>
      </c>
      <c r="J552" t="n">
        <v>4397549</v>
      </c>
      <c r="K552" t="n">
        <v>10</v>
      </c>
      <c r="L552" t="inlineStr">
        <is>
          <t>MEC</t>
        </is>
      </c>
      <c r="M552" t="inlineStr">
        <is>
          <t>PSE-1524 MANUT MEC MOTOR DIESEL</t>
        </is>
      </c>
      <c r="N552" t="inlineStr">
        <is>
          <t>MANUT MOTOR DIESEL PSE-1524 MEC 6M</t>
        </is>
      </c>
      <c r="O552" t="inlineStr">
        <is>
          <t>PERGC-FSGE-MGE-01-07-01</t>
        </is>
      </c>
      <c r="Q552" t="n">
        <v>36</v>
      </c>
      <c r="R552" t="inlineStr">
        <is>
          <t>PLANO</t>
        </is>
      </c>
      <c r="S552" t="inlineStr">
        <is>
          <t>Z12</t>
        </is>
      </c>
      <c r="T552" s="20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F553" s="20" t="n">
        <v>46312</v>
      </c>
      <c r="G553" t="n">
        <v>5</v>
      </c>
      <c r="H553" t="n">
        <v>3</v>
      </c>
      <c r="I553" s="20" t="n">
        <v>46319</v>
      </c>
      <c r="J553" t="n">
        <v>4398030</v>
      </c>
      <c r="K553" t="n">
        <v>10</v>
      </c>
      <c r="L553" t="inlineStr">
        <is>
          <t>ELE</t>
        </is>
      </c>
      <c r="M553" t="inlineStr">
        <is>
          <t>INS-1200 INSP ELE MOTOR ALTA TENSAO</t>
        </is>
      </c>
      <c r="N553" t="inlineStr">
        <is>
          <t>INSP MOTOR ALTA TENSAO INS-1200 ELE 6M</t>
        </is>
      </c>
      <c r="O553" t="inlineStr">
        <is>
          <t>PERGC-FSGP-GTG-04-07-01</t>
        </is>
      </c>
      <c r="Q553" t="n">
        <v>8</v>
      </c>
      <c r="R553" t="inlineStr">
        <is>
          <t>PLANO</t>
        </is>
      </c>
      <c r="S553" t="inlineStr">
        <is>
          <t>Z09</t>
        </is>
      </c>
      <c r="T553" s="20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F554" s="20" t="n">
        <v>46318</v>
      </c>
      <c r="G554" t="n">
        <v>5</v>
      </c>
      <c r="H554" t="n">
        <v>3</v>
      </c>
      <c r="J554" t="n">
        <v>4389531</v>
      </c>
      <c r="K554" t="n">
        <v>10</v>
      </c>
      <c r="L554" t="inlineStr">
        <is>
          <t>PIN</t>
        </is>
      </c>
      <c r="M554" t="inlineStr">
        <is>
          <t>PC RI:0005 REL:0185/26 31/03/2026</t>
        </is>
      </c>
      <c r="N554" t="inlineStr">
        <is>
          <t>PC RI:0005 REL:0185/26 31/03/2026</t>
        </is>
      </c>
      <c r="O554" t="inlineStr">
        <is>
          <t>DRILC-SSSP-RIS</t>
        </is>
      </c>
      <c r="Q554" t="n">
        <v>24</v>
      </c>
      <c r="R554" t="inlineStr">
        <is>
          <t>PROG</t>
        </is>
      </c>
      <c r="S554" t="inlineStr">
        <is>
          <t>Z01</t>
        </is>
      </c>
      <c r="T554" s="20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F555" s="20" t="n">
        <v>46326</v>
      </c>
      <c r="G555" t="n">
        <v>5</v>
      </c>
      <c r="H555" t="n">
        <v>3</v>
      </c>
      <c r="I555" s="20" t="n">
        <v>46302</v>
      </c>
      <c r="J555" t="n">
        <v>4352671</v>
      </c>
      <c r="K555" t="n">
        <v>40</v>
      </c>
      <c r="L555" t="inlineStr">
        <is>
          <t>POMMET</t>
        </is>
      </c>
      <c r="M555" t="inlineStr">
        <is>
          <t>04W RECEIVE IMPLEMENT AND STORE</t>
        </is>
      </c>
      <c r="N555" t="inlineStr">
        <is>
          <t>FLARE GC ANALYZE</t>
        </is>
      </c>
      <c r="O555" t="inlineStr">
        <is>
          <t>1349-SI-0289</t>
        </is>
      </c>
      <c r="Q555" t="n">
        <v>1</v>
      </c>
      <c r="R555" t="inlineStr">
        <is>
          <t>PLANO</t>
        </is>
      </c>
      <c r="S555" t="inlineStr">
        <is>
          <t>Z12</t>
        </is>
      </c>
      <c r="T555" s="20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F556" s="20" t="n">
        <v>46315</v>
      </c>
      <c r="G556" t="n">
        <v>5</v>
      </c>
      <c r="H556" t="n">
        <v>3</v>
      </c>
      <c r="J556" t="n">
        <v>4398317</v>
      </c>
      <c r="K556" t="n">
        <v>10</v>
      </c>
      <c r="L556" t="inlineStr">
        <is>
          <t>MEC</t>
        </is>
      </c>
      <c r="M556" t="inlineStr">
        <is>
          <t>TROCAR  DA BOMBA VERTICAL 15PH004B</t>
        </is>
      </c>
      <c r="N556" t="inlineStr">
        <is>
          <t>TROCAR  DA BOMBA VERTICAL 15PH004B</t>
        </is>
      </c>
      <c r="O556" t="inlineStr">
        <is>
          <t>PERGC-PDAC-DRE-01-01-13-01</t>
        </is>
      </c>
      <c r="Q556" t="n">
        <v>12</v>
      </c>
      <c r="R556" t="inlineStr">
        <is>
          <t>DPRO</t>
        </is>
      </c>
      <c r="S556" t="inlineStr">
        <is>
          <t>Z12</t>
        </is>
      </c>
      <c r="T556" s="20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F557" s="20" t="n">
        <v>46317</v>
      </c>
      <c r="G557" t="n">
        <v>4</v>
      </c>
      <c r="H557" t="n">
        <v>2</v>
      </c>
      <c r="J557" t="n">
        <v>4393249</v>
      </c>
      <c r="K557" t="n">
        <v>10</v>
      </c>
      <c r="L557" t="inlineStr">
        <is>
          <t>MEC</t>
        </is>
      </c>
      <c r="M557" t="inlineStr">
        <is>
          <t>Substituit as 2 shutoff do sys gás</t>
        </is>
      </c>
      <c r="N557" t="inlineStr">
        <is>
          <t>Vazamento de gás pelo vent de Instrument</t>
        </is>
      </c>
      <c r="O557" t="inlineStr">
        <is>
          <t>PERGC-FSGP-GTG-04-01</t>
        </is>
      </c>
      <c r="Q557" t="n">
        <v>30</v>
      </c>
      <c r="R557" t="inlineStr">
        <is>
          <t>DPRO</t>
        </is>
      </c>
      <c r="S557" t="inlineStr">
        <is>
          <t>Z12</t>
        </is>
      </c>
      <c r="T557" s="20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ENCERRADA</t>
        </is>
      </c>
      <c r="F558" s="20" t="n">
        <v>46317</v>
      </c>
      <c r="G558" t="n">
        <v>4</v>
      </c>
      <c r="H558" t="n">
        <v>2</v>
      </c>
      <c r="J558" t="n">
        <v>4393249</v>
      </c>
      <c r="K558" t="n">
        <v>20</v>
      </c>
      <c r="L558" t="inlineStr">
        <is>
          <t>INS</t>
        </is>
      </c>
      <c r="M558" t="inlineStr">
        <is>
          <t>Suporte do time de instrumentação</t>
        </is>
      </c>
      <c r="N558" t="inlineStr">
        <is>
          <t>Vazamento de gás pelo vent de Instrument</t>
        </is>
      </c>
      <c r="O558" t="inlineStr">
        <is>
          <t>PERGC-FSGP-GTG-04-01</t>
        </is>
      </c>
      <c r="Q558" t="n">
        <v>6</v>
      </c>
      <c r="R558" t="inlineStr">
        <is>
          <t>DPRO</t>
        </is>
      </c>
      <c r="S558" t="inlineStr">
        <is>
          <t>Z12</t>
        </is>
      </c>
      <c r="T558" s="20" t="n">
        <v>46402</v>
      </c>
    </row>
  </sheetData>
  <autoFilter ref="A1:U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  <c r="E1" t="inlineStr">
        <is>
          <t>col. Reprogramado →</t>
        </is>
      </c>
      <c r="F1">
        <f>IFERROR(MATCH("Reprogramado",BASELINE!$A$1:$ZZ$1,0),0)</f>
        <v/>
      </c>
      <c r="H1">
        <f>IFERROR(LOOKUP(2,1/(BASELINE!$A$1:$ZZ$1="Ordem"),COLUMN(BASELINE!$A$1:$ZZ$1)),0)</f>
        <v/>
      </c>
      <c r="I1">
        <f>IFERROR(MATCH("Operação",BASELINE!$A$1:$ZZ$1,0),0)</f>
        <v/>
      </c>
      <c r="J1">
        <f>IFERROR(MATCH("Cen.trab.operação",BASELINE!$A$1:$ZZ$1,0),0)</f>
        <v/>
      </c>
      <c r="K1">
        <f>IFERROR(MATCH("Txt.breve operação",BASELINE!$A$1:$ZZ$1,0),0)</f>
        <v/>
      </c>
      <c r="L1">
        <f>IFERROR(MATCH("Texto breve",BASELINE!$A$1:$ZZ$1,0),0)</f>
        <v/>
      </c>
      <c r="M1">
        <f>IFERROR(MATCH("Local de instalação",BASELINE!$A$1:$ZZ$1,0),0)</f>
        <v/>
      </c>
      <c r="N1">
        <f>IFERROR(MATCH("Denominação do LI",BASELINE!$A$1:$ZZ$1,0),0)</f>
        <v/>
      </c>
      <c r="O1">
        <f>IFERROR(MATCH("Trabalho",BASELINE!$A$1:$ZZ$1,0),0)</f>
        <v/>
      </c>
      <c r="P1">
        <f>IFERROR(MATCH("Data Prog.",BASELINE!$A$1:$ZZ$1,0),0)</f>
        <v/>
      </c>
      <c r="Q1">
        <f>IFERROR(MATCH("Comentários",BASELINE!$A$1:$ZZ$1,0),0)</f>
        <v/>
      </c>
      <c r="R1">
        <f>IFERROR(MATCH("Status",BASELINE!$A$1:$ZZ$1,0),0)</f>
        <v/>
      </c>
    </row>
    <row r="2">
      <c r="A2">
        <f>IFERROR(IF(AND(INDEX(BASELINE!$A2:$ZZ2,CALC!$H$1)&lt;&gt;"",INT(IF(AND(CALC!$F$1&gt;0,N(INDEX(BASELINE!$A2:$ZZ2,CALC!$F$1))&gt;0),N(INDEX(BASELINE!$A2:$ZZ2,CALC!$F$1)),N(INDEX(BASELINE!$A2:$ZZ2,CALC!$P$1))))=INT(SIMOPS!$D$3),IFERROR(UPPER(TRIM(INDEX(BASELINE!$A2:$ZZ2,CALC!$R$1)&amp;"")),"")&lt;&gt;"ENCERRADA"),1,0),0)</f>
        <v/>
      </c>
      <c r="B2">
        <f>A2</f>
        <v/>
      </c>
    </row>
    <row r="3">
      <c r="A3">
        <f>IFERROR(IF(AND(INDEX(BASELINE!$A3:$ZZ3,CALC!$H$1)&lt;&gt;"",INT(IF(AND(CALC!$F$1&gt;0,N(INDEX(BASELINE!$A3:$ZZ3,CALC!$F$1))&gt;0),N(INDEX(BASELINE!$A3:$ZZ3,CALC!$F$1)),N(INDEX(BASELINE!$A3:$ZZ3,CALC!$P$1))))=INT(SIMOPS!$D$3),IFERROR(UPPER(TRIM(INDEX(BASELINE!$A3:$ZZ3,CALC!$R$1)&amp;"")),"")&lt;&gt;"ENCERRADA"),1,0),0)</f>
        <v/>
      </c>
      <c r="B3">
        <f>B2+A3</f>
        <v/>
      </c>
    </row>
    <row r="4">
      <c r="A4">
        <f>IFERROR(IF(AND(INDEX(BASELINE!$A4:$ZZ4,CALC!$H$1)&lt;&gt;"",INT(IF(AND(CALC!$F$1&gt;0,N(INDEX(BASELINE!$A4:$ZZ4,CALC!$F$1))&gt;0),N(INDEX(BASELINE!$A4:$ZZ4,CALC!$F$1)),N(INDEX(BASELINE!$A4:$ZZ4,CALC!$P$1))))=INT(SIMOPS!$D$3),IFERROR(UPPER(TRIM(INDEX(BASELINE!$A4:$ZZ4,CALC!$R$1)&amp;"")),"")&lt;&gt;"ENCERRADA"),1,0),0)</f>
        <v/>
      </c>
      <c r="B4">
        <f>B3+A4</f>
        <v/>
      </c>
    </row>
    <row r="5">
      <c r="A5">
        <f>IFERROR(IF(AND(INDEX(BASELINE!$A5:$ZZ5,CALC!$H$1)&lt;&gt;"",INT(IF(AND(CALC!$F$1&gt;0,N(INDEX(BASELINE!$A5:$ZZ5,CALC!$F$1))&gt;0),N(INDEX(BASELINE!$A5:$ZZ5,CALC!$F$1)),N(INDEX(BASELINE!$A5:$ZZ5,CALC!$P$1))))=INT(SIMOPS!$D$3),IFERROR(UPPER(TRIM(INDEX(BASELINE!$A5:$ZZ5,CALC!$R$1)&amp;"")),"")&lt;&gt;"ENCERRADA"),1,0),0)</f>
        <v/>
      </c>
      <c r="B5">
        <f>B4+A5</f>
        <v/>
      </c>
    </row>
    <row r="6">
      <c r="A6">
        <f>IFERROR(IF(AND(INDEX(BASELINE!$A6:$ZZ6,CALC!$H$1)&lt;&gt;"",INT(IF(AND(CALC!$F$1&gt;0,N(INDEX(BASELINE!$A6:$ZZ6,CALC!$F$1))&gt;0),N(INDEX(BASELINE!$A6:$ZZ6,CALC!$F$1)),N(INDEX(BASELINE!$A6:$ZZ6,CALC!$P$1))))=INT(SIMOPS!$D$3),IFERROR(UPPER(TRIM(INDEX(BASELINE!$A6:$ZZ6,CALC!$R$1)&amp;"")),"")&lt;&gt;"ENCERRADA"),1,0),0)</f>
        <v/>
      </c>
      <c r="B6">
        <f>B5+A6</f>
        <v/>
      </c>
    </row>
    <row r="7">
      <c r="A7">
        <f>IFERROR(IF(AND(INDEX(BASELINE!$A7:$ZZ7,CALC!$H$1)&lt;&gt;"",INT(IF(AND(CALC!$F$1&gt;0,N(INDEX(BASELINE!$A7:$ZZ7,CALC!$F$1))&gt;0),N(INDEX(BASELINE!$A7:$ZZ7,CALC!$F$1)),N(INDEX(BASELINE!$A7:$ZZ7,CALC!$P$1))))=INT(SIMOPS!$D$3),IFERROR(UPPER(TRIM(INDEX(BASELINE!$A7:$ZZ7,CALC!$R$1)&amp;"")),"")&lt;&gt;"ENCERRADA"),1,0),0)</f>
        <v/>
      </c>
      <c r="B7">
        <f>B6+A7</f>
        <v/>
      </c>
    </row>
    <row r="8">
      <c r="A8">
        <f>IFERROR(IF(AND(INDEX(BASELINE!$A8:$ZZ8,CALC!$H$1)&lt;&gt;"",INT(IF(AND(CALC!$F$1&gt;0,N(INDEX(BASELINE!$A8:$ZZ8,CALC!$F$1))&gt;0),N(INDEX(BASELINE!$A8:$ZZ8,CALC!$F$1)),N(INDEX(BASELINE!$A8:$ZZ8,CALC!$P$1))))=INT(SIMOPS!$D$3),IFERROR(UPPER(TRIM(INDEX(BASELINE!$A8:$ZZ8,CALC!$R$1)&amp;"")),"")&lt;&gt;"ENCERRADA"),1,0),0)</f>
        <v/>
      </c>
      <c r="B8">
        <f>B7+A8</f>
        <v/>
      </c>
    </row>
    <row r="9">
      <c r="A9">
        <f>IFERROR(IF(AND(INDEX(BASELINE!$A9:$ZZ9,CALC!$H$1)&lt;&gt;"",INT(IF(AND(CALC!$F$1&gt;0,N(INDEX(BASELINE!$A9:$ZZ9,CALC!$F$1))&gt;0),N(INDEX(BASELINE!$A9:$ZZ9,CALC!$F$1)),N(INDEX(BASELINE!$A9:$ZZ9,CALC!$P$1))))=INT(SIMOPS!$D$3),IFERROR(UPPER(TRIM(INDEX(BASELINE!$A9:$ZZ9,CALC!$R$1)&amp;"")),"")&lt;&gt;"ENCERRADA"),1,0),0)</f>
        <v/>
      </c>
      <c r="B9">
        <f>B8+A9</f>
        <v/>
      </c>
    </row>
    <row r="10">
      <c r="A10">
        <f>IFERROR(IF(AND(INDEX(BASELINE!$A10:$ZZ10,CALC!$H$1)&lt;&gt;"",INT(IF(AND(CALC!$F$1&gt;0,N(INDEX(BASELINE!$A10:$ZZ10,CALC!$F$1))&gt;0),N(INDEX(BASELINE!$A10:$ZZ10,CALC!$F$1)),N(INDEX(BASELINE!$A10:$ZZ10,CALC!$P$1))))=INT(SIMOPS!$D$3),IFERROR(UPPER(TRIM(INDEX(BASELINE!$A10:$ZZ10,CALC!$R$1)&amp;"")),"")&lt;&gt;"ENCERRADA"),1,0),0)</f>
        <v/>
      </c>
      <c r="B10">
        <f>B9+A10</f>
        <v/>
      </c>
    </row>
    <row r="11">
      <c r="A11">
        <f>IFERROR(IF(AND(INDEX(BASELINE!$A11:$ZZ11,CALC!$H$1)&lt;&gt;"",INT(IF(AND(CALC!$F$1&gt;0,N(INDEX(BASELINE!$A11:$ZZ11,CALC!$F$1))&gt;0),N(INDEX(BASELINE!$A11:$ZZ11,CALC!$F$1)),N(INDEX(BASELINE!$A11:$ZZ11,CALC!$P$1))))=INT(SIMOPS!$D$3),IFERROR(UPPER(TRIM(INDEX(BASELINE!$A11:$ZZ11,CALC!$R$1)&amp;"")),"")&lt;&gt;"ENCERRADA"),1,0),0)</f>
        <v/>
      </c>
      <c r="B11">
        <f>B10+A11</f>
        <v/>
      </c>
    </row>
    <row r="12">
      <c r="A12">
        <f>IFERROR(IF(AND(INDEX(BASELINE!$A12:$ZZ12,CALC!$H$1)&lt;&gt;"",INT(IF(AND(CALC!$F$1&gt;0,N(INDEX(BASELINE!$A12:$ZZ12,CALC!$F$1))&gt;0),N(INDEX(BASELINE!$A12:$ZZ12,CALC!$F$1)),N(INDEX(BASELINE!$A12:$ZZ12,CALC!$P$1))))=INT(SIMOPS!$D$3),IFERROR(UPPER(TRIM(INDEX(BASELINE!$A12:$ZZ12,CALC!$R$1)&amp;"")),"")&lt;&gt;"ENCERRADA"),1,0),0)</f>
        <v/>
      </c>
      <c r="B12">
        <f>B11+A12</f>
        <v/>
      </c>
    </row>
    <row r="13">
      <c r="A13">
        <f>IFERROR(IF(AND(INDEX(BASELINE!$A13:$ZZ13,CALC!$H$1)&lt;&gt;"",INT(IF(AND(CALC!$F$1&gt;0,N(INDEX(BASELINE!$A13:$ZZ13,CALC!$F$1))&gt;0),N(INDEX(BASELINE!$A13:$ZZ13,CALC!$F$1)),N(INDEX(BASELINE!$A13:$ZZ13,CALC!$P$1))))=INT(SIMOPS!$D$3),IFERROR(UPPER(TRIM(INDEX(BASELINE!$A13:$ZZ13,CALC!$R$1)&amp;"")),"")&lt;&gt;"ENCERRADA"),1,0),0)</f>
        <v/>
      </c>
      <c r="B13">
        <f>B12+A13</f>
        <v/>
      </c>
    </row>
    <row r="14">
      <c r="A14">
        <f>IFERROR(IF(AND(INDEX(BASELINE!$A14:$ZZ14,CALC!$H$1)&lt;&gt;"",INT(IF(AND(CALC!$F$1&gt;0,N(INDEX(BASELINE!$A14:$ZZ14,CALC!$F$1))&gt;0),N(INDEX(BASELINE!$A14:$ZZ14,CALC!$F$1)),N(INDEX(BASELINE!$A14:$ZZ14,CALC!$P$1))))=INT(SIMOPS!$D$3),IFERROR(UPPER(TRIM(INDEX(BASELINE!$A14:$ZZ14,CALC!$R$1)&amp;"")),"")&lt;&gt;"ENCERRADA"),1,0),0)</f>
        <v/>
      </c>
      <c r="B14">
        <f>B13+A14</f>
        <v/>
      </c>
    </row>
    <row r="15">
      <c r="A15">
        <f>IFERROR(IF(AND(INDEX(BASELINE!$A15:$ZZ15,CALC!$H$1)&lt;&gt;"",INT(IF(AND(CALC!$F$1&gt;0,N(INDEX(BASELINE!$A15:$ZZ15,CALC!$F$1))&gt;0),N(INDEX(BASELINE!$A15:$ZZ15,CALC!$F$1)),N(INDEX(BASELINE!$A15:$ZZ15,CALC!$P$1))))=INT(SIMOPS!$D$3),IFERROR(UPPER(TRIM(INDEX(BASELINE!$A15:$ZZ15,CALC!$R$1)&amp;"")),"")&lt;&gt;"ENCERRADA"),1,0),0)</f>
        <v/>
      </c>
      <c r="B15">
        <f>B14+A15</f>
        <v/>
      </c>
    </row>
    <row r="16">
      <c r="A16">
        <f>IFERROR(IF(AND(INDEX(BASELINE!$A16:$ZZ16,CALC!$H$1)&lt;&gt;"",INT(IF(AND(CALC!$F$1&gt;0,N(INDEX(BASELINE!$A16:$ZZ16,CALC!$F$1))&gt;0),N(INDEX(BASELINE!$A16:$ZZ16,CALC!$F$1)),N(INDEX(BASELINE!$A16:$ZZ16,CALC!$P$1))))=INT(SIMOPS!$D$3),IFERROR(UPPER(TRIM(INDEX(BASELINE!$A16:$ZZ16,CALC!$R$1)&amp;"")),"")&lt;&gt;"ENCERRADA"),1,0),0)</f>
        <v/>
      </c>
      <c r="B16">
        <f>B15+A16</f>
        <v/>
      </c>
    </row>
    <row r="17">
      <c r="A17">
        <f>IFERROR(IF(AND(INDEX(BASELINE!$A17:$ZZ17,CALC!$H$1)&lt;&gt;"",INT(IF(AND(CALC!$F$1&gt;0,N(INDEX(BASELINE!$A17:$ZZ17,CALC!$F$1))&gt;0),N(INDEX(BASELINE!$A17:$ZZ17,CALC!$F$1)),N(INDEX(BASELINE!$A17:$ZZ17,CALC!$P$1))))=INT(SIMOPS!$D$3),IFERROR(UPPER(TRIM(INDEX(BASELINE!$A17:$ZZ17,CALC!$R$1)&amp;"")),"")&lt;&gt;"ENCERRADA"),1,0),0)</f>
        <v/>
      </c>
      <c r="B17">
        <f>B16+A17</f>
        <v/>
      </c>
    </row>
    <row r="18">
      <c r="A18">
        <f>IFERROR(IF(AND(INDEX(BASELINE!$A18:$ZZ18,CALC!$H$1)&lt;&gt;"",INT(IF(AND(CALC!$F$1&gt;0,N(INDEX(BASELINE!$A18:$ZZ18,CALC!$F$1))&gt;0),N(INDEX(BASELINE!$A18:$ZZ18,CALC!$F$1)),N(INDEX(BASELINE!$A18:$ZZ18,CALC!$P$1))))=INT(SIMOPS!$D$3),IFERROR(UPPER(TRIM(INDEX(BASELINE!$A18:$ZZ18,CALC!$R$1)&amp;"")),"")&lt;&gt;"ENCERRADA"),1,0),0)</f>
        <v/>
      </c>
      <c r="B18">
        <f>B17+A18</f>
        <v/>
      </c>
    </row>
    <row r="19">
      <c r="A19">
        <f>IFERROR(IF(AND(INDEX(BASELINE!$A19:$ZZ19,CALC!$H$1)&lt;&gt;"",INT(IF(AND(CALC!$F$1&gt;0,N(INDEX(BASELINE!$A19:$ZZ19,CALC!$F$1))&gt;0),N(INDEX(BASELINE!$A19:$ZZ19,CALC!$F$1)),N(INDEX(BASELINE!$A19:$ZZ19,CALC!$P$1))))=INT(SIMOPS!$D$3),IFERROR(UPPER(TRIM(INDEX(BASELINE!$A19:$ZZ19,CALC!$R$1)&amp;"")),"")&lt;&gt;"ENCERRADA"),1,0),0)</f>
        <v/>
      </c>
      <c r="B19">
        <f>B18+A19</f>
        <v/>
      </c>
    </row>
    <row r="20">
      <c r="A20">
        <f>IFERROR(IF(AND(INDEX(BASELINE!$A20:$ZZ20,CALC!$H$1)&lt;&gt;"",INT(IF(AND(CALC!$F$1&gt;0,N(INDEX(BASELINE!$A20:$ZZ20,CALC!$F$1))&gt;0),N(INDEX(BASELINE!$A20:$ZZ20,CALC!$F$1)),N(INDEX(BASELINE!$A20:$ZZ20,CALC!$P$1))))=INT(SIMOPS!$D$3),IFERROR(UPPER(TRIM(INDEX(BASELINE!$A20:$ZZ20,CALC!$R$1)&amp;"")),"")&lt;&gt;"ENCERRADA"),1,0),0)</f>
        <v/>
      </c>
      <c r="B20">
        <f>B19+A20</f>
        <v/>
      </c>
    </row>
    <row r="21">
      <c r="A21">
        <f>IFERROR(IF(AND(INDEX(BASELINE!$A21:$ZZ21,CALC!$H$1)&lt;&gt;"",INT(IF(AND(CALC!$F$1&gt;0,N(INDEX(BASELINE!$A21:$ZZ21,CALC!$F$1))&gt;0),N(INDEX(BASELINE!$A21:$ZZ21,CALC!$F$1)),N(INDEX(BASELINE!$A21:$ZZ21,CALC!$P$1))))=INT(SIMOPS!$D$3),IFERROR(UPPER(TRIM(INDEX(BASELINE!$A21:$ZZ21,CALC!$R$1)&amp;"")),"")&lt;&gt;"ENCERRADA"),1,0),0)</f>
        <v/>
      </c>
      <c r="B21">
        <f>B20+A21</f>
        <v/>
      </c>
    </row>
    <row r="22">
      <c r="A22">
        <f>IFERROR(IF(AND(INDEX(BASELINE!$A22:$ZZ22,CALC!$H$1)&lt;&gt;"",INT(IF(AND(CALC!$F$1&gt;0,N(INDEX(BASELINE!$A22:$ZZ22,CALC!$F$1))&gt;0),N(INDEX(BASELINE!$A22:$ZZ22,CALC!$F$1)),N(INDEX(BASELINE!$A22:$ZZ22,CALC!$P$1))))=INT(SIMOPS!$D$3),IFERROR(UPPER(TRIM(INDEX(BASELINE!$A22:$ZZ22,CALC!$R$1)&amp;"")),"")&lt;&gt;"ENCERRADA"),1,0),0)</f>
        <v/>
      </c>
      <c r="B22">
        <f>B21+A22</f>
        <v/>
      </c>
    </row>
    <row r="23">
      <c r="A23">
        <f>IFERROR(IF(AND(INDEX(BASELINE!$A23:$ZZ23,CALC!$H$1)&lt;&gt;"",INT(IF(AND(CALC!$F$1&gt;0,N(INDEX(BASELINE!$A23:$ZZ23,CALC!$F$1))&gt;0),N(INDEX(BASELINE!$A23:$ZZ23,CALC!$F$1)),N(INDEX(BASELINE!$A23:$ZZ23,CALC!$P$1))))=INT(SIMOPS!$D$3),IFERROR(UPPER(TRIM(INDEX(BASELINE!$A23:$ZZ23,CALC!$R$1)&amp;"")),"")&lt;&gt;"ENCERRADA"),1,0),0)</f>
        <v/>
      </c>
      <c r="B23">
        <f>B22+A23</f>
        <v/>
      </c>
    </row>
    <row r="24">
      <c r="A24">
        <f>IFERROR(IF(AND(INDEX(BASELINE!$A24:$ZZ24,CALC!$H$1)&lt;&gt;"",INT(IF(AND(CALC!$F$1&gt;0,N(INDEX(BASELINE!$A24:$ZZ24,CALC!$F$1))&gt;0),N(INDEX(BASELINE!$A24:$ZZ24,CALC!$F$1)),N(INDEX(BASELINE!$A24:$ZZ24,CALC!$P$1))))=INT(SIMOPS!$D$3),IFERROR(UPPER(TRIM(INDEX(BASELINE!$A24:$ZZ24,CALC!$R$1)&amp;"")),"")&lt;&gt;"ENCERRADA"),1,0),0)</f>
        <v/>
      </c>
      <c r="B24">
        <f>B23+A24</f>
        <v/>
      </c>
    </row>
    <row r="25">
      <c r="A25">
        <f>IFERROR(IF(AND(INDEX(BASELINE!$A25:$ZZ25,CALC!$H$1)&lt;&gt;"",INT(IF(AND(CALC!$F$1&gt;0,N(INDEX(BASELINE!$A25:$ZZ25,CALC!$F$1))&gt;0),N(INDEX(BASELINE!$A25:$ZZ25,CALC!$F$1)),N(INDEX(BASELINE!$A25:$ZZ25,CALC!$P$1))))=INT(SIMOPS!$D$3),IFERROR(UPPER(TRIM(INDEX(BASELINE!$A25:$ZZ25,CALC!$R$1)&amp;"")),"")&lt;&gt;"ENCERRADA"),1,0),0)</f>
        <v/>
      </c>
      <c r="B25">
        <f>B24+A25</f>
        <v/>
      </c>
    </row>
    <row r="26">
      <c r="A26">
        <f>IFERROR(IF(AND(INDEX(BASELINE!$A26:$ZZ26,CALC!$H$1)&lt;&gt;"",INT(IF(AND(CALC!$F$1&gt;0,N(INDEX(BASELINE!$A26:$ZZ26,CALC!$F$1))&gt;0),N(INDEX(BASELINE!$A26:$ZZ26,CALC!$F$1)),N(INDEX(BASELINE!$A26:$ZZ26,CALC!$P$1))))=INT(SIMOPS!$D$3),IFERROR(UPPER(TRIM(INDEX(BASELINE!$A26:$ZZ26,CALC!$R$1)&amp;"")),"")&lt;&gt;"ENCERRADA"),1,0),0)</f>
        <v/>
      </c>
      <c r="B26">
        <f>B25+A26</f>
        <v/>
      </c>
    </row>
    <row r="27">
      <c r="A27">
        <f>IFERROR(IF(AND(INDEX(BASELINE!$A27:$ZZ27,CALC!$H$1)&lt;&gt;"",INT(IF(AND(CALC!$F$1&gt;0,N(INDEX(BASELINE!$A27:$ZZ27,CALC!$F$1))&gt;0),N(INDEX(BASELINE!$A27:$ZZ27,CALC!$F$1)),N(INDEX(BASELINE!$A27:$ZZ27,CALC!$P$1))))=INT(SIMOPS!$D$3),IFERROR(UPPER(TRIM(INDEX(BASELINE!$A27:$ZZ27,CALC!$R$1)&amp;"")),"")&lt;&gt;"ENCERRADA"),1,0),0)</f>
        <v/>
      </c>
      <c r="B27">
        <f>B26+A27</f>
        <v/>
      </c>
    </row>
    <row r="28">
      <c r="A28">
        <f>IFERROR(IF(AND(INDEX(BASELINE!$A28:$ZZ28,CALC!$H$1)&lt;&gt;"",INT(IF(AND(CALC!$F$1&gt;0,N(INDEX(BASELINE!$A28:$ZZ28,CALC!$F$1))&gt;0),N(INDEX(BASELINE!$A28:$ZZ28,CALC!$F$1)),N(INDEX(BASELINE!$A28:$ZZ28,CALC!$P$1))))=INT(SIMOPS!$D$3),IFERROR(UPPER(TRIM(INDEX(BASELINE!$A28:$ZZ28,CALC!$R$1)&amp;"")),"")&lt;&gt;"ENCERRADA"),1,0),0)</f>
        <v/>
      </c>
      <c r="B28">
        <f>B27+A28</f>
        <v/>
      </c>
    </row>
    <row r="29">
      <c r="A29">
        <f>IFERROR(IF(AND(INDEX(BASELINE!$A29:$ZZ29,CALC!$H$1)&lt;&gt;"",INT(IF(AND(CALC!$F$1&gt;0,N(INDEX(BASELINE!$A29:$ZZ29,CALC!$F$1))&gt;0),N(INDEX(BASELINE!$A29:$ZZ29,CALC!$F$1)),N(INDEX(BASELINE!$A29:$ZZ29,CALC!$P$1))))=INT(SIMOPS!$D$3),IFERROR(UPPER(TRIM(INDEX(BASELINE!$A29:$ZZ29,CALC!$R$1)&amp;"")),"")&lt;&gt;"ENCERRADA"),1,0),0)</f>
        <v/>
      </c>
      <c r="B29">
        <f>B28+A29</f>
        <v/>
      </c>
    </row>
    <row r="30">
      <c r="A30">
        <f>IFERROR(IF(AND(INDEX(BASELINE!$A30:$ZZ30,CALC!$H$1)&lt;&gt;"",INT(IF(AND(CALC!$F$1&gt;0,N(INDEX(BASELINE!$A30:$ZZ30,CALC!$F$1))&gt;0),N(INDEX(BASELINE!$A30:$ZZ30,CALC!$F$1)),N(INDEX(BASELINE!$A30:$ZZ30,CALC!$P$1))))=INT(SIMOPS!$D$3),IFERROR(UPPER(TRIM(INDEX(BASELINE!$A30:$ZZ30,CALC!$R$1)&amp;"")),"")&lt;&gt;"ENCERRADA"),1,0),0)</f>
        <v/>
      </c>
      <c r="B30">
        <f>B29+A30</f>
        <v/>
      </c>
    </row>
    <row r="31">
      <c r="A31">
        <f>IFERROR(IF(AND(INDEX(BASELINE!$A31:$ZZ31,CALC!$H$1)&lt;&gt;"",INT(IF(AND(CALC!$F$1&gt;0,N(INDEX(BASELINE!$A31:$ZZ31,CALC!$F$1))&gt;0),N(INDEX(BASELINE!$A31:$ZZ31,CALC!$F$1)),N(INDEX(BASELINE!$A31:$ZZ31,CALC!$P$1))))=INT(SIMOPS!$D$3),IFERROR(UPPER(TRIM(INDEX(BASELINE!$A31:$ZZ31,CALC!$R$1)&amp;"")),"")&lt;&gt;"ENCERRADA"),1,0),0)</f>
        <v/>
      </c>
      <c r="B31">
        <f>B30+A31</f>
        <v/>
      </c>
    </row>
    <row r="32">
      <c r="A32">
        <f>IFERROR(IF(AND(INDEX(BASELINE!$A32:$ZZ32,CALC!$H$1)&lt;&gt;"",INT(IF(AND(CALC!$F$1&gt;0,N(INDEX(BASELINE!$A32:$ZZ32,CALC!$F$1))&gt;0),N(INDEX(BASELINE!$A32:$ZZ32,CALC!$F$1)),N(INDEX(BASELINE!$A32:$ZZ32,CALC!$P$1))))=INT(SIMOPS!$D$3),IFERROR(UPPER(TRIM(INDEX(BASELINE!$A32:$ZZ32,CALC!$R$1)&amp;"")),"")&lt;&gt;"ENCERRADA"),1,0),0)</f>
        <v/>
      </c>
      <c r="B32">
        <f>B31+A32</f>
        <v/>
      </c>
    </row>
    <row r="33">
      <c r="A33">
        <f>IFERROR(IF(AND(INDEX(BASELINE!$A33:$ZZ33,CALC!$H$1)&lt;&gt;"",INT(IF(AND(CALC!$F$1&gt;0,N(INDEX(BASELINE!$A33:$ZZ33,CALC!$F$1))&gt;0),N(INDEX(BASELINE!$A33:$ZZ33,CALC!$F$1)),N(INDEX(BASELINE!$A33:$ZZ33,CALC!$P$1))))=INT(SIMOPS!$D$3),IFERROR(UPPER(TRIM(INDEX(BASELINE!$A33:$ZZ33,CALC!$R$1)&amp;"")),"")&lt;&gt;"ENCERRADA"),1,0),0)</f>
        <v/>
      </c>
      <c r="B33">
        <f>B32+A33</f>
        <v/>
      </c>
    </row>
    <row r="34">
      <c r="A34">
        <f>IFERROR(IF(AND(INDEX(BASELINE!$A34:$ZZ34,CALC!$H$1)&lt;&gt;"",INT(IF(AND(CALC!$F$1&gt;0,N(INDEX(BASELINE!$A34:$ZZ34,CALC!$F$1))&gt;0),N(INDEX(BASELINE!$A34:$ZZ34,CALC!$F$1)),N(INDEX(BASELINE!$A34:$ZZ34,CALC!$P$1))))=INT(SIMOPS!$D$3),IFERROR(UPPER(TRIM(INDEX(BASELINE!$A34:$ZZ34,CALC!$R$1)&amp;"")),"")&lt;&gt;"ENCERRADA"),1,0),0)</f>
        <v/>
      </c>
      <c r="B34">
        <f>B33+A34</f>
        <v/>
      </c>
    </row>
    <row r="35">
      <c r="A35">
        <f>IFERROR(IF(AND(INDEX(BASELINE!$A35:$ZZ35,CALC!$H$1)&lt;&gt;"",INT(IF(AND(CALC!$F$1&gt;0,N(INDEX(BASELINE!$A35:$ZZ35,CALC!$F$1))&gt;0),N(INDEX(BASELINE!$A35:$ZZ35,CALC!$F$1)),N(INDEX(BASELINE!$A35:$ZZ35,CALC!$P$1))))=INT(SIMOPS!$D$3),IFERROR(UPPER(TRIM(INDEX(BASELINE!$A35:$ZZ35,CALC!$R$1)&amp;"")),"")&lt;&gt;"ENCERRADA"),1,0),0)</f>
        <v/>
      </c>
      <c r="B35">
        <f>B34+A35</f>
        <v/>
      </c>
    </row>
    <row r="36">
      <c r="A36">
        <f>IFERROR(IF(AND(INDEX(BASELINE!$A36:$ZZ36,CALC!$H$1)&lt;&gt;"",INT(IF(AND(CALC!$F$1&gt;0,N(INDEX(BASELINE!$A36:$ZZ36,CALC!$F$1))&gt;0),N(INDEX(BASELINE!$A36:$ZZ36,CALC!$F$1)),N(INDEX(BASELINE!$A36:$ZZ36,CALC!$P$1))))=INT(SIMOPS!$D$3),IFERROR(UPPER(TRIM(INDEX(BASELINE!$A36:$ZZ36,CALC!$R$1)&amp;"")),"")&lt;&gt;"ENCERRADA"),1,0),0)</f>
        <v/>
      </c>
      <c r="B36">
        <f>B35+A36</f>
        <v/>
      </c>
    </row>
    <row r="37">
      <c r="A37">
        <f>IFERROR(IF(AND(INDEX(BASELINE!$A37:$ZZ37,CALC!$H$1)&lt;&gt;"",INT(IF(AND(CALC!$F$1&gt;0,N(INDEX(BASELINE!$A37:$ZZ37,CALC!$F$1))&gt;0),N(INDEX(BASELINE!$A37:$ZZ37,CALC!$F$1)),N(INDEX(BASELINE!$A37:$ZZ37,CALC!$P$1))))=INT(SIMOPS!$D$3),IFERROR(UPPER(TRIM(INDEX(BASELINE!$A37:$ZZ37,CALC!$R$1)&amp;"")),"")&lt;&gt;"ENCERRADA"),1,0),0)</f>
        <v/>
      </c>
      <c r="B37">
        <f>B36+A37</f>
        <v/>
      </c>
    </row>
    <row r="38">
      <c r="A38">
        <f>IFERROR(IF(AND(INDEX(BASELINE!$A38:$ZZ38,CALC!$H$1)&lt;&gt;"",INT(IF(AND(CALC!$F$1&gt;0,N(INDEX(BASELINE!$A38:$ZZ38,CALC!$F$1))&gt;0),N(INDEX(BASELINE!$A38:$ZZ38,CALC!$F$1)),N(INDEX(BASELINE!$A38:$ZZ38,CALC!$P$1))))=INT(SIMOPS!$D$3),IFERROR(UPPER(TRIM(INDEX(BASELINE!$A38:$ZZ38,CALC!$R$1)&amp;"")),"")&lt;&gt;"ENCERRADA"),1,0),0)</f>
        <v/>
      </c>
      <c r="B38">
        <f>B37+A38</f>
        <v/>
      </c>
    </row>
    <row r="39">
      <c r="A39">
        <f>IFERROR(IF(AND(INDEX(BASELINE!$A39:$ZZ39,CALC!$H$1)&lt;&gt;"",INT(IF(AND(CALC!$F$1&gt;0,N(INDEX(BASELINE!$A39:$ZZ39,CALC!$F$1))&gt;0),N(INDEX(BASELINE!$A39:$ZZ39,CALC!$F$1)),N(INDEX(BASELINE!$A39:$ZZ39,CALC!$P$1))))=INT(SIMOPS!$D$3),IFERROR(UPPER(TRIM(INDEX(BASELINE!$A39:$ZZ39,CALC!$R$1)&amp;"")),"")&lt;&gt;"ENCERRADA"),1,0),0)</f>
        <v/>
      </c>
      <c r="B39">
        <f>B38+A39</f>
        <v/>
      </c>
    </row>
    <row r="40">
      <c r="A40">
        <f>IFERROR(IF(AND(INDEX(BASELINE!$A40:$ZZ40,CALC!$H$1)&lt;&gt;"",INT(IF(AND(CALC!$F$1&gt;0,N(INDEX(BASELINE!$A40:$ZZ40,CALC!$F$1))&gt;0),N(INDEX(BASELINE!$A40:$ZZ40,CALC!$F$1)),N(INDEX(BASELINE!$A40:$ZZ40,CALC!$P$1))))=INT(SIMOPS!$D$3),IFERROR(UPPER(TRIM(INDEX(BASELINE!$A40:$ZZ40,CALC!$R$1)&amp;"")),"")&lt;&gt;"ENCERRADA"),1,0),0)</f>
        <v/>
      </c>
      <c r="B40">
        <f>B39+A40</f>
        <v/>
      </c>
    </row>
    <row r="41">
      <c r="A41">
        <f>IFERROR(IF(AND(INDEX(BASELINE!$A41:$ZZ41,CALC!$H$1)&lt;&gt;"",INT(IF(AND(CALC!$F$1&gt;0,N(INDEX(BASELINE!$A41:$ZZ41,CALC!$F$1))&gt;0),N(INDEX(BASELINE!$A41:$ZZ41,CALC!$F$1)),N(INDEX(BASELINE!$A41:$ZZ41,CALC!$P$1))))=INT(SIMOPS!$D$3),IFERROR(UPPER(TRIM(INDEX(BASELINE!$A41:$ZZ41,CALC!$R$1)&amp;"")),"")&lt;&gt;"ENCERRADA"),1,0),0)</f>
        <v/>
      </c>
      <c r="B41">
        <f>B40+A41</f>
        <v/>
      </c>
    </row>
    <row r="42">
      <c r="A42">
        <f>IFERROR(IF(AND(INDEX(BASELINE!$A42:$ZZ42,CALC!$H$1)&lt;&gt;"",INT(IF(AND(CALC!$F$1&gt;0,N(INDEX(BASELINE!$A42:$ZZ42,CALC!$F$1))&gt;0),N(INDEX(BASELINE!$A42:$ZZ42,CALC!$F$1)),N(INDEX(BASELINE!$A42:$ZZ42,CALC!$P$1))))=INT(SIMOPS!$D$3),IFERROR(UPPER(TRIM(INDEX(BASELINE!$A42:$ZZ42,CALC!$R$1)&amp;"")),"")&lt;&gt;"ENCERRADA"),1,0),0)</f>
        <v/>
      </c>
      <c r="B42">
        <f>B41+A42</f>
        <v/>
      </c>
    </row>
    <row r="43">
      <c r="A43">
        <f>IFERROR(IF(AND(INDEX(BASELINE!$A43:$ZZ43,CALC!$H$1)&lt;&gt;"",INT(IF(AND(CALC!$F$1&gt;0,N(INDEX(BASELINE!$A43:$ZZ43,CALC!$F$1))&gt;0),N(INDEX(BASELINE!$A43:$ZZ43,CALC!$F$1)),N(INDEX(BASELINE!$A43:$ZZ43,CALC!$P$1))))=INT(SIMOPS!$D$3),IFERROR(UPPER(TRIM(INDEX(BASELINE!$A43:$ZZ43,CALC!$R$1)&amp;"")),"")&lt;&gt;"ENCERRADA"),1,0),0)</f>
        <v/>
      </c>
      <c r="B43">
        <f>B42+A43</f>
        <v/>
      </c>
    </row>
    <row r="44">
      <c r="A44">
        <f>IFERROR(IF(AND(INDEX(BASELINE!$A44:$ZZ44,CALC!$H$1)&lt;&gt;"",INT(IF(AND(CALC!$F$1&gt;0,N(INDEX(BASELINE!$A44:$ZZ44,CALC!$F$1))&gt;0),N(INDEX(BASELINE!$A44:$ZZ44,CALC!$F$1)),N(INDEX(BASELINE!$A44:$ZZ44,CALC!$P$1))))=INT(SIMOPS!$D$3),IFERROR(UPPER(TRIM(INDEX(BASELINE!$A44:$ZZ44,CALC!$R$1)&amp;"")),"")&lt;&gt;"ENCERRADA"),1,0),0)</f>
        <v/>
      </c>
      <c r="B44">
        <f>B43+A44</f>
        <v/>
      </c>
    </row>
    <row r="45">
      <c r="A45">
        <f>IFERROR(IF(AND(INDEX(BASELINE!$A45:$ZZ45,CALC!$H$1)&lt;&gt;"",INT(IF(AND(CALC!$F$1&gt;0,N(INDEX(BASELINE!$A45:$ZZ45,CALC!$F$1))&gt;0),N(INDEX(BASELINE!$A45:$ZZ45,CALC!$F$1)),N(INDEX(BASELINE!$A45:$ZZ45,CALC!$P$1))))=INT(SIMOPS!$D$3),IFERROR(UPPER(TRIM(INDEX(BASELINE!$A45:$ZZ45,CALC!$R$1)&amp;"")),"")&lt;&gt;"ENCERRADA"),1,0),0)</f>
        <v/>
      </c>
      <c r="B45">
        <f>B44+A45</f>
        <v/>
      </c>
    </row>
    <row r="46">
      <c r="A46">
        <f>IFERROR(IF(AND(INDEX(BASELINE!$A46:$ZZ46,CALC!$H$1)&lt;&gt;"",INT(IF(AND(CALC!$F$1&gt;0,N(INDEX(BASELINE!$A46:$ZZ46,CALC!$F$1))&gt;0),N(INDEX(BASELINE!$A46:$ZZ46,CALC!$F$1)),N(INDEX(BASELINE!$A46:$ZZ46,CALC!$P$1))))=INT(SIMOPS!$D$3),IFERROR(UPPER(TRIM(INDEX(BASELINE!$A46:$ZZ46,CALC!$R$1)&amp;"")),"")&lt;&gt;"ENCERRADA"),1,0),0)</f>
        <v/>
      </c>
      <c r="B46">
        <f>B45+A46</f>
        <v/>
      </c>
    </row>
    <row r="47">
      <c r="A47">
        <f>IFERROR(IF(AND(INDEX(BASELINE!$A47:$ZZ47,CALC!$H$1)&lt;&gt;"",INT(IF(AND(CALC!$F$1&gt;0,N(INDEX(BASELINE!$A47:$ZZ47,CALC!$F$1))&gt;0),N(INDEX(BASELINE!$A47:$ZZ47,CALC!$F$1)),N(INDEX(BASELINE!$A47:$ZZ47,CALC!$P$1))))=INT(SIMOPS!$D$3),IFERROR(UPPER(TRIM(INDEX(BASELINE!$A47:$ZZ47,CALC!$R$1)&amp;"")),"")&lt;&gt;"ENCERRADA"),1,0),0)</f>
        <v/>
      </c>
      <c r="B47">
        <f>B46+A47</f>
        <v/>
      </c>
    </row>
    <row r="48">
      <c r="A48">
        <f>IFERROR(IF(AND(INDEX(BASELINE!$A48:$ZZ48,CALC!$H$1)&lt;&gt;"",INT(IF(AND(CALC!$F$1&gt;0,N(INDEX(BASELINE!$A48:$ZZ48,CALC!$F$1))&gt;0),N(INDEX(BASELINE!$A48:$ZZ48,CALC!$F$1)),N(INDEX(BASELINE!$A48:$ZZ48,CALC!$P$1))))=INT(SIMOPS!$D$3),IFERROR(UPPER(TRIM(INDEX(BASELINE!$A48:$ZZ48,CALC!$R$1)&amp;"")),"")&lt;&gt;"ENCERRADA"),1,0),0)</f>
        <v/>
      </c>
      <c r="B48">
        <f>B47+A48</f>
        <v/>
      </c>
    </row>
    <row r="49">
      <c r="A49">
        <f>IFERROR(IF(AND(INDEX(BASELINE!$A49:$ZZ49,CALC!$H$1)&lt;&gt;"",INT(IF(AND(CALC!$F$1&gt;0,N(INDEX(BASELINE!$A49:$ZZ49,CALC!$F$1))&gt;0),N(INDEX(BASELINE!$A49:$ZZ49,CALC!$F$1)),N(INDEX(BASELINE!$A49:$ZZ49,CALC!$P$1))))=INT(SIMOPS!$D$3),IFERROR(UPPER(TRIM(INDEX(BASELINE!$A49:$ZZ49,CALC!$R$1)&amp;"")),"")&lt;&gt;"ENCERRADA"),1,0),0)</f>
        <v/>
      </c>
      <c r="B49">
        <f>B48+A49</f>
        <v/>
      </c>
    </row>
    <row r="50">
      <c r="A50">
        <f>IFERROR(IF(AND(INDEX(BASELINE!$A50:$ZZ50,CALC!$H$1)&lt;&gt;"",INT(IF(AND(CALC!$F$1&gt;0,N(INDEX(BASELINE!$A50:$ZZ50,CALC!$F$1))&gt;0),N(INDEX(BASELINE!$A50:$ZZ50,CALC!$F$1)),N(INDEX(BASELINE!$A50:$ZZ50,CALC!$P$1))))=INT(SIMOPS!$D$3),IFERROR(UPPER(TRIM(INDEX(BASELINE!$A50:$ZZ50,CALC!$R$1)&amp;"")),"")&lt;&gt;"ENCERRADA"),1,0),0)</f>
        <v/>
      </c>
      <c r="B50">
        <f>B49+A50</f>
        <v/>
      </c>
    </row>
    <row r="51">
      <c r="A51">
        <f>IFERROR(IF(AND(INDEX(BASELINE!$A51:$ZZ51,CALC!$H$1)&lt;&gt;"",INT(IF(AND(CALC!$F$1&gt;0,N(INDEX(BASELINE!$A51:$ZZ51,CALC!$F$1))&gt;0),N(INDEX(BASELINE!$A51:$ZZ51,CALC!$F$1)),N(INDEX(BASELINE!$A51:$ZZ51,CALC!$P$1))))=INT(SIMOPS!$D$3),IFERROR(UPPER(TRIM(INDEX(BASELINE!$A51:$ZZ51,CALC!$R$1)&amp;"")),"")&lt;&gt;"ENCERRADA"),1,0),0)</f>
        <v/>
      </c>
      <c r="B51">
        <f>B50+A51</f>
        <v/>
      </c>
    </row>
    <row r="52">
      <c r="A52">
        <f>IFERROR(IF(AND(INDEX(BASELINE!$A52:$ZZ52,CALC!$H$1)&lt;&gt;"",INT(IF(AND(CALC!$F$1&gt;0,N(INDEX(BASELINE!$A52:$ZZ52,CALC!$F$1))&gt;0),N(INDEX(BASELINE!$A52:$ZZ52,CALC!$F$1)),N(INDEX(BASELINE!$A52:$ZZ52,CALC!$P$1))))=INT(SIMOPS!$D$3),IFERROR(UPPER(TRIM(INDEX(BASELINE!$A52:$ZZ52,CALC!$R$1)&amp;"")),"")&lt;&gt;"ENCERRADA"),1,0),0)</f>
        <v/>
      </c>
      <c r="B52">
        <f>B51+A52</f>
        <v/>
      </c>
    </row>
    <row r="53">
      <c r="A53">
        <f>IFERROR(IF(AND(INDEX(BASELINE!$A53:$ZZ53,CALC!$H$1)&lt;&gt;"",INT(IF(AND(CALC!$F$1&gt;0,N(INDEX(BASELINE!$A53:$ZZ53,CALC!$F$1))&gt;0),N(INDEX(BASELINE!$A53:$ZZ53,CALC!$F$1)),N(INDEX(BASELINE!$A53:$ZZ53,CALC!$P$1))))=INT(SIMOPS!$D$3),IFERROR(UPPER(TRIM(INDEX(BASELINE!$A53:$ZZ53,CALC!$R$1)&amp;"")),"")&lt;&gt;"ENCERRADA"),1,0),0)</f>
        <v/>
      </c>
      <c r="B53">
        <f>B52+A53</f>
        <v/>
      </c>
    </row>
    <row r="54">
      <c r="A54">
        <f>IFERROR(IF(AND(INDEX(BASELINE!$A54:$ZZ54,CALC!$H$1)&lt;&gt;"",INT(IF(AND(CALC!$F$1&gt;0,N(INDEX(BASELINE!$A54:$ZZ54,CALC!$F$1))&gt;0),N(INDEX(BASELINE!$A54:$ZZ54,CALC!$F$1)),N(INDEX(BASELINE!$A54:$ZZ54,CALC!$P$1))))=INT(SIMOPS!$D$3),IFERROR(UPPER(TRIM(INDEX(BASELINE!$A54:$ZZ54,CALC!$R$1)&amp;"")),"")&lt;&gt;"ENCERRADA"),1,0),0)</f>
        <v/>
      </c>
      <c r="B54">
        <f>B53+A54</f>
        <v/>
      </c>
    </row>
    <row r="55">
      <c r="A55">
        <f>IFERROR(IF(AND(INDEX(BASELINE!$A55:$ZZ55,CALC!$H$1)&lt;&gt;"",INT(IF(AND(CALC!$F$1&gt;0,N(INDEX(BASELINE!$A55:$ZZ55,CALC!$F$1))&gt;0),N(INDEX(BASELINE!$A55:$ZZ55,CALC!$F$1)),N(INDEX(BASELINE!$A55:$ZZ55,CALC!$P$1))))=INT(SIMOPS!$D$3),IFERROR(UPPER(TRIM(INDEX(BASELINE!$A55:$ZZ55,CALC!$R$1)&amp;"")),"")&lt;&gt;"ENCERRADA"),1,0),0)</f>
        <v/>
      </c>
      <c r="B55">
        <f>B54+A55</f>
        <v/>
      </c>
    </row>
    <row r="56">
      <c r="A56">
        <f>IFERROR(IF(AND(INDEX(BASELINE!$A56:$ZZ56,CALC!$H$1)&lt;&gt;"",INT(IF(AND(CALC!$F$1&gt;0,N(INDEX(BASELINE!$A56:$ZZ56,CALC!$F$1))&gt;0),N(INDEX(BASELINE!$A56:$ZZ56,CALC!$F$1)),N(INDEX(BASELINE!$A56:$ZZ56,CALC!$P$1))))=INT(SIMOPS!$D$3),IFERROR(UPPER(TRIM(INDEX(BASELINE!$A56:$ZZ56,CALC!$R$1)&amp;"")),"")&lt;&gt;"ENCERRADA"),1,0),0)</f>
        <v/>
      </c>
      <c r="B56">
        <f>B55+A56</f>
        <v/>
      </c>
    </row>
    <row r="57">
      <c r="A57">
        <f>IFERROR(IF(AND(INDEX(BASELINE!$A57:$ZZ57,CALC!$H$1)&lt;&gt;"",INT(IF(AND(CALC!$F$1&gt;0,N(INDEX(BASELINE!$A57:$ZZ57,CALC!$F$1))&gt;0),N(INDEX(BASELINE!$A57:$ZZ57,CALC!$F$1)),N(INDEX(BASELINE!$A57:$ZZ57,CALC!$P$1))))=INT(SIMOPS!$D$3),IFERROR(UPPER(TRIM(INDEX(BASELINE!$A57:$ZZ57,CALC!$R$1)&amp;"")),"")&lt;&gt;"ENCERRADA"),1,0),0)</f>
        <v/>
      </c>
      <c r="B57">
        <f>B56+A57</f>
        <v/>
      </c>
    </row>
    <row r="58">
      <c r="A58">
        <f>IFERROR(IF(AND(INDEX(BASELINE!$A58:$ZZ58,CALC!$H$1)&lt;&gt;"",INT(IF(AND(CALC!$F$1&gt;0,N(INDEX(BASELINE!$A58:$ZZ58,CALC!$F$1))&gt;0),N(INDEX(BASELINE!$A58:$ZZ58,CALC!$F$1)),N(INDEX(BASELINE!$A58:$ZZ58,CALC!$P$1))))=INT(SIMOPS!$D$3),IFERROR(UPPER(TRIM(INDEX(BASELINE!$A58:$ZZ58,CALC!$R$1)&amp;"")),"")&lt;&gt;"ENCERRADA"),1,0),0)</f>
        <v/>
      </c>
      <c r="B58">
        <f>B57+A58</f>
        <v/>
      </c>
    </row>
    <row r="59">
      <c r="A59">
        <f>IFERROR(IF(AND(INDEX(BASELINE!$A59:$ZZ59,CALC!$H$1)&lt;&gt;"",INT(IF(AND(CALC!$F$1&gt;0,N(INDEX(BASELINE!$A59:$ZZ59,CALC!$F$1))&gt;0),N(INDEX(BASELINE!$A59:$ZZ59,CALC!$F$1)),N(INDEX(BASELINE!$A59:$ZZ59,CALC!$P$1))))=INT(SIMOPS!$D$3),IFERROR(UPPER(TRIM(INDEX(BASELINE!$A59:$ZZ59,CALC!$R$1)&amp;"")),"")&lt;&gt;"ENCERRADA"),1,0),0)</f>
        <v/>
      </c>
      <c r="B59">
        <f>B58+A59</f>
        <v/>
      </c>
    </row>
    <row r="60">
      <c r="A60">
        <f>IFERROR(IF(AND(INDEX(BASELINE!$A60:$ZZ60,CALC!$H$1)&lt;&gt;"",INT(IF(AND(CALC!$F$1&gt;0,N(INDEX(BASELINE!$A60:$ZZ60,CALC!$F$1))&gt;0),N(INDEX(BASELINE!$A60:$ZZ60,CALC!$F$1)),N(INDEX(BASELINE!$A60:$ZZ60,CALC!$P$1))))=INT(SIMOPS!$D$3),IFERROR(UPPER(TRIM(INDEX(BASELINE!$A60:$ZZ60,CALC!$R$1)&amp;"")),"")&lt;&gt;"ENCERRADA"),1,0),0)</f>
        <v/>
      </c>
      <c r="B60">
        <f>B59+A60</f>
        <v/>
      </c>
    </row>
    <row r="61">
      <c r="A61">
        <f>IFERROR(IF(AND(INDEX(BASELINE!$A61:$ZZ61,CALC!$H$1)&lt;&gt;"",INT(IF(AND(CALC!$F$1&gt;0,N(INDEX(BASELINE!$A61:$ZZ61,CALC!$F$1))&gt;0),N(INDEX(BASELINE!$A61:$ZZ61,CALC!$F$1)),N(INDEX(BASELINE!$A61:$ZZ61,CALC!$P$1))))=INT(SIMOPS!$D$3),IFERROR(UPPER(TRIM(INDEX(BASELINE!$A61:$ZZ61,CALC!$R$1)&amp;"")),"")&lt;&gt;"ENCERRADA"),1,0),0)</f>
        <v/>
      </c>
      <c r="B61">
        <f>B60+A61</f>
        <v/>
      </c>
    </row>
    <row r="62">
      <c r="A62">
        <f>IFERROR(IF(AND(INDEX(BASELINE!$A62:$ZZ62,CALC!$H$1)&lt;&gt;"",INT(IF(AND(CALC!$F$1&gt;0,N(INDEX(BASELINE!$A62:$ZZ62,CALC!$F$1))&gt;0),N(INDEX(BASELINE!$A62:$ZZ62,CALC!$F$1)),N(INDEX(BASELINE!$A62:$ZZ62,CALC!$P$1))))=INT(SIMOPS!$D$3),IFERROR(UPPER(TRIM(INDEX(BASELINE!$A62:$ZZ62,CALC!$R$1)&amp;"")),"")&lt;&gt;"ENCERRADA"),1,0),0)</f>
        <v/>
      </c>
      <c r="B62">
        <f>B61+A62</f>
        <v/>
      </c>
    </row>
    <row r="63">
      <c r="A63">
        <f>IFERROR(IF(AND(INDEX(BASELINE!$A63:$ZZ63,CALC!$H$1)&lt;&gt;"",INT(IF(AND(CALC!$F$1&gt;0,N(INDEX(BASELINE!$A63:$ZZ63,CALC!$F$1))&gt;0),N(INDEX(BASELINE!$A63:$ZZ63,CALC!$F$1)),N(INDEX(BASELINE!$A63:$ZZ63,CALC!$P$1))))=INT(SIMOPS!$D$3),IFERROR(UPPER(TRIM(INDEX(BASELINE!$A63:$ZZ63,CALC!$R$1)&amp;"")),"")&lt;&gt;"ENCERRADA"),1,0),0)</f>
        <v/>
      </c>
      <c r="B63">
        <f>B62+A63</f>
        <v/>
      </c>
    </row>
    <row r="64">
      <c r="A64">
        <f>IFERROR(IF(AND(INDEX(BASELINE!$A64:$ZZ64,CALC!$H$1)&lt;&gt;"",INT(IF(AND(CALC!$F$1&gt;0,N(INDEX(BASELINE!$A64:$ZZ64,CALC!$F$1))&gt;0),N(INDEX(BASELINE!$A64:$ZZ64,CALC!$F$1)),N(INDEX(BASELINE!$A64:$ZZ64,CALC!$P$1))))=INT(SIMOPS!$D$3),IFERROR(UPPER(TRIM(INDEX(BASELINE!$A64:$ZZ64,CALC!$R$1)&amp;"")),"")&lt;&gt;"ENCERRADA"),1,0),0)</f>
        <v/>
      </c>
      <c r="B64">
        <f>B63+A64</f>
        <v/>
      </c>
    </row>
    <row r="65">
      <c r="A65">
        <f>IFERROR(IF(AND(INDEX(BASELINE!$A65:$ZZ65,CALC!$H$1)&lt;&gt;"",INT(IF(AND(CALC!$F$1&gt;0,N(INDEX(BASELINE!$A65:$ZZ65,CALC!$F$1))&gt;0),N(INDEX(BASELINE!$A65:$ZZ65,CALC!$F$1)),N(INDEX(BASELINE!$A65:$ZZ65,CALC!$P$1))))=INT(SIMOPS!$D$3),IFERROR(UPPER(TRIM(INDEX(BASELINE!$A65:$ZZ65,CALC!$R$1)&amp;"")),"")&lt;&gt;"ENCERRADA"),1,0),0)</f>
        <v/>
      </c>
      <c r="B65">
        <f>B64+A65</f>
        <v/>
      </c>
    </row>
    <row r="66">
      <c r="A66">
        <f>IFERROR(IF(AND(INDEX(BASELINE!$A66:$ZZ66,CALC!$H$1)&lt;&gt;"",INT(IF(AND(CALC!$F$1&gt;0,N(INDEX(BASELINE!$A66:$ZZ66,CALC!$F$1))&gt;0),N(INDEX(BASELINE!$A66:$ZZ66,CALC!$F$1)),N(INDEX(BASELINE!$A66:$ZZ66,CALC!$P$1))))=INT(SIMOPS!$D$3),IFERROR(UPPER(TRIM(INDEX(BASELINE!$A66:$ZZ66,CALC!$R$1)&amp;"")),"")&lt;&gt;"ENCERRADA"),1,0),0)</f>
        <v/>
      </c>
      <c r="B66">
        <f>B65+A66</f>
        <v/>
      </c>
    </row>
    <row r="67">
      <c r="A67">
        <f>IFERROR(IF(AND(INDEX(BASELINE!$A67:$ZZ67,CALC!$H$1)&lt;&gt;"",INT(IF(AND(CALC!$F$1&gt;0,N(INDEX(BASELINE!$A67:$ZZ67,CALC!$F$1))&gt;0),N(INDEX(BASELINE!$A67:$ZZ67,CALC!$F$1)),N(INDEX(BASELINE!$A67:$ZZ67,CALC!$P$1))))=INT(SIMOPS!$D$3),IFERROR(UPPER(TRIM(INDEX(BASELINE!$A67:$ZZ67,CALC!$R$1)&amp;"")),"")&lt;&gt;"ENCERRADA"),1,0),0)</f>
        <v/>
      </c>
      <c r="B67">
        <f>B66+A67</f>
        <v/>
      </c>
    </row>
    <row r="68">
      <c r="A68">
        <f>IFERROR(IF(AND(INDEX(BASELINE!$A68:$ZZ68,CALC!$H$1)&lt;&gt;"",INT(IF(AND(CALC!$F$1&gt;0,N(INDEX(BASELINE!$A68:$ZZ68,CALC!$F$1))&gt;0),N(INDEX(BASELINE!$A68:$ZZ68,CALC!$F$1)),N(INDEX(BASELINE!$A68:$ZZ68,CALC!$P$1))))=INT(SIMOPS!$D$3),IFERROR(UPPER(TRIM(INDEX(BASELINE!$A68:$ZZ68,CALC!$R$1)&amp;"")),"")&lt;&gt;"ENCERRADA"),1,0),0)</f>
        <v/>
      </c>
      <c r="B68">
        <f>B67+A68</f>
        <v/>
      </c>
    </row>
    <row r="69">
      <c r="A69">
        <f>IFERROR(IF(AND(INDEX(BASELINE!$A69:$ZZ69,CALC!$H$1)&lt;&gt;"",INT(IF(AND(CALC!$F$1&gt;0,N(INDEX(BASELINE!$A69:$ZZ69,CALC!$F$1))&gt;0),N(INDEX(BASELINE!$A69:$ZZ69,CALC!$F$1)),N(INDEX(BASELINE!$A69:$ZZ69,CALC!$P$1))))=INT(SIMOPS!$D$3),IFERROR(UPPER(TRIM(INDEX(BASELINE!$A69:$ZZ69,CALC!$R$1)&amp;"")),"")&lt;&gt;"ENCERRADA"),1,0),0)</f>
        <v/>
      </c>
      <c r="B69">
        <f>B68+A69</f>
        <v/>
      </c>
    </row>
    <row r="70">
      <c r="A70">
        <f>IFERROR(IF(AND(INDEX(BASELINE!$A70:$ZZ70,CALC!$H$1)&lt;&gt;"",INT(IF(AND(CALC!$F$1&gt;0,N(INDEX(BASELINE!$A70:$ZZ70,CALC!$F$1))&gt;0),N(INDEX(BASELINE!$A70:$ZZ70,CALC!$F$1)),N(INDEX(BASELINE!$A70:$ZZ70,CALC!$P$1))))=INT(SIMOPS!$D$3),IFERROR(UPPER(TRIM(INDEX(BASELINE!$A70:$ZZ70,CALC!$R$1)&amp;"")),"")&lt;&gt;"ENCERRADA"),1,0),0)</f>
        <v/>
      </c>
      <c r="B70">
        <f>B69+A70</f>
        <v/>
      </c>
    </row>
    <row r="71">
      <c r="A71">
        <f>IFERROR(IF(AND(INDEX(BASELINE!$A71:$ZZ71,CALC!$H$1)&lt;&gt;"",INT(IF(AND(CALC!$F$1&gt;0,N(INDEX(BASELINE!$A71:$ZZ71,CALC!$F$1))&gt;0),N(INDEX(BASELINE!$A71:$ZZ71,CALC!$F$1)),N(INDEX(BASELINE!$A71:$ZZ71,CALC!$P$1))))=INT(SIMOPS!$D$3),IFERROR(UPPER(TRIM(INDEX(BASELINE!$A71:$ZZ71,CALC!$R$1)&amp;"")),"")&lt;&gt;"ENCERRADA"),1,0),0)</f>
        <v/>
      </c>
      <c r="B71">
        <f>B70+A71</f>
        <v/>
      </c>
    </row>
    <row r="72">
      <c r="A72">
        <f>IFERROR(IF(AND(INDEX(BASELINE!$A72:$ZZ72,CALC!$H$1)&lt;&gt;"",INT(IF(AND(CALC!$F$1&gt;0,N(INDEX(BASELINE!$A72:$ZZ72,CALC!$F$1))&gt;0),N(INDEX(BASELINE!$A72:$ZZ72,CALC!$F$1)),N(INDEX(BASELINE!$A72:$ZZ72,CALC!$P$1))))=INT(SIMOPS!$D$3),IFERROR(UPPER(TRIM(INDEX(BASELINE!$A72:$ZZ72,CALC!$R$1)&amp;"")),"")&lt;&gt;"ENCERRADA"),1,0),0)</f>
        <v/>
      </c>
      <c r="B72">
        <f>B71+A72</f>
        <v/>
      </c>
    </row>
    <row r="73">
      <c r="A73">
        <f>IFERROR(IF(AND(INDEX(BASELINE!$A73:$ZZ73,CALC!$H$1)&lt;&gt;"",INT(IF(AND(CALC!$F$1&gt;0,N(INDEX(BASELINE!$A73:$ZZ73,CALC!$F$1))&gt;0),N(INDEX(BASELINE!$A73:$ZZ73,CALC!$F$1)),N(INDEX(BASELINE!$A73:$ZZ73,CALC!$P$1))))=INT(SIMOPS!$D$3),IFERROR(UPPER(TRIM(INDEX(BASELINE!$A73:$ZZ73,CALC!$R$1)&amp;"")),"")&lt;&gt;"ENCERRADA"),1,0),0)</f>
        <v/>
      </c>
      <c r="B73">
        <f>B72+A73</f>
        <v/>
      </c>
    </row>
    <row r="74">
      <c r="A74">
        <f>IFERROR(IF(AND(INDEX(BASELINE!$A74:$ZZ74,CALC!$H$1)&lt;&gt;"",INT(IF(AND(CALC!$F$1&gt;0,N(INDEX(BASELINE!$A74:$ZZ74,CALC!$F$1))&gt;0),N(INDEX(BASELINE!$A74:$ZZ74,CALC!$F$1)),N(INDEX(BASELINE!$A74:$ZZ74,CALC!$P$1))))=INT(SIMOPS!$D$3),IFERROR(UPPER(TRIM(INDEX(BASELINE!$A74:$ZZ74,CALC!$R$1)&amp;"")),"")&lt;&gt;"ENCERRADA"),1,0),0)</f>
        <v/>
      </c>
      <c r="B74">
        <f>B73+A74</f>
        <v/>
      </c>
    </row>
    <row r="75">
      <c r="A75">
        <f>IFERROR(IF(AND(INDEX(BASELINE!$A75:$ZZ75,CALC!$H$1)&lt;&gt;"",INT(IF(AND(CALC!$F$1&gt;0,N(INDEX(BASELINE!$A75:$ZZ75,CALC!$F$1))&gt;0),N(INDEX(BASELINE!$A75:$ZZ75,CALC!$F$1)),N(INDEX(BASELINE!$A75:$ZZ75,CALC!$P$1))))=INT(SIMOPS!$D$3),IFERROR(UPPER(TRIM(INDEX(BASELINE!$A75:$ZZ75,CALC!$R$1)&amp;"")),"")&lt;&gt;"ENCERRADA"),1,0),0)</f>
        <v/>
      </c>
      <c r="B75">
        <f>B74+A75</f>
        <v/>
      </c>
    </row>
    <row r="76">
      <c r="A76">
        <f>IFERROR(IF(AND(INDEX(BASELINE!$A76:$ZZ76,CALC!$H$1)&lt;&gt;"",INT(IF(AND(CALC!$F$1&gt;0,N(INDEX(BASELINE!$A76:$ZZ76,CALC!$F$1))&gt;0),N(INDEX(BASELINE!$A76:$ZZ76,CALC!$F$1)),N(INDEX(BASELINE!$A76:$ZZ76,CALC!$P$1))))=INT(SIMOPS!$D$3),IFERROR(UPPER(TRIM(INDEX(BASELINE!$A76:$ZZ76,CALC!$R$1)&amp;"")),"")&lt;&gt;"ENCERRADA"),1,0),0)</f>
        <v/>
      </c>
      <c r="B76">
        <f>B75+A76</f>
        <v/>
      </c>
    </row>
    <row r="77">
      <c r="A77">
        <f>IFERROR(IF(AND(INDEX(BASELINE!$A77:$ZZ77,CALC!$H$1)&lt;&gt;"",INT(IF(AND(CALC!$F$1&gt;0,N(INDEX(BASELINE!$A77:$ZZ77,CALC!$F$1))&gt;0),N(INDEX(BASELINE!$A77:$ZZ77,CALC!$F$1)),N(INDEX(BASELINE!$A77:$ZZ77,CALC!$P$1))))=INT(SIMOPS!$D$3),IFERROR(UPPER(TRIM(INDEX(BASELINE!$A77:$ZZ77,CALC!$R$1)&amp;"")),"")&lt;&gt;"ENCERRADA"),1,0),0)</f>
        <v/>
      </c>
      <c r="B77">
        <f>B76+A77</f>
        <v/>
      </c>
    </row>
    <row r="78">
      <c r="A78">
        <f>IFERROR(IF(AND(INDEX(BASELINE!$A78:$ZZ78,CALC!$H$1)&lt;&gt;"",INT(IF(AND(CALC!$F$1&gt;0,N(INDEX(BASELINE!$A78:$ZZ78,CALC!$F$1))&gt;0),N(INDEX(BASELINE!$A78:$ZZ78,CALC!$F$1)),N(INDEX(BASELINE!$A78:$ZZ78,CALC!$P$1))))=INT(SIMOPS!$D$3),IFERROR(UPPER(TRIM(INDEX(BASELINE!$A78:$ZZ78,CALC!$R$1)&amp;"")),"")&lt;&gt;"ENCERRADA"),1,0),0)</f>
        <v/>
      </c>
      <c r="B78">
        <f>B77+A78</f>
        <v/>
      </c>
    </row>
    <row r="79">
      <c r="A79">
        <f>IFERROR(IF(AND(INDEX(BASELINE!$A79:$ZZ79,CALC!$H$1)&lt;&gt;"",INT(IF(AND(CALC!$F$1&gt;0,N(INDEX(BASELINE!$A79:$ZZ79,CALC!$F$1))&gt;0),N(INDEX(BASELINE!$A79:$ZZ79,CALC!$F$1)),N(INDEX(BASELINE!$A79:$ZZ79,CALC!$P$1))))=INT(SIMOPS!$D$3),IFERROR(UPPER(TRIM(INDEX(BASELINE!$A79:$ZZ79,CALC!$R$1)&amp;"")),"")&lt;&gt;"ENCERRADA"),1,0),0)</f>
        <v/>
      </c>
      <c r="B79">
        <f>B78+A79</f>
        <v/>
      </c>
    </row>
    <row r="80">
      <c r="A80">
        <f>IFERROR(IF(AND(INDEX(BASELINE!$A80:$ZZ80,CALC!$H$1)&lt;&gt;"",INT(IF(AND(CALC!$F$1&gt;0,N(INDEX(BASELINE!$A80:$ZZ80,CALC!$F$1))&gt;0),N(INDEX(BASELINE!$A80:$ZZ80,CALC!$F$1)),N(INDEX(BASELINE!$A80:$ZZ80,CALC!$P$1))))=INT(SIMOPS!$D$3),IFERROR(UPPER(TRIM(INDEX(BASELINE!$A80:$ZZ80,CALC!$R$1)&amp;"")),"")&lt;&gt;"ENCERRADA"),1,0),0)</f>
        <v/>
      </c>
      <c r="B80">
        <f>B79+A80</f>
        <v/>
      </c>
    </row>
    <row r="81">
      <c r="A81">
        <f>IFERROR(IF(AND(INDEX(BASELINE!$A81:$ZZ81,CALC!$H$1)&lt;&gt;"",INT(IF(AND(CALC!$F$1&gt;0,N(INDEX(BASELINE!$A81:$ZZ81,CALC!$F$1))&gt;0),N(INDEX(BASELINE!$A81:$ZZ81,CALC!$F$1)),N(INDEX(BASELINE!$A81:$ZZ81,CALC!$P$1))))=INT(SIMOPS!$D$3),IFERROR(UPPER(TRIM(INDEX(BASELINE!$A81:$ZZ81,CALC!$R$1)&amp;"")),"")&lt;&gt;"ENCERRADA"),1,0),0)</f>
        <v/>
      </c>
      <c r="B81">
        <f>B80+A81</f>
        <v/>
      </c>
    </row>
    <row r="82">
      <c r="A82">
        <f>IFERROR(IF(AND(INDEX(BASELINE!$A82:$ZZ82,CALC!$H$1)&lt;&gt;"",INT(IF(AND(CALC!$F$1&gt;0,N(INDEX(BASELINE!$A82:$ZZ82,CALC!$F$1))&gt;0),N(INDEX(BASELINE!$A82:$ZZ82,CALC!$F$1)),N(INDEX(BASELINE!$A82:$ZZ82,CALC!$P$1))))=INT(SIMOPS!$D$3),IFERROR(UPPER(TRIM(INDEX(BASELINE!$A82:$ZZ82,CALC!$R$1)&amp;"")),"")&lt;&gt;"ENCERRADA"),1,0),0)</f>
        <v/>
      </c>
      <c r="B82">
        <f>B81+A82</f>
        <v/>
      </c>
    </row>
    <row r="83">
      <c r="A83">
        <f>IFERROR(IF(AND(INDEX(BASELINE!$A83:$ZZ83,CALC!$H$1)&lt;&gt;"",INT(IF(AND(CALC!$F$1&gt;0,N(INDEX(BASELINE!$A83:$ZZ83,CALC!$F$1))&gt;0),N(INDEX(BASELINE!$A83:$ZZ83,CALC!$F$1)),N(INDEX(BASELINE!$A83:$ZZ83,CALC!$P$1))))=INT(SIMOPS!$D$3),IFERROR(UPPER(TRIM(INDEX(BASELINE!$A83:$ZZ83,CALC!$R$1)&amp;"")),"")&lt;&gt;"ENCERRADA"),1,0),0)</f>
        <v/>
      </c>
      <c r="B83">
        <f>B82+A83</f>
        <v/>
      </c>
    </row>
    <row r="84">
      <c r="A84">
        <f>IFERROR(IF(AND(INDEX(BASELINE!$A84:$ZZ84,CALC!$H$1)&lt;&gt;"",INT(IF(AND(CALC!$F$1&gt;0,N(INDEX(BASELINE!$A84:$ZZ84,CALC!$F$1))&gt;0),N(INDEX(BASELINE!$A84:$ZZ84,CALC!$F$1)),N(INDEX(BASELINE!$A84:$ZZ84,CALC!$P$1))))=INT(SIMOPS!$D$3),IFERROR(UPPER(TRIM(INDEX(BASELINE!$A84:$ZZ84,CALC!$R$1)&amp;"")),"")&lt;&gt;"ENCERRADA"),1,0),0)</f>
        <v/>
      </c>
      <c r="B84">
        <f>B83+A84</f>
        <v/>
      </c>
    </row>
    <row r="85">
      <c r="A85">
        <f>IFERROR(IF(AND(INDEX(BASELINE!$A85:$ZZ85,CALC!$H$1)&lt;&gt;"",INT(IF(AND(CALC!$F$1&gt;0,N(INDEX(BASELINE!$A85:$ZZ85,CALC!$F$1))&gt;0),N(INDEX(BASELINE!$A85:$ZZ85,CALC!$F$1)),N(INDEX(BASELINE!$A85:$ZZ85,CALC!$P$1))))=INT(SIMOPS!$D$3),IFERROR(UPPER(TRIM(INDEX(BASELINE!$A85:$ZZ85,CALC!$R$1)&amp;"")),"")&lt;&gt;"ENCERRADA"),1,0),0)</f>
        <v/>
      </c>
      <c r="B85">
        <f>B84+A85</f>
        <v/>
      </c>
    </row>
    <row r="86">
      <c r="A86">
        <f>IFERROR(IF(AND(INDEX(BASELINE!$A86:$ZZ86,CALC!$H$1)&lt;&gt;"",INT(IF(AND(CALC!$F$1&gt;0,N(INDEX(BASELINE!$A86:$ZZ86,CALC!$F$1))&gt;0),N(INDEX(BASELINE!$A86:$ZZ86,CALC!$F$1)),N(INDEX(BASELINE!$A86:$ZZ86,CALC!$P$1))))=INT(SIMOPS!$D$3),IFERROR(UPPER(TRIM(INDEX(BASELINE!$A86:$ZZ86,CALC!$R$1)&amp;"")),"")&lt;&gt;"ENCERRADA"),1,0),0)</f>
        <v/>
      </c>
      <c r="B86">
        <f>B85+A86</f>
        <v/>
      </c>
    </row>
    <row r="87">
      <c r="A87">
        <f>IFERROR(IF(AND(INDEX(BASELINE!$A87:$ZZ87,CALC!$H$1)&lt;&gt;"",INT(IF(AND(CALC!$F$1&gt;0,N(INDEX(BASELINE!$A87:$ZZ87,CALC!$F$1))&gt;0),N(INDEX(BASELINE!$A87:$ZZ87,CALC!$F$1)),N(INDEX(BASELINE!$A87:$ZZ87,CALC!$P$1))))=INT(SIMOPS!$D$3),IFERROR(UPPER(TRIM(INDEX(BASELINE!$A87:$ZZ87,CALC!$R$1)&amp;"")),"")&lt;&gt;"ENCERRADA"),1,0),0)</f>
        <v/>
      </c>
      <c r="B87">
        <f>B86+A87</f>
        <v/>
      </c>
    </row>
    <row r="88">
      <c r="A88">
        <f>IFERROR(IF(AND(INDEX(BASELINE!$A88:$ZZ88,CALC!$H$1)&lt;&gt;"",INT(IF(AND(CALC!$F$1&gt;0,N(INDEX(BASELINE!$A88:$ZZ88,CALC!$F$1))&gt;0),N(INDEX(BASELINE!$A88:$ZZ88,CALC!$F$1)),N(INDEX(BASELINE!$A88:$ZZ88,CALC!$P$1))))=INT(SIMOPS!$D$3),IFERROR(UPPER(TRIM(INDEX(BASELINE!$A88:$ZZ88,CALC!$R$1)&amp;"")),"")&lt;&gt;"ENCERRADA"),1,0),0)</f>
        <v/>
      </c>
      <c r="B88">
        <f>B87+A88</f>
        <v/>
      </c>
    </row>
    <row r="89">
      <c r="A89">
        <f>IFERROR(IF(AND(INDEX(BASELINE!$A89:$ZZ89,CALC!$H$1)&lt;&gt;"",INT(IF(AND(CALC!$F$1&gt;0,N(INDEX(BASELINE!$A89:$ZZ89,CALC!$F$1))&gt;0),N(INDEX(BASELINE!$A89:$ZZ89,CALC!$F$1)),N(INDEX(BASELINE!$A89:$ZZ89,CALC!$P$1))))=INT(SIMOPS!$D$3),IFERROR(UPPER(TRIM(INDEX(BASELINE!$A89:$ZZ89,CALC!$R$1)&amp;"")),"")&lt;&gt;"ENCERRADA"),1,0),0)</f>
        <v/>
      </c>
      <c r="B89">
        <f>B88+A89</f>
        <v/>
      </c>
    </row>
    <row r="90">
      <c r="A90">
        <f>IFERROR(IF(AND(INDEX(BASELINE!$A90:$ZZ90,CALC!$H$1)&lt;&gt;"",INT(IF(AND(CALC!$F$1&gt;0,N(INDEX(BASELINE!$A90:$ZZ90,CALC!$F$1))&gt;0),N(INDEX(BASELINE!$A90:$ZZ90,CALC!$F$1)),N(INDEX(BASELINE!$A90:$ZZ90,CALC!$P$1))))=INT(SIMOPS!$D$3),IFERROR(UPPER(TRIM(INDEX(BASELINE!$A90:$ZZ90,CALC!$R$1)&amp;"")),"")&lt;&gt;"ENCERRADA"),1,0),0)</f>
        <v/>
      </c>
      <c r="B90">
        <f>B89+A90</f>
        <v/>
      </c>
    </row>
    <row r="91">
      <c r="A91">
        <f>IFERROR(IF(AND(INDEX(BASELINE!$A91:$ZZ91,CALC!$H$1)&lt;&gt;"",INT(IF(AND(CALC!$F$1&gt;0,N(INDEX(BASELINE!$A91:$ZZ91,CALC!$F$1))&gt;0),N(INDEX(BASELINE!$A91:$ZZ91,CALC!$F$1)),N(INDEX(BASELINE!$A91:$ZZ91,CALC!$P$1))))=INT(SIMOPS!$D$3),IFERROR(UPPER(TRIM(INDEX(BASELINE!$A91:$ZZ91,CALC!$R$1)&amp;"")),"")&lt;&gt;"ENCERRADA"),1,0),0)</f>
        <v/>
      </c>
      <c r="B91">
        <f>B90+A91</f>
        <v/>
      </c>
    </row>
    <row r="92">
      <c r="A92">
        <f>IFERROR(IF(AND(INDEX(BASELINE!$A92:$ZZ92,CALC!$H$1)&lt;&gt;"",INT(IF(AND(CALC!$F$1&gt;0,N(INDEX(BASELINE!$A92:$ZZ92,CALC!$F$1))&gt;0),N(INDEX(BASELINE!$A92:$ZZ92,CALC!$F$1)),N(INDEX(BASELINE!$A92:$ZZ92,CALC!$P$1))))=INT(SIMOPS!$D$3),IFERROR(UPPER(TRIM(INDEX(BASELINE!$A92:$ZZ92,CALC!$R$1)&amp;"")),"")&lt;&gt;"ENCERRADA"),1,0),0)</f>
        <v/>
      </c>
      <c r="B92">
        <f>B91+A92</f>
        <v/>
      </c>
    </row>
    <row r="93">
      <c r="A93">
        <f>IFERROR(IF(AND(INDEX(BASELINE!$A93:$ZZ93,CALC!$H$1)&lt;&gt;"",INT(IF(AND(CALC!$F$1&gt;0,N(INDEX(BASELINE!$A93:$ZZ93,CALC!$F$1))&gt;0),N(INDEX(BASELINE!$A93:$ZZ93,CALC!$F$1)),N(INDEX(BASELINE!$A93:$ZZ93,CALC!$P$1))))=INT(SIMOPS!$D$3),IFERROR(UPPER(TRIM(INDEX(BASELINE!$A93:$ZZ93,CALC!$R$1)&amp;"")),"")&lt;&gt;"ENCERRADA"),1,0),0)</f>
        <v/>
      </c>
      <c r="B93">
        <f>B92+A93</f>
        <v/>
      </c>
    </row>
    <row r="94">
      <c r="A94">
        <f>IFERROR(IF(AND(INDEX(BASELINE!$A94:$ZZ94,CALC!$H$1)&lt;&gt;"",INT(IF(AND(CALC!$F$1&gt;0,N(INDEX(BASELINE!$A94:$ZZ94,CALC!$F$1))&gt;0),N(INDEX(BASELINE!$A94:$ZZ94,CALC!$F$1)),N(INDEX(BASELINE!$A94:$ZZ94,CALC!$P$1))))=INT(SIMOPS!$D$3),IFERROR(UPPER(TRIM(INDEX(BASELINE!$A94:$ZZ94,CALC!$R$1)&amp;"")),"")&lt;&gt;"ENCERRADA"),1,0),0)</f>
        <v/>
      </c>
      <c r="B94">
        <f>B93+A94</f>
        <v/>
      </c>
    </row>
    <row r="95">
      <c r="A95">
        <f>IFERROR(IF(AND(INDEX(BASELINE!$A95:$ZZ95,CALC!$H$1)&lt;&gt;"",INT(IF(AND(CALC!$F$1&gt;0,N(INDEX(BASELINE!$A95:$ZZ95,CALC!$F$1))&gt;0),N(INDEX(BASELINE!$A95:$ZZ95,CALC!$F$1)),N(INDEX(BASELINE!$A95:$ZZ95,CALC!$P$1))))=INT(SIMOPS!$D$3),IFERROR(UPPER(TRIM(INDEX(BASELINE!$A95:$ZZ95,CALC!$R$1)&amp;"")),"")&lt;&gt;"ENCERRADA"),1,0),0)</f>
        <v/>
      </c>
      <c r="B95">
        <f>B94+A95</f>
        <v/>
      </c>
    </row>
    <row r="96">
      <c r="A96">
        <f>IFERROR(IF(AND(INDEX(BASELINE!$A96:$ZZ96,CALC!$H$1)&lt;&gt;"",INT(IF(AND(CALC!$F$1&gt;0,N(INDEX(BASELINE!$A96:$ZZ96,CALC!$F$1))&gt;0),N(INDEX(BASELINE!$A96:$ZZ96,CALC!$F$1)),N(INDEX(BASELINE!$A96:$ZZ96,CALC!$P$1))))=INT(SIMOPS!$D$3),IFERROR(UPPER(TRIM(INDEX(BASELINE!$A96:$ZZ96,CALC!$R$1)&amp;"")),"")&lt;&gt;"ENCERRADA"),1,0),0)</f>
        <v/>
      </c>
      <c r="B96">
        <f>B95+A96</f>
        <v/>
      </c>
    </row>
    <row r="97">
      <c r="A97">
        <f>IFERROR(IF(AND(INDEX(BASELINE!$A97:$ZZ97,CALC!$H$1)&lt;&gt;"",INT(IF(AND(CALC!$F$1&gt;0,N(INDEX(BASELINE!$A97:$ZZ97,CALC!$F$1))&gt;0),N(INDEX(BASELINE!$A97:$ZZ97,CALC!$F$1)),N(INDEX(BASELINE!$A97:$ZZ97,CALC!$P$1))))=INT(SIMOPS!$D$3),IFERROR(UPPER(TRIM(INDEX(BASELINE!$A97:$ZZ97,CALC!$R$1)&amp;"")),"")&lt;&gt;"ENCERRADA"),1,0),0)</f>
        <v/>
      </c>
      <c r="B97">
        <f>B96+A97</f>
        <v/>
      </c>
    </row>
    <row r="98">
      <c r="A98">
        <f>IFERROR(IF(AND(INDEX(BASELINE!$A98:$ZZ98,CALC!$H$1)&lt;&gt;"",INT(IF(AND(CALC!$F$1&gt;0,N(INDEX(BASELINE!$A98:$ZZ98,CALC!$F$1))&gt;0),N(INDEX(BASELINE!$A98:$ZZ98,CALC!$F$1)),N(INDEX(BASELINE!$A98:$ZZ98,CALC!$P$1))))=INT(SIMOPS!$D$3),IFERROR(UPPER(TRIM(INDEX(BASELINE!$A98:$ZZ98,CALC!$R$1)&amp;"")),"")&lt;&gt;"ENCERRADA"),1,0),0)</f>
        <v/>
      </c>
      <c r="B98">
        <f>B97+A98</f>
        <v/>
      </c>
    </row>
    <row r="99">
      <c r="A99">
        <f>IFERROR(IF(AND(INDEX(BASELINE!$A99:$ZZ99,CALC!$H$1)&lt;&gt;"",INT(IF(AND(CALC!$F$1&gt;0,N(INDEX(BASELINE!$A99:$ZZ99,CALC!$F$1))&gt;0),N(INDEX(BASELINE!$A99:$ZZ99,CALC!$F$1)),N(INDEX(BASELINE!$A99:$ZZ99,CALC!$P$1))))=INT(SIMOPS!$D$3),IFERROR(UPPER(TRIM(INDEX(BASELINE!$A99:$ZZ99,CALC!$R$1)&amp;"")),"")&lt;&gt;"ENCERRADA"),1,0),0)</f>
        <v/>
      </c>
      <c r="B99">
        <f>B98+A99</f>
        <v/>
      </c>
    </row>
    <row r="100">
      <c r="A100">
        <f>IFERROR(IF(AND(INDEX(BASELINE!$A100:$ZZ100,CALC!$H$1)&lt;&gt;"",INT(IF(AND(CALC!$F$1&gt;0,N(INDEX(BASELINE!$A100:$ZZ100,CALC!$F$1))&gt;0),N(INDEX(BASELINE!$A100:$ZZ100,CALC!$F$1)),N(INDEX(BASELINE!$A100:$ZZ100,CALC!$P$1))))=INT(SIMOPS!$D$3),IFERROR(UPPER(TRIM(INDEX(BASELINE!$A100:$ZZ100,CALC!$R$1)&amp;"")),"")&lt;&gt;"ENCERRADA"),1,0),0)</f>
        <v/>
      </c>
      <c r="B100">
        <f>B99+A100</f>
        <v/>
      </c>
    </row>
    <row r="101">
      <c r="A101">
        <f>IFERROR(IF(AND(INDEX(BASELINE!$A101:$ZZ101,CALC!$H$1)&lt;&gt;"",INT(IF(AND(CALC!$F$1&gt;0,N(INDEX(BASELINE!$A101:$ZZ101,CALC!$F$1))&gt;0),N(INDEX(BASELINE!$A101:$ZZ101,CALC!$F$1)),N(INDEX(BASELINE!$A101:$ZZ101,CALC!$P$1))))=INT(SIMOPS!$D$3),IFERROR(UPPER(TRIM(INDEX(BASELINE!$A101:$ZZ101,CALC!$R$1)&amp;"")),"")&lt;&gt;"ENCERRADA"),1,0),0)</f>
        <v/>
      </c>
      <c r="B101">
        <f>B100+A101</f>
        <v/>
      </c>
    </row>
    <row r="102">
      <c r="A102">
        <f>IFERROR(IF(AND(INDEX(BASELINE!$A102:$ZZ102,CALC!$H$1)&lt;&gt;"",INT(IF(AND(CALC!$F$1&gt;0,N(INDEX(BASELINE!$A102:$ZZ102,CALC!$F$1))&gt;0),N(INDEX(BASELINE!$A102:$ZZ102,CALC!$F$1)),N(INDEX(BASELINE!$A102:$ZZ102,CALC!$P$1))))=INT(SIMOPS!$D$3),IFERROR(UPPER(TRIM(INDEX(BASELINE!$A102:$ZZ102,CALC!$R$1)&amp;"")),"")&lt;&gt;"ENCERRADA"),1,0),0)</f>
        <v/>
      </c>
      <c r="B102">
        <f>B101+A102</f>
        <v/>
      </c>
    </row>
    <row r="103">
      <c r="A103">
        <f>IFERROR(IF(AND(INDEX(BASELINE!$A103:$ZZ103,CALC!$H$1)&lt;&gt;"",INT(IF(AND(CALC!$F$1&gt;0,N(INDEX(BASELINE!$A103:$ZZ103,CALC!$F$1))&gt;0),N(INDEX(BASELINE!$A103:$ZZ103,CALC!$F$1)),N(INDEX(BASELINE!$A103:$ZZ103,CALC!$P$1))))=INT(SIMOPS!$D$3),IFERROR(UPPER(TRIM(INDEX(BASELINE!$A103:$ZZ103,CALC!$R$1)&amp;"")),"")&lt;&gt;"ENCERRADA"),1,0),0)</f>
        <v/>
      </c>
      <c r="B103">
        <f>B102+A103</f>
        <v/>
      </c>
    </row>
    <row r="104">
      <c r="A104">
        <f>IFERROR(IF(AND(INDEX(BASELINE!$A104:$ZZ104,CALC!$H$1)&lt;&gt;"",INT(IF(AND(CALC!$F$1&gt;0,N(INDEX(BASELINE!$A104:$ZZ104,CALC!$F$1))&gt;0),N(INDEX(BASELINE!$A104:$ZZ104,CALC!$F$1)),N(INDEX(BASELINE!$A104:$ZZ104,CALC!$P$1))))=INT(SIMOPS!$D$3),IFERROR(UPPER(TRIM(INDEX(BASELINE!$A104:$ZZ104,CALC!$R$1)&amp;"")),"")&lt;&gt;"ENCERRADA"),1,0),0)</f>
        <v/>
      </c>
      <c r="B104">
        <f>B103+A104</f>
        <v/>
      </c>
    </row>
    <row r="105">
      <c r="A105">
        <f>IFERROR(IF(AND(INDEX(BASELINE!$A105:$ZZ105,CALC!$H$1)&lt;&gt;"",INT(IF(AND(CALC!$F$1&gt;0,N(INDEX(BASELINE!$A105:$ZZ105,CALC!$F$1))&gt;0),N(INDEX(BASELINE!$A105:$ZZ105,CALC!$F$1)),N(INDEX(BASELINE!$A105:$ZZ105,CALC!$P$1))))=INT(SIMOPS!$D$3),IFERROR(UPPER(TRIM(INDEX(BASELINE!$A105:$ZZ105,CALC!$R$1)&amp;"")),"")&lt;&gt;"ENCERRADA"),1,0),0)</f>
        <v/>
      </c>
      <c r="B105">
        <f>B104+A105</f>
        <v/>
      </c>
    </row>
    <row r="106">
      <c r="A106">
        <f>IFERROR(IF(AND(INDEX(BASELINE!$A106:$ZZ106,CALC!$H$1)&lt;&gt;"",INT(IF(AND(CALC!$F$1&gt;0,N(INDEX(BASELINE!$A106:$ZZ106,CALC!$F$1))&gt;0),N(INDEX(BASELINE!$A106:$ZZ106,CALC!$F$1)),N(INDEX(BASELINE!$A106:$ZZ106,CALC!$P$1))))=INT(SIMOPS!$D$3),IFERROR(UPPER(TRIM(INDEX(BASELINE!$A106:$ZZ106,CALC!$R$1)&amp;"")),"")&lt;&gt;"ENCERRADA"),1,0),0)</f>
        <v/>
      </c>
      <c r="B106">
        <f>B105+A106</f>
        <v/>
      </c>
    </row>
    <row r="107">
      <c r="A107">
        <f>IFERROR(IF(AND(INDEX(BASELINE!$A107:$ZZ107,CALC!$H$1)&lt;&gt;"",INT(IF(AND(CALC!$F$1&gt;0,N(INDEX(BASELINE!$A107:$ZZ107,CALC!$F$1))&gt;0),N(INDEX(BASELINE!$A107:$ZZ107,CALC!$F$1)),N(INDEX(BASELINE!$A107:$ZZ107,CALC!$P$1))))=INT(SIMOPS!$D$3),IFERROR(UPPER(TRIM(INDEX(BASELINE!$A107:$ZZ107,CALC!$R$1)&amp;"")),"")&lt;&gt;"ENCERRADA"),1,0),0)</f>
        <v/>
      </c>
      <c r="B107">
        <f>B106+A107</f>
        <v/>
      </c>
    </row>
    <row r="108">
      <c r="A108">
        <f>IFERROR(IF(AND(INDEX(BASELINE!$A108:$ZZ108,CALC!$H$1)&lt;&gt;"",INT(IF(AND(CALC!$F$1&gt;0,N(INDEX(BASELINE!$A108:$ZZ108,CALC!$F$1))&gt;0),N(INDEX(BASELINE!$A108:$ZZ108,CALC!$F$1)),N(INDEX(BASELINE!$A108:$ZZ108,CALC!$P$1))))=INT(SIMOPS!$D$3),IFERROR(UPPER(TRIM(INDEX(BASELINE!$A108:$ZZ108,CALC!$R$1)&amp;"")),"")&lt;&gt;"ENCERRADA"),1,0),0)</f>
        <v/>
      </c>
      <c r="B108">
        <f>B107+A108</f>
        <v/>
      </c>
    </row>
    <row r="109">
      <c r="A109">
        <f>IFERROR(IF(AND(INDEX(BASELINE!$A109:$ZZ109,CALC!$H$1)&lt;&gt;"",INT(IF(AND(CALC!$F$1&gt;0,N(INDEX(BASELINE!$A109:$ZZ109,CALC!$F$1))&gt;0),N(INDEX(BASELINE!$A109:$ZZ109,CALC!$F$1)),N(INDEX(BASELINE!$A109:$ZZ109,CALC!$P$1))))=INT(SIMOPS!$D$3),IFERROR(UPPER(TRIM(INDEX(BASELINE!$A109:$ZZ109,CALC!$R$1)&amp;"")),"")&lt;&gt;"ENCERRADA"),1,0),0)</f>
        <v/>
      </c>
      <c r="B109">
        <f>B108+A109</f>
        <v/>
      </c>
    </row>
    <row r="110">
      <c r="A110">
        <f>IFERROR(IF(AND(INDEX(BASELINE!$A110:$ZZ110,CALC!$H$1)&lt;&gt;"",INT(IF(AND(CALC!$F$1&gt;0,N(INDEX(BASELINE!$A110:$ZZ110,CALC!$F$1))&gt;0),N(INDEX(BASELINE!$A110:$ZZ110,CALC!$F$1)),N(INDEX(BASELINE!$A110:$ZZ110,CALC!$P$1))))=INT(SIMOPS!$D$3),IFERROR(UPPER(TRIM(INDEX(BASELINE!$A110:$ZZ110,CALC!$R$1)&amp;"")),"")&lt;&gt;"ENCERRADA"),1,0),0)</f>
        <v/>
      </c>
      <c r="B110">
        <f>B109+A110</f>
        <v/>
      </c>
    </row>
    <row r="111">
      <c r="A111">
        <f>IFERROR(IF(AND(INDEX(BASELINE!$A111:$ZZ111,CALC!$H$1)&lt;&gt;"",INT(IF(AND(CALC!$F$1&gt;0,N(INDEX(BASELINE!$A111:$ZZ111,CALC!$F$1))&gt;0),N(INDEX(BASELINE!$A111:$ZZ111,CALC!$F$1)),N(INDEX(BASELINE!$A111:$ZZ111,CALC!$P$1))))=INT(SIMOPS!$D$3),IFERROR(UPPER(TRIM(INDEX(BASELINE!$A111:$ZZ111,CALC!$R$1)&amp;"")),"")&lt;&gt;"ENCERRADA"),1,0),0)</f>
        <v/>
      </c>
      <c r="B111">
        <f>B110+A111</f>
        <v/>
      </c>
    </row>
    <row r="112">
      <c r="A112">
        <f>IFERROR(IF(AND(INDEX(BASELINE!$A112:$ZZ112,CALC!$H$1)&lt;&gt;"",INT(IF(AND(CALC!$F$1&gt;0,N(INDEX(BASELINE!$A112:$ZZ112,CALC!$F$1))&gt;0),N(INDEX(BASELINE!$A112:$ZZ112,CALC!$F$1)),N(INDEX(BASELINE!$A112:$ZZ112,CALC!$P$1))))=INT(SIMOPS!$D$3),IFERROR(UPPER(TRIM(INDEX(BASELINE!$A112:$ZZ112,CALC!$R$1)&amp;"")),"")&lt;&gt;"ENCERRADA"),1,0),0)</f>
        <v/>
      </c>
      <c r="B112">
        <f>B111+A112</f>
        <v/>
      </c>
    </row>
    <row r="113">
      <c r="A113">
        <f>IFERROR(IF(AND(INDEX(BASELINE!$A113:$ZZ113,CALC!$H$1)&lt;&gt;"",INT(IF(AND(CALC!$F$1&gt;0,N(INDEX(BASELINE!$A113:$ZZ113,CALC!$F$1))&gt;0),N(INDEX(BASELINE!$A113:$ZZ113,CALC!$F$1)),N(INDEX(BASELINE!$A113:$ZZ113,CALC!$P$1))))=INT(SIMOPS!$D$3),IFERROR(UPPER(TRIM(INDEX(BASELINE!$A113:$ZZ113,CALC!$R$1)&amp;"")),"")&lt;&gt;"ENCERRADA"),1,0),0)</f>
        <v/>
      </c>
      <c r="B113">
        <f>B112+A113</f>
        <v/>
      </c>
    </row>
    <row r="114">
      <c r="A114">
        <f>IFERROR(IF(AND(INDEX(BASELINE!$A114:$ZZ114,CALC!$H$1)&lt;&gt;"",INT(IF(AND(CALC!$F$1&gt;0,N(INDEX(BASELINE!$A114:$ZZ114,CALC!$F$1))&gt;0),N(INDEX(BASELINE!$A114:$ZZ114,CALC!$F$1)),N(INDEX(BASELINE!$A114:$ZZ114,CALC!$P$1))))=INT(SIMOPS!$D$3),IFERROR(UPPER(TRIM(INDEX(BASELINE!$A114:$ZZ114,CALC!$R$1)&amp;"")),"")&lt;&gt;"ENCERRADA"),1,0),0)</f>
        <v/>
      </c>
      <c r="B114">
        <f>B113+A114</f>
        <v/>
      </c>
    </row>
    <row r="115">
      <c r="A115">
        <f>IFERROR(IF(AND(INDEX(BASELINE!$A115:$ZZ115,CALC!$H$1)&lt;&gt;"",INT(IF(AND(CALC!$F$1&gt;0,N(INDEX(BASELINE!$A115:$ZZ115,CALC!$F$1))&gt;0),N(INDEX(BASELINE!$A115:$ZZ115,CALC!$F$1)),N(INDEX(BASELINE!$A115:$ZZ115,CALC!$P$1))))=INT(SIMOPS!$D$3),IFERROR(UPPER(TRIM(INDEX(BASELINE!$A115:$ZZ115,CALC!$R$1)&amp;"")),"")&lt;&gt;"ENCERRADA"),1,0),0)</f>
        <v/>
      </c>
      <c r="B115">
        <f>B114+A115</f>
        <v/>
      </c>
    </row>
    <row r="116">
      <c r="A116">
        <f>IFERROR(IF(AND(INDEX(BASELINE!$A116:$ZZ116,CALC!$H$1)&lt;&gt;"",INT(IF(AND(CALC!$F$1&gt;0,N(INDEX(BASELINE!$A116:$ZZ116,CALC!$F$1))&gt;0),N(INDEX(BASELINE!$A116:$ZZ116,CALC!$F$1)),N(INDEX(BASELINE!$A116:$ZZ116,CALC!$P$1))))=INT(SIMOPS!$D$3),IFERROR(UPPER(TRIM(INDEX(BASELINE!$A116:$ZZ116,CALC!$R$1)&amp;"")),"")&lt;&gt;"ENCERRADA"),1,0),0)</f>
        <v/>
      </c>
      <c r="B116">
        <f>B115+A116</f>
        <v/>
      </c>
    </row>
    <row r="117">
      <c r="A117">
        <f>IFERROR(IF(AND(INDEX(BASELINE!$A117:$ZZ117,CALC!$H$1)&lt;&gt;"",INT(IF(AND(CALC!$F$1&gt;0,N(INDEX(BASELINE!$A117:$ZZ117,CALC!$F$1))&gt;0),N(INDEX(BASELINE!$A117:$ZZ117,CALC!$F$1)),N(INDEX(BASELINE!$A117:$ZZ117,CALC!$P$1))))=INT(SIMOPS!$D$3),IFERROR(UPPER(TRIM(INDEX(BASELINE!$A117:$ZZ117,CALC!$R$1)&amp;"")),"")&lt;&gt;"ENCERRADA"),1,0),0)</f>
        <v/>
      </c>
      <c r="B117">
        <f>B116+A117</f>
        <v/>
      </c>
    </row>
    <row r="118">
      <c r="A118">
        <f>IFERROR(IF(AND(INDEX(BASELINE!$A118:$ZZ118,CALC!$H$1)&lt;&gt;"",INT(IF(AND(CALC!$F$1&gt;0,N(INDEX(BASELINE!$A118:$ZZ118,CALC!$F$1))&gt;0),N(INDEX(BASELINE!$A118:$ZZ118,CALC!$F$1)),N(INDEX(BASELINE!$A118:$ZZ118,CALC!$P$1))))=INT(SIMOPS!$D$3),IFERROR(UPPER(TRIM(INDEX(BASELINE!$A118:$ZZ118,CALC!$R$1)&amp;"")),"")&lt;&gt;"ENCERRADA"),1,0),0)</f>
        <v/>
      </c>
      <c r="B118">
        <f>B117+A118</f>
        <v/>
      </c>
    </row>
    <row r="119">
      <c r="A119">
        <f>IFERROR(IF(AND(INDEX(BASELINE!$A119:$ZZ119,CALC!$H$1)&lt;&gt;"",INT(IF(AND(CALC!$F$1&gt;0,N(INDEX(BASELINE!$A119:$ZZ119,CALC!$F$1))&gt;0),N(INDEX(BASELINE!$A119:$ZZ119,CALC!$F$1)),N(INDEX(BASELINE!$A119:$ZZ119,CALC!$P$1))))=INT(SIMOPS!$D$3),IFERROR(UPPER(TRIM(INDEX(BASELINE!$A119:$ZZ119,CALC!$R$1)&amp;"")),"")&lt;&gt;"ENCERRADA"),1,0),0)</f>
        <v/>
      </c>
      <c r="B119">
        <f>B118+A119</f>
        <v/>
      </c>
    </row>
    <row r="120">
      <c r="A120">
        <f>IFERROR(IF(AND(INDEX(BASELINE!$A120:$ZZ120,CALC!$H$1)&lt;&gt;"",INT(IF(AND(CALC!$F$1&gt;0,N(INDEX(BASELINE!$A120:$ZZ120,CALC!$F$1))&gt;0),N(INDEX(BASELINE!$A120:$ZZ120,CALC!$F$1)),N(INDEX(BASELINE!$A120:$ZZ120,CALC!$P$1))))=INT(SIMOPS!$D$3),IFERROR(UPPER(TRIM(INDEX(BASELINE!$A120:$ZZ120,CALC!$R$1)&amp;"")),"")&lt;&gt;"ENCERRADA"),1,0),0)</f>
        <v/>
      </c>
      <c r="B120">
        <f>B119+A120</f>
        <v/>
      </c>
    </row>
    <row r="121">
      <c r="A121">
        <f>IFERROR(IF(AND(INDEX(BASELINE!$A121:$ZZ121,CALC!$H$1)&lt;&gt;"",INT(IF(AND(CALC!$F$1&gt;0,N(INDEX(BASELINE!$A121:$ZZ121,CALC!$F$1))&gt;0),N(INDEX(BASELINE!$A121:$ZZ121,CALC!$F$1)),N(INDEX(BASELINE!$A121:$ZZ121,CALC!$P$1))))=INT(SIMOPS!$D$3),IFERROR(UPPER(TRIM(INDEX(BASELINE!$A121:$ZZ121,CALC!$R$1)&amp;"")),"")&lt;&gt;"ENCERRADA"),1,0),0)</f>
        <v/>
      </c>
      <c r="B121">
        <f>B120+A121</f>
        <v/>
      </c>
    </row>
    <row r="122">
      <c r="A122">
        <f>IFERROR(IF(AND(INDEX(BASELINE!$A122:$ZZ122,CALC!$H$1)&lt;&gt;"",INT(IF(AND(CALC!$F$1&gt;0,N(INDEX(BASELINE!$A122:$ZZ122,CALC!$F$1))&gt;0),N(INDEX(BASELINE!$A122:$ZZ122,CALC!$F$1)),N(INDEX(BASELINE!$A122:$ZZ122,CALC!$P$1))))=INT(SIMOPS!$D$3),IFERROR(UPPER(TRIM(INDEX(BASELINE!$A122:$ZZ122,CALC!$R$1)&amp;"")),"")&lt;&gt;"ENCERRADA"),1,0),0)</f>
        <v/>
      </c>
      <c r="B122">
        <f>B121+A122</f>
        <v/>
      </c>
    </row>
    <row r="123">
      <c r="A123">
        <f>IFERROR(IF(AND(INDEX(BASELINE!$A123:$ZZ123,CALC!$H$1)&lt;&gt;"",INT(IF(AND(CALC!$F$1&gt;0,N(INDEX(BASELINE!$A123:$ZZ123,CALC!$F$1))&gt;0),N(INDEX(BASELINE!$A123:$ZZ123,CALC!$F$1)),N(INDEX(BASELINE!$A123:$ZZ123,CALC!$P$1))))=INT(SIMOPS!$D$3),IFERROR(UPPER(TRIM(INDEX(BASELINE!$A123:$ZZ123,CALC!$R$1)&amp;"")),"")&lt;&gt;"ENCERRADA"),1,0),0)</f>
        <v/>
      </c>
      <c r="B123">
        <f>B122+A123</f>
        <v/>
      </c>
    </row>
    <row r="124">
      <c r="A124">
        <f>IFERROR(IF(AND(INDEX(BASELINE!$A124:$ZZ124,CALC!$H$1)&lt;&gt;"",INT(IF(AND(CALC!$F$1&gt;0,N(INDEX(BASELINE!$A124:$ZZ124,CALC!$F$1))&gt;0),N(INDEX(BASELINE!$A124:$ZZ124,CALC!$F$1)),N(INDEX(BASELINE!$A124:$ZZ124,CALC!$P$1))))=INT(SIMOPS!$D$3),IFERROR(UPPER(TRIM(INDEX(BASELINE!$A124:$ZZ124,CALC!$R$1)&amp;"")),"")&lt;&gt;"ENCERRADA"),1,0),0)</f>
        <v/>
      </c>
      <c r="B124">
        <f>B123+A124</f>
        <v/>
      </c>
    </row>
    <row r="125">
      <c r="A125">
        <f>IFERROR(IF(AND(INDEX(BASELINE!$A125:$ZZ125,CALC!$H$1)&lt;&gt;"",INT(IF(AND(CALC!$F$1&gt;0,N(INDEX(BASELINE!$A125:$ZZ125,CALC!$F$1))&gt;0),N(INDEX(BASELINE!$A125:$ZZ125,CALC!$F$1)),N(INDEX(BASELINE!$A125:$ZZ125,CALC!$P$1))))=INT(SIMOPS!$D$3),IFERROR(UPPER(TRIM(INDEX(BASELINE!$A125:$ZZ125,CALC!$R$1)&amp;"")),"")&lt;&gt;"ENCERRADA"),1,0),0)</f>
        <v/>
      </c>
      <c r="B125">
        <f>B124+A125</f>
        <v/>
      </c>
    </row>
    <row r="126">
      <c r="A126">
        <f>IFERROR(IF(AND(INDEX(BASELINE!$A126:$ZZ126,CALC!$H$1)&lt;&gt;"",INT(IF(AND(CALC!$F$1&gt;0,N(INDEX(BASELINE!$A126:$ZZ126,CALC!$F$1))&gt;0),N(INDEX(BASELINE!$A126:$ZZ126,CALC!$F$1)),N(INDEX(BASELINE!$A126:$ZZ126,CALC!$P$1))))=INT(SIMOPS!$D$3),IFERROR(UPPER(TRIM(INDEX(BASELINE!$A126:$ZZ126,CALC!$R$1)&amp;"")),"")&lt;&gt;"ENCERRADA"),1,0),0)</f>
        <v/>
      </c>
      <c r="B126">
        <f>B125+A126</f>
        <v/>
      </c>
    </row>
    <row r="127">
      <c r="A127">
        <f>IFERROR(IF(AND(INDEX(BASELINE!$A127:$ZZ127,CALC!$H$1)&lt;&gt;"",INT(IF(AND(CALC!$F$1&gt;0,N(INDEX(BASELINE!$A127:$ZZ127,CALC!$F$1))&gt;0),N(INDEX(BASELINE!$A127:$ZZ127,CALC!$F$1)),N(INDEX(BASELINE!$A127:$ZZ127,CALC!$P$1))))=INT(SIMOPS!$D$3),IFERROR(UPPER(TRIM(INDEX(BASELINE!$A127:$ZZ127,CALC!$R$1)&amp;"")),"")&lt;&gt;"ENCERRADA"),1,0),0)</f>
        <v/>
      </c>
      <c r="B127">
        <f>B126+A127</f>
        <v/>
      </c>
    </row>
    <row r="128">
      <c r="A128">
        <f>IFERROR(IF(AND(INDEX(BASELINE!$A128:$ZZ128,CALC!$H$1)&lt;&gt;"",INT(IF(AND(CALC!$F$1&gt;0,N(INDEX(BASELINE!$A128:$ZZ128,CALC!$F$1))&gt;0),N(INDEX(BASELINE!$A128:$ZZ128,CALC!$F$1)),N(INDEX(BASELINE!$A128:$ZZ128,CALC!$P$1))))=INT(SIMOPS!$D$3),IFERROR(UPPER(TRIM(INDEX(BASELINE!$A128:$ZZ128,CALC!$R$1)&amp;"")),"")&lt;&gt;"ENCERRADA"),1,0),0)</f>
        <v/>
      </c>
      <c r="B128">
        <f>B127+A128</f>
        <v/>
      </c>
    </row>
    <row r="129">
      <c r="A129">
        <f>IFERROR(IF(AND(INDEX(BASELINE!$A129:$ZZ129,CALC!$H$1)&lt;&gt;"",INT(IF(AND(CALC!$F$1&gt;0,N(INDEX(BASELINE!$A129:$ZZ129,CALC!$F$1))&gt;0),N(INDEX(BASELINE!$A129:$ZZ129,CALC!$F$1)),N(INDEX(BASELINE!$A129:$ZZ129,CALC!$P$1))))=INT(SIMOPS!$D$3),IFERROR(UPPER(TRIM(INDEX(BASELINE!$A129:$ZZ129,CALC!$R$1)&amp;"")),"")&lt;&gt;"ENCERRADA"),1,0),0)</f>
        <v/>
      </c>
      <c r="B129">
        <f>B128+A129</f>
        <v/>
      </c>
    </row>
    <row r="130">
      <c r="A130">
        <f>IFERROR(IF(AND(INDEX(BASELINE!$A130:$ZZ130,CALC!$H$1)&lt;&gt;"",INT(IF(AND(CALC!$F$1&gt;0,N(INDEX(BASELINE!$A130:$ZZ130,CALC!$F$1))&gt;0),N(INDEX(BASELINE!$A130:$ZZ130,CALC!$F$1)),N(INDEX(BASELINE!$A130:$ZZ130,CALC!$P$1))))=INT(SIMOPS!$D$3),IFERROR(UPPER(TRIM(INDEX(BASELINE!$A130:$ZZ130,CALC!$R$1)&amp;"")),"")&lt;&gt;"ENCERRADA"),1,0),0)</f>
        <v/>
      </c>
      <c r="B130">
        <f>B129+A130</f>
        <v/>
      </c>
    </row>
    <row r="131">
      <c r="A131">
        <f>IFERROR(IF(AND(INDEX(BASELINE!$A131:$ZZ131,CALC!$H$1)&lt;&gt;"",INT(IF(AND(CALC!$F$1&gt;0,N(INDEX(BASELINE!$A131:$ZZ131,CALC!$F$1))&gt;0),N(INDEX(BASELINE!$A131:$ZZ131,CALC!$F$1)),N(INDEX(BASELINE!$A131:$ZZ131,CALC!$P$1))))=INT(SIMOPS!$D$3),IFERROR(UPPER(TRIM(INDEX(BASELINE!$A131:$ZZ131,CALC!$R$1)&amp;"")),"")&lt;&gt;"ENCERRADA"),1,0),0)</f>
        <v/>
      </c>
      <c r="B131">
        <f>B130+A131</f>
        <v/>
      </c>
    </row>
    <row r="132">
      <c r="A132">
        <f>IFERROR(IF(AND(INDEX(BASELINE!$A132:$ZZ132,CALC!$H$1)&lt;&gt;"",INT(IF(AND(CALC!$F$1&gt;0,N(INDEX(BASELINE!$A132:$ZZ132,CALC!$F$1))&gt;0),N(INDEX(BASELINE!$A132:$ZZ132,CALC!$F$1)),N(INDEX(BASELINE!$A132:$ZZ132,CALC!$P$1))))=INT(SIMOPS!$D$3),IFERROR(UPPER(TRIM(INDEX(BASELINE!$A132:$ZZ132,CALC!$R$1)&amp;"")),"")&lt;&gt;"ENCERRADA"),1,0),0)</f>
        <v/>
      </c>
      <c r="B132">
        <f>B131+A132</f>
        <v/>
      </c>
    </row>
    <row r="133">
      <c r="A133">
        <f>IFERROR(IF(AND(INDEX(BASELINE!$A133:$ZZ133,CALC!$H$1)&lt;&gt;"",INT(IF(AND(CALC!$F$1&gt;0,N(INDEX(BASELINE!$A133:$ZZ133,CALC!$F$1))&gt;0),N(INDEX(BASELINE!$A133:$ZZ133,CALC!$F$1)),N(INDEX(BASELINE!$A133:$ZZ133,CALC!$P$1))))=INT(SIMOPS!$D$3),IFERROR(UPPER(TRIM(INDEX(BASELINE!$A133:$ZZ133,CALC!$R$1)&amp;"")),"")&lt;&gt;"ENCERRADA"),1,0),0)</f>
        <v/>
      </c>
      <c r="B133">
        <f>B132+A133</f>
        <v/>
      </c>
    </row>
    <row r="134">
      <c r="A134">
        <f>IFERROR(IF(AND(INDEX(BASELINE!$A134:$ZZ134,CALC!$H$1)&lt;&gt;"",INT(IF(AND(CALC!$F$1&gt;0,N(INDEX(BASELINE!$A134:$ZZ134,CALC!$F$1))&gt;0),N(INDEX(BASELINE!$A134:$ZZ134,CALC!$F$1)),N(INDEX(BASELINE!$A134:$ZZ134,CALC!$P$1))))=INT(SIMOPS!$D$3),IFERROR(UPPER(TRIM(INDEX(BASELINE!$A134:$ZZ134,CALC!$R$1)&amp;"")),"")&lt;&gt;"ENCERRADA"),1,0),0)</f>
        <v/>
      </c>
      <c r="B134">
        <f>B133+A134</f>
        <v/>
      </c>
    </row>
    <row r="135">
      <c r="A135">
        <f>IFERROR(IF(AND(INDEX(BASELINE!$A135:$ZZ135,CALC!$H$1)&lt;&gt;"",INT(IF(AND(CALC!$F$1&gt;0,N(INDEX(BASELINE!$A135:$ZZ135,CALC!$F$1))&gt;0),N(INDEX(BASELINE!$A135:$ZZ135,CALC!$F$1)),N(INDEX(BASELINE!$A135:$ZZ135,CALC!$P$1))))=INT(SIMOPS!$D$3),IFERROR(UPPER(TRIM(INDEX(BASELINE!$A135:$ZZ135,CALC!$R$1)&amp;"")),"")&lt;&gt;"ENCERRADA"),1,0),0)</f>
        <v/>
      </c>
      <c r="B135">
        <f>B134+A135</f>
        <v/>
      </c>
    </row>
    <row r="136">
      <c r="A136">
        <f>IFERROR(IF(AND(INDEX(BASELINE!$A136:$ZZ136,CALC!$H$1)&lt;&gt;"",INT(IF(AND(CALC!$F$1&gt;0,N(INDEX(BASELINE!$A136:$ZZ136,CALC!$F$1))&gt;0),N(INDEX(BASELINE!$A136:$ZZ136,CALC!$F$1)),N(INDEX(BASELINE!$A136:$ZZ136,CALC!$P$1))))=INT(SIMOPS!$D$3),IFERROR(UPPER(TRIM(INDEX(BASELINE!$A136:$ZZ136,CALC!$R$1)&amp;"")),"")&lt;&gt;"ENCERRADA"),1,0),0)</f>
        <v/>
      </c>
      <c r="B136">
        <f>B135+A136</f>
        <v/>
      </c>
    </row>
    <row r="137">
      <c r="A137">
        <f>IFERROR(IF(AND(INDEX(BASELINE!$A137:$ZZ137,CALC!$H$1)&lt;&gt;"",INT(IF(AND(CALC!$F$1&gt;0,N(INDEX(BASELINE!$A137:$ZZ137,CALC!$F$1))&gt;0),N(INDEX(BASELINE!$A137:$ZZ137,CALC!$F$1)),N(INDEX(BASELINE!$A137:$ZZ137,CALC!$P$1))))=INT(SIMOPS!$D$3),IFERROR(UPPER(TRIM(INDEX(BASELINE!$A137:$ZZ137,CALC!$R$1)&amp;"")),"")&lt;&gt;"ENCERRADA"),1,0),0)</f>
        <v/>
      </c>
      <c r="B137">
        <f>B136+A137</f>
        <v/>
      </c>
    </row>
    <row r="138">
      <c r="A138">
        <f>IFERROR(IF(AND(INDEX(BASELINE!$A138:$ZZ138,CALC!$H$1)&lt;&gt;"",INT(IF(AND(CALC!$F$1&gt;0,N(INDEX(BASELINE!$A138:$ZZ138,CALC!$F$1))&gt;0),N(INDEX(BASELINE!$A138:$ZZ138,CALC!$F$1)),N(INDEX(BASELINE!$A138:$ZZ138,CALC!$P$1))))=INT(SIMOPS!$D$3),IFERROR(UPPER(TRIM(INDEX(BASELINE!$A138:$ZZ138,CALC!$R$1)&amp;"")),"")&lt;&gt;"ENCERRADA"),1,0),0)</f>
        <v/>
      </c>
      <c r="B138">
        <f>B137+A138</f>
        <v/>
      </c>
    </row>
    <row r="139">
      <c r="A139">
        <f>IFERROR(IF(AND(INDEX(BASELINE!$A139:$ZZ139,CALC!$H$1)&lt;&gt;"",INT(IF(AND(CALC!$F$1&gt;0,N(INDEX(BASELINE!$A139:$ZZ139,CALC!$F$1))&gt;0),N(INDEX(BASELINE!$A139:$ZZ139,CALC!$F$1)),N(INDEX(BASELINE!$A139:$ZZ139,CALC!$P$1))))=INT(SIMOPS!$D$3),IFERROR(UPPER(TRIM(INDEX(BASELINE!$A139:$ZZ139,CALC!$R$1)&amp;"")),"")&lt;&gt;"ENCERRADA"),1,0),0)</f>
        <v/>
      </c>
      <c r="B139">
        <f>B138+A139</f>
        <v/>
      </c>
    </row>
    <row r="140">
      <c r="A140">
        <f>IFERROR(IF(AND(INDEX(BASELINE!$A140:$ZZ140,CALC!$H$1)&lt;&gt;"",INT(IF(AND(CALC!$F$1&gt;0,N(INDEX(BASELINE!$A140:$ZZ140,CALC!$F$1))&gt;0),N(INDEX(BASELINE!$A140:$ZZ140,CALC!$F$1)),N(INDEX(BASELINE!$A140:$ZZ140,CALC!$P$1))))=INT(SIMOPS!$D$3),IFERROR(UPPER(TRIM(INDEX(BASELINE!$A140:$ZZ140,CALC!$R$1)&amp;"")),"")&lt;&gt;"ENCERRADA"),1,0),0)</f>
        <v/>
      </c>
      <c r="B140">
        <f>B139+A140</f>
        <v/>
      </c>
    </row>
    <row r="141">
      <c r="A141">
        <f>IFERROR(IF(AND(INDEX(BASELINE!$A141:$ZZ141,CALC!$H$1)&lt;&gt;"",INT(IF(AND(CALC!$F$1&gt;0,N(INDEX(BASELINE!$A141:$ZZ141,CALC!$F$1))&gt;0),N(INDEX(BASELINE!$A141:$ZZ141,CALC!$F$1)),N(INDEX(BASELINE!$A141:$ZZ141,CALC!$P$1))))=INT(SIMOPS!$D$3),IFERROR(UPPER(TRIM(INDEX(BASELINE!$A141:$ZZ141,CALC!$R$1)&amp;"")),"")&lt;&gt;"ENCERRADA"),1,0),0)</f>
        <v/>
      </c>
      <c r="B141">
        <f>B140+A141</f>
        <v/>
      </c>
    </row>
    <row r="142">
      <c r="A142">
        <f>IFERROR(IF(AND(INDEX(BASELINE!$A142:$ZZ142,CALC!$H$1)&lt;&gt;"",INT(IF(AND(CALC!$F$1&gt;0,N(INDEX(BASELINE!$A142:$ZZ142,CALC!$F$1))&gt;0),N(INDEX(BASELINE!$A142:$ZZ142,CALC!$F$1)),N(INDEX(BASELINE!$A142:$ZZ142,CALC!$P$1))))=INT(SIMOPS!$D$3),IFERROR(UPPER(TRIM(INDEX(BASELINE!$A142:$ZZ142,CALC!$R$1)&amp;"")),"")&lt;&gt;"ENCERRADA"),1,0),0)</f>
        <v/>
      </c>
      <c r="B142">
        <f>B141+A142</f>
        <v/>
      </c>
    </row>
    <row r="143">
      <c r="A143">
        <f>IFERROR(IF(AND(INDEX(BASELINE!$A143:$ZZ143,CALC!$H$1)&lt;&gt;"",INT(IF(AND(CALC!$F$1&gt;0,N(INDEX(BASELINE!$A143:$ZZ143,CALC!$F$1))&gt;0),N(INDEX(BASELINE!$A143:$ZZ143,CALC!$F$1)),N(INDEX(BASELINE!$A143:$ZZ143,CALC!$P$1))))=INT(SIMOPS!$D$3),IFERROR(UPPER(TRIM(INDEX(BASELINE!$A143:$ZZ143,CALC!$R$1)&amp;"")),"")&lt;&gt;"ENCERRADA"),1,0),0)</f>
        <v/>
      </c>
      <c r="B143">
        <f>B142+A143</f>
        <v/>
      </c>
    </row>
    <row r="144">
      <c r="A144">
        <f>IFERROR(IF(AND(INDEX(BASELINE!$A144:$ZZ144,CALC!$H$1)&lt;&gt;"",INT(IF(AND(CALC!$F$1&gt;0,N(INDEX(BASELINE!$A144:$ZZ144,CALC!$F$1))&gt;0),N(INDEX(BASELINE!$A144:$ZZ144,CALC!$F$1)),N(INDEX(BASELINE!$A144:$ZZ144,CALC!$P$1))))=INT(SIMOPS!$D$3),IFERROR(UPPER(TRIM(INDEX(BASELINE!$A144:$ZZ144,CALC!$R$1)&amp;"")),"")&lt;&gt;"ENCERRADA"),1,0),0)</f>
        <v/>
      </c>
      <c r="B144">
        <f>B143+A144</f>
        <v/>
      </c>
    </row>
    <row r="145">
      <c r="A145">
        <f>IFERROR(IF(AND(INDEX(BASELINE!$A145:$ZZ145,CALC!$H$1)&lt;&gt;"",INT(IF(AND(CALC!$F$1&gt;0,N(INDEX(BASELINE!$A145:$ZZ145,CALC!$F$1))&gt;0),N(INDEX(BASELINE!$A145:$ZZ145,CALC!$F$1)),N(INDEX(BASELINE!$A145:$ZZ145,CALC!$P$1))))=INT(SIMOPS!$D$3),IFERROR(UPPER(TRIM(INDEX(BASELINE!$A145:$ZZ145,CALC!$R$1)&amp;"")),"")&lt;&gt;"ENCERRADA"),1,0),0)</f>
        <v/>
      </c>
      <c r="B145">
        <f>B144+A145</f>
        <v/>
      </c>
    </row>
    <row r="146">
      <c r="A146">
        <f>IFERROR(IF(AND(INDEX(BASELINE!$A146:$ZZ146,CALC!$H$1)&lt;&gt;"",INT(IF(AND(CALC!$F$1&gt;0,N(INDEX(BASELINE!$A146:$ZZ146,CALC!$F$1))&gt;0),N(INDEX(BASELINE!$A146:$ZZ146,CALC!$F$1)),N(INDEX(BASELINE!$A146:$ZZ146,CALC!$P$1))))=INT(SIMOPS!$D$3),IFERROR(UPPER(TRIM(INDEX(BASELINE!$A146:$ZZ146,CALC!$R$1)&amp;"")),"")&lt;&gt;"ENCERRADA"),1,0),0)</f>
        <v/>
      </c>
      <c r="B146">
        <f>B145+A146</f>
        <v/>
      </c>
    </row>
    <row r="147">
      <c r="A147">
        <f>IFERROR(IF(AND(INDEX(BASELINE!$A147:$ZZ147,CALC!$H$1)&lt;&gt;"",INT(IF(AND(CALC!$F$1&gt;0,N(INDEX(BASELINE!$A147:$ZZ147,CALC!$F$1))&gt;0),N(INDEX(BASELINE!$A147:$ZZ147,CALC!$F$1)),N(INDEX(BASELINE!$A147:$ZZ147,CALC!$P$1))))=INT(SIMOPS!$D$3),IFERROR(UPPER(TRIM(INDEX(BASELINE!$A147:$ZZ147,CALC!$R$1)&amp;"")),"")&lt;&gt;"ENCERRADA"),1,0),0)</f>
        <v/>
      </c>
      <c r="B147">
        <f>B146+A147</f>
        <v/>
      </c>
    </row>
    <row r="148">
      <c r="A148">
        <f>IFERROR(IF(AND(INDEX(BASELINE!$A148:$ZZ148,CALC!$H$1)&lt;&gt;"",INT(IF(AND(CALC!$F$1&gt;0,N(INDEX(BASELINE!$A148:$ZZ148,CALC!$F$1))&gt;0),N(INDEX(BASELINE!$A148:$ZZ148,CALC!$F$1)),N(INDEX(BASELINE!$A148:$ZZ148,CALC!$P$1))))=INT(SIMOPS!$D$3),IFERROR(UPPER(TRIM(INDEX(BASELINE!$A148:$ZZ148,CALC!$R$1)&amp;"")),"")&lt;&gt;"ENCERRADA"),1,0),0)</f>
        <v/>
      </c>
      <c r="B148">
        <f>B147+A148</f>
        <v/>
      </c>
    </row>
    <row r="149">
      <c r="A149">
        <f>IFERROR(IF(AND(INDEX(BASELINE!$A149:$ZZ149,CALC!$H$1)&lt;&gt;"",INT(IF(AND(CALC!$F$1&gt;0,N(INDEX(BASELINE!$A149:$ZZ149,CALC!$F$1))&gt;0),N(INDEX(BASELINE!$A149:$ZZ149,CALC!$F$1)),N(INDEX(BASELINE!$A149:$ZZ149,CALC!$P$1))))=INT(SIMOPS!$D$3),IFERROR(UPPER(TRIM(INDEX(BASELINE!$A149:$ZZ149,CALC!$R$1)&amp;"")),"")&lt;&gt;"ENCERRADA"),1,0),0)</f>
        <v/>
      </c>
      <c r="B149">
        <f>B148+A149</f>
        <v/>
      </c>
    </row>
    <row r="150">
      <c r="A150">
        <f>IFERROR(IF(AND(INDEX(BASELINE!$A150:$ZZ150,CALC!$H$1)&lt;&gt;"",INT(IF(AND(CALC!$F$1&gt;0,N(INDEX(BASELINE!$A150:$ZZ150,CALC!$F$1))&gt;0),N(INDEX(BASELINE!$A150:$ZZ150,CALC!$F$1)),N(INDEX(BASELINE!$A150:$ZZ150,CALC!$P$1))))=INT(SIMOPS!$D$3),IFERROR(UPPER(TRIM(INDEX(BASELINE!$A150:$ZZ150,CALC!$R$1)&amp;"")),"")&lt;&gt;"ENCERRADA"),1,0),0)</f>
        <v/>
      </c>
      <c r="B150">
        <f>B149+A150</f>
        <v/>
      </c>
    </row>
    <row r="151">
      <c r="A151">
        <f>IFERROR(IF(AND(INDEX(BASELINE!$A151:$ZZ151,CALC!$H$1)&lt;&gt;"",INT(IF(AND(CALC!$F$1&gt;0,N(INDEX(BASELINE!$A151:$ZZ151,CALC!$F$1))&gt;0),N(INDEX(BASELINE!$A151:$ZZ151,CALC!$F$1)),N(INDEX(BASELINE!$A151:$ZZ151,CALC!$P$1))))=INT(SIMOPS!$D$3),IFERROR(UPPER(TRIM(INDEX(BASELINE!$A151:$ZZ151,CALC!$R$1)&amp;"")),"")&lt;&gt;"ENCERRADA"),1,0),0)</f>
        <v/>
      </c>
      <c r="B151">
        <f>B150+A151</f>
        <v/>
      </c>
    </row>
    <row r="152">
      <c r="A152">
        <f>IFERROR(IF(AND(INDEX(BASELINE!$A152:$ZZ152,CALC!$H$1)&lt;&gt;"",INT(IF(AND(CALC!$F$1&gt;0,N(INDEX(BASELINE!$A152:$ZZ152,CALC!$F$1))&gt;0),N(INDEX(BASELINE!$A152:$ZZ152,CALC!$F$1)),N(INDEX(BASELINE!$A152:$ZZ152,CALC!$P$1))))=INT(SIMOPS!$D$3),IFERROR(UPPER(TRIM(INDEX(BASELINE!$A152:$ZZ152,CALC!$R$1)&amp;"")),"")&lt;&gt;"ENCERRADA"),1,0),0)</f>
        <v/>
      </c>
      <c r="B152">
        <f>B151+A152</f>
        <v/>
      </c>
    </row>
    <row r="153">
      <c r="A153">
        <f>IFERROR(IF(AND(INDEX(BASELINE!$A153:$ZZ153,CALC!$H$1)&lt;&gt;"",INT(IF(AND(CALC!$F$1&gt;0,N(INDEX(BASELINE!$A153:$ZZ153,CALC!$F$1))&gt;0),N(INDEX(BASELINE!$A153:$ZZ153,CALC!$F$1)),N(INDEX(BASELINE!$A153:$ZZ153,CALC!$P$1))))=INT(SIMOPS!$D$3),IFERROR(UPPER(TRIM(INDEX(BASELINE!$A153:$ZZ153,CALC!$R$1)&amp;"")),"")&lt;&gt;"ENCERRADA"),1,0),0)</f>
        <v/>
      </c>
      <c r="B153">
        <f>B152+A153</f>
        <v/>
      </c>
    </row>
    <row r="154">
      <c r="A154">
        <f>IFERROR(IF(AND(INDEX(BASELINE!$A154:$ZZ154,CALC!$H$1)&lt;&gt;"",INT(IF(AND(CALC!$F$1&gt;0,N(INDEX(BASELINE!$A154:$ZZ154,CALC!$F$1))&gt;0),N(INDEX(BASELINE!$A154:$ZZ154,CALC!$F$1)),N(INDEX(BASELINE!$A154:$ZZ154,CALC!$P$1))))=INT(SIMOPS!$D$3),IFERROR(UPPER(TRIM(INDEX(BASELINE!$A154:$ZZ154,CALC!$R$1)&amp;"")),"")&lt;&gt;"ENCERRADA"),1,0),0)</f>
        <v/>
      </c>
      <c r="B154">
        <f>B153+A154</f>
        <v/>
      </c>
    </row>
    <row r="155">
      <c r="A155">
        <f>IFERROR(IF(AND(INDEX(BASELINE!$A155:$ZZ155,CALC!$H$1)&lt;&gt;"",INT(IF(AND(CALC!$F$1&gt;0,N(INDEX(BASELINE!$A155:$ZZ155,CALC!$F$1))&gt;0),N(INDEX(BASELINE!$A155:$ZZ155,CALC!$F$1)),N(INDEX(BASELINE!$A155:$ZZ155,CALC!$P$1))))=INT(SIMOPS!$D$3),IFERROR(UPPER(TRIM(INDEX(BASELINE!$A155:$ZZ155,CALC!$R$1)&amp;"")),"")&lt;&gt;"ENCERRADA"),1,0),0)</f>
        <v/>
      </c>
      <c r="B155">
        <f>B154+A155</f>
        <v/>
      </c>
    </row>
    <row r="156">
      <c r="A156">
        <f>IFERROR(IF(AND(INDEX(BASELINE!$A156:$ZZ156,CALC!$H$1)&lt;&gt;"",INT(IF(AND(CALC!$F$1&gt;0,N(INDEX(BASELINE!$A156:$ZZ156,CALC!$F$1))&gt;0),N(INDEX(BASELINE!$A156:$ZZ156,CALC!$F$1)),N(INDEX(BASELINE!$A156:$ZZ156,CALC!$P$1))))=INT(SIMOPS!$D$3),IFERROR(UPPER(TRIM(INDEX(BASELINE!$A156:$ZZ156,CALC!$R$1)&amp;"")),"")&lt;&gt;"ENCERRADA"),1,0),0)</f>
        <v/>
      </c>
      <c r="B156">
        <f>B155+A156</f>
        <v/>
      </c>
    </row>
    <row r="157">
      <c r="A157">
        <f>IFERROR(IF(AND(INDEX(BASELINE!$A157:$ZZ157,CALC!$H$1)&lt;&gt;"",INT(IF(AND(CALC!$F$1&gt;0,N(INDEX(BASELINE!$A157:$ZZ157,CALC!$F$1))&gt;0),N(INDEX(BASELINE!$A157:$ZZ157,CALC!$F$1)),N(INDEX(BASELINE!$A157:$ZZ157,CALC!$P$1))))=INT(SIMOPS!$D$3),IFERROR(UPPER(TRIM(INDEX(BASELINE!$A157:$ZZ157,CALC!$R$1)&amp;"")),"")&lt;&gt;"ENCERRADA"),1,0),0)</f>
        <v/>
      </c>
      <c r="B157">
        <f>B156+A157</f>
        <v/>
      </c>
    </row>
    <row r="158">
      <c r="A158">
        <f>IFERROR(IF(AND(INDEX(BASELINE!$A158:$ZZ158,CALC!$H$1)&lt;&gt;"",INT(IF(AND(CALC!$F$1&gt;0,N(INDEX(BASELINE!$A158:$ZZ158,CALC!$F$1))&gt;0),N(INDEX(BASELINE!$A158:$ZZ158,CALC!$F$1)),N(INDEX(BASELINE!$A158:$ZZ158,CALC!$P$1))))=INT(SIMOPS!$D$3),IFERROR(UPPER(TRIM(INDEX(BASELINE!$A158:$ZZ158,CALC!$R$1)&amp;"")),"")&lt;&gt;"ENCERRADA"),1,0),0)</f>
        <v/>
      </c>
      <c r="B158">
        <f>B157+A158</f>
        <v/>
      </c>
    </row>
    <row r="159">
      <c r="A159">
        <f>IFERROR(IF(AND(INDEX(BASELINE!$A159:$ZZ159,CALC!$H$1)&lt;&gt;"",INT(IF(AND(CALC!$F$1&gt;0,N(INDEX(BASELINE!$A159:$ZZ159,CALC!$F$1))&gt;0),N(INDEX(BASELINE!$A159:$ZZ159,CALC!$F$1)),N(INDEX(BASELINE!$A159:$ZZ159,CALC!$P$1))))=INT(SIMOPS!$D$3),IFERROR(UPPER(TRIM(INDEX(BASELINE!$A159:$ZZ159,CALC!$R$1)&amp;"")),"")&lt;&gt;"ENCERRADA"),1,0),0)</f>
        <v/>
      </c>
      <c r="B159">
        <f>B158+A159</f>
        <v/>
      </c>
    </row>
    <row r="160">
      <c r="A160">
        <f>IFERROR(IF(AND(INDEX(BASELINE!$A160:$ZZ160,CALC!$H$1)&lt;&gt;"",INT(IF(AND(CALC!$F$1&gt;0,N(INDEX(BASELINE!$A160:$ZZ160,CALC!$F$1))&gt;0),N(INDEX(BASELINE!$A160:$ZZ160,CALC!$F$1)),N(INDEX(BASELINE!$A160:$ZZ160,CALC!$P$1))))=INT(SIMOPS!$D$3),IFERROR(UPPER(TRIM(INDEX(BASELINE!$A160:$ZZ160,CALC!$R$1)&amp;"")),"")&lt;&gt;"ENCERRADA"),1,0),0)</f>
        <v/>
      </c>
      <c r="B160">
        <f>B159+A160</f>
        <v/>
      </c>
    </row>
    <row r="161">
      <c r="A161">
        <f>IFERROR(IF(AND(INDEX(BASELINE!$A161:$ZZ161,CALC!$H$1)&lt;&gt;"",INT(IF(AND(CALC!$F$1&gt;0,N(INDEX(BASELINE!$A161:$ZZ161,CALC!$F$1))&gt;0),N(INDEX(BASELINE!$A161:$ZZ161,CALC!$F$1)),N(INDEX(BASELINE!$A161:$ZZ161,CALC!$P$1))))=INT(SIMOPS!$D$3),IFERROR(UPPER(TRIM(INDEX(BASELINE!$A161:$ZZ161,CALC!$R$1)&amp;"")),"")&lt;&gt;"ENCERRADA"),1,0),0)</f>
        <v/>
      </c>
      <c r="B161">
        <f>B160+A161</f>
        <v/>
      </c>
    </row>
    <row r="162">
      <c r="A162">
        <f>IFERROR(IF(AND(INDEX(BASELINE!$A162:$ZZ162,CALC!$H$1)&lt;&gt;"",INT(IF(AND(CALC!$F$1&gt;0,N(INDEX(BASELINE!$A162:$ZZ162,CALC!$F$1))&gt;0),N(INDEX(BASELINE!$A162:$ZZ162,CALC!$F$1)),N(INDEX(BASELINE!$A162:$ZZ162,CALC!$P$1))))=INT(SIMOPS!$D$3),IFERROR(UPPER(TRIM(INDEX(BASELINE!$A162:$ZZ162,CALC!$R$1)&amp;"")),"")&lt;&gt;"ENCERRADA"),1,0),0)</f>
        <v/>
      </c>
      <c r="B162">
        <f>B161+A162</f>
        <v/>
      </c>
    </row>
    <row r="163">
      <c r="A163">
        <f>IFERROR(IF(AND(INDEX(BASELINE!$A163:$ZZ163,CALC!$H$1)&lt;&gt;"",INT(IF(AND(CALC!$F$1&gt;0,N(INDEX(BASELINE!$A163:$ZZ163,CALC!$F$1))&gt;0),N(INDEX(BASELINE!$A163:$ZZ163,CALC!$F$1)),N(INDEX(BASELINE!$A163:$ZZ163,CALC!$P$1))))=INT(SIMOPS!$D$3),IFERROR(UPPER(TRIM(INDEX(BASELINE!$A163:$ZZ163,CALC!$R$1)&amp;"")),"")&lt;&gt;"ENCERRADA"),1,0),0)</f>
        <v/>
      </c>
      <c r="B163">
        <f>B162+A163</f>
        <v/>
      </c>
    </row>
    <row r="164">
      <c r="A164">
        <f>IFERROR(IF(AND(INDEX(BASELINE!$A164:$ZZ164,CALC!$H$1)&lt;&gt;"",INT(IF(AND(CALC!$F$1&gt;0,N(INDEX(BASELINE!$A164:$ZZ164,CALC!$F$1))&gt;0),N(INDEX(BASELINE!$A164:$ZZ164,CALC!$F$1)),N(INDEX(BASELINE!$A164:$ZZ164,CALC!$P$1))))=INT(SIMOPS!$D$3),IFERROR(UPPER(TRIM(INDEX(BASELINE!$A164:$ZZ164,CALC!$R$1)&amp;"")),"")&lt;&gt;"ENCERRADA"),1,0),0)</f>
        <v/>
      </c>
      <c r="B164">
        <f>B163+A164</f>
        <v/>
      </c>
    </row>
    <row r="165">
      <c r="A165">
        <f>IFERROR(IF(AND(INDEX(BASELINE!$A165:$ZZ165,CALC!$H$1)&lt;&gt;"",INT(IF(AND(CALC!$F$1&gt;0,N(INDEX(BASELINE!$A165:$ZZ165,CALC!$F$1))&gt;0),N(INDEX(BASELINE!$A165:$ZZ165,CALC!$F$1)),N(INDEX(BASELINE!$A165:$ZZ165,CALC!$P$1))))=INT(SIMOPS!$D$3),IFERROR(UPPER(TRIM(INDEX(BASELINE!$A165:$ZZ165,CALC!$R$1)&amp;"")),"")&lt;&gt;"ENCERRADA"),1,0),0)</f>
        <v/>
      </c>
      <c r="B165">
        <f>B164+A165</f>
        <v/>
      </c>
    </row>
    <row r="166">
      <c r="A166">
        <f>IFERROR(IF(AND(INDEX(BASELINE!$A166:$ZZ166,CALC!$H$1)&lt;&gt;"",INT(IF(AND(CALC!$F$1&gt;0,N(INDEX(BASELINE!$A166:$ZZ166,CALC!$F$1))&gt;0),N(INDEX(BASELINE!$A166:$ZZ166,CALC!$F$1)),N(INDEX(BASELINE!$A166:$ZZ166,CALC!$P$1))))=INT(SIMOPS!$D$3),IFERROR(UPPER(TRIM(INDEX(BASELINE!$A166:$ZZ166,CALC!$R$1)&amp;"")),"")&lt;&gt;"ENCERRADA"),1,0),0)</f>
        <v/>
      </c>
      <c r="B166">
        <f>B165+A166</f>
        <v/>
      </c>
    </row>
    <row r="167">
      <c r="A167">
        <f>IFERROR(IF(AND(INDEX(BASELINE!$A167:$ZZ167,CALC!$H$1)&lt;&gt;"",INT(IF(AND(CALC!$F$1&gt;0,N(INDEX(BASELINE!$A167:$ZZ167,CALC!$F$1))&gt;0),N(INDEX(BASELINE!$A167:$ZZ167,CALC!$F$1)),N(INDEX(BASELINE!$A167:$ZZ167,CALC!$P$1))))=INT(SIMOPS!$D$3),IFERROR(UPPER(TRIM(INDEX(BASELINE!$A167:$ZZ167,CALC!$R$1)&amp;"")),"")&lt;&gt;"ENCERRADA"),1,0),0)</f>
        <v/>
      </c>
      <c r="B167">
        <f>B166+A167</f>
        <v/>
      </c>
    </row>
    <row r="168">
      <c r="A168">
        <f>IFERROR(IF(AND(INDEX(BASELINE!$A168:$ZZ168,CALC!$H$1)&lt;&gt;"",INT(IF(AND(CALC!$F$1&gt;0,N(INDEX(BASELINE!$A168:$ZZ168,CALC!$F$1))&gt;0),N(INDEX(BASELINE!$A168:$ZZ168,CALC!$F$1)),N(INDEX(BASELINE!$A168:$ZZ168,CALC!$P$1))))=INT(SIMOPS!$D$3),IFERROR(UPPER(TRIM(INDEX(BASELINE!$A168:$ZZ168,CALC!$R$1)&amp;"")),"")&lt;&gt;"ENCERRADA"),1,0),0)</f>
        <v/>
      </c>
      <c r="B168">
        <f>B167+A168</f>
        <v/>
      </c>
    </row>
    <row r="169">
      <c r="A169">
        <f>IFERROR(IF(AND(INDEX(BASELINE!$A169:$ZZ169,CALC!$H$1)&lt;&gt;"",INT(IF(AND(CALC!$F$1&gt;0,N(INDEX(BASELINE!$A169:$ZZ169,CALC!$F$1))&gt;0),N(INDEX(BASELINE!$A169:$ZZ169,CALC!$F$1)),N(INDEX(BASELINE!$A169:$ZZ169,CALC!$P$1))))=INT(SIMOPS!$D$3),IFERROR(UPPER(TRIM(INDEX(BASELINE!$A169:$ZZ169,CALC!$R$1)&amp;"")),"")&lt;&gt;"ENCERRADA"),1,0),0)</f>
        <v/>
      </c>
      <c r="B169">
        <f>B168+A169</f>
        <v/>
      </c>
    </row>
    <row r="170">
      <c r="A170">
        <f>IFERROR(IF(AND(INDEX(BASELINE!$A170:$ZZ170,CALC!$H$1)&lt;&gt;"",INT(IF(AND(CALC!$F$1&gt;0,N(INDEX(BASELINE!$A170:$ZZ170,CALC!$F$1))&gt;0),N(INDEX(BASELINE!$A170:$ZZ170,CALC!$F$1)),N(INDEX(BASELINE!$A170:$ZZ170,CALC!$P$1))))=INT(SIMOPS!$D$3),IFERROR(UPPER(TRIM(INDEX(BASELINE!$A170:$ZZ170,CALC!$R$1)&amp;"")),"")&lt;&gt;"ENCERRADA"),1,0),0)</f>
        <v/>
      </c>
      <c r="B170">
        <f>B169+A170</f>
        <v/>
      </c>
    </row>
    <row r="171">
      <c r="A171">
        <f>IFERROR(IF(AND(INDEX(BASELINE!$A171:$ZZ171,CALC!$H$1)&lt;&gt;"",INT(IF(AND(CALC!$F$1&gt;0,N(INDEX(BASELINE!$A171:$ZZ171,CALC!$F$1))&gt;0),N(INDEX(BASELINE!$A171:$ZZ171,CALC!$F$1)),N(INDEX(BASELINE!$A171:$ZZ171,CALC!$P$1))))=INT(SIMOPS!$D$3),IFERROR(UPPER(TRIM(INDEX(BASELINE!$A171:$ZZ171,CALC!$R$1)&amp;"")),"")&lt;&gt;"ENCERRADA"),1,0),0)</f>
        <v/>
      </c>
      <c r="B171">
        <f>B170+A171</f>
        <v/>
      </c>
    </row>
    <row r="172">
      <c r="A172">
        <f>IFERROR(IF(AND(INDEX(BASELINE!$A172:$ZZ172,CALC!$H$1)&lt;&gt;"",INT(IF(AND(CALC!$F$1&gt;0,N(INDEX(BASELINE!$A172:$ZZ172,CALC!$F$1))&gt;0),N(INDEX(BASELINE!$A172:$ZZ172,CALC!$F$1)),N(INDEX(BASELINE!$A172:$ZZ172,CALC!$P$1))))=INT(SIMOPS!$D$3),IFERROR(UPPER(TRIM(INDEX(BASELINE!$A172:$ZZ172,CALC!$R$1)&amp;"")),"")&lt;&gt;"ENCERRADA"),1,0),0)</f>
        <v/>
      </c>
      <c r="B172">
        <f>B171+A172</f>
        <v/>
      </c>
    </row>
    <row r="173">
      <c r="A173">
        <f>IFERROR(IF(AND(INDEX(BASELINE!$A173:$ZZ173,CALC!$H$1)&lt;&gt;"",INT(IF(AND(CALC!$F$1&gt;0,N(INDEX(BASELINE!$A173:$ZZ173,CALC!$F$1))&gt;0),N(INDEX(BASELINE!$A173:$ZZ173,CALC!$F$1)),N(INDEX(BASELINE!$A173:$ZZ173,CALC!$P$1))))=INT(SIMOPS!$D$3),IFERROR(UPPER(TRIM(INDEX(BASELINE!$A173:$ZZ173,CALC!$R$1)&amp;"")),"")&lt;&gt;"ENCERRADA"),1,0),0)</f>
        <v/>
      </c>
      <c r="B173">
        <f>B172+A173</f>
        <v/>
      </c>
    </row>
    <row r="174">
      <c r="A174">
        <f>IFERROR(IF(AND(INDEX(BASELINE!$A174:$ZZ174,CALC!$H$1)&lt;&gt;"",INT(IF(AND(CALC!$F$1&gt;0,N(INDEX(BASELINE!$A174:$ZZ174,CALC!$F$1))&gt;0),N(INDEX(BASELINE!$A174:$ZZ174,CALC!$F$1)),N(INDEX(BASELINE!$A174:$ZZ174,CALC!$P$1))))=INT(SIMOPS!$D$3),IFERROR(UPPER(TRIM(INDEX(BASELINE!$A174:$ZZ174,CALC!$R$1)&amp;"")),"")&lt;&gt;"ENCERRADA"),1,0),0)</f>
        <v/>
      </c>
      <c r="B174">
        <f>B173+A174</f>
        <v/>
      </c>
    </row>
    <row r="175">
      <c r="A175">
        <f>IFERROR(IF(AND(INDEX(BASELINE!$A175:$ZZ175,CALC!$H$1)&lt;&gt;"",INT(IF(AND(CALC!$F$1&gt;0,N(INDEX(BASELINE!$A175:$ZZ175,CALC!$F$1))&gt;0),N(INDEX(BASELINE!$A175:$ZZ175,CALC!$F$1)),N(INDEX(BASELINE!$A175:$ZZ175,CALC!$P$1))))=INT(SIMOPS!$D$3),IFERROR(UPPER(TRIM(INDEX(BASELINE!$A175:$ZZ175,CALC!$R$1)&amp;"")),"")&lt;&gt;"ENCERRADA"),1,0),0)</f>
        <v/>
      </c>
      <c r="B175">
        <f>B174+A175</f>
        <v/>
      </c>
    </row>
    <row r="176">
      <c r="A176">
        <f>IFERROR(IF(AND(INDEX(BASELINE!$A176:$ZZ176,CALC!$H$1)&lt;&gt;"",INT(IF(AND(CALC!$F$1&gt;0,N(INDEX(BASELINE!$A176:$ZZ176,CALC!$F$1))&gt;0),N(INDEX(BASELINE!$A176:$ZZ176,CALC!$F$1)),N(INDEX(BASELINE!$A176:$ZZ176,CALC!$P$1))))=INT(SIMOPS!$D$3),IFERROR(UPPER(TRIM(INDEX(BASELINE!$A176:$ZZ176,CALC!$R$1)&amp;"")),"")&lt;&gt;"ENCERRADA"),1,0),0)</f>
        <v/>
      </c>
      <c r="B176">
        <f>B175+A176</f>
        <v/>
      </c>
    </row>
    <row r="177">
      <c r="A177">
        <f>IFERROR(IF(AND(INDEX(BASELINE!$A177:$ZZ177,CALC!$H$1)&lt;&gt;"",INT(IF(AND(CALC!$F$1&gt;0,N(INDEX(BASELINE!$A177:$ZZ177,CALC!$F$1))&gt;0),N(INDEX(BASELINE!$A177:$ZZ177,CALC!$F$1)),N(INDEX(BASELINE!$A177:$ZZ177,CALC!$P$1))))=INT(SIMOPS!$D$3),IFERROR(UPPER(TRIM(INDEX(BASELINE!$A177:$ZZ177,CALC!$R$1)&amp;"")),"")&lt;&gt;"ENCERRADA"),1,0),0)</f>
        <v/>
      </c>
      <c r="B177">
        <f>B176+A177</f>
        <v/>
      </c>
    </row>
    <row r="178">
      <c r="A178">
        <f>IFERROR(IF(AND(INDEX(BASELINE!$A178:$ZZ178,CALC!$H$1)&lt;&gt;"",INT(IF(AND(CALC!$F$1&gt;0,N(INDEX(BASELINE!$A178:$ZZ178,CALC!$F$1))&gt;0),N(INDEX(BASELINE!$A178:$ZZ178,CALC!$F$1)),N(INDEX(BASELINE!$A178:$ZZ178,CALC!$P$1))))=INT(SIMOPS!$D$3),IFERROR(UPPER(TRIM(INDEX(BASELINE!$A178:$ZZ178,CALC!$R$1)&amp;"")),"")&lt;&gt;"ENCERRADA"),1,0),0)</f>
        <v/>
      </c>
      <c r="B178">
        <f>B177+A178</f>
        <v/>
      </c>
    </row>
    <row r="179">
      <c r="A179">
        <f>IFERROR(IF(AND(INDEX(BASELINE!$A179:$ZZ179,CALC!$H$1)&lt;&gt;"",INT(IF(AND(CALC!$F$1&gt;0,N(INDEX(BASELINE!$A179:$ZZ179,CALC!$F$1))&gt;0),N(INDEX(BASELINE!$A179:$ZZ179,CALC!$F$1)),N(INDEX(BASELINE!$A179:$ZZ179,CALC!$P$1))))=INT(SIMOPS!$D$3),IFERROR(UPPER(TRIM(INDEX(BASELINE!$A179:$ZZ179,CALC!$R$1)&amp;"")),"")&lt;&gt;"ENCERRADA"),1,0),0)</f>
        <v/>
      </c>
      <c r="B179">
        <f>B178+A179</f>
        <v/>
      </c>
    </row>
    <row r="180">
      <c r="A180">
        <f>IFERROR(IF(AND(INDEX(BASELINE!$A180:$ZZ180,CALC!$H$1)&lt;&gt;"",INT(IF(AND(CALC!$F$1&gt;0,N(INDEX(BASELINE!$A180:$ZZ180,CALC!$F$1))&gt;0),N(INDEX(BASELINE!$A180:$ZZ180,CALC!$F$1)),N(INDEX(BASELINE!$A180:$ZZ180,CALC!$P$1))))=INT(SIMOPS!$D$3),IFERROR(UPPER(TRIM(INDEX(BASELINE!$A180:$ZZ180,CALC!$R$1)&amp;"")),"")&lt;&gt;"ENCERRADA"),1,0),0)</f>
        <v/>
      </c>
      <c r="B180">
        <f>B179+A180</f>
        <v/>
      </c>
    </row>
    <row r="181">
      <c r="A181">
        <f>IFERROR(IF(AND(INDEX(BASELINE!$A181:$ZZ181,CALC!$H$1)&lt;&gt;"",INT(IF(AND(CALC!$F$1&gt;0,N(INDEX(BASELINE!$A181:$ZZ181,CALC!$F$1))&gt;0),N(INDEX(BASELINE!$A181:$ZZ181,CALC!$F$1)),N(INDEX(BASELINE!$A181:$ZZ181,CALC!$P$1))))=INT(SIMOPS!$D$3),IFERROR(UPPER(TRIM(INDEX(BASELINE!$A181:$ZZ181,CALC!$R$1)&amp;"")),"")&lt;&gt;"ENCERRADA"),1,0),0)</f>
        <v/>
      </c>
      <c r="B181">
        <f>B180+A181</f>
        <v/>
      </c>
    </row>
    <row r="182">
      <c r="A182">
        <f>IFERROR(IF(AND(INDEX(BASELINE!$A182:$ZZ182,CALC!$H$1)&lt;&gt;"",INT(IF(AND(CALC!$F$1&gt;0,N(INDEX(BASELINE!$A182:$ZZ182,CALC!$F$1))&gt;0),N(INDEX(BASELINE!$A182:$ZZ182,CALC!$F$1)),N(INDEX(BASELINE!$A182:$ZZ182,CALC!$P$1))))=INT(SIMOPS!$D$3),IFERROR(UPPER(TRIM(INDEX(BASELINE!$A182:$ZZ182,CALC!$R$1)&amp;"")),"")&lt;&gt;"ENCERRADA"),1,0),0)</f>
        <v/>
      </c>
      <c r="B182">
        <f>B181+A182</f>
        <v/>
      </c>
    </row>
    <row r="183">
      <c r="A183">
        <f>IFERROR(IF(AND(INDEX(BASELINE!$A183:$ZZ183,CALC!$H$1)&lt;&gt;"",INT(IF(AND(CALC!$F$1&gt;0,N(INDEX(BASELINE!$A183:$ZZ183,CALC!$F$1))&gt;0),N(INDEX(BASELINE!$A183:$ZZ183,CALC!$F$1)),N(INDEX(BASELINE!$A183:$ZZ183,CALC!$P$1))))=INT(SIMOPS!$D$3),IFERROR(UPPER(TRIM(INDEX(BASELINE!$A183:$ZZ183,CALC!$R$1)&amp;"")),"")&lt;&gt;"ENCERRADA"),1,0),0)</f>
        <v/>
      </c>
      <c r="B183">
        <f>B182+A183</f>
        <v/>
      </c>
    </row>
    <row r="184">
      <c r="A184">
        <f>IFERROR(IF(AND(INDEX(BASELINE!$A184:$ZZ184,CALC!$H$1)&lt;&gt;"",INT(IF(AND(CALC!$F$1&gt;0,N(INDEX(BASELINE!$A184:$ZZ184,CALC!$F$1))&gt;0),N(INDEX(BASELINE!$A184:$ZZ184,CALC!$F$1)),N(INDEX(BASELINE!$A184:$ZZ184,CALC!$P$1))))=INT(SIMOPS!$D$3),IFERROR(UPPER(TRIM(INDEX(BASELINE!$A184:$ZZ184,CALC!$R$1)&amp;"")),"")&lt;&gt;"ENCERRADA"),1,0),0)</f>
        <v/>
      </c>
      <c r="B184">
        <f>B183+A184</f>
        <v/>
      </c>
    </row>
    <row r="185">
      <c r="A185">
        <f>IFERROR(IF(AND(INDEX(BASELINE!$A185:$ZZ185,CALC!$H$1)&lt;&gt;"",INT(IF(AND(CALC!$F$1&gt;0,N(INDEX(BASELINE!$A185:$ZZ185,CALC!$F$1))&gt;0),N(INDEX(BASELINE!$A185:$ZZ185,CALC!$F$1)),N(INDEX(BASELINE!$A185:$ZZ185,CALC!$P$1))))=INT(SIMOPS!$D$3),IFERROR(UPPER(TRIM(INDEX(BASELINE!$A185:$ZZ185,CALC!$R$1)&amp;"")),"")&lt;&gt;"ENCERRADA"),1,0),0)</f>
        <v/>
      </c>
      <c r="B185">
        <f>B184+A185</f>
        <v/>
      </c>
    </row>
    <row r="186">
      <c r="A186">
        <f>IFERROR(IF(AND(INDEX(BASELINE!$A186:$ZZ186,CALC!$H$1)&lt;&gt;"",INT(IF(AND(CALC!$F$1&gt;0,N(INDEX(BASELINE!$A186:$ZZ186,CALC!$F$1))&gt;0),N(INDEX(BASELINE!$A186:$ZZ186,CALC!$F$1)),N(INDEX(BASELINE!$A186:$ZZ186,CALC!$P$1))))=INT(SIMOPS!$D$3),IFERROR(UPPER(TRIM(INDEX(BASELINE!$A186:$ZZ186,CALC!$R$1)&amp;"")),"")&lt;&gt;"ENCERRADA"),1,0),0)</f>
        <v/>
      </c>
      <c r="B186">
        <f>B185+A186</f>
        <v/>
      </c>
    </row>
    <row r="187">
      <c r="A187">
        <f>IFERROR(IF(AND(INDEX(BASELINE!$A187:$ZZ187,CALC!$H$1)&lt;&gt;"",INT(IF(AND(CALC!$F$1&gt;0,N(INDEX(BASELINE!$A187:$ZZ187,CALC!$F$1))&gt;0),N(INDEX(BASELINE!$A187:$ZZ187,CALC!$F$1)),N(INDEX(BASELINE!$A187:$ZZ187,CALC!$P$1))))=INT(SIMOPS!$D$3),IFERROR(UPPER(TRIM(INDEX(BASELINE!$A187:$ZZ187,CALC!$R$1)&amp;"")),"")&lt;&gt;"ENCERRADA"),1,0),0)</f>
        <v/>
      </c>
      <c r="B187">
        <f>B186+A187</f>
        <v/>
      </c>
    </row>
    <row r="188">
      <c r="A188">
        <f>IFERROR(IF(AND(INDEX(BASELINE!$A188:$ZZ188,CALC!$H$1)&lt;&gt;"",INT(IF(AND(CALC!$F$1&gt;0,N(INDEX(BASELINE!$A188:$ZZ188,CALC!$F$1))&gt;0),N(INDEX(BASELINE!$A188:$ZZ188,CALC!$F$1)),N(INDEX(BASELINE!$A188:$ZZ188,CALC!$P$1))))=INT(SIMOPS!$D$3),IFERROR(UPPER(TRIM(INDEX(BASELINE!$A188:$ZZ188,CALC!$R$1)&amp;"")),"")&lt;&gt;"ENCERRADA"),1,0),0)</f>
        <v/>
      </c>
      <c r="B188">
        <f>B187+A188</f>
        <v/>
      </c>
    </row>
    <row r="189">
      <c r="A189">
        <f>IFERROR(IF(AND(INDEX(BASELINE!$A189:$ZZ189,CALC!$H$1)&lt;&gt;"",INT(IF(AND(CALC!$F$1&gt;0,N(INDEX(BASELINE!$A189:$ZZ189,CALC!$F$1))&gt;0),N(INDEX(BASELINE!$A189:$ZZ189,CALC!$F$1)),N(INDEX(BASELINE!$A189:$ZZ189,CALC!$P$1))))=INT(SIMOPS!$D$3),IFERROR(UPPER(TRIM(INDEX(BASELINE!$A189:$ZZ189,CALC!$R$1)&amp;"")),"")&lt;&gt;"ENCERRADA"),1,0),0)</f>
        <v/>
      </c>
      <c r="B189">
        <f>B188+A189</f>
        <v/>
      </c>
    </row>
    <row r="190">
      <c r="A190">
        <f>IFERROR(IF(AND(INDEX(BASELINE!$A190:$ZZ190,CALC!$H$1)&lt;&gt;"",INT(IF(AND(CALC!$F$1&gt;0,N(INDEX(BASELINE!$A190:$ZZ190,CALC!$F$1))&gt;0),N(INDEX(BASELINE!$A190:$ZZ190,CALC!$F$1)),N(INDEX(BASELINE!$A190:$ZZ190,CALC!$P$1))))=INT(SIMOPS!$D$3),IFERROR(UPPER(TRIM(INDEX(BASELINE!$A190:$ZZ190,CALC!$R$1)&amp;"")),"")&lt;&gt;"ENCERRADA"),1,0),0)</f>
        <v/>
      </c>
      <c r="B190">
        <f>B189+A190</f>
        <v/>
      </c>
    </row>
    <row r="191">
      <c r="A191">
        <f>IFERROR(IF(AND(INDEX(BASELINE!$A191:$ZZ191,CALC!$H$1)&lt;&gt;"",INT(IF(AND(CALC!$F$1&gt;0,N(INDEX(BASELINE!$A191:$ZZ191,CALC!$F$1))&gt;0),N(INDEX(BASELINE!$A191:$ZZ191,CALC!$F$1)),N(INDEX(BASELINE!$A191:$ZZ191,CALC!$P$1))))=INT(SIMOPS!$D$3),IFERROR(UPPER(TRIM(INDEX(BASELINE!$A191:$ZZ191,CALC!$R$1)&amp;"")),"")&lt;&gt;"ENCERRADA"),1,0),0)</f>
        <v/>
      </c>
      <c r="B191">
        <f>B190+A191</f>
        <v/>
      </c>
    </row>
    <row r="192">
      <c r="A192">
        <f>IFERROR(IF(AND(INDEX(BASELINE!$A192:$ZZ192,CALC!$H$1)&lt;&gt;"",INT(IF(AND(CALC!$F$1&gt;0,N(INDEX(BASELINE!$A192:$ZZ192,CALC!$F$1))&gt;0),N(INDEX(BASELINE!$A192:$ZZ192,CALC!$F$1)),N(INDEX(BASELINE!$A192:$ZZ192,CALC!$P$1))))=INT(SIMOPS!$D$3),IFERROR(UPPER(TRIM(INDEX(BASELINE!$A192:$ZZ192,CALC!$R$1)&amp;"")),"")&lt;&gt;"ENCERRADA"),1,0),0)</f>
        <v/>
      </c>
      <c r="B192">
        <f>B191+A192</f>
        <v/>
      </c>
    </row>
    <row r="193">
      <c r="A193">
        <f>IFERROR(IF(AND(INDEX(BASELINE!$A193:$ZZ193,CALC!$H$1)&lt;&gt;"",INT(IF(AND(CALC!$F$1&gt;0,N(INDEX(BASELINE!$A193:$ZZ193,CALC!$F$1))&gt;0),N(INDEX(BASELINE!$A193:$ZZ193,CALC!$F$1)),N(INDEX(BASELINE!$A193:$ZZ193,CALC!$P$1))))=INT(SIMOPS!$D$3),IFERROR(UPPER(TRIM(INDEX(BASELINE!$A193:$ZZ193,CALC!$R$1)&amp;"")),"")&lt;&gt;"ENCERRADA"),1,0),0)</f>
        <v/>
      </c>
      <c r="B193">
        <f>B192+A193</f>
        <v/>
      </c>
    </row>
    <row r="194">
      <c r="A194">
        <f>IFERROR(IF(AND(INDEX(BASELINE!$A194:$ZZ194,CALC!$H$1)&lt;&gt;"",INT(IF(AND(CALC!$F$1&gt;0,N(INDEX(BASELINE!$A194:$ZZ194,CALC!$F$1))&gt;0),N(INDEX(BASELINE!$A194:$ZZ194,CALC!$F$1)),N(INDEX(BASELINE!$A194:$ZZ194,CALC!$P$1))))=INT(SIMOPS!$D$3),IFERROR(UPPER(TRIM(INDEX(BASELINE!$A194:$ZZ194,CALC!$R$1)&amp;"")),"")&lt;&gt;"ENCERRADA"),1,0),0)</f>
        <v/>
      </c>
      <c r="B194">
        <f>B193+A194</f>
        <v/>
      </c>
    </row>
    <row r="195">
      <c r="A195">
        <f>IFERROR(IF(AND(INDEX(BASELINE!$A195:$ZZ195,CALC!$H$1)&lt;&gt;"",INT(IF(AND(CALC!$F$1&gt;0,N(INDEX(BASELINE!$A195:$ZZ195,CALC!$F$1))&gt;0),N(INDEX(BASELINE!$A195:$ZZ195,CALC!$F$1)),N(INDEX(BASELINE!$A195:$ZZ195,CALC!$P$1))))=INT(SIMOPS!$D$3),IFERROR(UPPER(TRIM(INDEX(BASELINE!$A195:$ZZ195,CALC!$R$1)&amp;"")),"")&lt;&gt;"ENCERRADA"),1,0),0)</f>
        <v/>
      </c>
      <c r="B195">
        <f>B194+A195</f>
        <v/>
      </c>
    </row>
    <row r="196">
      <c r="A196">
        <f>IFERROR(IF(AND(INDEX(BASELINE!$A196:$ZZ196,CALC!$H$1)&lt;&gt;"",INT(IF(AND(CALC!$F$1&gt;0,N(INDEX(BASELINE!$A196:$ZZ196,CALC!$F$1))&gt;0),N(INDEX(BASELINE!$A196:$ZZ196,CALC!$F$1)),N(INDEX(BASELINE!$A196:$ZZ196,CALC!$P$1))))=INT(SIMOPS!$D$3),IFERROR(UPPER(TRIM(INDEX(BASELINE!$A196:$ZZ196,CALC!$R$1)&amp;"")),"")&lt;&gt;"ENCERRADA"),1,0),0)</f>
        <v/>
      </c>
      <c r="B196">
        <f>B195+A196</f>
        <v/>
      </c>
    </row>
    <row r="197">
      <c r="A197">
        <f>IFERROR(IF(AND(INDEX(BASELINE!$A197:$ZZ197,CALC!$H$1)&lt;&gt;"",INT(IF(AND(CALC!$F$1&gt;0,N(INDEX(BASELINE!$A197:$ZZ197,CALC!$F$1))&gt;0),N(INDEX(BASELINE!$A197:$ZZ197,CALC!$F$1)),N(INDEX(BASELINE!$A197:$ZZ197,CALC!$P$1))))=INT(SIMOPS!$D$3),IFERROR(UPPER(TRIM(INDEX(BASELINE!$A197:$ZZ197,CALC!$R$1)&amp;"")),"")&lt;&gt;"ENCERRADA"),1,0),0)</f>
        <v/>
      </c>
      <c r="B197">
        <f>B196+A197</f>
        <v/>
      </c>
    </row>
    <row r="198">
      <c r="A198">
        <f>IFERROR(IF(AND(INDEX(BASELINE!$A198:$ZZ198,CALC!$H$1)&lt;&gt;"",INT(IF(AND(CALC!$F$1&gt;0,N(INDEX(BASELINE!$A198:$ZZ198,CALC!$F$1))&gt;0),N(INDEX(BASELINE!$A198:$ZZ198,CALC!$F$1)),N(INDEX(BASELINE!$A198:$ZZ198,CALC!$P$1))))=INT(SIMOPS!$D$3),IFERROR(UPPER(TRIM(INDEX(BASELINE!$A198:$ZZ198,CALC!$R$1)&amp;"")),"")&lt;&gt;"ENCERRADA"),1,0),0)</f>
        <v/>
      </c>
      <c r="B198">
        <f>B197+A198</f>
        <v/>
      </c>
    </row>
    <row r="199">
      <c r="A199">
        <f>IFERROR(IF(AND(INDEX(BASELINE!$A199:$ZZ199,CALC!$H$1)&lt;&gt;"",INT(IF(AND(CALC!$F$1&gt;0,N(INDEX(BASELINE!$A199:$ZZ199,CALC!$F$1))&gt;0),N(INDEX(BASELINE!$A199:$ZZ199,CALC!$F$1)),N(INDEX(BASELINE!$A199:$ZZ199,CALC!$P$1))))=INT(SIMOPS!$D$3),IFERROR(UPPER(TRIM(INDEX(BASELINE!$A199:$ZZ199,CALC!$R$1)&amp;"")),"")&lt;&gt;"ENCERRADA"),1,0),0)</f>
        <v/>
      </c>
      <c r="B199">
        <f>B198+A199</f>
        <v/>
      </c>
    </row>
    <row r="200">
      <c r="A200">
        <f>IFERROR(IF(AND(INDEX(BASELINE!$A200:$ZZ200,CALC!$H$1)&lt;&gt;"",INT(IF(AND(CALC!$F$1&gt;0,N(INDEX(BASELINE!$A200:$ZZ200,CALC!$F$1))&gt;0),N(INDEX(BASELINE!$A200:$ZZ200,CALC!$F$1)),N(INDEX(BASELINE!$A200:$ZZ200,CALC!$P$1))))=INT(SIMOPS!$D$3),IFERROR(UPPER(TRIM(INDEX(BASELINE!$A200:$ZZ200,CALC!$R$1)&amp;"")),"")&lt;&gt;"ENCERRADA"),1,0),0)</f>
        <v/>
      </c>
      <c r="B200">
        <f>B199+A200</f>
        <v/>
      </c>
    </row>
    <row r="201">
      <c r="A201">
        <f>IFERROR(IF(AND(INDEX(BASELINE!$A201:$ZZ201,CALC!$H$1)&lt;&gt;"",INT(IF(AND(CALC!$F$1&gt;0,N(INDEX(BASELINE!$A201:$ZZ201,CALC!$F$1))&gt;0),N(INDEX(BASELINE!$A201:$ZZ201,CALC!$F$1)),N(INDEX(BASELINE!$A201:$ZZ201,CALC!$P$1))))=INT(SIMOPS!$D$3),IFERROR(UPPER(TRIM(INDEX(BASELINE!$A201:$ZZ201,CALC!$R$1)&amp;"")),"")&lt;&gt;"ENCERRADA"),1,0),0)</f>
        <v/>
      </c>
      <c r="B201">
        <f>B200+A201</f>
        <v/>
      </c>
    </row>
    <row r="202">
      <c r="A202">
        <f>IFERROR(IF(AND(INDEX(BASELINE!$A202:$ZZ202,CALC!$H$1)&lt;&gt;"",INT(IF(AND(CALC!$F$1&gt;0,N(INDEX(BASELINE!$A202:$ZZ202,CALC!$F$1))&gt;0),N(INDEX(BASELINE!$A202:$ZZ202,CALC!$F$1)),N(INDEX(BASELINE!$A202:$ZZ202,CALC!$P$1))))=INT(SIMOPS!$D$3),IFERROR(UPPER(TRIM(INDEX(BASELINE!$A202:$ZZ202,CALC!$R$1)&amp;"")),"")&lt;&gt;"ENCERRADA"),1,0),0)</f>
        <v/>
      </c>
      <c r="B202">
        <f>B201+A202</f>
        <v/>
      </c>
    </row>
    <row r="203">
      <c r="A203">
        <f>IFERROR(IF(AND(INDEX(BASELINE!$A203:$ZZ203,CALC!$H$1)&lt;&gt;"",INT(IF(AND(CALC!$F$1&gt;0,N(INDEX(BASELINE!$A203:$ZZ203,CALC!$F$1))&gt;0),N(INDEX(BASELINE!$A203:$ZZ203,CALC!$F$1)),N(INDEX(BASELINE!$A203:$ZZ203,CALC!$P$1))))=INT(SIMOPS!$D$3),IFERROR(UPPER(TRIM(INDEX(BASELINE!$A203:$ZZ203,CALC!$R$1)&amp;"")),"")&lt;&gt;"ENCERRADA"),1,0),0)</f>
        <v/>
      </c>
      <c r="B203">
        <f>B202+A203</f>
        <v/>
      </c>
    </row>
    <row r="204">
      <c r="A204">
        <f>IFERROR(IF(AND(INDEX(BASELINE!$A204:$ZZ204,CALC!$H$1)&lt;&gt;"",INT(IF(AND(CALC!$F$1&gt;0,N(INDEX(BASELINE!$A204:$ZZ204,CALC!$F$1))&gt;0),N(INDEX(BASELINE!$A204:$ZZ204,CALC!$F$1)),N(INDEX(BASELINE!$A204:$ZZ204,CALC!$P$1))))=INT(SIMOPS!$D$3),IFERROR(UPPER(TRIM(INDEX(BASELINE!$A204:$ZZ204,CALC!$R$1)&amp;"")),"")&lt;&gt;"ENCERRADA"),1,0),0)</f>
        <v/>
      </c>
      <c r="B204">
        <f>B203+A204</f>
        <v/>
      </c>
    </row>
    <row r="205">
      <c r="A205">
        <f>IFERROR(IF(AND(INDEX(BASELINE!$A205:$ZZ205,CALC!$H$1)&lt;&gt;"",INT(IF(AND(CALC!$F$1&gt;0,N(INDEX(BASELINE!$A205:$ZZ205,CALC!$F$1))&gt;0),N(INDEX(BASELINE!$A205:$ZZ205,CALC!$F$1)),N(INDEX(BASELINE!$A205:$ZZ205,CALC!$P$1))))=INT(SIMOPS!$D$3),IFERROR(UPPER(TRIM(INDEX(BASELINE!$A205:$ZZ205,CALC!$R$1)&amp;"")),"")&lt;&gt;"ENCERRADA"),1,0),0)</f>
        <v/>
      </c>
      <c r="B205">
        <f>B204+A205</f>
        <v/>
      </c>
    </row>
    <row r="206">
      <c r="A206">
        <f>IFERROR(IF(AND(INDEX(BASELINE!$A206:$ZZ206,CALC!$H$1)&lt;&gt;"",INT(IF(AND(CALC!$F$1&gt;0,N(INDEX(BASELINE!$A206:$ZZ206,CALC!$F$1))&gt;0),N(INDEX(BASELINE!$A206:$ZZ206,CALC!$F$1)),N(INDEX(BASELINE!$A206:$ZZ206,CALC!$P$1))))=INT(SIMOPS!$D$3),IFERROR(UPPER(TRIM(INDEX(BASELINE!$A206:$ZZ206,CALC!$R$1)&amp;"")),"")&lt;&gt;"ENCERRADA"),1,0),0)</f>
        <v/>
      </c>
      <c r="B206">
        <f>B205+A206</f>
        <v/>
      </c>
    </row>
    <row r="207">
      <c r="A207">
        <f>IFERROR(IF(AND(INDEX(BASELINE!$A207:$ZZ207,CALC!$H$1)&lt;&gt;"",INT(IF(AND(CALC!$F$1&gt;0,N(INDEX(BASELINE!$A207:$ZZ207,CALC!$F$1))&gt;0),N(INDEX(BASELINE!$A207:$ZZ207,CALC!$F$1)),N(INDEX(BASELINE!$A207:$ZZ207,CALC!$P$1))))=INT(SIMOPS!$D$3),IFERROR(UPPER(TRIM(INDEX(BASELINE!$A207:$ZZ207,CALC!$R$1)&amp;"")),"")&lt;&gt;"ENCERRADA"),1,0),0)</f>
        <v/>
      </c>
      <c r="B207">
        <f>B206+A207</f>
        <v/>
      </c>
    </row>
    <row r="208">
      <c r="A208">
        <f>IFERROR(IF(AND(INDEX(BASELINE!$A208:$ZZ208,CALC!$H$1)&lt;&gt;"",INT(IF(AND(CALC!$F$1&gt;0,N(INDEX(BASELINE!$A208:$ZZ208,CALC!$F$1))&gt;0),N(INDEX(BASELINE!$A208:$ZZ208,CALC!$F$1)),N(INDEX(BASELINE!$A208:$ZZ208,CALC!$P$1))))=INT(SIMOPS!$D$3),IFERROR(UPPER(TRIM(INDEX(BASELINE!$A208:$ZZ208,CALC!$R$1)&amp;"")),"")&lt;&gt;"ENCERRADA"),1,0),0)</f>
        <v/>
      </c>
      <c r="B208">
        <f>B207+A208</f>
        <v/>
      </c>
    </row>
    <row r="209">
      <c r="A209">
        <f>IFERROR(IF(AND(INDEX(BASELINE!$A209:$ZZ209,CALC!$H$1)&lt;&gt;"",INT(IF(AND(CALC!$F$1&gt;0,N(INDEX(BASELINE!$A209:$ZZ209,CALC!$F$1))&gt;0),N(INDEX(BASELINE!$A209:$ZZ209,CALC!$F$1)),N(INDEX(BASELINE!$A209:$ZZ209,CALC!$P$1))))=INT(SIMOPS!$D$3),IFERROR(UPPER(TRIM(INDEX(BASELINE!$A209:$ZZ209,CALC!$R$1)&amp;"")),"")&lt;&gt;"ENCERRADA"),1,0),0)</f>
        <v/>
      </c>
      <c r="B209">
        <f>B208+A209</f>
        <v/>
      </c>
    </row>
    <row r="210">
      <c r="A210">
        <f>IFERROR(IF(AND(INDEX(BASELINE!$A210:$ZZ210,CALC!$H$1)&lt;&gt;"",INT(IF(AND(CALC!$F$1&gt;0,N(INDEX(BASELINE!$A210:$ZZ210,CALC!$F$1))&gt;0),N(INDEX(BASELINE!$A210:$ZZ210,CALC!$F$1)),N(INDEX(BASELINE!$A210:$ZZ210,CALC!$P$1))))=INT(SIMOPS!$D$3),IFERROR(UPPER(TRIM(INDEX(BASELINE!$A210:$ZZ210,CALC!$R$1)&amp;"")),"")&lt;&gt;"ENCERRADA"),1,0),0)</f>
        <v/>
      </c>
      <c r="B210">
        <f>B209+A210</f>
        <v/>
      </c>
    </row>
    <row r="211">
      <c r="A211">
        <f>IFERROR(IF(AND(INDEX(BASELINE!$A211:$ZZ211,CALC!$H$1)&lt;&gt;"",INT(IF(AND(CALC!$F$1&gt;0,N(INDEX(BASELINE!$A211:$ZZ211,CALC!$F$1))&gt;0),N(INDEX(BASELINE!$A211:$ZZ211,CALC!$F$1)),N(INDEX(BASELINE!$A211:$ZZ211,CALC!$P$1))))=INT(SIMOPS!$D$3),IFERROR(UPPER(TRIM(INDEX(BASELINE!$A211:$ZZ211,CALC!$R$1)&amp;"")),"")&lt;&gt;"ENCERRADA"),1,0),0)</f>
        <v/>
      </c>
      <c r="B211">
        <f>B210+A211</f>
        <v/>
      </c>
    </row>
    <row r="212">
      <c r="A212">
        <f>IFERROR(IF(AND(INDEX(BASELINE!$A212:$ZZ212,CALC!$H$1)&lt;&gt;"",INT(IF(AND(CALC!$F$1&gt;0,N(INDEX(BASELINE!$A212:$ZZ212,CALC!$F$1))&gt;0),N(INDEX(BASELINE!$A212:$ZZ212,CALC!$F$1)),N(INDEX(BASELINE!$A212:$ZZ212,CALC!$P$1))))=INT(SIMOPS!$D$3),IFERROR(UPPER(TRIM(INDEX(BASELINE!$A212:$ZZ212,CALC!$R$1)&amp;"")),"")&lt;&gt;"ENCERRADA"),1,0),0)</f>
        <v/>
      </c>
      <c r="B212">
        <f>B211+A212</f>
        <v/>
      </c>
    </row>
    <row r="213">
      <c r="A213">
        <f>IFERROR(IF(AND(INDEX(BASELINE!$A213:$ZZ213,CALC!$H$1)&lt;&gt;"",INT(IF(AND(CALC!$F$1&gt;0,N(INDEX(BASELINE!$A213:$ZZ213,CALC!$F$1))&gt;0),N(INDEX(BASELINE!$A213:$ZZ213,CALC!$F$1)),N(INDEX(BASELINE!$A213:$ZZ213,CALC!$P$1))))=INT(SIMOPS!$D$3),IFERROR(UPPER(TRIM(INDEX(BASELINE!$A213:$ZZ213,CALC!$R$1)&amp;"")),"")&lt;&gt;"ENCERRADA"),1,0),0)</f>
        <v/>
      </c>
      <c r="B213">
        <f>B212+A213</f>
        <v/>
      </c>
    </row>
    <row r="214">
      <c r="A214">
        <f>IFERROR(IF(AND(INDEX(BASELINE!$A214:$ZZ214,CALC!$H$1)&lt;&gt;"",INT(IF(AND(CALC!$F$1&gt;0,N(INDEX(BASELINE!$A214:$ZZ214,CALC!$F$1))&gt;0),N(INDEX(BASELINE!$A214:$ZZ214,CALC!$F$1)),N(INDEX(BASELINE!$A214:$ZZ214,CALC!$P$1))))=INT(SIMOPS!$D$3),IFERROR(UPPER(TRIM(INDEX(BASELINE!$A214:$ZZ214,CALC!$R$1)&amp;"")),"")&lt;&gt;"ENCERRADA"),1,0),0)</f>
        <v/>
      </c>
      <c r="B214">
        <f>B213+A214</f>
        <v/>
      </c>
    </row>
    <row r="215">
      <c r="A215">
        <f>IFERROR(IF(AND(INDEX(BASELINE!$A215:$ZZ215,CALC!$H$1)&lt;&gt;"",INT(IF(AND(CALC!$F$1&gt;0,N(INDEX(BASELINE!$A215:$ZZ215,CALC!$F$1))&gt;0),N(INDEX(BASELINE!$A215:$ZZ215,CALC!$F$1)),N(INDEX(BASELINE!$A215:$ZZ215,CALC!$P$1))))=INT(SIMOPS!$D$3),IFERROR(UPPER(TRIM(INDEX(BASELINE!$A215:$ZZ215,CALC!$R$1)&amp;"")),"")&lt;&gt;"ENCERRADA"),1,0),0)</f>
        <v/>
      </c>
      <c r="B215">
        <f>B214+A215</f>
        <v/>
      </c>
    </row>
    <row r="216">
      <c r="A216">
        <f>IFERROR(IF(AND(INDEX(BASELINE!$A216:$ZZ216,CALC!$H$1)&lt;&gt;"",INT(IF(AND(CALC!$F$1&gt;0,N(INDEX(BASELINE!$A216:$ZZ216,CALC!$F$1))&gt;0),N(INDEX(BASELINE!$A216:$ZZ216,CALC!$F$1)),N(INDEX(BASELINE!$A216:$ZZ216,CALC!$P$1))))=INT(SIMOPS!$D$3),IFERROR(UPPER(TRIM(INDEX(BASELINE!$A216:$ZZ216,CALC!$R$1)&amp;"")),"")&lt;&gt;"ENCERRADA"),1,0),0)</f>
        <v/>
      </c>
      <c r="B216">
        <f>B215+A216</f>
        <v/>
      </c>
    </row>
    <row r="217">
      <c r="A217">
        <f>IFERROR(IF(AND(INDEX(BASELINE!$A217:$ZZ217,CALC!$H$1)&lt;&gt;"",INT(IF(AND(CALC!$F$1&gt;0,N(INDEX(BASELINE!$A217:$ZZ217,CALC!$F$1))&gt;0),N(INDEX(BASELINE!$A217:$ZZ217,CALC!$F$1)),N(INDEX(BASELINE!$A217:$ZZ217,CALC!$P$1))))=INT(SIMOPS!$D$3),IFERROR(UPPER(TRIM(INDEX(BASELINE!$A217:$ZZ217,CALC!$R$1)&amp;"")),"")&lt;&gt;"ENCERRADA"),1,0),0)</f>
        <v/>
      </c>
      <c r="B217">
        <f>B216+A217</f>
        <v/>
      </c>
    </row>
    <row r="218">
      <c r="A218">
        <f>IFERROR(IF(AND(INDEX(BASELINE!$A218:$ZZ218,CALC!$H$1)&lt;&gt;"",INT(IF(AND(CALC!$F$1&gt;0,N(INDEX(BASELINE!$A218:$ZZ218,CALC!$F$1))&gt;0),N(INDEX(BASELINE!$A218:$ZZ218,CALC!$F$1)),N(INDEX(BASELINE!$A218:$ZZ218,CALC!$P$1))))=INT(SIMOPS!$D$3),IFERROR(UPPER(TRIM(INDEX(BASELINE!$A218:$ZZ218,CALC!$R$1)&amp;"")),"")&lt;&gt;"ENCERRADA"),1,0),0)</f>
        <v/>
      </c>
      <c r="B218">
        <f>B217+A218</f>
        <v/>
      </c>
    </row>
    <row r="219">
      <c r="A219">
        <f>IFERROR(IF(AND(INDEX(BASELINE!$A219:$ZZ219,CALC!$H$1)&lt;&gt;"",INT(IF(AND(CALC!$F$1&gt;0,N(INDEX(BASELINE!$A219:$ZZ219,CALC!$F$1))&gt;0),N(INDEX(BASELINE!$A219:$ZZ219,CALC!$F$1)),N(INDEX(BASELINE!$A219:$ZZ219,CALC!$P$1))))=INT(SIMOPS!$D$3),IFERROR(UPPER(TRIM(INDEX(BASELINE!$A219:$ZZ219,CALC!$R$1)&amp;"")),"")&lt;&gt;"ENCERRADA"),1,0),0)</f>
        <v/>
      </c>
      <c r="B219">
        <f>B218+A219</f>
        <v/>
      </c>
    </row>
    <row r="220">
      <c r="A220">
        <f>IFERROR(IF(AND(INDEX(BASELINE!$A220:$ZZ220,CALC!$H$1)&lt;&gt;"",INT(IF(AND(CALC!$F$1&gt;0,N(INDEX(BASELINE!$A220:$ZZ220,CALC!$F$1))&gt;0),N(INDEX(BASELINE!$A220:$ZZ220,CALC!$F$1)),N(INDEX(BASELINE!$A220:$ZZ220,CALC!$P$1))))=INT(SIMOPS!$D$3),IFERROR(UPPER(TRIM(INDEX(BASELINE!$A220:$ZZ220,CALC!$R$1)&amp;"")),"")&lt;&gt;"ENCERRADA"),1,0),0)</f>
        <v/>
      </c>
      <c r="B220">
        <f>B219+A220</f>
        <v/>
      </c>
    </row>
    <row r="221">
      <c r="A221">
        <f>IFERROR(IF(AND(INDEX(BASELINE!$A221:$ZZ221,CALC!$H$1)&lt;&gt;"",INT(IF(AND(CALC!$F$1&gt;0,N(INDEX(BASELINE!$A221:$ZZ221,CALC!$F$1))&gt;0),N(INDEX(BASELINE!$A221:$ZZ221,CALC!$F$1)),N(INDEX(BASELINE!$A221:$ZZ221,CALC!$P$1))))=INT(SIMOPS!$D$3),IFERROR(UPPER(TRIM(INDEX(BASELINE!$A221:$ZZ221,CALC!$R$1)&amp;"")),"")&lt;&gt;"ENCERRADA"),1,0),0)</f>
        <v/>
      </c>
      <c r="B221">
        <f>B220+A221</f>
        <v/>
      </c>
    </row>
    <row r="222">
      <c r="A222">
        <f>IFERROR(IF(AND(INDEX(BASELINE!$A222:$ZZ222,CALC!$H$1)&lt;&gt;"",INT(IF(AND(CALC!$F$1&gt;0,N(INDEX(BASELINE!$A222:$ZZ222,CALC!$F$1))&gt;0),N(INDEX(BASELINE!$A222:$ZZ222,CALC!$F$1)),N(INDEX(BASELINE!$A222:$ZZ222,CALC!$P$1))))=INT(SIMOPS!$D$3),IFERROR(UPPER(TRIM(INDEX(BASELINE!$A222:$ZZ222,CALC!$R$1)&amp;"")),"")&lt;&gt;"ENCERRADA"),1,0),0)</f>
        <v/>
      </c>
      <c r="B222">
        <f>B221+A222</f>
        <v/>
      </c>
    </row>
    <row r="223">
      <c r="A223">
        <f>IFERROR(IF(AND(INDEX(BASELINE!$A223:$ZZ223,CALC!$H$1)&lt;&gt;"",INT(IF(AND(CALC!$F$1&gt;0,N(INDEX(BASELINE!$A223:$ZZ223,CALC!$F$1))&gt;0),N(INDEX(BASELINE!$A223:$ZZ223,CALC!$F$1)),N(INDEX(BASELINE!$A223:$ZZ223,CALC!$P$1))))=INT(SIMOPS!$D$3),IFERROR(UPPER(TRIM(INDEX(BASELINE!$A223:$ZZ223,CALC!$R$1)&amp;"")),"")&lt;&gt;"ENCERRADA"),1,0),0)</f>
        <v/>
      </c>
      <c r="B223">
        <f>B222+A223</f>
        <v/>
      </c>
    </row>
    <row r="224">
      <c r="A224">
        <f>IFERROR(IF(AND(INDEX(BASELINE!$A224:$ZZ224,CALC!$H$1)&lt;&gt;"",INT(IF(AND(CALC!$F$1&gt;0,N(INDEX(BASELINE!$A224:$ZZ224,CALC!$F$1))&gt;0),N(INDEX(BASELINE!$A224:$ZZ224,CALC!$F$1)),N(INDEX(BASELINE!$A224:$ZZ224,CALC!$P$1))))=INT(SIMOPS!$D$3),IFERROR(UPPER(TRIM(INDEX(BASELINE!$A224:$ZZ224,CALC!$R$1)&amp;"")),"")&lt;&gt;"ENCERRADA"),1,0),0)</f>
        <v/>
      </c>
      <c r="B224">
        <f>B223+A224</f>
        <v/>
      </c>
    </row>
    <row r="225">
      <c r="A225">
        <f>IFERROR(IF(AND(INDEX(BASELINE!$A225:$ZZ225,CALC!$H$1)&lt;&gt;"",INT(IF(AND(CALC!$F$1&gt;0,N(INDEX(BASELINE!$A225:$ZZ225,CALC!$F$1))&gt;0),N(INDEX(BASELINE!$A225:$ZZ225,CALC!$F$1)),N(INDEX(BASELINE!$A225:$ZZ225,CALC!$P$1))))=INT(SIMOPS!$D$3),IFERROR(UPPER(TRIM(INDEX(BASELINE!$A225:$ZZ225,CALC!$R$1)&amp;"")),"")&lt;&gt;"ENCERRADA"),1,0),0)</f>
        <v/>
      </c>
      <c r="B225">
        <f>B224+A225</f>
        <v/>
      </c>
    </row>
    <row r="226">
      <c r="A226">
        <f>IFERROR(IF(AND(INDEX(BASELINE!$A226:$ZZ226,CALC!$H$1)&lt;&gt;"",INT(IF(AND(CALC!$F$1&gt;0,N(INDEX(BASELINE!$A226:$ZZ226,CALC!$F$1))&gt;0),N(INDEX(BASELINE!$A226:$ZZ226,CALC!$F$1)),N(INDEX(BASELINE!$A226:$ZZ226,CALC!$P$1))))=INT(SIMOPS!$D$3),IFERROR(UPPER(TRIM(INDEX(BASELINE!$A226:$ZZ226,CALC!$R$1)&amp;"")),"")&lt;&gt;"ENCERRADA"),1,0),0)</f>
        <v/>
      </c>
      <c r="B226">
        <f>B225+A226</f>
        <v/>
      </c>
    </row>
    <row r="227">
      <c r="A227">
        <f>IFERROR(IF(AND(INDEX(BASELINE!$A227:$ZZ227,CALC!$H$1)&lt;&gt;"",INT(IF(AND(CALC!$F$1&gt;0,N(INDEX(BASELINE!$A227:$ZZ227,CALC!$F$1))&gt;0),N(INDEX(BASELINE!$A227:$ZZ227,CALC!$F$1)),N(INDEX(BASELINE!$A227:$ZZ227,CALC!$P$1))))=INT(SIMOPS!$D$3),IFERROR(UPPER(TRIM(INDEX(BASELINE!$A227:$ZZ227,CALC!$R$1)&amp;"")),"")&lt;&gt;"ENCERRADA"),1,0),0)</f>
        <v/>
      </c>
      <c r="B227">
        <f>B226+A227</f>
        <v/>
      </c>
    </row>
    <row r="228">
      <c r="A228">
        <f>IFERROR(IF(AND(INDEX(BASELINE!$A228:$ZZ228,CALC!$H$1)&lt;&gt;"",INT(IF(AND(CALC!$F$1&gt;0,N(INDEX(BASELINE!$A228:$ZZ228,CALC!$F$1))&gt;0),N(INDEX(BASELINE!$A228:$ZZ228,CALC!$F$1)),N(INDEX(BASELINE!$A228:$ZZ228,CALC!$P$1))))=INT(SIMOPS!$D$3),IFERROR(UPPER(TRIM(INDEX(BASELINE!$A228:$ZZ228,CALC!$R$1)&amp;"")),"")&lt;&gt;"ENCERRADA"),1,0),0)</f>
        <v/>
      </c>
      <c r="B228">
        <f>B227+A228</f>
        <v/>
      </c>
    </row>
    <row r="229">
      <c r="A229">
        <f>IFERROR(IF(AND(INDEX(BASELINE!$A229:$ZZ229,CALC!$H$1)&lt;&gt;"",INT(IF(AND(CALC!$F$1&gt;0,N(INDEX(BASELINE!$A229:$ZZ229,CALC!$F$1))&gt;0),N(INDEX(BASELINE!$A229:$ZZ229,CALC!$F$1)),N(INDEX(BASELINE!$A229:$ZZ229,CALC!$P$1))))=INT(SIMOPS!$D$3),IFERROR(UPPER(TRIM(INDEX(BASELINE!$A229:$ZZ229,CALC!$R$1)&amp;"")),"")&lt;&gt;"ENCERRADA"),1,0),0)</f>
        <v/>
      </c>
      <c r="B229">
        <f>B228+A229</f>
        <v/>
      </c>
    </row>
    <row r="230">
      <c r="A230">
        <f>IFERROR(IF(AND(INDEX(BASELINE!$A230:$ZZ230,CALC!$H$1)&lt;&gt;"",INT(IF(AND(CALC!$F$1&gt;0,N(INDEX(BASELINE!$A230:$ZZ230,CALC!$F$1))&gt;0),N(INDEX(BASELINE!$A230:$ZZ230,CALC!$F$1)),N(INDEX(BASELINE!$A230:$ZZ230,CALC!$P$1))))=INT(SIMOPS!$D$3),IFERROR(UPPER(TRIM(INDEX(BASELINE!$A230:$ZZ230,CALC!$R$1)&amp;"")),"")&lt;&gt;"ENCERRADA"),1,0),0)</f>
        <v/>
      </c>
      <c r="B230">
        <f>B229+A230</f>
        <v/>
      </c>
    </row>
    <row r="231">
      <c r="A231">
        <f>IFERROR(IF(AND(INDEX(BASELINE!$A231:$ZZ231,CALC!$H$1)&lt;&gt;"",INT(IF(AND(CALC!$F$1&gt;0,N(INDEX(BASELINE!$A231:$ZZ231,CALC!$F$1))&gt;0),N(INDEX(BASELINE!$A231:$ZZ231,CALC!$F$1)),N(INDEX(BASELINE!$A231:$ZZ231,CALC!$P$1))))=INT(SIMOPS!$D$3),IFERROR(UPPER(TRIM(INDEX(BASELINE!$A231:$ZZ231,CALC!$R$1)&amp;"")),"")&lt;&gt;"ENCERRADA"),1,0),0)</f>
        <v/>
      </c>
      <c r="B231">
        <f>B230+A231</f>
        <v/>
      </c>
    </row>
    <row r="232">
      <c r="A232">
        <f>IFERROR(IF(AND(INDEX(BASELINE!$A232:$ZZ232,CALC!$H$1)&lt;&gt;"",INT(IF(AND(CALC!$F$1&gt;0,N(INDEX(BASELINE!$A232:$ZZ232,CALC!$F$1))&gt;0),N(INDEX(BASELINE!$A232:$ZZ232,CALC!$F$1)),N(INDEX(BASELINE!$A232:$ZZ232,CALC!$P$1))))=INT(SIMOPS!$D$3),IFERROR(UPPER(TRIM(INDEX(BASELINE!$A232:$ZZ232,CALC!$R$1)&amp;"")),"")&lt;&gt;"ENCERRADA"),1,0),0)</f>
        <v/>
      </c>
      <c r="B232">
        <f>B231+A232</f>
        <v/>
      </c>
    </row>
    <row r="233">
      <c r="A233">
        <f>IFERROR(IF(AND(INDEX(BASELINE!$A233:$ZZ233,CALC!$H$1)&lt;&gt;"",INT(IF(AND(CALC!$F$1&gt;0,N(INDEX(BASELINE!$A233:$ZZ233,CALC!$F$1))&gt;0),N(INDEX(BASELINE!$A233:$ZZ233,CALC!$F$1)),N(INDEX(BASELINE!$A233:$ZZ233,CALC!$P$1))))=INT(SIMOPS!$D$3),IFERROR(UPPER(TRIM(INDEX(BASELINE!$A233:$ZZ233,CALC!$R$1)&amp;"")),"")&lt;&gt;"ENCERRADA"),1,0),0)</f>
        <v/>
      </c>
      <c r="B233">
        <f>B232+A233</f>
        <v/>
      </c>
    </row>
    <row r="234">
      <c r="A234">
        <f>IFERROR(IF(AND(INDEX(BASELINE!$A234:$ZZ234,CALC!$H$1)&lt;&gt;"",INT(IF(AND(CALC!$F$1&gt;0,N(INDEX(BASELINE!$A234:$ZZ234,CALC!$F$1))&gt;0),N(INDEX(BASELINE!$A234:$ZZ234,CALC!$F$1)),N(INDEX(BASELINE!$A234:$ZZ234,CALC!$P$1))))=INT(SIMOPS!$D$3),IFERROR(UPPER(TRIM(INDEX(BASELINE!$A234:$ZZ234,CALC!$R$1)&amp;"")),"")&lt;&gt;"ENCERRADA"),1,0),0)</f>
        <v/>
      </c>
      <c r="B234">
        <f>B233+A234</f>
        <v/>
      </c>
    </row>
    <row r="235">
      <c r="A235">
        <f>IFERROR(IF(AND(INDEX(BASELINE!$A235:$ZZ235,CALC!$H$1)&lt;&gt;"",INT(IF(AND(CALC!$F$1&gt;0,N(INDEX(BASELINE!$A235:$ZZ235,CALC!$F$1))&gt;0),N(INDEX(BASELINE!$A235:$ZZ235,CALC!$F$1)),N(INDEX(BASELINE!$A235:$ZZ235,CALC!$P$1))))=INT(SIMOPS!$D$3),IFERROR(UPPER(TRIM(INDEX(BASELINE!$A235:$ZZ235,CALC!$R$1)&amp;"")),"")&lt;&gt;"ENCERRADA"),1,0),0)</f>
        <v/>
      </c>
      <c r="B235">
        <f>B234+A235</f>
        <v/>
      </c>
    </row>
    <row r="236">
      <c r="A236">
        <f>IFERROR(IF(AND(INDEX(BASELINE!$A236:$ZZ236,CALC!$H$1)&lt;&gt;"",INT(IF(AND(CALC!$F$1&gt;0,N(INDEX(BASELINE!$A236:$ZZ236,CALC!$F$1))&gt;0),N(INDEX(BASELINE!$A236:$ZZ236,CALC!$F$1)),N(INDEX(BASELINE!$A236:$ZZ236,CALC!$P$1))))=INT(SIMOPS!$D$3),IFERROR(UPPER(TRIM(INDEX(BASELINE!$A236:$ZZ236,CALC!$R$1)&amp;"")),"")&lt;&gt;"ENCERRADA"),1,0),0)</f>
        <v/>
      </c>
      <c r="B236">
        <f>B235+A236</f>
        <v/>
      </c>
    </row>
    <row r="237">
      <c r="A237">
        <f>IFERROR(IF(AND(INDEX(BASELINE!$A237:$ZZ237,CALC!$H$1)&lt;&gt;"",INT(IF(AND(CALC!$F$1&gt;0,N(INDEX(BASELINE!$A237:$ZZ237,CALC!$F$1))&gt;0),N(INDEX(BASELINE!$A237:$ZZ237,CALC!$F$1)),N(INDEX(BASELINE!$A237:$ZZ237,CALC!$P$1))))=INT(SIMOPS!$D$3),IFERROR(UPPER(TRIM(INDEX(BASELINE!$A237:$ZZ237,CALC!$R$1)&amp;"")),"")&lt;&gt;"ENCERRADA"),1,0),0)</f>
        <v/>
      </c>
      <c r="B237">
        <f>B236+A237</f>
        <v/>
      </c>
    </row>
    <row r="238">
      <c r="A238">
        <f>IFERROR(IF(AND(INDEX(BASELINE!$A238:$ZZ238,CALC!$H$1)&lt;&gt;"",INT(IF(AND(CALC!$F$1&gt;0,N(INDEX(BASELINE!$A238:$ZZ238,CALC!$F$1))&gt;0),N(INDEX(BASELINE!$A238:$ZZ238,CALC!$F$1)),N(INDEX(BASELINE!$A238:$ZZ238,CALC!$P$1))))=INT(SIMOPS!$D$3),IFERROR(UPPER(TRIM(INDEX(BASELINE!$A238:$ZZ238,CALC!$R$1)&amp;"")),"")&lt;&gt;"ENCERRADA"),1,0),0)</f>
        <v/>
      </c>
      <c r="B238">
        <f>B237+A238</f>
        <v/>
      </c>
    </row>
    <row r="239">
      <c r="A239">
        <f>IFERROR(IF(AND(INDEX(BASELINE!$A239:$ZZ239,CALC!$H$1)&lt;&gt;"",INT(IF(AND(CALC!$F$1&gt;0,N(INDEX(BASELINE!$A239:$ZZ239,CALC!$F$1))&gt;0),N(INDEX(BASELINE!$A239:$ZZ239,CALC!$F$1)),N(INDEX(BASELINE!$A239:$ZZ239,CALC!$P$1))))=INT(SIMOPS!$D$3),IFERROR(UPPER(TRIM(INDEX(BASELINE!$A239:$ZZ239,CALC!$R$1)&amp;"")),"")&lt;&gt;"ENCERRADA"),1,0),0)</f>
        <v/>
      </c>
      <c r="B239">
        <f>B238+A239</f>
        <v/>
      </c>
    </row>
    <row r="240">
      <c r="A240">
        <f>IFERROR(IF(AND(INDEX(BASELINE!$A240:$ZZ240,CALC!$H$1)&lt;&gt;"",INT(IF(AND(CALC!$F$1&gt;0,N(INDEX(BASELINE!$A240:$ZZ240,CALC!$F$1))&gt;0),N(INDEX(BASELINE!$A240:$ZZ240,CALC!$F$1)),N(INDEX(BASELINE!$A240:$ZZ240,CALC!$P$1))))=INT(SIMOPS!$D$3),IFERROR(UPPER(TRIM(INDEX(BASELINE!$A240:$ZZ240,CALC!$R$1)&amp;"")),"")&lt;&gt;"ENCERRADA"),1,0),0)</f>
        <v/>
      </c>
      <c r="B240">
        <f>B239+A240</f>
        <v/>
      </c>
    </row>
    <row r="241">
      <c r="A241">
        <f>IFERROR(IF(AND(INDEX(BASELINE!$A241:$ZZ241,CALC!$H$1)&lt;&gt;"",INT(IF(AND(CALC!$F$1&gt;0,N(INDEX(BASELINE!$A241:$ZZ241,CALC!$F$1))&gt;0),N(INDEX(BASELINE!$A241:$ZZ241,CALC!$F$1)),N(INDEX(BASELINE!$A241:$ZZ241,CALC!$P$1))))=INT(SIMOPS!$D$3),IFERROR(UPPER(TRIM(INDEX(BASELINE!$A241:$ZZ241,CALC!$R$1)&amp;"")),"")&lt;&gt;"ENCERRADA"),1,0),0)</f>
        <v/>
      </c>
      <c r="B241">
        <f>B240+A241</f>
        <v/>
      </c>
    </row>
    <row r="242">
      <c r="A242">
        <f>IFERROR(IF(AND(INDEX(BASELINE!$A242:$ZZ242,CALC!$H$1)&lt;&gt;"",INT(IF(AND(CALC!$F$1&gt;0,N(INDEX(BASELINE!$A242:$ZZ242,CALC!$F$1))&gt;0),N(INDEX(BASELINE!$A242:$ZZ242,CALC!$F$1)),N(INDEX(BASELINE!$A242:$ZZ242,CALC!$P$1))))=INT(SIMOPS!$D$3),IFERROR(UPPER(TRIM(INDEX(BASELINE!$A242:$ZZ242,CALC!$R$1)&amp;"")),"")&lt;&gt;"ENCERRADA"),1,0),0)</f>
        <v/>
      </c>
      <c r="B242">
        <f>B241+A242</f>
        <v/>
      </c>
    </row>
    <row r="243">
      <c r="A243">
        <f>IFERROR(IF(AND(INDEX(BASELINE!$A243:$ZZ243,CALC!$H$1)&lt;&gt;"",INT(IF(AND(CALC!$F$1&gt;0,N(INDEX(BASELINE!$A243:$ZZ243,CALC!$F$1))&gt;0),N(INDEX(BASELINE!$A243:$ZZ243,CALC!$F$1)),N(INDEX(BASELINE!$A243:$ZZ243,CALC!$P$1))))=INT(SIMOPS!$D$3),IFERROR(UPPER(TRIM(INDEX(BASELINE!$A243:$ZZ243,CALC!$R$1)&amp;"")),"")&lt;&gt;"ENCERRADA"),1,0),0)</f>
        <v/>
      </c>
      <c r="B243">
        <f>B242+A243</f>
        <v/>
      </c>
    </row>
    <row r="244">
      <c r="A244">
        <f>IFERROR(IF(AND(INDEX(BASELINE!$A244:$ZZ244,CALC!$H$1)&lt;&gt;"",INT(IF(AND(CALC!$F$1&gt;0,N(INDEX(BASELINE!$A244:$ZZ244,CALC!$F$1))&gt;0),N(INDEX(BASELINE!$A244:$ZZ244,CALC!$F$1)),N(INDEX(BASELINE!$A244:$ZZ244,CALC!$P$1))))=INT(SIMOPS!$D$3),IFERROR(UPPER(TRIM(INDEX(BASELINE!$A244:$ZZ244,CALC!$R$1)&amp;"")),"")&lt;&gt;"ENCERRADA"),1,0),0)</f>
        <v/>
      </c>
      <c r="B244">
        <f>B243+A244</f>
        <v/>
      </c>
    </row>
    <row r="245">
      <c r="A245">
        <f>IFERROR(IF(AND(INDEX(BASELINE!$A245:$ZZ245,CALC!$H$1)&lt;&gt;"",INT(IF(AND(CALC!$F$1&gt;0,N(INDEX(BASELINE!$A245:$ZZ245,CALC!$F$1))&gt;0),N(INDEX(BASELINE!$A245:$ZZ245,CALC!$F$1)),N(INDEX(BASELINE!$A245:$ZZ245,CALC!$P$1))))=INT(SIMOPS!$D$3),IFERROR(UPPER(TRIM(INDEX(BASELINE!$A245:$ZZ245,CALC!$R$1)&amp;"")),"")&lt;&gt;"ENCERRADA"),1,0),0)</f>
        <v/>
      </c>
      <c r="B245">
        <f>B244+A245</f>
        <v/>
      </c>
    </row>
    <row r="246">
      <c r="A246">
        <f>IFERROR(IF(AND(INDEX(BASELINE!$A246:$ZZ246,CALC!$H$1)&lt;&gt;"",INT(IF(AND(CALC!$F$1&gt;0,N(INDEX(BASELINE!$A246:$ZZ246,CALC!$F$1))&gt;0),N(INDEX(BASELINE!$A246:$ZZ246,CALC!$F$1)),N(INDEX(BASELINE!$A246:$ZZ246,CALC!$P$1))))=INT(SIMOPS!$D$3),IFERROR(UPPER(TRIM(INDEX(BASELINE!$A246:$ZZ246,CALC!$R$1)&amp;"")),"")&lt;&gt;"ENCERRADA"),1,0),0)</f>
        <v/>
      </c>
      <c r="B246">
        <f>B245+A246</f>
        <v/>
      </c>
    </row>
    <row r="247">
      <c r="A247">
        <f>IFERROR(IF(AND(INDEX(BASELINE!$A247:$ZZ247,CALC!$H$1)&lt;&gt;"",INT(IF(AND(CALC!$F$1&gt;0,N(INDEX(BASELINE!$A247:$ZZ247,CALC!$F$1))&gt;0),N(INDEX(BASELINE!$A247:$ZZ247,CALC!$F$1)),N(INDEX(BASELINE!$A247:$ZZ247,CALC!$P$1))))=INT(SIMOPS!$D$3),IFERROR(UPPER(TRIM(INDEX(BASELINE!$A247:$ZZ247,CALC!$R$1)&amp;"")),"")&lt;&gt;"ENCERRADA"),1,0),0)</f>
        <v/>
      </c>
      <c r="B247">
        <f>B246+A247</f>
        <v/>
      </c>
    </row>
    <row r="248">
      <c r="A248">
        <f>IFERROR(IF(AND(INDEX(BASELINE!$A248:$ZZ248,CALC!$H$1)&lt;&gt;"",INT(IF(AND(CALC!$F$1&gt;0,N(INDEX(BASELINE!$A248:$ZZ248,CALC!$F$1))&gt;0),N(INDEX(BASELINE!$A248:$ZZ248,CALC!$F$1)),N(INDEX(BASELINE!$A248:$ZZ248,CALC!$P$1))))=INT(SIMOPS!$D$3),IFERROR(UPPER(TRIM(INDEX(BASELINE!$A248:$ZZ248,CALC!$R$1)&amp;"")),"")&lt;&gt;"ENCERRADA"),1,0),0)</f>
        <v/>
      </c>
      <c r="B248">
        <f>B247+A248</f>
        <v/>
      </c>
    </row>
    <row r="249">
      <c r="A249">
        <f>IFERROR(IF(AND(INDEX(BASELINE!$A249:$ZZ249,CALC!$H$1)&lt;&gt;"",INT(IF(AND(CALC!$F$1&gt;0,N(INDEX(BASELINE!$A249:$ZZ249,CALC!$F$1))&gt;0),N(INDEX(BASELINE!$A249:$ZZ249,CALC!$F$1)),N(INDEX(BASELINE!$A249:$ZZ249,CALC!$P$1))))=INT(SIMOPS!$D$3),IFERROR(UPPER(TRIM(INDEX(BASELINE!$A249:$ZZ249,CALC!$R$1)&amp;"")),"")&lt;&gt;"ENCERRADA"),1,0),0)</f>
        <v/>
      </c>
      <c r="B249">
        <f>B248+A249</f>
        <v/>
      </c>
    </row>
    <row r="250">
      <c r="A250">
        <f>IFERROR(IF(AND(INDEX(BASELINE!$A250:$ZZ250,CALC!$H$1)&lt;&gt;"",INT(IF(AND(CALC!$F$1&gt;0,N(INDEX(BASELINE!$A250:$ZZ250,CALC!$F$1))&gt;0),N(INDEX(BASELINE!$A250:$ZZ250,CALC!$F$1)),N(INDEX(BASELINE!$A250:$ZZ250,CALC!$P$1))))=INT(SIMOPS!$D$3),IFERROR(UPPER(TRIM(INDEX(BASELINE!$A250:$ZZ250,CALC!$R$1)&amp;"")),"")&lt;&gt;"ENCERRADA"),1,0),0)</f>
        <v/>
      </c>
      <c r="B250">
        <f>B249+A250</f>
        <v/>
      </c>
    </row>
    <row r="251">
      <c r="A251">
        <f>IFERROR(IF(AND(INDEX(BASELINE!$A251:$ZZ251,CALC!$H$1)&lt;&gt;"",INT(IF(AND(CALC!$F$1&gt;0,N(INDEX(BASELINE!$A251:$ZZ251,CALC!$F$1))&gt;0),N(INDEX(BASELINE!$A251:$ZZ251,CALC!$F$1)),N(INDEX(BASELINE!$A251:$ZZ251,CALC!$P$1))))=INT(SIMOPS!$D$3),IFERROR(UPPER(TRIM(INDEX(BASELINE!$A251:$ZZ251,CALC!$R$1)&amp;"")),"")&lt;&gt;"ENCERRADA"),1,0),0)</f>
        <v/>
      </c>
      <c r="B251">
        <f>B250+A251</f>
        <v/>
      </c>
    </row>
    <row r="252">
      <c r="A252">
        <f>IFERROR(IF(AND(INDEX(BASELINE!$A252:$ZZ252,CALC!$H$1)&lt;&gt;"",INT(IF(AND(CALC!$F$1&gt;0,N(INDEX(BASELINE!$A252:$ZZ252,CALC!$F$1))&gt;0),N(INDEX(BASELINE!$A252:$ZZ252,CALC!$F$1)),N(INDEX(BASELINE!$A252:$ZZ252,CALC!$P$1))))=INT(SIMOPS!$D$3),IFERROR(UPPER(TRIM(INDEX(BASELINE!$A252:$ZZ252,CALC!$R$1)&amp;"")),"")&lt;&gt;"ENCERRADA"),1,0),0)</f>
        <v/>
      </c>
      <c r="B252">
        <f>B251+A252</f>
        <v/>
      </c>
    </row>
    <row r="253">
      <c r="A253">
        <f>IFERROR(IF(AND(INDEX(BASELINE!$A253:$ZZ253,CALC!$H$1)&lt;&gt;"",INT(IF(AND(CALC!$F$1&gt;0,N(INDEX(BASELINE!$A253:$ZZ253,CALC!$F$1))&gt;0),N(INDEX(BASELINE!$A253:$ZZ253,CALC!$F$1)),N(INDEX(BASELINE!$A253:$ZZ253,CALC!$P$1))))=INT(SIMOPS!$D$3),IFERROR(UPPER(TRIM(INDEX(BASELINE!$A253:$ZZ253,CALC!$R$1)&amp;"")),"")&lt;&gt;"ENCERRADA"),1,0),0)</f>
        <v/>
      </c>
      <c r="B253">
        <f>B252+A253</f>
        <v/>
      </c>
    </row>
    <row r="254">
      <c r="A254">
        <f>IFERROR(IF(AND(INDEX(BASELINE!$A254:$ZZ254,CALC!$H$1)&lt;&gt;"",INT(IF(AND(CALC!$F$1&gt;0,N(INDEX(BASELINE!$A254:$ZZ254,CALC!$F$1))&gt;0),N(INDEX(BASELINE!$A254:$ZZ254,CALC!$F$1)),N(INDEX(BASELINE!$A254:$ZZ254,CALC!$P$1))))=INT(SIMOPS!$D$3),IFERROR(UPPER(TRIM(INDEX(BASELINE!$A254:$ZZ254,CALC!$R$1)&amp;"")),"")&lt;&gt;"ENCERRADA"),1,0),0)</f>
        <v/>
      </c>
      <c r="B254">
        <f>B253+A254</f>
        <v/>
      </c>
    </row>
    <row r="255">
      <c r="A255">
        <f>IFERROR(IF(AND(INDEX(BASELINE!$A255:$ZZ255,CALC!$H$1)&lt;&gt;"",INT(IF(AND(CALC!$F$1&gt;0,N(INDEX(BASELINE!$A255:$ZZ255,CALC!$F$1))&gt;0),N(INDEX(BASELINE!$A255:$ZZ255,CALC!$F$1)),N(INDEX(BASELINE!$A255:$ZZ255,CALC!$P$1))))=INT(SIMOPS!$D$3),IFERROR(UPPER(TRIM(INDEX(BASELINE!$A255:$ZZ255,CALC!$R$1)&amp;"")),"")&lt;&gt;"ENCERRADA"),1,0),0)</f>
        <v/>
      </c>
      <c r="B255">
        <f>B254+A255</f>
        <v/>
      </c>
    </row>
    <row r="256">
      <c r="A256">
        <f>IFERROR(IF(AND(INDEX(BASELINE!$A256:$ZZ256,CALC!$H$1)&lt;&gt;"",INT(IF(AND(CALC!$F$1&gt;0,N(INDEX(BASELINE!$A256:$ZZ256,CALC!$F$1))&gt;0),N(INDEX(BASELINE!$A256:$ZZ256,CALC!$F$1)),N(INDEX(BASELINE!$A256:$ZZ256,CALC!$P$1))))=INT(SIMOPS!$D$3),IFERROR(UPPER(TRIM(INDEX(BASELINE!$A256:$ZZ256,CALC!$R$1)&amp;"")),"")&lt;&gt;"ENCERRADA"),1,0),0)</f>
        <v/>
      </c>
      <c r="B256">
        <f>B255+A256</f>
        <v/>
      </c>
    </row>
    <row r="257">
      <c r="A257">
        <f>IFERROR(IF(AND(INDEX(BASELINE!$A257:$ZZ257,CALC!$H$1)&lt;&gt;"",INT(IF(AND(CALC!$F$1&gt;0,N(INDEX(BASELINE!$A257:$ZZ257,CALC!$F$1))&gt;0),N(INDEX(BASELINE!$A257:$ZZ257,CALC!$F$1)),N(INDEX(BASELINE!$A257:$ZZ257,CALC!$P$1))))=INT(SIMOPS!$D$3),IFERROR(UPPER(TRIM(INDEX(BASELINE!$A257:$ZZ257,CALC!$R$1)&amp;"")),"")&lt;&gt;"ENCERRADA"),1,0),0)</f>
        <v/>
      </c>
      <c r="B257">
        <f>B256+A257</f>
        <v/>
      </c>
    </row>
    <row r="258">
      <c r="A258">
        <f>IFERROR(IF(AND(INDEX(BASELINE!$A258:$ZZ258,CALC!$H$1)&lt;&gt;"",INT(IF(AND(CALC!$F$1&gt;0,N(INDEX(BASELINE!$A258:$ZZ258,CALC!$F$1))&gt;0),N(INDEX(BASELINE!$A258:$ZZ258,CALC!$F$1)),N(INDEX(BASELINE!$A258:$ZZ258,CALC!$P$1))))=INT(SIMOPS!$D$3),IFERROR(UPPER(TRIM(INDEX(BASELINE!$A258:$ZZ258,CALC!$R$1)&amp;"")),"")&lt;&gt;"ENCERRADA"),1,0),0)</f>
        <v/>
      </c>
      <c r="B258">
        <f>B257+A258</f>
        <v/>
      </c>
    </row>
    <row r="259">
      <c r="A259">
        <f>IFERROR(IF(AND(INDEX(BASELINE!$A259:$ZZ259,CALC!$H$1)&lt;&gt;"",INT(IF(AND(CALC!$F$1&gt;0,N(INDEX(BASELINE!$A259:$ZZ259,CALC!$F$1))&gt;0),N(INDEX(BASELINE!$A259:$ZZ259,CALC!$F$1)),N(INDEX(BASELINE!$A259:$ZZ259,CALC!$P$1))))=INT(SIMOPS!$D$3),IFERROR(UPPER(TRIM(INDEX(BASELINE!$A259:$ZZ259,CALC!$R$1)&amp;"")),"")&lt;&gt;"ENCERRADA"),1,0),0)</f>
        <v/>
      </c>
      <c r="B259">
        <f>B258+A259</f>
        <v/>
      </c>
    </row>
    <row r="260">
      <c r="A260">
        <f>IFERROR(IF(AND(INDEX(BASELINE!$A260:$ZZ260,CALC!$H$1)&lt;&gt;"",INT(IF(AND(CALC!$F$1&gt;0,N(INDEX(BASELINE!$A260:$ZZ260,CALC!$F$1))&gt;0),N(INDEX(BASELINE!$A260:$ZZ260,CALC!$F$1)),N(INDEX(BASELINE!$A260:$ZZ260,CALC!$P$1))))=INT(SIMOPS!$D$3),IFERROR(UPPER(TRIM(INDEX(BASELINE!$A260:$ZZ260,CALC!$R$1)&amp;"")),"")&lt;&gt;"ENCERRADA"),1,0),0)</f>
        <v/>
      </c>
      <c r="B260">
        <f>B259+A260</f>
        <v/>
      </c>
    </row>
    <row r="261">
      <c r="A261">
        <f>IFERROR(IF(AND(INDEX(BASELINE!$A261:$ZZ261,CALC!$H$1)&lt;&gt;"",INT(IF(AND(CALC!$F$1&gt;0,N(INDEX(BASELINE!$A261:$ZZ261,CALC!$F$1))&gt;0),N(INDEX(BASELINE!$A261:$ZZ261,CALC!$F$1)),N(INDEX(BASELINE!$A261:$ZZ261,CALC!$P$1))))=INT(SIMOPS!$D$3),IFERROR(UPPER(TRIM(INDEX(BASELINE!$A261:$ZZ261,CALC!$R$1)&amp;"")),"")&lt;&gt;"ENCERRADA"),1,0),0)</f>
        <v/>
      </c>
      <c r="B261">
        <f>B260+A261</f>
        <v/>
      </c>
    </row>
    <row r="262">
      <c r="A262">
        <f>IFERROR(IF(AND(INDEX(BASELINE!$A262:$ZZ262,CALC!$H$1)&lt;&gt;"",INT(IF(AND(CALC!$F$1&gt;0,N(INDEX(BASELINE!$A262:$ZZ262,CALC!$F$1))&gt;0),N(INDEX(BASELINE!$A262:$ZZ262,CALC!$F$1)),N(INDEX(BASELINE!$A262:$ZZ262,CALC!$P$1))))=INT(SIMOPS!$D$3),IFERROR(UPPER(TRIM(INDEX(BASELINE!$A262:$ZZ262,CALC!$R$1)&amp;"")),"")&lt;&gt;"ENCERRADA"),1,0),0)</f>
        <v/>
      </c>
      <c r="B262">
        <f>B261+A262</f>
        <v/>
      </c>
    </row>
    <row r="263">
      <c r="A263">
        <f>IFERROR(IF(AND(INDEX(BASELINE!$A263:$ZZ263,CALC!$H$1)&lt;&gt;"",INT(IF(AND(CALC!$F$1&gt;0,N(INDEX(BASELINE!$A263:$ZZ263,CALC!$F$1))&gt;0),N(INDEX(BASELINE!$A263:$ZZ263,CALC!$F$1)),N(INDEX(BASELINE!$A263:$ZZ263,CALC!$P$1))))=INT(SIMOPS!$D$3),IFERROR(UPPER(TRIM(INDEX(BASELINE!$A263:$ZZ263,CALC!$R$1)&amp;"")),"")&lt;&gt;"ENCERRADA"),1,0),0)</f>
        <v/>
      </c>
      <c r="B263">
        <f>B262+A263</f>
        <v/>
      </c>
    </row>
    <row r="264">
      <c r="A264">
        <f>IFERROR(IF(AND(INDEX(BASELINE!$A264:$ZZ264,CALC!$H$1)&lt;&gt;"",INT(IF(AND(CALC!$F$1&gt;0,N(INDEX(BASELINE!$A264:$ZZ264,CALC!$F$1))&gt;0),N(INDEX(BASELINE!$A264:$ZZ264,CALC!$F$1)),N(INDEX(BASELINE!$A264:$ZZ264,CALC!$P$1))))=INT(SIMOPS!$D$3),IFERROR(UPPER(TRIM(INDEX(BASELINE!$A264:$ZZ264,CALC!$R$1)&amp;"")),"")&lt;&gt;"ENCERRADA"),1,0),0)</f>
        <v/>
      </c>
      <c r="B264">
        <f>B263+A264</f>
        <v/>
      </c>
    </row>
    <row r="265">
      <c r="A265">
        <f>IFERROR(IF(AND(INDEX(BASELINE!$A265:$ZZ265,CALC!$H$1)&lt;&gt;"",INT(IF(AND(CALC!$F$1&gt;0,N(INDEX(BASELINE!$A265:$ZZ265,CALC!$F$1))&gt;0),N(INDEX(BASELINE!$A265:$ZZ265,CALC!$F$1)),N(INDEX(BASELINE!$A265:$ZZ265,CALC!$P$1))))=INT(SIMOPS!$D$3),IFERROR(UPPER(TRIM(INDEX(BASELINE!$A265:$ZZ265,CALC!$R$1)&amp;"")),"")&lt;&gt;"ENCERRADA"),1,0),0)</f>
        <v/>
      </c>
      <c r="B265">
        <f>B264+A265</f>
        <v/>
      </c>
    </row>
    <row r="266">
      <c r="A266">
        <f>IFERROR(IF(AND(INDEX(BASELINE!$A266:$ZZ266,CALC!$H$1)&lt;&gt;"",INT(IF(AND(CALC!$F$1&gt;0,N(INDEX(BASELINE!$A266:$ZZ266,CALC!$F$1))&gt;0),N(INDEX(BASELINE!$A266:$ZZ266,CALC!$F$1)),N(INDEX(BASELINE!$A266:$ZZ266,CALC!$P$1))))=INT(SIMOPS!$D$3),IFERROR(UPPER(TRIM(INDEX(BASELINE!$A266:$ZZ266,CALC!$R$1)&amp;"")),"")&lt;&gt;"ENCERRADA"),1,0),0)</f>
        <v/>
      </c>
      <c r="B266">
        <f>B265+A266</f>
        <v/>
      </c>
    </row>
    <row r="267">
      <c r="A267">
        <f>IFERROR(IF(AND(INDEX(BASELINE!$A267:$ZZ267,CALC!$H$1)&lt;&gt;"",INT(IF(AND(CALC!$F$1&gt;0,N(INDEX(BASELINE!$A267:$ZZ267,CALC!$F$1))&gt;0),N(INDEX(BASELINE!$A267:$ZZ267,CALC!$F$1)),N(INDEX(BASELINE!$A267:$ZZ267,CALC!$P$1))))=INT(SIMOPS!$D$3),IFERROR(UPPER(TRIM(INDEX(BASELINE!$A267:$ZZ267,CALC!$R$1)&amp;"")),"")&lt;&gt;"ENCERRADA"),1,0),0)</f>
        <v/>
      </c>
      <c r="B267">
        <f>B266+A267</f>
        <v/>
      </c>
    </row>
    <row r="268">
      <c r="A268">
        <f>IFERROR(IF(AND(INDEX(BASELINE!$A268:$ZZ268,CALC!$H$1)&lt;&gt;"",INT(IF(AND(CALC!$F$1&gt;0,N(INDEX(BASELINE!$A268:$ZZ268,CALC!$F$1))&gt;0),N(INDEX(BASELINE!$A268:$ZZ268,CALC!$F$1)),N(INDEX(BASELINE!$A268:$ZZ268,CALC!$P$1))))=INT(SIMOPS!$D$3),IFERROR(UPPER(TRIM(INDEX(BASELINE!$A268:$ZZ268,CALC!$R$1)&amp;"")),"")&lt;&gt;"ENCERRADA"),1,0),0)</f>
        <v/>
      </c>
      <c r="B268">
        <f>B267+A268</f>
        <v/>
      </c>
    </row>
    <row r="269">
      <c r="A269">
        <f>IFERROR(IF(AND(INDEX(BASELINE!$A269:$ZZ269,CALC!$H$1)&lt;&gt;"",INT(IF(AND(CALC!$F$1&gt;0,N(INDEX(BASELINE!$A269:$ZZ269,CALC!$F$1))&gt;0),N(INDEX(BASELINE!$A269:$ZZ269,CALC!$F$1)),N(INDEX(BASELINE!$A269:$ZZ269,CALC!$P$1))))=INT(SIMOPS!$D$3),IFERROR(UPPER(TRIM(INDEX(BASELINE!$A269:$ZZ269,CALC!$R$1)&amp;"")),"")&lt;&gt;"ENCERRADA"),1,0),0)</f>
        <v/>
      </c>
      <c r="B269">
        <f>B268+A269</f>
        <v/>
      </c>
    </row>
    <row r="270">
      <c r="A270">
        <f>IFERROR(IF(AND(INDEX(BASELINE!$A270:$ZZ270,CALC!$H$1)&lt;&gt;"",INT(IF(AND(CALC!$F$1&gt;0,N(INDEX(BASELINE!$A270:$ZZ270,CALC!$F$1))&gt;0),N(INDEX(BASELINE!$A270:$ZZ270,CALC!$F$1)),N(INDEX(BASELINE!$A270:$ZZ270,CALC!$P$1))))=INT(SIMOPS!$D$3),IFERROR(UPPER(TRIM(INDEX(BASELINE!$A270:$ZZ270,CALC!$R$1)&amp;"")),"")&lt;&gt;"ENCERRADA"),1,0),0)</f>
        <v/>
      </c>
      <c r="B270">
        <f>B269+A270</f>
        <v/>
      </c>
    </row>
    <row r="271">
      <c r="A271">
        <f>IFERROR(IF(AND(INDEX(BASELINE!$A271:$ZZ271,CALC!$H$1)&lt;&gt;"",INT(IF(AND(CALC!$F$1&gt;0,N(INDEX(BASELINE!$A271:$ZZ271,CALC!$F$1))&gt;0),N(INDEX(BASELINE!$A271:$ZZ271,CALC!$F$1)),N(INDEX(BASELINE!$A271:$ZZ271,CALC!$P$1))))=INT(SIMOPS!$D$3),IFERROR(UPPER(TRIM(INDEX(BASELINE!$A271:$ZZ271,CALC!$R$1)&amp;"")),"")&lt;&gt;"ENCERRADA"),1,0),0)</f>
        <v/>
      </c>
      <c r="B271">
        <f>B270+A271</f>
        <v/>
      </c>
    </row>
    <row r="272">
      <c r="A272">
        <f>IFERROR(IF(AND(INDEX(BASELINE!$A272:$ZZ272,CALC!$H$1)&lt;&gt;"",INT(IF(AND(CALC!$F$1&gt;0,N(INDEX(BASELINE!$A272:$ZZ272,CALC!$F$1))&gt;0),N(INDEX(BASELINE!$A272:$ZZ272,CALC!$F$1)),N(INDEX(BASELINE!$A272:$ZZ272,CALC!$P$1))))=INT(SIMOPS!$D$3),IFERROR(UPPER(TRIM(INDEX(BASELINE!$A272:$ZZ272,CALC!$R$1)&amp;"")),"")&lt;&gt;"ENCERRADA"),1,0),0)</f>
        <v/>
      </c>
      <c r="B272">
        <f>B271+A272</f>
        <v/>
      </c>
    </row>
    <row r="273">
      <c r="A273">
        <f>IFERROR(IF(AND(INDEX(BASELINE!$A273:$ZZ273,CALC!$H$1)&lt;&gt;"",INT(IF(AND(CALC!$F$1&gt;0,N(INDEX(BASELINE!$A273:$ZZ273,CALC!$F$1))&gt;0),N(INDEX(BASELINE!$A273:$ZZ273,CALC!$F$1)),N(INDEX(BASELINE!$A273:$ZZ273,CALC!$P$1))))=INT(SIMOPS!$D$3),IFERROR(UPPER(TRIM(INDEX(BASELINE!$A273:$ZZ273,CALC!$R$1)&amp;"")),"")&lt;&gt;"ENCERRADA"),1,0),0)</f>
        <v/>
      </c>
      <c r="B273">
        <f>B272+A273</f>
        <v/>
      </c>
    </row>
    <row r="274">
      <c r="A274">
        <f>IFERROR(IF(AND(INDEX(BASELINE!$A274:$ZZ274,CALC!$H$1)&lt;&gt;"",INT(IF(AND(CALC!$F$1&gt;0,N(INDEX(BASELINE!$A274:$ZZ274,CALC!$F$1))&gt;0),N(INDEX(BASELINE!$A274:$ZZ274,CALC!$F$1)),N(INDEX(BASELINE!$A274:$ZZ274,CALC!$P$1))))=INT(SIMOPS!$D$3),IFERROR(UPPER(TRIM(INDEX(BASELINE!$A274:$ZZ274,CALC!$R$1)&amp;"")),"")&lt;&gt;"ENCERRADA"),1,0),0)</f>
        <v/>
      </c>
      <c r="B274">
        <f>B273+A274</f>
        <v/>
      </c>
    </row>
    <row r="275">
      <c r="A275">
        <f>IFERROR(IF(AND(INDEX(BASELINE!$A275:$ZZ275,CALC!$H$1)&lt;&gt;"",INT(IF(AND(CALC!$F$1&gt;0,N(INDEX(BASELINE!$A275:$ZZ275,CALC!$F$1))&gt;0),N(INDEX(BASELINE!$A275:$ZZ275,CALC!$F$1)),N(INDEX(BASELINE!$A275:$ZZ275,CALC!$P$1))))=INT(SIMOPS!$D$3),IFERROR(UPPER(TRIM(INDEX(BASELINE!$A275:$ZZ275,CALC!$R$1)&amp;"")),"")&lt;&gt;"ENCERRADA"),1,0),0)</f>
        <v/>
      </c>
      <c r="B275">
        <f>B274+A275</f>
        <v/>
      </c>
    </row>
    <row r="276">
      <c r="A276">
        <f>IFERROR(IF(AND(INDEX(BASELINE!$A276:$ZZ276,CALC!$H$1)&lt;&gt;"",INT(IF(AND(CALC!$F$1&gt;0,N(INDEX(BASELINE!$A276:$ZZ276,CALC!$F$1))&gt;0),N(INDEX(BASELINE!$A276:$ZZ276,CALC!$F$1)),N(INDEX(BASELINE!$A276:$ZZ276,CALC!$P$1))))=INT(SIMOPS!$D$3),IFERROR(UPPER(TRIM(INDEX(BASELINE!$A276:$ZZ276,CALC!$R$1)&amp;"")),"")&lt;&gt;"ENCERRADA"),1,0),0)</f>
        <v/>
      </c>
      <c r="B276">
        <f>B275+A276</f>
        <v/>
      </c>
    </row>
    <row r="277">
      <c r="A277">
        <f>IFERROR(IF(AND(INDEX(BASELINE!$A277:$ZZ277,CALC!$H$1)&lt;&gt;"",INT(IF(AND(CALC!$F$1&gt;0,N(INDEX(BASELINE!$A277:$ZZ277,CALC!$F$1))&gt;0),N(INDEX(BASELINE!$A277:$ZZ277,CALC!$F$1)),N(INDEX(BASELINE!$A277:$ZZ277,CALC!$P$1))))=INT(SIMOPS!$D$3),IFERROR(UPPER(TRIM(INDEX(BASELINE!$A277:$ZZ277,CALC!$R$1)&amp;"")),"")&lt;&gt;"ENCERRADA"),1,0),0)</f>
        <v/>
      </c>
      <c r="B277">
        <f>B276+A277</f>
        <v/>
      </c>
    </row>
    <row r="278">
      <c r="A278">
        <f>IFERROR(IF(AND(INDEX(BASELINE!$A278:$ZZ278,CALC!$H$1)&lt;&gt;"",INT(IF(AND(CALC!$F$1&gt;0,N(INDEX(BASELINE!$A278:$ZZ278,CALC!$F$1))&gt;0),N(INDEX(BASELINE!$A278:$ZZ278,CALC!$F$1)),N(INDEX(BASELINE!$A278:$ZZ278,CALC!$P$1))))=INT(SIMOPS!$D$3),IFERROR(UPPER(TRIM(INDEX(BASELINE!$A278:$ZZ278,CALC!$R$1)&amp;"")),"")&lt;&gt;"ENCERRADA"),1,0),0)</f>
        <v/>
      </c>
      <c r="B278">
        <f>B277+A278</f>
        <v/>
      </c>
    </row>
    <row r="279">
      <c r="A279">
        <f>IFERROR(IF(AND(INDEX(BASELINE!$A279:$ZZ279,CALC!$H$1)&lt;&gt;"",INT(IF(AND(CALC!$F$1&gt;0,N(INDEX(BASELINE!$A279:$ZZ279,CALC!$F$1))&gt;0),N(INDEX(BASELINE!$A279:$ZZ279,CALC!$F$1)),N(INDEX(BASELINE!$A279:$ZZ279,CALC!$P$1))))=INT(SIMOPS!$D$3),IFERROR(UPPER(TRIM(INDEX(BASELINE!$A279:$ZZ279,CALC!$R$1)&amp;"")),"")&lt;&gt;"ENCERRADA"),1,0),0)</f>
        <v/>
      </c>
      <c r="B279">
        <f>B278+A279</f>
        <v/>
      </c>
    </row>
    <row r="280">
      <c r="A280">
        <f>IFERROR(IF(AND(INDEX(BASELINE!$A280:$ZZ280,CALC!$H$1)&lt;&gt;"",INT(IF(AND(CALC!$F$1&gt;0,N(INDEX(BASELINE!$A280:$ZZ280,CALC!$F$1))&gt;0),N(INDEX(BASELINE!$A280:$ZZ280,CALC!$F$1)),N(INDEX(BASELINE!$A280:$ZZ280,CALC!$P$1))))=INT(SIMOPS!$D$3),IFERROR(UPPER(TRIM(INDEX(BASELINE!$A280:$ZZ280,CALC!$R$1)&amp;"")),"")&lt;&gt;"ENCERRADA"),1,0),0)</f>
        <v/>
      </c>
      <c r="B280">
        <f>B279+A280</f>
        <v/>
      </c>
    </row>
    <row r="281">
      <c r="A281">
        <f>IFERROR(IF(AND(INDEX(BASELINE!$A281:$ZZ281,CALC!$H$1)&lt;&gt;"",INT(IF(AND(CALC!$F$1&gt;0,N(INDEX(BASELINE!$A281:$ZZ281,CALC!$F$1))&gt;0),N(INDEX(BASELINE!$A281:$ZZ281,CALC!$F$1)),N(INDEX(BASELINE!$A281:$ZZ281,CALC!$P$1))))=INT(SIMOPS!$D$3),IFERROR(UPPER(TRIM(INDEX(BASELINE!$A281:$ZZ281,CALC!$R$1)&amp;"")),"")&lt;&gt;"ENCERRADA"),1,0),0)</f>
        <v/>
      </c>
      <c r="B281">
        <f>B280+A281</f>
        <v/>
      </c>
    </row>
    <row r="282">
      <c r="A282">
        <f>IFERROR(IF(AND(INDEX(BASELINE!$A282:$ZZ282,CALC!$H$1)&lt;&gt;"",INT(IF(AND(CALC!$F$1&gt;0,N(INDEX(BASELINE!$A282:$ZZ282,CALC!$F$1))&gt;0),N(INDEX(BASELINE!$A282:$ZZ282,CALC!$F$1)),N(INDEX(BASELINE!$A282:$ZZ282,CALC!$P$1))))=INT(SIMOPS!$D$3),IFERROR(UPPER(TRIM(INDEX(BASELINE!$A282:$ZZ282,CALC!$R$1)&amp;"")),"")&lt;&gt;"ENCERRADA"),1,0),0)</f>
        <v/>
      </c>
      <c r="B282">
        <f>B281+A282</f>
        <v/>
      </c>
    </row>
    <row r="283">
      <c r="A283">
        <f>IFERROR(IF(AND(INDEX(BASELINE!$A283:$ZZ283,CALC!$H$1)&lt;&gt;"",INT(IF(AND(CALC!$F$1&gt;0,N(INDEX(BASELINE!$A283:$ZZ283,CALC!$F$1))&gt;0),N(INDEX(BASELINE!$A283:$ZZ283,CALC!$F$1)),N(INDEX(BASELINE!$A283:$ZZ283,CALC!$P$1))))=INT(SIMOPS!$D$3),IFERROR(UPPER(TRIM(INDEX(BASELINE!$A283:$ZZ283,CALC!$R$1)&amp;"")),"")&lt;&gt;"ENCERRADA"),1,0),0)</f>
        <v/>
      </c>
      <c r="B283">
        <f>B282+A283</f>
        <v/>
      </c>
    </row>
    <row r="284">
      <c r="A284">
        <f>IFERROR(IF(AND(INDEX(BASELINE!$A284:$ZZ284,CALC!$H$1)&lt;&gt;"",INT(IF(AND(CALC!$F$1&gt;0,N(INDEX(BASELINE!$A284:$ZZ284,CALC!$F$1))&gt;0),N(INDEX(BASELINE!$A284:$ZZ284,CALC!$F$1)),N(INDEX(BASELINE!$A284:$ZZ284,CALC!$P$1))))=INT(SIMOPS!$D$3),IFERROR(UPPER(TRIM(INDEX(BASELINE!$A284:$ZZ284,CALC!$R$1)&amp;"")),"")&lt;&gt;"ENCERRADA"),1,0),0)</f>
        <v/>
      </c>
      <c r="B284">
        <f>B283+A284</f>
        <v/>
      </c>
    </row>
    <row r="285">
      <c r="A285">
        <f>IFERROR(IF(AND(INDEX(BASELINE!$A285:$ZZ285,CALC!$H$1)&lt;&gt;"",INT(IF(AND(CALC!$F$1&gt;0,N(INDEX(BASELINE!$A285:$ZZ285,CALC!$F$1))&gt;0),N(INDEX(BASELINE!$A285:$ZZ285,CALC!$F$1)),N(INDEX(BASELINE!$A285:$ZZ285,CALC!$P$1))))=INT(SIMOPS!$D$3),IFERROR(UPPER(TRIM(INDEX(BASELINE!$A285:$ZZ285,CALC!$R$1)&amp;"")),"")&lt;&gt;"ENCERRADA"),1,0),0)</f>
        <v/>
      </c>
      <c r="B285">
        <f>B284+A285</f>
        <v/>
      </c>
    </row>
    <row r="286">
      <c r="A286">
        <f>IFERROR(IF(AND(INDEX(BASELINE!$A286:$ZZ286,CALC!$H$1)&lt;&gt;"",INT(IF(AND(CALC!$F$1&gt;0,N(INDEX(BASELINE!$A286:$ZZ286,CALC!$F$1))&gt;0),N(INDEX(BASELINE!$A286:$ZZ286,CALC!$F$1)),N(INDEX(BASELINE!$A286:$ZZ286,CALC!$P$1))))=INT(SIMOPS!$D$3),IFERROR(UPPER(TRIM(INDEX(BASELINE!$A286:$ZZ286,CALC!$R$1)&amp;"")),"")&lt;&gt;"ENCERRADA"),1,0),0)</f>
        <v/>
      </c>
      <c r="B286">
        <f>B285+A286</f>
        <v/>
      </c>
    </row>
    <row r="287">
      <c r="A287">
        <f>IFERROR(IF(AND(INDEX(BASELINE!$A287:$ZZ287,CALC!$H$1)&lt;&gt;"",INT(IF(AND(CALC!$F$1&gt;0,N(INDEX(BASELINE!$A287:$ZZ287,CALC!$F$1))&gt;0),N(INDEX(BASELINE!$A287:$ZZ287,CALC!$F$1)),N(INDEX(BASELINE!$A287:$ZZ287,CALC!$P$1))))=INT(SIMOPS!$D$3),IFERROR(UPPER(TRIM(INDEX(BASELINE!$A287:$ZZ287,CALC!$R$1)&amp;"")),"")&lt;&gt;"ENCERRADA"),1,0),0)</f>
        <v/>
      </c>
      <c r="B287">
        <f>B286+A287</f>
        <v/>
      </c>
    </row>
    <row r="288">
      <c r="A288">
        <f>IFERROR(IF(AND(INDEX(BASELINE!$A288:$ZZ288,CALC!$H$1)&lt;&gt;"",INT(IF(AND(CALC!$F$1&gt;0,N(INDEX(BASELINE!$A288:$ZZ288,CALC!$F$1))&gt;0),N(INDEX(BASELINE!$A288:$ZZ288,CALC!$F$1)),N(INDEX(BASELINE!$A288:$ZZ288,CALC!$P$1))))=INT(SIMOPS!$D$3),IFERROR(UPPER(TRIM(INDEX(BASELINE!$A288:$ZZ288,CALC!$R$1)&amp;"")),"")&lt;&gt;"ENCERRADA"),1,0),0)</f>
        <v/>
      </c>
      <c r="B288">
        <f>B287+A288</f>
        <v/>
      </c>
    </row>
    <row r="289">
      <c r="A289">
        <f>IFERROR(IF(AND(INDEX(BASELINE!$A289:$ZZ289,CALC!$H$1)&lt;&gt;"",INT(IF(AND(CALC!$F$1&gt;0,N(INDEX(BASELINE!$A289:$ZZ289,CALC!$F$1))&gt;0),N(INDEX(BASELINE!$A289:$ZZ289,CALC!$F$1)),N(INDEX(BASELINE!$A289:$ZZ289,CALC!$P$1))))=INT(SIMOPS!$D$3),IFERROR(UPPER(TRIM(INDEX(BASELINE!$A289:$ZZ289,CALC!$R$1)&amp;"")),"")&lt;&gt;"ENCERRADA"),1,0),0)</f>
        <v/>
      </c>
      <c r="B289">
        <f>B288+A289</f>
        <v/>
      </c>
    </row>
    <row r="290">
      <c r="A290">
        <f>IFERROR(IF(AND(INDEX(BASELINE!$A290:$ZZ290,CALC!$H$1)&lt;&gt;"",INT(IF(AND(CALC!$F$1&gt;0,N(INDEX(BASELINE!$A290:$ZZ290,CALC!$F$1))&gt;0),N(INDEX(BASELINE!$A290:$ZZ290,CALC!$F$1)),N(INDEX(BASELINE!$A290:$ZZ290,CALC!$P$1))))=INT(SIMOPS!$D$3),IFERROR(UPPER(TRIM(INDEX(BASELINE!$A290:$ZZ290,CALC!$R$1)&amp;"")),"")&lt;&gt;"ENCERRADA"),1,0),0)</f>
        <v/>
      </c>
      <c r="B290">
        <f>B289+A290</f>
        <v/>
      </c>
    </row>
    <row r="291">
      <c r="A291">
        <f>IFERROR(IF(AND(INDEX(BASELINE!$A291:$ZZ291,CALC!$H$1)&lt;&gt;"",INT(IF(AND(CALC!$F$1&gt;0,N(INDEX(BASELINE!$A291:$ZZ291,CALC!$F$1))&gt;0),N(INDEX(BASELINE!$A291:$ZZ291,CALC!$F$1)),N(INDEX(BASELINE!$A291:$ZZ291,CALC!$P$1))))=INT(SIMOPS!$D$3),IFERROR(UPPER(TRIM(INDEX(BASELINE!$A291:$ZZ291,CALC!$R$1)&amp;"")),"")&lt;&gt;"ENCERRADA"),1,0),0)</f>
        <v/>
      </c>
      <c r="B291">
        <f>B290+A291</f>
        <v/>
      </c>
    </row>
    <row r="292">
      <c r="A292">
        <f>IFERROR(IF(AND(INDEX(BASELINE!$A292:$ZZ292,CALC!$H$1)&lt;&gt;"",INT(IF(AND(CALC!$F$1&gt;0,N(INDEX(BASELINE!$A292:$ZZ292,CALC!$F$1))&gt;0),N(INDEX(BASELINE!$A292:$ZZ292,CALC!$F$1)),N(INDEX(BASELINE!$A292:$ZZ292,CALC!$P$1))))=INT(SIMOPS!$D$3),IFERROR(UPPER(TRIM(INDEX(BASELINE!$A292:$ZZ292,CALC!$R$1)&amp;"")),"")&lt;&gt;"ENCERRADA"),1,0),0)</f>
        <v/>
      </c>
      <c r="B292">
        <f>B291+A292</f>
        <v/>
      </c>
    </row>
    <row r="293">
      <c r="A293">
        <f>IFERROR(IF(AND(INDEX(BASELINE!$A293:$ZZ293,CALC!$H$1)&lt;&gt;"",INT(IF(AND(CALC!$F$1&gt;0,N(INDEX(BASELINE!$A293:$ZZ293,CALC!$F$1))&gt;0),N(INDEX(BASELINE!$A293:$ZZ293,CALC!$F$1)),N(INDEX(BASELINE!$A293:$ZZ293,CALC!$P$1))))=INT(SIMOPS!$D$3),IFERROR(UPPER(TRIM(INDEX(BASELINE!$A293:$ZZ293,CALC!$R$1)&amp;"")),"")&lt;&gt;"ENCERRADA"),1,0),0)</f>
        <v/>
      </c>
      <c r="B293">
        <f>B292+A293</f>
        <v/>
      </c>
    </row>
    <row r="294">
      <c r="A294">
        <f>IFERROR(IF(AND(INDEX(BASELINE!$A294:$ZZ294,CALC!$H$1)&lt;&gt;"",INT(IF(AND(CALC!$F$1&gt;0,N(INDEX(BASELINE!$A294:$ZZ294,CALC!$F$1))&gt;0),N(INDEX(BASELINE!$A294:$ZZ294,CALC!$F$1)),N(INDEX(BASELINE!$A294:$ZZ294,CALC!$P$1))))=INT(SIMOPS!$D$3),IFERROR(UPPER(TRIM(INDEX(BASELINE!$A294:$ZZ294,CALC!$R$1)&amp;"")),"")&lt;&gt;"ENCERRADA"),1,0),0)</f>
        <v/>
      </c>
      <c r="B294">
        <f>B293+A294</f>
        <v/>
      </c>
    </row>
    <row r="295">
      <c r="A295">
        <f>IFERROR(IF(AND(INDEX(BASELINE!$A295:$ZZ295,CALC!$H$1)&lt;&gt;"",INT(IF(AND(CALC!$F$1&gt;0,N(INDEX(BASELINE!$A295:$ZZ295,CALC!$F$1))&gt;0),N(INDEX(BASELINE!$A295:$ZZ295,CALC!$F$1)),N(INDEX(BASELINE!$A295:$ZZ295,CALC!$P$1))))=INT(SIMOPS!$D$3),IFERROR(UPPER(TRIM(INDEX(BASELINE!$A295:$ZZ295,CALC!$R$1)&amp;"")),"")&lt;&gt;"ENCERRADA"),1,0),0)</f>
        <v/>
      </c>
      <c r="B295">
        <f>B294+A295</f>
        <v/>
      </c>
    </row>
    <row r="296">
      <c r="A296">
        <f>IFERROR(IF(AND(INDEX(BASELINE!$A296:$ZZ296,CALC!$H$1)&lt;&gt;"",INT(IF(AND(CALC!$F$1&gt;0,N(INDEX(BASELINE!$A296:$ZZ296,CALC!$F$1))&gt;0),N(INDEX(BASELINE!$A296:$ZZ296,CALC!$F$1)),N(INDEX(BASELINE!$A296:$ZZ296,CALC!$P$1))))=INT(SIMOPS!$D$3),IFERROR(UPPER(TRIM(INDEX(BASELINE!$A296:$ZZ296,CALC!$R$1)&amp;"")),"")&lt;&gt;"ENCERRADA"),1,0),0)</f>
        <v/>
      </c>
      <c r="B296">
        <f>B295+A296</f>
        <v/>
      </c>
    </row>
    <row r="297">
      <c r="A297">
        <f>IFERROR(IF(AND(INDEX(BASELINE!$A297:$ZZ297,CALC!$H$1)&lt;&gt;"",INT(IF(AND(CALC!$F$1&gt;0,N(INDEX(BASELINE!$A297:$ZZ297,CALC!$F$1))&gt;0),N(INDEX(BASELINE!$A297:$ZZ297,CALC!$F$1)),N(INDEX(BASELINE!$A297:$ZZ297,CALC!$P$1))))=INT(SIMOPS!$D$3),IFERROR(UPPER(TRIM(INDEX(BASELINE!$A297:$ZZ297,CALC!$R$1)&amp;"")),"")&lt;&gt;"ENCERRADA"),1,0),0)</f>
        <v/>
      </c>
      <c r="B297">
        <f>B296+A297</f>
        <v/>
      </c>
    </row>
    <row r="298">
      <c r="A298">
        <f>IFERROR(IF(AND(INDEX(BASELINE!$A298:$ZZ298,CALC!$H$1)&lt;&gt;"",INT(IF(AND(CALC!$F$1&gt;0,N(INDEX(BASELINE!$A298:$ZZ298,CALC!$F$1))&gt;0),N(INDEX(BASELINE!$A298:$ZZ298,CALC!$F$1)),N(INDEX(BASELINE!$A298:$ZZ298,CALC!$P$1))))=INT(SIMOPS!$D$3),IFERROR(UPPER(TRIM(INDEX(BASELINE!$A298:$ZZ298,CALC!$R$1)&amp;"")),"")&lt;&gt;"ENCERRADA"),1,0),0)</f>
        <v/>
      </c>
      <c r="B298">
        <f>B297+A298</f>
        <v/>
      </c>
    </row>
    <row r="299">
      <c r="A299">
        <f>IFERROR(IF(AND(INDEX(BASELINE!$A299:$ZZ299,CALC!$H$1)&lt;&gt;"",INT(IF(AND(CALC!$F$1&gt;0,N(INDEX(BASELINE!$A299:$ZZ299,CALC!$F$1))&gt;0),N(INDEX(BASELINE!$A299:$ZZ299,CALC!$F$1)),N(INDEX(BASELINE!$A299:$ZZ299,CALC!$P$1))))=INT(SIMOPS!$D$3),IFERROR(UPPER(TRIM(INDEX(BASELINE!$A299:$ZZ299,CALC!$R$1)&amp;"")),"")&lt;&gt;"ENCERRADA"),1,0),0)</f>
        <v/>
      </c>
      <c r="B299">
        <f>B298+A299</f>
        <v/>
      </c>
    </row>
    <row r="300">
      <c r="A300">
        <f>IFERROR(IF(AND(INDEX(BASELINE!$A300:$ZZ300,CALC!$H$1)&lt;&gt;"",INT(IF(AND(CALC!$F$1&gt;0,N(INDEX(BASELINE!$A300:$ZZ300,CALC!$F$1))&gt;0),N(INDEX(BASELINE!$A300:$ZZ300,CALC!$F$1)),N(INDEX(BASELINE!$A300:$ZZ300,CALC!$P$1))))=INT(SIMOPS!$D$3),IFERROR(UPPER(TRIM(INDEX(BASELINE!$A300:$ZZ300,CALC!$R$1)&amp;"")),"")&lt;&gt;"ENCERRADA"),1,0),0)</f>
        <v/>
      </c>
      <c r="B300">
        <f>B299+A300</f>
        <v/>
      </c>
    </row>
    <row r="301">
      <c r="A301">
        <f>IFERROR(IF(AND(INDEX(BASELINE!$A301:$ZZ301,CALC!$H$1)&lt;&gt;"",INT(IF(AND(CALC!$F$1&gt;0,N(INDEX(BASELINE!$A301:$ZZ301,CALC!$F$1))&gt;0),N(INDEX(BASELINE!$A301:$ZZ301,CALC!$F$1)),N(INDEX(BASELINE!$A301:$ZZ301,CALC!$P$1))))=INT(SIMOPS!$D$3),IFERROR(UPPER(TRIM(INDEX(BASELINE!$A301:$ZZ301,CALC!$R$1)&amp;"")),"")&lt;&gt;"ENCERRADA"),1,0),0)</f>
        <v/>
      </c>
      <c r="B301">
        <f>B300+A301</f>
        <v/>
      </c>
    </row>
    <row r="302">
      <c r="A302">
        <f>IFERROR(IF(AND(INDEX(BASELINE!$A302:$ZZ302,CALC!$H$1)&lt;&gt;"",INT(IF(AND(CALC!$F$1&gt;0,N(INDEX(BASELINE!$A302:$ZZ302,CALC!$F$1))&gt;0),N(INDEX(BASELINE!$A302:$ZZ302,CALC!$F$1)),N(INDEX(BASELINE!$A302:$ZZ302,CALC!$P$1))))=INT(SIMOPS!$D$3),IFERROR(UPPER(TRIM(INDEX(BASELINE!$A302:$ZZ302,CALC!$R$1)&amp;"")),"")&lt;&gt;"ENCERRADA"),1,0),0)</f>
        <v/>
      </c>
      <c r="B302">
        <f>B301+A302</f>
        <v/>
      </c>
    </row>
    <row r="303">
      <c r="A303">
        <f>IFERROR(IF(AND(INDEX(BASELINE!$A303:$ZZ303,CALC!$H$1)&lt;&gt;"",INT(IF(AND(CALC!$F$1&gt;0,N(INDEX(BASELINE!$A303:$ZZ303,CALC!$F$1))&gt;0),N(INDEX(BASELINE!$A303:$ZZ303,CALC!$F$1)),N(INDEX(BASELINE!$A303:$ZZ303,CALC!$P$1))))=INT(SIMOPS!$D$3),IFERROR(UPPER(TRIM(INDEX(BASELINE!$A303:$ZZ303,CALC!$R$1)&amp;"")),"")&lt;&gt;"ENCERRADA"),1,0),0)</f>
        <v/>
      </c>
      <c r="B303">
        <f>B302+A303</f>
        <v/>
      </c>
    </row>
    <row r="304">
      <c r="A304">
        <f>IFERROR(IF(AND(INDEX(BASELINE!$A304:$ZZ304,CALC!$H$1)&lt;&gt;"",INT(IF(AND(CALC!$F$1&gt;0,N(INDEX(BASELINE!$A304:$ZZ304,CALC!$F$1))&gt;0),N(INDEX(BASELINE!$A304:$ZZ304,CALC!$F$1)),N(INDEX(BASELINE!$A304:$ZZ304,CALC!$P$1))))=INT(SIMOPS!$D$3),IFERROR(UPPER(TRIM(INDEX(BASELINE!$A304:$ZZ304,CALC!$R$1)&amp;"")),"")&lt;&gt;"ENCERRADA"),1,0),0)</f>
        <v/>
      </c>
      <c r="B304">
        <f>B303+A304</f>
        <v/>
      </c>
    </row>
    <row r="305">
      <c r="A305">
        <f>IFERROR(IF(AND(INDEX(BASELINE!$A305:$ZZ305,CALC!$H$1)&lt;&gt;"",INT(IF(AND(CALC!$F$1&gt;0,N(INDEX(BASELINE!$A305:$ZZ305,CALC!$F$1))&gt;0),N(INDEX(BASELINE!$A305:$ZZ305,CALC!$F$1)),N(INDEX(BASELINE!$A305:$ZZ305,CALC!$P$1))))=INT(SIMOPS!$D$3),IFERROR(UPPER(TRIM(INDEX(BASELINE!$A305:$ZZ305,CALC!$R$1)&amp;"")),"")&lt;&gt;"ENCERRADA"),1,0),0)</f>
        <v/>
      </c>
      <c r="B305">
        <f>B304+A305</f>
        <v/>
      </c>
    </row>
    <row r="306">
      <c r="A306">
        <f>IFERROR(IF(AND(INDEX(BASELINE!$A306:$ZZ306,CALC!$H$1)&lt;&gt;"",INT(IF(AND(CALC!$F$1&gt;0,N(INDEX(BASELINE!$A306:$ZZ306,CALC!$F$1))&gt;0),N(INDEX(BASELINE!$A306:$ZZ306,CALC!$F$1)),N(INDEX(BASELINE!$A306:$ZZ306,CALC!$P$1))))=INT(SIMOPS!$D$3),IFERROR(UPPER(TRIM(INDEX(BASELINE!$A306:$ZZ306,CALC!$R$1)&amp;"")),"")&lt;&gt;"ENCERRADA"),1,0),0)</f>
        <v/>
      </c>
      <c r="B306">
        <f>B305+A306</f>
        <v/>
      </c>
    </row>
    <row r="307">
      <c r="A307">
        <f>IFERROR(IF(AND(INDEX(BASELINE!$A307:$ZZ307,CALC!$H$1)&lt;&gt;"",INT(IF(AND(CALC!$F$1&gt;0,N(INDEX(BASELINE!$A307:$ZZ307,CALC!$F$1))&gt;0),N(INDEX(BASELINE!$A307:$ZZ307,CALC!$F$1)),N(INDEX(BASELINE!$A307:$ZZ307,CALC!$P$1))))=INT(SIMOPS!$D$3),IFERROR(UPPER(TRIM(INDEX(BASELINE!$A307:$ZZ307,CALC!$R$1)&amp;"")),"")&lt;&gt;"ENCERRADA"),1,0),0)</f>
        <v/>
      </c>
      <c r="B307">
        <f>B306+A307</f>
        <v/>
      </c>
    </row>
    <row r="308">
      <c r="A308">
        <f>IFERROR(IF(AND(INDEX(BASELINE!$A308:$ZZ308,CALC!$H$1)&lt;&gt;"",INT(IF(AND(CALC!$F$1&gt;0,N(INDEX(BASELINE!$A308:$ZZ308,CALC!$F$1))&gt;0),N(INDEX(BASELINE!$A308:$ZZ308,CALC!$F$1)),N(INDEX(BASELINE!$A308:$ZZ308,CALC!$P$1))))=INT(SIMOPS!$D$3),IFERROR(UPPER(TRIM(INDEX(BASELINE!$A308:$ZZ308,CALC!$R$1)&amp;"")),"")&lt;&gt;"ENCERRADA"),1,0),0)</f>
        <v/>
      </c>
      <c r="B308">
        <f>B307+A308</f>
        <v/>
      </c>
    </row>
    <row r="309">
      <c r="A309">
        <f>IFERROR(IF(AND(INDEX(BASELINE!$A309:$ZZ309,CALC!$H$1)&lt;&gt;"",INT(IF(AND(CALC!$F$1&gt;0,N(INDEX(BASELINE!$A309:$ZZ309,CALC!$F$1))&gt;0),N(INDEX(BASELINE!$A309:$ZZ309,CALC!$F$1)),N(INDEX(BASELINE!$A309:$ZZ309,CALC!$P$1))))=INT(SIMOPS!$D$3),IFERROR(UPPER(TRIM(INDEX(BASELINE!$A309:$ZZ309,CALC!$R$1)&amp;"")),"")&lt;&gt;"ENCERRADA"),1,0),0)</f>
        <v/>
      </c>
      <c r="B309">
        <f>B308+A309</f>
        <v/>
      </c>
    </row>
    <row r="310">
      <c r="A310">
        <f>IFERROR(IF(AND(INDEX(BASELINE!$A310:$ZZ310,CALC!$H$1)&lt;&gt;"",INT(IF(AND(CALC!$F$1&gt;0,N(INDEX(BASELINE!$A310:$ZZ310,CALC!$F$1))&gt;0),N(INDEX(BASELINE!$A310:$ZZ310,CALC!$F$1)),N(INDEX(BASELINE!$A310:$ZZ310,CALC!$P$1))))=INT(SIMOPS!$D$3),IFERROR(UPPER(TRIM(INDEX(BASELINE!$A310:$ZZ310,CALC!$R$1)&amp;"")),"")&lt;&gt;"ENCERRADA"),1,0),0)</f>
        <v/>
      </c>
      <c r="B310">
        <f>B309+A310</f>
        <v/>
      </c>
    </row>
    <row r="311">
      <c r="A311">
        <f>IFERROR(IF(AND(INDEX(BASELINE!$A311:$ZZ311,CALC!$H$1)&lt;&gt;"",INT(IF(AND(CALC!$F$1&gt;0,N(INDEX(BASELINE!$A311:$ZZ311,CALC!$F$1))&gt;0),N(INDEX(BASELINE!$A311:$ZZ311,CALC!$F$1)),N(INDEX(BASELINE!$A311:$ZZ311,CALC!$P$1))))=INT(SIMOPS!$D$3),IFERROR(UPPER(TRIM(INDEX(BASELINE!$A311:$ZZ311,CALC!$R$1)&amp;"")),"")&lt;&gt;"ENCERRADA"),1,0),0)</f>
        <v/>
      </c>
      <c r="B311">
        <f>B310+A311</f>
        <v/>
      </c>
    </row>
    <row r="312">
      <c r="A312">
        <f>IFERROR(IF(AND(INDEX(BASELINE!$A312:$ZZ312,CALC!$H$1)&lt;&gt;"",INT(IF(AND(CALC!$F$1&gt;0,N(INDEX(BASELINE!$A312:$ZZ312,CALC!$F$1))&gt;0),N(INDEX(BASELINE!$A312:$ZZ312,CALC!$F$1)),N(INDEX(BASELINE!$A312:$ZZ312,CALC!$P$1))))=INT(SIMOPS!$D$3),IFERROR(UPPER(TRIM(INDEX(BASELINE!$A312:$ZZ312,CALC!$R$1)&amp;"")),"")&lt;&gt;"ENCERRADA"),1,0),0)</f>
        <v/>
      </c>
      <c r="B312">
        <f>B311+A312</f>
        <v/>
      </c>
    </row>
    <row r="313">
      <c r="A313">
        <f>IFERROR(IF(AND(INDEX(BASELINE!$A313:$ZZ313,CALC!$H$1)&lt;&gt;"",INT(IF(AND(CALC!$F$1&gt;0,N(INDEX(BASELINE!$A313:$ZZ313,CALC!$F$1))&gt;0),N(INDEX(BASELINE!$A313:$ZZ313,CALC!$F$1)),N(INDEX(BASELINE!$A313:$ZZ313,CALC!$P$1))))=INT(SIMOPS!$D$3),IFERROR(UPPER(TRIM(INDEX(BASELINE!$A313:$ZZ313,CALC!$R$1)&amp;"")),"")&lt;&gt;"ENCERRADA"),1,0),0)</f>
        <v/>
      </c>
      <c r="B313">
        <f>B312+A313</f>
        <v/>
      </c>
    </row>
    <row r="314">
      <c r="A314">
        <f>IFERROR(IF(AND(INDEX(BASELINE!$A314:$ZZ314,CALC!$H$1)&lt;&gt;"",INT(IF(AND(CALC!$F$1&gt;0,N(INDEX(BASELINE!$A314:$ZZ314,CALC!$F$1))&gt;0),N(INDEX(BASELINE!$A314:$ZZ314,CALC!$F$1)),N(INDEX(BASELINE!$A314:$ZZ314,CALC!$P$1))))=INT(SIMOPS!$D$3),IFERROR(UPPER(TRIM(INDEX(BASELINE!$A314:$ZZ314,CALC!$R$1)&amp;"")),"")&lt;&gt;"ENCERRADA"),1,0),0)</f>
        <v/>
      </c>
      <c r="B314">
        <f>B313+A314</f>
        <v/>
      </c>
    </row>
    <row r="315">
      <c r="A315">
        <f>IFERROR(IF(AND(INDEX(BASELINE!$A315:$ZZ315,CALC!$H$1)&lt;&gt;"",INT(IF(AND(CALC!$F$1&gt;0,N(INDEX(BASELINE!$A315:$ZZ315,CALC!$F$1))&gt;0),N(INDEX(BASELINE!$A315:$ZZ315,CALC!$F$1)),N(INDEX(BASELINE!$A315:$ZZ315,CALC!$P$1))))=INT(SIMOPS!$D$3),IFERROR(UPPER(TRIM(INDEX(BASELINE!$A315:$ZZ315,CALC!$R$1)&amp;"")),"")&lt;&gt;"ENCERRADA"),1,0),0)</f>
        <v/>
      </c>
      <c r="B315">
        <f>B314+A315</f>
        <v/>
      </c>
    </row>
    <row r="316">
      <c r="A316">
        <f>IFERROR(IF(AND(INDEX(BASELINE!$A316:$ZZ316,CALC!$H$1)&lt;&gt;"",INT(IF(AND(CALC!$F$1&gt;0,N(INDEX(BASELINE!$A316:$ZZ316,CALC!$F$1))&gt;0),N(INDEX(BASELINE!$A316:$ZZ316,CALC!$F$1)),N(INDEX(BASELINE!$A316:$ZZ316,CALC!$P$1))))=INT(SIMOPS!$D$3),IFERROR(UPPER(TRIM(INDEX(BASELINE!$A316:$ZZ316,CALC!$R$1)&amp;"")),"")&lt;&gt;"ENCERRADA"),1,0),0)</f>
        <v/>
      </c>
      <c r="B316">
        <f>B315+A316</f>
        <v/>
      </c>
    </row>
    <row r="317">
      <c r="A317">
        <f>IFERROR(IF(AND(INDEX(BASELINE!$A317:$ZZ317,CALC!$H$1)&lt;&gt;"",INT(IF(AND(CALC!$F$1&gt;0,N(INDEX(BASELINE!$A317:$ZZ317,CALC!$F$1))&gt;0),N(INDEX(BASELINE!$A317:$ZZ317,CALC!$F$1)),N(INDEX(BASELINE!$A317:$ZZ317,CALC!$P$1))))=INT(SIMOPS!$D$3),IFERROR(UPPER(TRIM(INDEX(BASELINE!$A317:$ZZ317,CALC!$R$1)&amp;"")),"")&lt;&gt;"ENCERRADA"),1,0),0)</f>
        <v/>
      </c>
      <c r="B317">
        <f>B316+A317</f>
        <v/>
      </c>
    </row>
    <row r="318">
      <c r="A318">
        <f>IFERROR(IF(AND(INDEX(BASELINE!$A318:$ZZ318,CALC!$H$1)&lt;&gt;"",INT(IF(AND(CALC!$F$1&gt;0,N(INDEX(BASELINE!$A318:$ZZ318,CALC!$F$1))&gt;0),N(INDEX(BASELINE!$A318:$ZZ318,CALC!$F$1)),N(INDEX(BASELINE!$A318:$ZZ318,CALC!$P$1))))=INT(SIMOPS!$D$3),IFERROR(UPPER(TRIM(INDEX(BASELINE!$A318:$ZZ318,CALC!$R$1)&amp;"")),"")&lt;&gt;"ENCERRADA"),1,0),0)</f>
        <v/>
      </c>
      <c r="B318">
        <f>B317+A318</f>
        <v/>
      </c>
    </row>
    <row r="319">
      <c r="A319">
        <f>IFERROR(IF(AND(INDEX(BASELINE!$A319:$ZZ319,CALC!$H$1)&lt;&gt;"",INT(IF(AND(CALC!$F$1&gt;0,N(INDEX(BASELINE!$A319:$ZZ319,CALC!$F$1))&gt;0),N(INDEX(BASELINE!$A319:$ZZ319,CALC!$F$1)),N(INDEX(BASELINE!$A319:$ZZ319,CALC!$P$1))))=INT(SIMOPS!$D$3),IFERROR(UPPER(TRIM(INDEX(BASELINE!$A319:$ZZ319,CALC!$R$1)&amp;"")),"")&lt;&gt;"ENCERRADA"),1,0),0)</f>
        <v/>
      </c>
      <c r="B319">
        <f>B318+A319</f>
        <v/>
      </c>
    </row>
    <row r="320">
      <c r="A320">
        <f>IFERROR(IF(AND(INDEX(BASELINE!$A320:$ZZ320,CALC!$H$1)&lt;&gt;"",INT(IF(AND(CALC!$F$1&gt;0,N(INDEX(BASELINE!$A320:$ZZ320,CALC!$F$1))&gt;0),N(INDEX(BASELINE!$A320:$ZZ320,CALC!$F$1)),N(INDEX(BASELINE!$A320:$ZZ320,CALC!$P$1))))=INT(SIMOPS!$D$3),IFERROR(UPPER(TRIM(INDEX(BASELINE!$A320:$ZZ320,CALC!$R$1)&amp;"")),"")&lt;&gt;"ENCERRADA"),1,0),0)</f>
        <v/>
      </c>
      <c r="B320">
        <f>B319+A320</f>
        <v/>
      </c>
    </row>
    <row r="321">
      <c r="A321">
        <f>IFERROR(IF(AND(INDEX(BASELINE!$A321:$ZZ321,CALC!$H$1)&lt;&gt;"",INT(IF(AND(CALC!$F$1&gt;0,N(INDEX(BASELINE!$A321:$ZZ321,CALC!$F$1))&gt;0),N(INDEX(BASELINE!$A321:$ZZ321,CALC!$F$1)),N(INDEX(BASELINE!$A321:$ZZ321,CALC!$P$1))))=INT(SIMOPS!$D$3),IFERROR(UPPER(TRIM(INDEX(BASELINE!$A321:$ZZ321,CALC!$R$1)&amp;"")),"")&lt;&gt;"ENCERRADA"),1,0),0)</f>
        <v/>
      </c>
      <c r="B321">
        <f>B320+A321</f>
        <v/>
      </c>
    </row>
    <row r="322">
      <c r="A322">
        <f>IFERROR(IF(AND(INDEX(BASELINE!$A322:$ZZ322,CALC!$H$1)&lt;&gt;"",INT(IF(AND(CALC!$F$1&gt;0,N(INDEX(BASELINE!$A322:$ZZ322,CALC!$F$1))&gt;0),N(INDEX(BASELINE!$A322:$ZZ322,CALC!$F$1)),N(INDEX(BASELINE!$A322:$ZZ322,CALC!$P$1))))=INT(SIMOPS!$D$3),IFERROR(UPPER(TRIM(INDEX(BASELINE!$A322:$ZZ322,CALC!$R$1)&amp;"")),"")&lt;&gt;"ENCERRADA"),1,0),0)</f>
        <v/>
      </c>
      <c r="B322">
        <f>B321+A322</f>
        <v/>
      </c>
    </row>
    <row r="323">
      <c r="A323">
        <f>IFERROR(IF(AND(INDEX(BASELINE!$A323:$ZZ323,CALC!$H$1)&lt;&gt;"",INT(IF(AND(CALC!$F$1&gt;0,N(INDEX(BASELINE!$A323:$ZZ323,CALC!$F$1))&gt;0),N(INDEX(BASELINE!$A323:$ZZ323,CALC!$F$1)),N(INDEX(BASELINE!$A323:$ZZ323,CALC!$P$1))))=INT(SIMOPS!$D$3),IFERROR(UPPER(TRIM(INDEX(BASELINE!$A323:$ZZ323,CALC!$R$1)&amp;"")),"")&lt;&gt;"ENCERRADA"),1,0),0)</f>
        <v/>
      </c>
      <c r="B323">
        <f>B322+A323</f>
        <v/>
      </c>
    </row>
    <row r="324">
      <c r="A324">
        <f>IFERROR(IF(AND(INDEX(BASELINE!$A324:$ZZ324,CALC!$H$1)&lt;&gt;"",INT(IF(AND(CALC!$F$1&gt;0,N(INDEX(BASELINE!$A324:$ZZ324,CALC!$F$1))&gt;0),N(INDEX(BASELINE!$A324:$ZZ324,CALC!$F$1)),N(INDEX(BASELINE!$A324:$ZZ324,CALC!$P$1))))=INT(SIMOPS!$D$3),IFERROR(UPPER(TRIM(INDEX(BASELINE!$A324:$ZZ324,CALC!$R$1)&amp;"")),"")&lt;&gt;"ENCERRADA"),1,0),0)</f>
        <v/>
      </c>
      <c r="B324">
        <f>B323+A324</f>
        <v/>
      </c>
    </row>
    <row r="325">
      <c r="A325">
        <f>IFERROR(IF(AND(INDEX(BASELINE!$A325:$ZZ325,CALC!$H$1)&lt;&gt;"",INT(IF(AND(CALC!$F$1&gt;0,N(INDEX(BASELINE!$A325:$ZZ325,CALC!$F$1))&gt;0),N(INDEX(BASELINE!$A325:$ZZ325,CALC!$F$1)),N(INDEX(BASELINE!$A325:$ZZ325,CALC!$P$1))))=INT(SIMOPS!$D$3),IFERROR(UPPER(TRIM(INDEX(BASELINE!$A325:$ZZ325,CALC!$R$1)&amp;"")),"")&lt;&gt;"ENCERRADA"),1,0),0)</f>
        <v/>
      </c>
      <c r="B325">
        <f>B324+A325</f>
        <v/>
      </c>
    </row>
    <row r="326">
      <c r="A326">
        <f>IFERROR(IF(AND(INDEX(BASELINE!$A326:$ZZ326,CALC!$H$1)&lt;&gt;"",INT(IF(AND(CALC!$F$1&gt;0,N(INDEX(BASELINE!$A326:$ZZ326,CALC!$F$1))&gt;0),N(INDEX(BASELINE!$A326:$ZZ326,CALC!$F$1)),N(INDEX(BASELINE!$A326:$ZZ326,CALC!$P$1))))=INT(SIMOPS!$D$3),IFERROR(UPPER(TRIM(INDEX(BASELINE!$A326:$ZZ326,CALC!$R$1)&amp;"")),"")&lt;&gt;"ENCERRADA"),1,0),0)</f>
        <v/>
      </c>
      <c r="B326">
        <f>B325+A326</f>
        <v/>
      </c>
    </row>
    <row r="327">
      <c r="A327">
        <f>IFERROR(IF(AND(INDEX(BASELINE!$A327:$ZZ327,CALC!$H$1)&lt;&gt;"",INT(IF(AND(CALC!$F$1&gt;0,N(INDEX(BASELINE!$A327:$ZZ327,CALC!$F$1))&gt;0),N(INDEX(BASELINE!$A327:$ZZ327,CALC!$F$1)),N(INDEX(BASELINE!$A327:$ZZ327,CALC!$P$1))))=INT(SIMOPS!$D$3),IFERROR(UPPER(TRIM(INDEX(BASELINE!$A327:$ZZ327,CALC!$R$1)&amp;"")),"")&lt;&gt;"ENCERRADA"),1,0),0)</f>
        <v/>
      </c>
      <c r="B327">
        <f>B326+A327</f>
        <v/>
      </c>
    </row>
    <row r="328">
      <c r="A328">
        <f>IFERROR(IF(AND(INDEX(BASELINE!$A328:$ZZ328,CALC!$H$1)&lt;&gt;"",INT(IF(AND(CALC!$F$1&gt;0,N(INDEX(BASELINE!$A328:$ZZ328,CALC!$F$1))&gt;0),N(INDEX(BASELINE!$A328:$ZZ328,CALC!$F$1)),N(INDEX(BASELINE!$A328:$ZZ328,CALC!$P$1))))=INT(SIMOPS!$D$3),IFERROR(UPPER(TRIM(INDEX(BASELINE!$A328:$ZZ328,CALC!$R$1)&amp;"")),"")&lt;&gt;"ENCERRADA"),1,0),0)</f>
        <v/>
      </c>
      <c r="B328">
        <f>B327+A328</f>
        <v/>
      </c>
    </row>
    <row r="329">
      <c r="A329">
        <f>IFERROR(IF(AND(INDEX(BASELINE!$A329:$ZZ329,CALC!$H$1)&lt;&gt;"",INT(IF(AND(CALC!$F$1&gt;0,N(INDEX(BASELINE!$A329:$ZZ329,CALC!$F$1))&gt;0),N(INDEX(BASELINE!$A329:$ZZ329,CALC!$F$1)),N(INDEX(BASELINE!$A329:$ZZ329,CALC!$P$1))))=INT(SIMOPS!$D$3),IFERROR(UPPER(TRIM(INDEX(BASELINE!$A329:$ZZ329,CALC!$R$1)&amp;"")),"")&lt;&gt;"ENCERRADA"),1,0),0)</f>
        <v/>
      </c>
      <c r="B329">
        <f>B328+A329</f>
        <v/>
      </c>
    </row>
    <row r="330">
      <c r="A330">
        <f>IFERROR(IF(AND(INDEX(BASELINE!$A330:$ZZ330,CALC!$H$1)&lt;&gt;"",INT(IF(AND(CALC!$F$1&gt;0,N(INDEX(BASELINE!$A330:$ZZ330,CALC!$F$1))&gt;0),N(INDEX(BASELINE!$A330:$ZZ330,CALC!$F$1)),N(INDEX(BASELINE!$A330:$ZZ330,CALC!$P$1))))=INT(SIMOPS!$D$3),IFERROR(UPPER(TRIM(INDEX(BASELINE!$A330:$ZZ330,CALC!$R$1)&amp;"")),"")&lt;&gt;"ENCERRADA"),1,0),0)</f>
        <v/>
      </c>
      <c r="B330">
        <f>B329+A330</f>
        <v/>
      </c>
    </row>
    <row r="331">
      <c r="A331">
        <f>IFERROR(IF(AND(INDEX(BASELINE!$A331:$ZZ331,CALC!$H$1)&lt;&gt;"",INT(IF(AND(CALC!$F$1&gt;0,N(INDEX(BASELINE!$A331:$ZZ331,CALC!$F$1))&gt;0),N(INDEX(BASELINE!$A331:$ZZ331,CALC!$F$1)),N(INDEX(BASELINE!$A331:$ZZ331,CALC!$P$1))))=INT(SIMOPS!$D$3),IFERROR(UPPER(TRIM(INDEX(BASELINE!$A331:$ZZ331,CALC!$R$1)&amp;"")),"")&lt;&gt;"ENCERRADA"),1,0),0)</f>
        <v/>
      </c>
      <c r="B331">
        <f>B330+A331</f>
        <v/>
      </c>
    </row>
    <row r="332">
      <c r="A332">
        <f>IFERROR(IF(AND(INDEX(BASELINE!$A332:$ZZ332,CALC!$H$1)&lt;&gt;"",INT(IF(AND(CALC!$F$1&gt;0,N(INDEX(BASELINE!$A332:$ZZ332,CALC!$F$1))&gt;0),N(INDEX(BASELINE!$A332:$ZZ332,CALC!$F$1)),N(INDEX(BASELINE!$A332:$ZZ332,CALC!$P$1))))=INT(SIMOPS!$D$3),IFERROR(UPPER(TRIM(INDEX(BASELINE!$A332:$ZZ332,CALC!$R$1)&amp;"")),"")&lt;&gt;"ENCERRADA"),1,0),0)</f>
        <v/>
      </c>
      <c r="B332">
        <f>B331+A332</f>
        <v/>
      </c>
    </row>
    <row r="333">
      <c r="A333">
        <f>IFERROR(IF(AND(INDEX(BASELINE!$A333:$ZZ333,CALC!$H$1)&lt;&gt;"",INT(IF(AND(CALC!$F$1&gt;0,N(INDEX(BASELINE!$A333:$ZZ333,CALC!$F$1))&gt;0),N(INDEX(BASELINE!$A333:$ZZ333,CALC!$F$1)),N(INDEX(BASELINE!$A333:$ZZ333,CALC!$P$1))))=INT(SIMOPS!$D$3),IFERROR(UPPER(TRIM(INDEX(BASELINE!$A333:$ZZ333,CALC!$R$1)&amp;"")),"")&lt;&gt;"ENCERRADA"),1,0),0)</f>
        <v/>
      </c>
      <c r="B333">
        <f>B332+A333</f>
        <v/>
      </c>
    </row>
    <row r="334">
      <c r="A334">
        <f>IFERROR(IF(AND(INDEX(BASELINE!$A334:$ZZ334,CALC!$H$1)&lt;&gt;"",INT(IF(AND(CALC!$F$1&gt;0,N(INDEX(BASELINE!$A334:$ZZ334,CALC!$F$1))&gt;0),N(INDEX(BASELINE!$A334:$ZZ334,CALC!$F$1)),N(INDEX(BASELINE!$A334:$ZZ334,CALC!$P$1))))=INT(SIMOPS!$D$3),IFERROR(UPPER(TRIM(INDEX(BASELINE!$A334:$ZZ334,CALC!$R$1)&amp;"")),"")&lt;&gt;"ENCERRADA"),1,0),0)</f>
        <v/>
      </c>
      <c r="B334">
        <f>B333+A334</f>
        <v/>
      </c>
    </row>
    <row r="335">
      <c r="A335">
        <f>IFERROR(IF(AND(INDEX(BASELINE!$A335:$ZZ335,CALC!$H$1)&lt;&gt;"",INT(IF(AND(CALC!$F$1&gt;0,N(INDEX(BASELINE!$A335:$ZZ335,CALC!$F$1))&gt;0),N(INDEX(BASELINE!$A335:$ZZ335,CALC!$F$1)),N(INDEX(BASELINE!$A335:$ZZ335,CALC!$P$1))))=INT(SIMOPS!$D$3),IFERROR(UPPER(TRIM(INDEX(BASELINE!$A335:$ZZ335,CALC!$R$1)&amp;"")),"")&lt;&gt;"ENCERRADA"),1,0),0)</f>
        <v/>
      </c>
      <c r="B335">
        <f>B334+A335</f>
        <v/>
      </c>
    </row>
    <row r="336">
      <c r="A336">
        <f>IFERROR(IF(AND(INDEX(BASELINE!$A336:$ZZ336,CALC!$H$1)&lt;&gt;"",INT(IF(AND(CALC!$F$1&gt;0,N(INDEX(BASELINE!$A336:$ZZ336,CALC!$F$1))&gt;0),N(INDEX(BASELINE!$A336:$ZZ336,CALC!$F$1)),N(INDEX(BASELINE!$A336:$ZZ336,CALC!$P$1))))=INT(SIMOPS!$D$3),IFERROR(UPPER(TRIM(INDEX(BASELINE!$A336:$ZZ336,CALC!$R$1)&amp;"")),"")&lt;&gt;"ENCERRADA"),1,0),0)</f>
        <v/>
      </c>
      <c r="B336">
        <f>B335+A336</f>
        <v/>
      </c>
    </row>
    <row r="337">
      <c r="A337">
        <f>IFERROR(IF(AND(INDEX(BASELINE!$A337:$ZZ337,CALC!$H$1)&lt;&gt;"",INT(IF(AND(CALC!$F$1&gt;0,N(INDEX(BASELINE!$A337:$ZZ337,CALC!$F$1))&gt;0),N(INDEX(BASELINE!$A337:$ZZ337,CALC!$F$1)),N(INDEX(BASELINE!$A337:$ZZ337,CALC!$P$1))))=INT(SIMOPS!$D$3),IFERROR(UPPER(TRIM(INDEX(BASELINE!$A337:$ZZ337,CALC!$R$1)&amp;"")),"")&lt;&gt;"ENCERRADA"),1,0),0)</f>
        <v/>
      </c>
      <c r="B337">
        <f>B336+A337</f>
        <v/>
      </c>
    </row>
    <row r="338">
      <c r="A338">
        <f>IFERROR(IF(AND(INDEX(BASELINE!$A338:$ZZ338,CALC!$H$1)&lt;&gt;"",INT(IF(AND(CALC!$F$1&gt;0,N(INDEX(BASELINE!$A338:$ZZ338,CALC!$F$1))&gt;0),N(INDEX(BASELINE!$A338:$ZZ338,CALC!$F$1)),N(INDEX(BASELINE!$A338:$ZZ338,CALC!$P$1))))=INT(SIMOPS!$D$3),IFERROR(UPPER(TRIM(INDEX(BASELINE!$A338:$ZZ338,CALC!$R$1)&amp;"")),"")&lt;&gt;"ENCERRADA"),1,0),0)</f>
        <v/>
      </c>
      <c r="B338">
        <f>B337+A338</f>
        <v/>
      </c>
    </row>
    <row r="339">
      <c r="A339">
        <f>IFERROR(IF(AND(INDEX(BASELINE!$A339:$ZZ339,CALC!$H$1)&lt;&gt;"",INT(IF(AND(CALC!$F$1&gt;0,N(INDEX(BASELINE!$A339:$ZZ339,CALC!$F$1))&gt;0),N(INDEX(BASELINE!$A339:$ZZ339,CALC!$F$1)),N(INDEX(BASELINE!$A339:$ZZ339,CALC!$P$1))))=INT(SIMOPS!$D$3),IFERROR(UPPER(TRIM(INDEX(BASELINE!$A339:$ZZ339,CALC!$R$1)&amp;"")),"")&lt;&gt;"ENCERRADA"),1,0),0)</f>
        <v/>
      </c>
      <c r="B339">
        <f>B338+A339</f>
        <v/>
      </c>
    </row>
    <row r="340">
      <c r="A340">
        <f>IFERROR(IF(AND(INDEX(BASELINE!$A340:$ZZ340,CALC!$H$1)&lt;&gt;"",INT(IF(AND(CALC!$F$1&gt;0,N(INDEX(BASELINE!$A340:$ZZ340,CALC!$F$1))&gt;0),N(INDEX(BASELINE!$A340:$ZZ340,CALC!$F$1)),N(INDEX(BASELINE!$A340:$ZZ340,CALC!$P$1))))=INT(SIMOPS!$D$3),IFERROR(UPPER(TRIM(INDEX(BASELINE!$A340:$ZZ340,CALC!$R$1)&amp;"")),"")&lt;&gt;"ENCERRADA"),1,0),0)</f>
        <v/>
      </c>
      <c r="B340">
        <f>B339+A340</f>
        <v/>
      </c>
    </row>
    <row r="341">
      <c r="A341">
        <f>IFERROR(IF(AND(INDEX(BASELINE!$A341:$ZZ341,CALC!$H$1)&lt;&gt;"",INT(IF(AND(CALC!$F$1&gt;0,N(INDEX(BASELINE!$A341:$ZZ341,CALC!$F$1))&gt;0),N(INDEX(BASELINE!$A341:$ZZ341,CALC!$F$1)),N(INDEX(BASELINE!$A341:$ZZ341,CALC!$P$1))))=INT(SIMOPS!$D$3),IFERROR(UPPER(TRIM(INDEX(BASELINE!$A341:$ZZ341,CALC!$R$1)&amp;"")),"")&lt;&gt;"ENCERRADA"),1,0),0)</f>
        <v/>
      </c>
      <c r="B341">
        <f>B340+A341</f>
        <v/>
      </c>
    </row>
    <row r="342">
      <c r="A342">
        <f>IFERROR(IF(AND(INDEX(BASELINE!$A342:$ZZ342,CALC!$H$1)&lt;&gt;"",INT(IF(AND(CALC!$F$1&gt;0,N(INDEX(BASELINE!$A342:$ZZ342,CALC!$F$1))&gt;0),N(INDEX(BASELINE!$A342:$ZZ342,CALC!$F$1)),N(INDEX(BASELINE!$A342:$ZZ342,CALC!$P$1))))=INT(SIMOPS!$D$3),IFERROR(UPPER(TRIM(INDEX(BASELINE!$A342:$ZZ342,CALC!$R$1)&amp;"")),"")&lt;&gt;"ENCERRADA"),1,0),0)</f>
        <v/>
      </c>
      <c r="B342">
        <f>B341+A342</f>
        <v/>
      </c>
    </row>
    <row r="343">
      <c r="A343">
        <f>IFERROR(IF(AND(INDEX(BASELINE!$A343:$ZZ343,CALC!$H$1)&lt;&gt;"",INT(IF(AND(CALC!$F$1&gt;0,N(INDEX(BASELINE!$A343:$ZZ343,CALC!$F$1))&gt;0),N(INDEX(BASELINE!$A343:$ZZ343,CALC!$F$1)),N(INDEX(BASELINE!$A343:$ZZ343,CALC!$P$1))))=INT(SIMOPS!$D$3),IFERROR(UPPER(TRIM(INDEX(BASELINE!$A343:$ZZ343,CALC!$R$1)&amp;"")),"")&lt;&gt;"ENCERRADA"),1,0),0)</f>
        <v/>
      </c>
      <c r="B343">
        <f>B342+A343</f>
        <v/>
      </c>
    </row>
    <row r="344">
      <c r="A344">
        <f>IFERROR(IF(AND(INDEX(BASELINE!$A344:$ZZ344,CALC!$H$1)&lt;&gt;"",INT(IF(AND(CALC!$F$1&gt;0,N(INDEX(BASELINE!$A344:$ZZ344,CALC!$F$1))&gt;0),N(INDEX(BASELINE!$A344:$ZZ344,CALC!$F$1)),N(INDEX(BASELINE!$A344:$ZZ344,CALC!$P$1))))=INT(SIMOPS!$D$3),IFERROR(UPPER(TRIM(INDEX(BASELINE!$A344:$ZZ344,CALC!$R$1)&amp;"")),"")&lt;&gt;"ENCERRADA"),1,0),0)</f>
        <v/>
      </c>
      <c r="B344">
        <f>B343+A344</f>
        <v/>
      </c>
    </row>
    <row r="345">
      <c r="A345">
        <f>IFERROR(IF(AND(INDEX(BASELINE!$A345:$ZZ345,CALC!$H$1)&lt;&gt;"",INT(IF(AND(CALC!$F$1&gt;0,N(INDEX(BASELINE!$A345:$ZZ345,CALC!$F$1))&gt;0),N(INDEX(BASELINE!$A345:$ZZ345,CALC!$F$1)),N(INDEX(BASELINE!$A345:$ZZ345,CALC!$P$1))))=INT(SIMOPS!$D$3),IFERROR(UPPER(TRIM(INDEX(BASELINE!$A345:$ZZ345,CALC!$R$1)&amp;"")),"")&lt;&gt;"ENCERRADA"),1,0),0)</f>
        <v/>
      </c>
      <c r="B345">
        <f>B344+A345</f>
        <v/>
      </c>
    </row>
    <row r="346">
      <c r="A346">
        <f>IFERROR(IF(AND(INDEX(BASELINE!$A346:$ZZ346,CALC!$H$1)&lt;&gt;"",INT(IF(AND(CALC!$F$1&gt;0,N(INDEX(BASELINE!$A346:$ZZ346,CALC!$F$1))&gt;0),N(INDEX(BASELINE!$A346:$ZZ346,CALC!$F$1)),N(INDEX(BASELINE!$A346:$ZZ346,CALC!$P$1))))=INT(SIMOPS!$D$3),IFERROR(UPPER(TRIM(INDEX(BASELINE!$A346:$ZZ346,CALC!$R$1)&amp;"")),"")&lt;&gt;"ENCERRADA"),1,0),0)</f>
        <v/>
      </c>
      <c r="B346">
        <f>B345+A346</f>
        <v/>
      </c>
    </row>
    <row r="347">
      <c r="A347">
        <f>IFERROR(IF(AND(INDEX(BASELINE!$A347:$ZZ347,CALC!$H$1)&lt;&gt;"",INT(IF(AND(CALC!$F$1&gt;0,N(INDEX(BASELINE!$A347:$ZZ347,CALC!$F$1))&gt;0),N(INDEX(BASELINE!$A347:$ZZ347,CALC!$F$1)),N(INDEX(BASELINE!$A347:$ZZ347,CALC!$P$1))))=INT(SIMOPS!$D$3),IFERROR(UPPER(TRIM(INDEX(BASELINE!$A347:$ZZ347,CALC!$R$1)&amp;"")),"")&lt;&gt;"ENCERRADA"),1,0),0)</f>
        <v/>
      </c>
      <c r="B347">
        <f>B346+A347</f>
        <v/>
      </c>
    </row>
    <row r="348">
      <c r="A348">
        <f>IFERROR(IF(AND(INDEX(BASELINE!$A348:$ZZ348,CALC!$H$1)&lt;&gt;"",INT(IF(AND(CALC!$F$1&gt;0,N(INDEX(BASELINE!$A348:$ZZ348,CALC!$F$1))&gt;0),N(INDEX(BASELINE!$A348:$ZZ348,CALC!$F$1)),N(INDEX(BASELINE!$A348:$ZZ348,CALC!$P$1))))=INT(SIMOPS!$D$3),IFERROR(UPPER(TRIM(INDEX(BASELINE!$A348:$ZZ348,CALC!$R$1)&amp;"")),"")&lt;&gt;"ENCERRADA"),1,0),0)</f>
        <v/>
      </c>
      <c r="B348">
        <f>B347+A348</f>
        <v/>
      </c>
    </row>
    <row r="349">
      <c r="A349">
        <f>IFERROR(IF(AND(INDEX(BASELINE!$A349:$ZZ349,CALC!$H$1)&lt;&gt;"",INT(IF(AND(CALC!$F$1&gt;0,N(INDEX(BASELINE!$A349:$ZZ349,CALC!$F$1))&gt;0),N(INDEX(BASELINE!$A349:$ZZ349,CALC!$F$1)),N(INDEX(BASELINE!$A349:$ZZ349,CALC!$P$1))))=INT(SIMOPS!$D$3),IFERROR(UPPER(TRIM(INDEX(BASELINE!$A349:$ZZ349,CALC!$R$1)&amp;"")),"")&lt;&gt;"ENCERRADA"),1,0),0)</f>
        <v/>
      </c>
      <c r="B349">
        <f>B348+A349</f>
        <v/>
      </c>
    </row>
    <row r="350">
      <c r="A350">
        <f>IFERROR(IF(AND(INDEX(BASELINE!$A350:$ZZ350,CALC!$H$1)&lt;&gt;"",INT(IF(AND(CALC!$F$1&gt;0,N(INDEX(BASELINE!$A350:$ZZ350,CALC!$F$1))&gt;0),N(INDEX(BASELINE!$A350:$ZZ350,CALC!$F$1)),N(INDEX(BASELINE!$A350:$ZZ350,CALC!$P$1))))=INT(SIMOPS!$D$3),IFERROR(UPPER(TRIM(INDEX(BASELINE!$A350:$ZZ350,CALC!$R$1)&amp;"")),"")&lt;&gt;"ENCERRADA"),1,0),0)</f>
        <v/>
      </c>
      <c r="B350">
        <f>B349+A350</f>
        <v/>
      </c>
    </row>
    <row r="351">
      <c r="A351">
        <f>IFERROR(IF(AND(INDEX(BASELINE!$A351:$ZZ351,CALC!$H$1)&lt;&gt;"",INT(IF(AND(CALC!$F$1&gt;0,N(INDEX(BASELINE!$A351:$ZZ351,CALC!$F$1))&gt;0),N(INDEX(BASELINE!$A351:$ZZ351,CALC!$F$1)),N(INDEX(BASELINE!$A351:$ZZ351,CALC!$P$1))))=INT(SIMOPS!$D$3),IFERROR(UPPER(TRIM(INDEX(BASELINE!$A351:$ZZ351,CALC!$R$1)&amp;"")),"")&lt;&gt;"ENCERRADA"),1,0),0)</f>
        <v/>
      </c>
      <c r="B351">
        <f>B350+A351</f>
        <v/>
      </c>
    </row>
    <row r="352">
      <c r="A352">
        <f>IFERROR(IF(AND(INDEX(BASELINE!$A352:$ZZ352,CALC!$H$1)&lt;&gt;"",INT(IF(AND(CALC!$F$1&gt;0,N(INDEX(BASELINE!$A352:$ZZ352,CALC!$F$1))&gt;0),N(INDEX(BASELINE!$A352:$ZZ352,CALC!$F$1)),N(INDEX(BASELINE!$A352:$ZZ352,CALC!$P$1))))=INT(SIMOPS!$D$3),IFERROR(UPPER(TRIM(INDEX(BASELINE!$A352:$ZZ352,CALC!$R$1)&amp;"")),"")&lt;&gt;"ENCERRADA"),1,0),0)</f>
        <v/>
      </c>
      <c r="B352">
        <f>B351+A352</f>
        <v/>
      </c>
    </row>
    <row r="353">
      <c r="A353">
        <f>IFERROR(IF(AND(INDEX(BASELINE!$A353:$ZZ353,CALC!$H$1)&lt;&gt;"",INT(IF(AND(CALC!$F$1&gt;0,N(INDEX(BASELINE!$A353:$ZZ353,CALC!$F$1))&gt;0),N(INDEX(BASELINE!$A353:$ZZ353,CALC!$F$1)),N(INDEX(BASELINE!$A353:$ZZ353,CALC!$P$1))))=INT(SIMOPS!$D$3),IFERROR(UPPER(TRIM(INDEX(BASELINE!$A353:$ZZ353,CALC!$R$1)&amp;"")),"")&lt;&gt;"ENCERRADA"),1,0),0)</f>
        <v/>
      </c>
      <c r="B353">
        <f>B352+A353</f>
        <v/>
      </c>
    </row>
    <row r="354">
      <c r="A354">
        <f>IFERROR(IF(AND(INDEX(BASELINE!$A354:$ZZ354,CALC!$H$1)&lt;&gt;"",INT(IF(AND(CALC!$F$1&gt;0,N(INDEX(BASELINE!$A354:$ZZ354,CALC!$F$1))&gt;0),N(INDEX(BASELINE!$A354:$ZZ354,CALC!$F$1)),N(INDEX(BASELINE!$A354:$ZZ354,CALC!$P$1))))=INT(SIMOPS!$D$3),IFERROR(UPPER(TRIM(INDEX(BASELINE!$A354:$ZZ354,CALC!$R$1)&amp;"")),"")&lt;&gt;"ENCERRADA"),1,0),0)</f>
        <v/>
      </c>
      <c r="B354">
        <f>B353+A354</f>
        <v/>
      </c>
    </row>
    <row r="355">
      <c r="A355">
        <f>IFERROR(IF(AND(INDEX(BASELINE!$A355:$ZZ355,CALC!$H$1)&lt;&gt;"",INT(IF(AND(CALC!$F$1&gt;0,N(INDEX(BASELINE!$A355:$ZZ355,CALC!$F$1))&gt;0),N(INDEX(BASELINE!$A355:$ZZ355,CALC!$F$1)),N(INDEX(BASELINE!$A355:$ZZ355,CALC!$P$1))))=INT(SIMOPS!$D$3),IFERROR(UPPER(TRIM(INDEX(BASELINE!$A355:$ZZ355,CALC!$R$1)&amp;"")),"")&lt;&gt;"ENCERRADA"),1,0),0)</f>
        <v/>
      </c>
      <c r="B355">
        <f>B354+A355</f>
        <v/>
      </c>
    </row>
    <row r="356">
      <c r="A356">
        <f>IFERROR(IF(AND(INDEX(BASELINE!$A356:$ZZ356,CALC!$H$1)&lt;&gt;"",INT(IF(AND(CALC!$F$1&gt;0,N(INDEX(BASELINE!$A356:$ZZ356,CALC!$F$1))&gt;0),N(INDEX(BASELINE!$A356:$ZZ356,CALC!$F$1)),N(INDEX(BASELINE!$A356:$ZZ356,CALC!$P$1))))=INT(SIMOPS!$D$3),IFERROR(UPPER(TRIM(INDEX(BASELINE!$A356:$ZZ356,CALC!$R$1)&amp;"")),"")&lt;&gt;"ENCERRADA"),1,0),0)</f>
        <v/>
      </c>
      <c r="B356">
        <f>B355+A356</f>
        <v/>
      </c>
    </row>
    <row r="357">
      <c r="A357">
        <f>IFERROR(IF(AND(INDEX(BASELINE!$A357:$ZZ357,CALC!$H$1)&lt;&gt;"",INT(IF(AND(CALC!$F$1&gt;0,N(INDEX(BASELINE!$A357:$ZZ357,CALC!$F$1))&gt;0),N(INDEX(BASELINE!$A357:$ZZ357,CALC!$F$1)),N(INDEX(BASELINE!$A357:$ZZ357,CALC!$P$1))))=INT(SIMOPS!$D$3),IFERROR(UPPER(TRIM(INDEX(BASELINE!$A357:$ZZ357,CALC!$R$1)&amp;"")),"")&lt;&gt;"ENCERRADA"),1,0),0)</f>
        <v/>
      </c>
      <c r="B357">
        <f>B356+A357</f>
        <v/>
      </c>
    </row>
    <row r="358">
      <c r="A358">
        <f>IFERROR(IF(AND(INDEX(BASELINE!$A358:$ZZ358,CALC!$H$1)&lt;&gt;"",INT(IF(AND(CALC!$F$1&gt;0,N(INDEX(BASELINE!$A358:$ZZ358,CALC!$F$1))&gt;0),N(INDEX(BASELINE!$A358:$ZZ358,CALC!$F$1)),N(INDEX(BASELINE!$A358:$ZZ358,CALC!$P$1))))=INT(SIMOPS!$D$3),IFERROR(UPPER(TRIM(INDEX(BASELINE!$A358:$ZZ358,CALC!$R$1)&amp;"")),"")&lt;&gt;"ENCERRADA"),1,0),0)</f>
        <v/>
      </c>
      <c r="B358">
        <f>B357+A358</f>
        <v/>
      </c>
    </row>
    <row r="359">
      <c r="A359">
        <f>IFERROR(IF(AND(INDEX(BASELINE!$A359:$ZZ359,CALC!$H$1)&lt;&gt;"",INT(IF(AND(CALC!$F$1&gt;0,N(INDEX(BASELINE!$A359:$ZZ359,CALC!$F$1))&gt;0),N(INDEX(BASELINE!$A359:$ZZ359,CALC!$F$1)),N(INDEX(BASELINE!$A359:$ZZ359,CALC!$P$1))))=INT(SIMOPS!$D$3),IFERROR(UPPER(TRIM(INDEX(BASELINE!$A359:$ZZ359,CALC!$R$1)&amp;"")),"")&lt;&gt;"ENCERRADA"),1,0),0)</f>
        <v/>
      </c>
      <c r="B359">
        <f>B358+A359</f>
        <v/>
      </c>
    </row>
    <row r="360">
      <c r="A360">
        <f>IFERROR(IF(AND(INDEX(BASELINE!$A360:$ZZ360,CALC!$H$1)&lt;&gt;"",INT(IF(AND(CALC!$F$1&gt;0,N(INDEX(BASELINE!$A360:$ZZ360,CALC!$F$1))&gt;0),N(INDEX(BASELINE!$A360:$ZZ360,CALC!$F$1)),N(INDEX(BASELINE!$A360:$ZZ360,CALC!$P$1))))=INT(SIMOPS!$D$3),IFERROR(UPPER(TRIM(INDEX(BASELINE!$A360:$ZZ360,CALC!$R$1)&amp;"")),"")&lt;&gt;"ENCERRADA"),1,0),0)</f>
        <v/>
      </c>
      <c r="B360">
        <f>B359+A360</f>
        <v/>
      </c>
    </row>
    <row r="361">
      <c r="A361">
        <f>IFERROR(IF(AND(INDEX(BASELINE!$A361:$ZZ361,CALC!$H$1)&lt;&gt;"",INT(IF(AND(CALC!$F$1&gt;0,N(INDEX(BASELINE!$A361:$ZZ361,CALC!$F$1))&gt;0),N(INDEX(BASELINE!$A361:$ZZ361,CALC!$F$1)),N(INDEX(BASELINE!$A361:$ZZ361,CALC!$P$1))))=INT(SIMOPS!$D$3),IFERROR(UPPER(TRIM(INDEX(BASELINE!$A361:$ZZ361,CALC!$R$1)&amp;"")),"")&lt;&gt;"ENCERRADA"),1,0),0)</f>
        <v/>
      </c>
      <c r="B361">
        <f>B360+A361</f>
        <v/>
      </c>
    </row>
    <row r="362">
      <c r="A362">
        <f>IFERROR(IF(AND(INDEX(BASELINE!$A362:$ZZ362,CALC!$H$1)&lt;&gt;"",INT(IF(AND(CALC!$F$1&gt;0,N(INDEX(BASELINE!$A362:$ZZ362,CALC!$F$1))&gt;0),N(INDEX(BASELINE!$A362:$ZZ362,CALC!$F$1)),N(INDEX(BASELINE!$A362:$ZZ362,CALC!$P$1))))=INT(SIMOPS!$D$3),IFERROR(UPPER(TRIM(INDEX(BASELINE!$A362:$ZZ362,CALC!$R$1)&amp;"")),"")&lt;&gt;"ENCERRADA"),1,0),0)</f>
        <v/>
      </c>
      <c r="B362">
        <f>B361+A362</f>
        <v/>
      </c>
    </row>
    <row r="363">
      <c r="A363">
        <f>IFERROR(IF(AND(INDEX(BASELINE!$A363:$ZZ363,CALC!$H$1)&lt;&gt;"",INT(IF(AND(CALC!$F$1&gt;0,N(INDEX(BASELINE!$A363:$ZZ363,CALC!$F$1))&gt;0),N(INDEX(BASELINE!$A363:$ZZ363,CALC!$F$1)),N(INDEX(BASELINE!$A363:$ZZ363,CALC!$P$1))))=INT(SIMOPS!$D$3),IFERROR(UPPER(TRIM(INDEX(BASELINE!$A363:$ZZ363,CALC!$R$1)&amp;"")),"")&lt;&gt;"ENCERRADA"),1,0),0)</f>
        <v/>
      </c>
      <c r="B363">
        <f>B362+A363</f>
        <v/>
      </c>
    </row>
    <row r="364">
      <c r="A364">
        <f>IFERROR(IF(AND(INDEX(BASELINE!$A364:$ZZ364,CALC!$H$1)&lt;&gt;"",INT(IF(AND(CALC!$F$1&gt;0,N(INDEX(BASELINE!$A364:$ZZ364,CALC!$F$1))&gt;0),N(INDEX(BASELINE!$A364:$ZZ364,CALC!$F$1)),N(INDEX(BASELINE!$A364:$ZZ364,CALC!$P$1))))=INT(SIMOPS!$D$3),IFERROR(UPPER(TRIM(INDEX(BASELINE!$A364:$ZZ364,CALC!$R$1)&amp;"")),"")&lt;&gt;"ENCERRADA"),1,0),0)</f>
        <v/>
      </c>
      <c r="B364">
        <f>B363+A364</f>
        <v/>
      </c>
    </row>
    <row r="365">
      <c r="A365">
        <f>IFERROR(IF(AND(INDEX(BASELINE!$A365:$ZZ365,CALC!$H$1)&lt;&gt;"",INT(IF(AND(CALC!$F$1&gt;0,N(INDEX(BASELINE!$A365:$ZZ365,CALC!$F$1))&gt;0),N(INDEX(BASELINE!$A365:$ZZ365,CALC!$F$1)),N(INDEX(BASELINE!$A365:$ZZ365,CALC!$P$1))))=INT(SIMOPS!$D$3),IFERROR(UPPER(TRIM(INDEX(BASELINE!$A365:$ZZ365,CALC!$R$1)&amp;"")),"")&lt;&gt;"ENCERRADA"),1,0),0)</f>
        <v/>
      </c>
      <c r="B365">
        <f>B364+A365</f>
        <v/>
      </c>
    </row>
    <row r="366">
      <c r="A366">
        <f>IFERROR(IF(AND(INDEX(BASELINE!$A366:$ZZ366,CALC!$H$1)&lt;&gt;"",INT(IF(AND(CALC!$F$1&gt;0,N(INDEX(BASELINE!$A366:$ZZ366,CALC!$F$1))&gt;0),N(INDEX(BASELINE!$A366:$ZZ366,CALC!$F$1)),N(INDEX(BASELINE!$A366:$ZZ366,CALC!$P$1))))=INT(SIMOPS!$D$3),IFERROR(UPPER(TRIM(INDEX(BASELINE!$A366:$ZZ366,CALC!$R$1)&amp;"")),"")&lt;&gt;"ENCERRADA"),1,0),0)</f>
        <v/>
      </c>
      <c r="B366">
        <f>B365+A366</f>
        <v/>
      </c>
    </row>
    <row r="367">
      <c r="A367">
        <f>IFERROR(IF(AND(INDEX(BASELINE!$A367:$ZZ367,CALC!$H$1)&lt;&gt;"",INT(IF(AND(CALC!$F$1&gt;0,N(INDEX(BASELINE!$A367:$ZZ367,CALC!$F$1))&gt;0),N(INDEX(BASELINE!$A367:$ZZ367,CALC!$F$1)),N(INDEX(BASELINE!$A367:$ZZ367,CALC!$P$1))))=INT(SIMOPS!$D$3),IFERROR(UPPER(TRIM(INDEX(BASELINE!$A367:$ZZ367,CALC!$R$1)&amp;"")),"")&lt;&gt;"ENCERRADA"),1,0),0)</f>
        <v/>
      </c>
      <c r="B367">
        <f>B366+A367</f>
        <v/>
      </c>
    </row>
    <row r="368">
      <c r="A368">
        <f>IFERROR(IF(AND(INDEX(BASELINE!$A368:$ZZ368,CALC!$H$1)&lt;&gt;"",INT(IF(AND(CALC!$F$1&gt;0,N(INDEX(BASELINE!$A368:$ZZ368,CALC!$F$1))&gt;0),N(INDEX(BASELINE!$A368:$ZZ368,CALC!$F$1)),N(INDEX(BASELINE!$A368:$ZZ368,CALC!$P$1))))=INT(SIMOPS!$D$3),IFERROR(UPPER(TRIM(INDEX(BASELINE!$A368:$ZZ368,CALC!$R$1)&amp;"")),"")&lt;&gt;"ENCERRADA"),1,0),0)</f>
        <v/>
      </c>
      <c r="B368">
        <f>B367+A368</f>
        <v/>
      </c>
    </row>
    <row r="369">
      <c r="A369">
        <f>IFERROR(IF(AND(INDEX(BASELINE!$A369:$ZZ369,CALC!$H$1)&lt;&gt;"",INT(IF(AND(CALC!$F$1&gt;0,N(INDEX(BASELINE!$A369:$ZZ369,CALC!$F$1))&gt;0),N(INDEX(BASELINE!$A369:$ZZ369,CALC!$F$1)),N(INDEX(BASELINE!$A369:$ZZ369,CALC!$P$1))))=INT(SIMOPS!$D$3),IFERROR(UPPER(TRIM(INDEX(BASELINE!$A369:$ZZ369,CALC!$R$1)&amp;"")),"")&lt;&gt;"ENCERRADA"),1,0),0)</f>
        <v/>
      </c>
      <c r="B369">
        <f>B368+A369</f>
        <v/>
      </c>
    </row>
    <row r="370">
      <c r="A370">
        <f>IFERROR(IF(AND(INDEX(BASELINE!$A370:$ZZ370,CALC!$H$1)&lt;&gt;"",INT(IF(AND(CALC!$F$1&gt;0,N(INDEX(BASELINE!$A370:$ZZ370,CALC!$F$1))&gt;0),N(INDEX(BASELINE!$A370:$ZZ370,CALC!$F$1)),N(INDEX(BASELINE!$A370:$ZZ370,CALC!$P$1))))=INT(SIMOPS!$D$3),IFERROR(UPPER(TRIM(INDEX(BASELINE!$A370:$ZZ370,CALC!$R$1)&amp;"")),"")&lt;&gt;"ENCERRADA"),1,0),0)</f>
        <v/>
      </c>
      <c r="B370">
        <f>B369+A370</f>
        <v/>
      </c>
    </row>
    <row r="371">
      <c r="A371">
        <f>IFERROR(IF(AND(INDEX(BASELINE!$A371:$ZZ371,CALC!$H$1)&lt;&gt;"",INT(IF(AND(CALC!$F$1&gt;0,N(INDEX(BASELINE!$A371:$ZZ371,CALC!$F$1))&gt;0),N(INDEX(BASELINE!$A371:$ZZ371,CALC!$F$1)),N(INDEX(BASELINE!$A371:$ZZ371,CALC!$P$1))))=INT(SIMOPS!$D$3),IFERROR(UPPER(TRIM(INDEX(BASELINE!$A371:$ZZ371,CALC!$R$1)&amp;"")),"")&lt;&gt;"ENCERRADA"),1,0),0)</f>
        <v/>
      </c>
      <c r="B371">
        <f>B370+A371</f>
        <v/>
      </c>
    </row>
    <row r="372">
      <c r="A372">
        <f>IFERROR(IF(AND(INDEX(BASELINE!$A372:$ZZ372,CALC!$H$1)&lt;&gt;"",INT(IF(AND(CALC!$F$1&gt;0,N(INDEX(BASELINE!$A372:$ZZ372,CALC!$F$1))&gt;0),N(INDEX(BASELINE!$A372:$ZZ372,CALC!$F$1)),N(INDEX(BASELINE!$A372:$ZZ372,CALC!$P$1))))=INT(SIMOPS!$D$3),IFERROR(UPPER(TRIM(INDEX(BASELINE!$A372:$ZZ372,CALC!$R$1)&amp;"")),"")&lt;&gt;"ENCERRADA"),1,0),0)</f>
        <v/>
      </c>
      <c r="B372">
        <f>B371+A372</f>
        <v/>
      </c>
    </row>
    <row r="373">
      <c r="A373">
        <f>IFERROR(IF(AND(INDEX(BASELINE!$A373:$ZZ373,CALC!$H$1)&lt;&gt;"",INT(IF(AND(CALC!$F$1&gt;0,N(INDEX(BASELINE!$A373:$ZZ373,CALC!$F$1))&gt;0),N(INDEX(BASELINE!$A373:$ZZ373,CALC!$F$1)),N(INDEX(BASELINE!$A373:$ZZ373,CALC!$P$1))))=INT(SIMOPS!$D$3),IFERROR(UPPER(TRIM(INDEX(BASELINE!$A373:$ZZ373,CALC!$R$1)&amp;"")),"")&lt;&gt;"ENCERRADA"),1,0),0)</f>
        <v/>
      </c>
      <c r="B373">
        <f>B372+A373</f>
        <v/>
      </c>
    </row>
    <row r="374">
      <c r="A374">
        <f>IFERROR(IF(AND(INDEX(BASELINE!$A374:$ZZ374,CALC!$H$1)&lt;&gt;"",INT(IF(AND(CALC!$F$1&gt;0,N(INDEX(BASELINE!$A374:$ZZ374,CALC!$F$1))&gt;0),N(INDEX(BASELINE!$A374:$ZZ374,CALC!$F$1)),N(INDEX(BASELINE!$A374:$ZZ374,CALC!$P$1))))=INT(SIMOPS!$D$3),IFERROR(UPPER(TRIM(INDEX(BASELINE!$A374:$ZZ374,CALC!$R$1)&amp;"")),"")&lt;&gt;"ENCERRADA"),1,0),0)</f>
        <v/>
      </c>
      <c r="B374">
        <f>B373+A374</f>
        <v/>
      </c>
    </row>
    <row r="375">
      <c r="A375">
        <f>IFERROR(IF(AND(INDEX(BASELINE!$A375:$ZZ375,CALC!$H$1)&lt;&gt;"",INT(IF(AND(CALC!$F$1&gt;0,N(INDEX(BASELINE!$A375:$ZZ375,CALC!$F$1))&gt;0),N(INDEX(BASELINE!$A375:$ZZ375,CALC!$F$1)),N(INDEX(BASELINE!$A375:$ZZ375,CALC!$P$1))))=INT(SIMOPS!$D$3),IFERROR(UPPER(TRIM(INDEX(BASELINE!$A375:$ZZ375,CALC!$R$1)&amp;"")),"")&lt;&gt;"ENCERRADA"),1,0),0)</f>
        <v/>
      </c>
      <c r="B375">
        <f>B374+A375</f>
        <v/>
      </c>
    </row>
    <row r="376">
      <c r="A376">
        <f>IFERROR(IF(AND(INDEX(BASELINE!$A376:$ZZ376,CALC!$H$1)&lt;&gt;"",INT(IF(AND(CALC!$F$1&gt;0,N(INDEX(BASELINE!$A376:$ZZ376,CALC!$F$1))&gt;0),N(INDEX(BASELINE!$A376:$ZZ376,CALC!$F$1)),N(INDEX(BASELINE!$A376:$ZZ376,CALC!$P$1))))=INT(SIMOPS!$D$3),IFERROR(UPPER(TRIM(INDEX(BASELINE!$A376:$ZZ376,CALC!$R$1)&amp;"")),"")&lt;&gt;"ENCERRADA"),1,0),0)</f>
        <v/>
      </c>
      <c r="B376">
        <f>B375+A376</f>
        <v/>
      </c>
    </row>
    <row r="377">
      <c r="A377">
        <f>IFERROR(IF(AND(INDEX(BASELINE!$A377:$ZZ377,CALC!$H$1)&lt;&gt;"",INT(IF(AND(CALC!$F$1&gt;0,N(INDEX(BASELINE!$A377:$ZZ377,CALC!$F$1))&gt;0),N(INDEX(BASELINE!$A377:$ZZ377,CALC!$F$1)),N(INDEX(BASELINE!$A377:$ZZ377,CALC!$P$1))))=INT(SIMOPS!$D$3),IFERROR(UPPER(TRIM(INDEX(BASELINE!$A377:$ZZ377,CALC!$R$1)&amp;"")),"")&lt;&gt;"ENCERRADA"),1,0),0)</f>
        <v/>
      </c>
      <c r="B377">
        <f>B376+A377</f>
        <v/>
      </c>
    </row>
    <row r="378">
      <c r="A378">
        <f>IFERROR(IF(AND(INDEX(BASELINE!$A378:$ZZ378,CALC!$H$1)&lt;&gt;"",INT(IF(AND(CALC!$F$1&gt;0,N(INDEX(BASELINE!$A378:$ZZ378,CALC!$F$1))&gt;0),N(INDEX(BASELINE!$A378:$ZZ378,CALC!$F$1)),N(INDEX(BASELINE!$A378:$ZZ378,CALC!$P$1))))=INT(SIMOPS!$D$3),IFERROR(UPPER(TRIM(INDEX(BASELINE!$A378:$ZZ378,CALC!$R$1)&amp;"")),"")&lt;&gt;"ENCERRADA"),1,0),0)</f>
        <v/>
      </c>
      <c r="B378">
        <f>B377+A378</f>
        <v/>
      </c>
    </row>
    <row r="379">
      <c r="A379">
        <f>IFERROR(IF(AND(INDEX(BASELINE!$A379:$ZZ379,CALC!$H$1)&lt;&gt;"",INT(IF(AND(CALC!$F$1&gt;0,N(INDEX(BASELINE!$A379:$ZZ379,CALC!$F$1))&gt;0),N(INDEX(BASELINE!$A379:$ZZ379,CALC!$F$1)),N(INDEX(BASELINE!$A379:$ZZ379,CALC!$P$1))))=INT(SIMOPS!$D$3),IFERROR(UPPER(TRIM(INDEX(BASELINE!$A379:$ZZ379,CALC!$R$1)&amp;"")),"")&lt;&gt;"ENCERRADA"),1,0),0)</f>
        <v/>
      </c>
      <c r="B379">
        <f>B378+A379</f>
        <v/>
      </c>
    </row>
    <row r="380">
      <c r="A380">
        <f>IFERROR(IF(AND(INDEX(BASELINE!$A380:$ZZ380,CALC!$H$1)&lt;&gt;"",INT(IF(AND(CALC!$F$1&gt;0,N(INDEX(BASELINE!$A380:$ZZ380,CALC!$F$1))&gt;0),N(INDEX(BASELINE!$A380:$ZZ380,CALC!$F$1)),N(INDEX(BASELINE!$A380:$ZZ380,CALC!$P$1))))=INT(SIMOPS!$D$3),IFERROR(UPPER(TRIM(INDEX(BASELINE!$A380:$ZZ380,CALC!$R$1)&amp;"")),"")&lt;&gt;"ENCERRADA"),1,0),0)</f>
        <v/>
      </c>
      <c r="B380">
        <f>B379+A380</f>
        <v/>
      </c>
    </row>
    <row r="381">
      <c r="A381">
        <f>IFERROR(IF(AND(INDEX(BASELINE!$A381:$ZZ381,CALC!$H$1)&lt;&gt;"",INT(IF(AND(CALC!$F$1&gt;0,N(INDEX(BASELINE!$A381:$ZZ381,CALC!$F$1))&gt;0),N(INDEX(BASELINE!$A381:$ZZ381,CALC!$F$1)),N(INDEX(BASELINE!$A381:$ZZ381,CALC!$P$1))))=INT(SIMOPS!$D$3),IFERROR(UPPER(TRIM(INDEX(BASELINE!$A381:$ZZ381,CALC!$R$1)&amp;"")),"")&lt;&gt;"ENCERRADA"),1,0),0)</f>
        <v/>
      </c>
      <c r="B381">
        <f>B380+A381</f>
        <v/>
      </c>
    </row>
    <row r="382">
      <c r="A382">
        <f>IFERROR(IF(AND(INDEX(BASELINE!$A382:$ZZ382,CALC!$H$1)&lt;&gt;"",INT(IF(AND(CALC!$F$1&gt;0,N(INDEX(BASELINE!$A382:$ZZ382,CALC!$F$1))&gt;0),N(INDEX(BASELINE!$A382:$ZZ382,CALC!$F$1)),N(INDEX(BASELINE!$A382:$ZZ382,CALC!$P$1))))=INT(SIMOPS!$D$3),IFERROR(UPPER(TRIM(INDEX(BASELINE!$A382:$ZZ382,CALC!$R$1)&amp;"")),"")&lt;&gt;"ENCERRADA"),1,0),0)</f>
        <v/>
      </c>
      <c r="B382">
        <f>B381+A382</f>
        <v/>
      </c>
    </row>
    <row r="383">
      <c r="A383">
        <f>IFERROR(IF(AND(INDEX(BASELINE!$A383:$ZZ383,CALC!$H$1)&lt;&gt;"",INT(IF(AND(CALC!$F$1&gt;0,N(INDEX(BASELINE!$A383:$ZZ383,CALC!$F$1))&gt;0),N(INDEX(BASELINE!$A383:$ZZ383,CALC!$F$1)),N(INDEX(BASELINE!$A383:$ZZ383,CALC!$P$1))))=INT(SIMOPS!$D$3),IFERROR(UPPER(TRIM(INDEX(BASELINE!$A383:$ZZ383,CALC!$R$1)&amp;"")),"")&lt;&gt;"ENCERRADA"),1,0),0)</f>
        <v/>
      </c>
      <c r="B383">
        <f>B382+A383</f>
        <v/>
      </c>
    </row>
    <row r="384">
      <c r="A384">
        <f>IFERROR(IF(AND(INDEX(BASELINE!$A384:$ZZ384,CALC!$H$1)&lt;&gt;"",INT(IF(AND(CALC!$F$1&gt;0,N(INDEX(BASELINE!$A384:$ZZ384,CALC!$F$1))&gt;0),N(INDEX(BASELINE!$A384:$ZZ384,CALC!$F$1)),N(INDEX(BASELINE!$A384:$ZZ384,CALC!$P$1))))=INT(SIMOPS!$D$3),IFERROR(UPPER(TRIM(INDEX(BASELINE!$A384:$ZZ384,CALC!$R$1)&amp;"")),"")&lt;&gt;"ENCERRADA"),1,0),0)</f>
        <v/>
      </c>
      <c r="B384">
        <f>B383+A384</f>
        <v/>
      </c>
    </row>
    <row r="385">
      <c r="A385">
        <f>IFERROR(IF(AND(INDEX(BASELINE!$A385:$ZZ385,CALC!$H$1)&lt;&gt;"",INT(IF(AND(CALC!$F$1&gt;0,N(INDEX(BASELINE!$A385:$ZZ385,CALC!$F$1))&gt;0),N(INDEX(BASELINE!$A385:$ZZ385,CALC!$F$1)),N(INDEX(BASELINE!$A385:$ZZ385,CALC!$P$1))))=INT(SIMOPS!$D$3),IFERROR(UPPER(TRIM(INDEX(BASELINE!$A385:$ZZ385,CALC!$R$1)&amp;"")),"")&lt;&gt;"ENCERRADA"),1,0),0)</f>
        <v/>
      </c>
      <c r="B385">
        <f>B384+A385</f>
        <v/>
      </c>
    </row>
    <row r="386">
      <c r="A386">
        <f>IFERROR(IF(AND(INDEX(BASELINE!$A386:$ZZ386,CALC!$H$1)&lt;&gt;"",INT(IF(AND(CALC!$F$1&gt;0,N(INDEX(BASELINE!$A386:$ZZ386,CALC!$F$1))&gt;0),N(INDEX(BASELINE!$A386:$ZZ386,CALC!$F$1)),N(INDEX(BASELINE!$A386:$ZZ386,CALC!$P$1))))=INT(SIMOPS!$D$3),IFERROR(UPPER(TRIM(INDEX(BASELINE!$A386:$ZZ386,CALC!$R$1)&amp;"")),"")&lt;&gt;"ENCERRADA"),1,0),0)</f>
        <v/>
      </c>
      <c r="B386">
        <f>B385+A386</f>
        <v/>
      </c>
    </row>
    <row r="387">
      <c r="A387">
        <f>IFERROR(IF(AND(INDEX(BASELINE!$A387:$ZZ387,CALC!$H$1)&lt;&gt;"",INT(IF(AND(CALC!$F$1&gt;0,N(INDEX(BASELINE!$A387:$ZZ387,CALC!$F$1))&gt;0),N(INDEX(BASELINE!$A387:$ZZ387,CALC!$F$1)),N(INDEX(BASELINE!$A387:$ZZ387,CALC!$P$1))))=INT(SIMOPS!$D$3),IFERROR(UPPER(TRIM(INDEX(BASELINE!$A387:$ZZ387,CALC!$R$1)&amp;"")),"")&lt;&gt;"ENCERRADA"),1,0),0)</f>
        <v/>
      </c>
      <c r="B387">
        <f>B386+A387</f>
        <v/>
      </c>
    </row>
    <row r="388">
      <c r="A388">
        <f>IFERROR(IF(AND(INDEX(BASELINE!$A388:$ZZ388,CALC!$H$1)&lt;&gt;"",INT(IF(AND(CALC!$F$1&gt;0,N(INDEX(BASELINE!$A388:$ZZ388,CALC!$F$1))&gt;0),N(INDEX(BASELINE!$A388:$ZZ388,CALC!$F$1)),N(INDEX(BASELINE!$A388:$ZZ388,CALC!$P$1))))=INT(SIMOPS!$D$3),IFERROR(UPPER(TRIM(INDEX(BASELINE!$A388:$ZZ388,CALC!$R$1)&amp;"")),"")&lt;&gt;"ENCERRADA"),1,0),0)</f>
        <v/>
      </c>
      <c r="B388">
        <f>B387+A388</f>
        <v/>
      </c>
    </row>
    <row r="389">
      <c r="A389">
        <f>IFERROR(IF(AND(INDEX(BASELINE!$A389:$ZZ389,CALC!$H$1)&lt;&gt;"",INT(IF(AND(CALC!$F$1&gt;0,N(INDEX(BASELINE!$A389:$ZZ389,CALC!$F$1))&gt;0),N(INDEX(BASELINE!$A389:$ZZ389,CALC!$F$1)),N(INDEX(BASELINE!$A389:$ZZ389,CALC!$P$1))))=INT(SIMOPS!$D$3),IFERROR(UPPER(TRIM(INDEX(BASELINE!$A389:$ZZ389,CALC!$R$1)&amp;"")),"")&lt;&gt;"ENCERRADA"),1,0),0)</f>
        <v/>
      </c>
      <c r="B389">
        <f>B388+A389</f>
        <v/>
      </c>
    </row>
    <row r="390">
      <c r="A390">
        <f>IFERROR(IF(AND(INDEX(BASELINE!$A390:$ZZ390,CALC!$H$1)&lt;&gt;"",INT(IF(AND(CALC!$F$1&gt;0,N(INDEX(BASELINE!$A390:$ZZ390,CALC!$F$1))&gt;0),N(INDEX(BASELINE!$A390:$ZZ390,CALC!$F$1)),N(INDEX(BASELINE!$A390:$ZZ390,CALC!$P$1))))=INT(SIMOPS!$D$3),IFERROR(UPPER(TRIM(INDEX(BASELINE!$A390:$ZZ390,CALC!$R$1)&amp;"")),"")&lt;&gt;"ENCERRADA"),1,0),0)</f>
        <v/>
      </c>
      <c r="B390">
        <f>B389+A390</f>
        <v/>
      </c>
    </row>
    <row r="391">
      <c r="A391">
        <f>IFERROR(IF(AND(INDEX(BASELINE!$A391:$ZZ391,CALC!$H$1)&lt;&gt;"",INT(IF(AND(CALC!$F$1&gt;0,N(INDEX(BASELINE!$A391:$ZZ391,CALC!$F$1))&gt;0),N(INDEX(BASELINE!$A391:$ZZ391,CALC!$F$1)),N(INDEX(BASELINE!$A391:$ZZ391,CALC!$P$1))))=INT(SIMOPS!$D$3),IFERROR(UPPER(TRIM(INDEX(BASELINE!$A391:$ZZ391,CALC!$R$1)&amp;"")),"")&lt;&gt;"ENCERRADA"),1,0),0)</f>
        <v/>
      </c>
      <c r="B391">
        <f>B390+A391</f>
        <v/>
      </c>
    </row>
    <row r="392">
      <c r="A392">
        <f>IFERROR(IF(AND(INDEX(BASELINE!$A392:$ZZ392,CALC!$H$1)&lt;&gt;"",INT(IF(AND(CALC!$F$1&gt;0,N(INDEX(BASELINE!$A392:$ZZ392,CALC!$F$1))&gt;0),N(INDEX(BASELINE!$A392:$ZZ392,CALC!$F$1)),N(INDEX(BASELINE!$A392:$ZZ392,CALC!$P$1))))=INT(SIMOPS!$D$3),IFERROR(UPPER(TRIM(INDEX(BASELINE!$A392:$ZZ392,CALC!$R$1)&amp;"")),"")&lt;&gt;"ENCERRADA"),1,0),0)</f>
        <v/>
      </c>
      <c r="B392">
        <f>B391+A392</f>
        <v/>
      </c>
    </row>
    <row r="393">
      <c r="A393">
        <f>IFERROR(IF(AND(INDEX(BASELINE!$A393:$ZZ393,CALC!$H$1)&lt;&gt;"",INT(IF(AND(CALC!$F$1&gt;0,N(INDEX(BASELINE!$A393:$ZZ393,CALC!$F$1))&gt;0),N(INDEX(BASELINE!$A393:$ZZ393,CALC!$F$1)),N(INDEX(BASELINE!$A393:$ZZ393,CALC!$P$1))))=INT(SIMOPS!$D$3),IFERROR(UPPER(TRIM(INDEX(BASELINE!$A393:$ZZ393,CALC!$R$1)&amp;"")),"")&lt;&gt;"ENCERRADA"),1,0),0)</f>
        <v/>
      </c>
      <c r="B393">
        <f>B392+A393</f>
        <v/>
      </c>
    </row>
    <row r="394">
      <c r="A394">
        <f>IFERROR(IF(AND(INDEX(BASELINE!$A394:$ZZ394,CALC!$H$1)&lt;&gt;"",INT(IF(AND(CALC!$F$1&gt;0,N(INDEX(BASELINE!$A394:$ZZ394,CALC!$F$1))&gt;0),N(INDEX(BASELINE!$A394:$ZZ394,CALC!$F$1)),N(INDEX(BASELINE!$A394:$ZZ394,CALC!$P$1))))=INT(SIMOPS!$D$3),IFERROR(UPPER(TRIM(INDEX(BASELINE!$A394:$ZZ394,CALC!$R$1)&amp;"")),"")&lt;&gt;"ENCERRADA"),1,0),0)</f>
        <v/>
      </c>
      <c r="B394">
        <f>B393+A394</f>
        <v/>
      </c>
    </row>
    <row r="395">
      <c r="A395">
        <f>IFERROR(IF(AND(INDEX(BASELINE!$A395:$ZZ395,CALC!$H$1)&lt;&gt;"",INT(IF(AND(CALC!$F$1&gt;0,N(INDEX(BASELINE!$A395:$ZZ395,CALC!$F$1))&gt;0),N(INDEX(BASELINE!$A395:$ZZ395,CALC!$F$1)),N(INDEX(BASELINE!$A395:$ZZ395,CALC!$P$1))))=INT(SIMOPS!$D$3),IFERROR(UPPER(TRIM(INDEX(BASELINE!$A395:$ZZ395,CALC!$R$1)&amp;"")),"")&lt;&gt;"ENCERRADA"),1,0),0)</f>
        <v/>
      </c>
      <c r="B395">
        <f>B394+A395</f>
        <v/>
      </c>
    </row>
    <row r="396">
      <c r="A396">
        <f>IFERROR(IF(AND(INDEX(BASELINE!$A396:$ZZ396,CALC!$H$1)&lt;&gt;"",INT(IF(AND(CALC!$F$1&gt;0,N(INDEX(BASELINE!$A396:$ZZ396,CALC!$F$1))&gt;0),N(INDEX(BASELINE!$A396:$ZZ396,CALC!$F$1)),N(INDEX(BASELINE!$A396:$ZZ396,CALC!$P$1))))=INT(SIMOPS!$D$3),IFERROR(UPPER(TRIM(INDEX(BASELINE!$A396:$ZZ396,CALC!$R$1)&amp;"")),"")&lt;&gt;"ENCERRADA"),1,0),0)</f>
        <v/>
      </c>
      <c r="B396">
        <f>B395+A396</f>
        <v/>
      </c>
    </row>
    <row r="397">
      <c r="A397">
        <f>IFERROR(IF(AND(INDEX(BASELINE!$A397:$ZZ397,CALC!$H$1)&lt;&gt;"",INT(IF(AND(CALC!$F$1&gt;0,N(INDEX(BASELINE!$A397:$ZZ397,CALC!$F$1))&gt;0),N(INDEX(BASELINE!$A397:$ZZ397,CALC!$F$1)),N(INDEX(BASELINE!$A397:$ZZ397,CALC!$P$1))))=INT(SIMOPS!$D$3),IFERROR(UPPER(TRIM(INDEX(BASELINE!$A397:$ZZ397,CALC!$R$1)&amp;"")),"")&lt;&gt;"ENCERRADA"),1,0),0)</f>
        <v/>
      </c>
      <c r="B397">
        <f>B396+A397</f>
        <v/>
      </c>
    </row>
    <row r="398">
      <c r="A398">
        <f>IFERROR(IF(AND(INDEX(BASELINE!$A398:$ZZ398,CALC!$H$1)&lt;&gt;"",INT(IF(AND(CALC!$F$1&gt;0,N(INDEX(BASELINE!$A398:$ZZ398,CALC!$F$1))&gt;0),N(INDEX(BASELINE!$A398:$ZZ398,CALC!$F$1)),N(INDEX(BASELINE!$A398:$ZZ398,CALC!$P$1))))=INT(SIMOPS!$D$3),IFERROR(UPPER(TRIM(INDEX(BASELINE!$A398:$ZZ398,CALC!$R$1)&amp;"")),"")&lt;&gt;"ENCERRADA"),1,0),0)</f>
        <v/>
      </c>
      <c r="B398">
        <f>B397+A398</f>
        <v/>
      </c>
    </row>
    <row r="399">
      <c r="A399">
        <f>IFERROR(IF(AND(INDEX(BASELINE!$A399:$ZZ399,CALC!$H$1)&lt;&gt;"",INT(IF(AND(CALC!$F$1&gt;0,N(INDEX(BASELINE!$A399:$ZZ399,CALC!$F$1))&gt;0),N(INDEX(BASELINE!$A399:$ZZ399,CALC!$F$1)),N(INDEX(BASELINE!$A399:$ZZ399,CALC!$P$1))))=INT(SIMOPS!$D$3),IFERROR(UPPER(TRIM(INDEX(BASELINE!$A399:$ZZ399,CALC!$R$1)&amp;"")),"")&lt;&gt;"ENCERRADA"),1,0),0)</f>
        <v/>
      </c>
      <c r="B399">
        <f>B398+A399</f>
        <v/>
      </c>
    </row>
    <row r="400">
      <c r="A400">
        <f>IFERROR(IF(AND(INDEX(BASELINE!$A400:$ZZ400,CALC!$H$1)&lt;&gt;"",INT(IF(AND(CALC!$F$1&gt;0,N(INDEX(BASELINE!$A400:$ZZ400,CALC!$F$1))&gt;0),N(INDEX(BASELINE!$A400:$ZZ400,CALC!$F$1)),N(INDEX(BASELINE!$A400:$ZZ400,CALC!$P$1))))=INT(SIMOPS!$D$3),IFERROR(UPPER(TRIM(INDEX(BASELINE!$A400:$ZZ400,CALC!$R$1)&amp;"")),"")&lt;&gt;"ENCERRADA"),1,0),0)</f>
        <v/>
      </c>
      <c r="B400">
        <f>B399+A400</f>
        <v/>
      </c>
    </row>
    <row r="401">
      <c r="A401">
        <f>IFERROR(IF(AND(INDEX(BASELINE!$A401:$ZZ401,CALC!$H$1)&lt;&gt;"",INT(IF(AND(CALC!$F$1&gt;0,N(INDEX(BASELINE!$A401:$ZZ401,CALC!$F$1))&gt;0),N(INDEX(BASELINE!$A401:$ZZ401,CALC!$F$1)),N(INDEX(BASELINE!$A401:$ZZ401,CALC!$P$1))))=INT(SIMOPS!$D$3),IFERROR(UPPER(TRIM(INDEX(BASELINE!$A401:$ZZ401,CALC!$R$1)&amp;"")),"")&lt;&gt;"ENCERRADA"),1,0),0)</f>
        <v/>
      </c>
      <c r="B401">
        <f>B400+A401</f>
        <v/>
      </c>
    </row>
    <row r="402">
      <c r="A402">
        <f>IFERROR(IF(AND(INDEX(BASELINE!$A402:$ZZ402,CALC!$H$1)&lt;&gt;"",INT(IF(AND(CALC!$F$1&gt;0,N(INDEX(BASELINE!$A402:$ZZ402,CALC!$F$1))&gt;0),N(INDEX(BASELINE!$A402:$ZZ402,CALC!$F$1)),N(INDEX(BASELINE!$A402:$ZZ402,CALC!$P$1))))=INT(SIMOPS!$D$3),IFERROR(UPPER(TRIM(INDEX(BASELINE!$A402:$ZZ402,CALC!$R$1)&amp;"")),"")&lt;&gt;"ENCERRADA"),1,0),0)</f>
        <v/>
      </c>
      <c r="B402">
        <f>B401+A402</f>
        <v/>
      </c>
    </row>
    <row r="403">
      <c r="A403">
        <f>IFERROR(IF(AND(INDEX(BASELINE!$A403:$ZZ403,CALC!$H$1)&lt;&gt;"",INT(IF(AND(CALC!$F$1&gt;0,N(INDEX(BASELINE!$A403:$ZZ403,CALC!$F$1))&gt;0),N(INDEX(BASELINE!$A403:$ZZ403,CALC!$F$1)),N(INDEX(BASELINE!$A403:$ZZ403,CALC!$P$1))))=INT(SIMOPS!$D$3),IFERROR(UPPER(TRIM(INDEX(BASELINE!$A403:$ZZ403,CALC!$R$1)&amp;"")),"")&lt;&gt;"ENCERRADA"),1,0),0)</f>
        <v/>
      </c>
      <c r="B403">
        <f>B402+A403</f>
        <v/>
      </c>
    </row>
    <row r="404">
      <c r="A404">
        <f>IFERROR(IF(AND(INDEX(BASELINE!$A404:$ZZ404,CALC!$H$1)&lt;&gt;"",INT(IF(AND(CALC!$F$1&gt;0,N(INDEX(BASELINE!$A404:$ZZ404,CALC!$F$1))&gt;0),N(INDEX(BASELINE!$A404:$ZZ404,CALC!$F$1)),N(INDEX(BASELINE!$A404:$ZZ404,CALC!$P$1))))=INT(SIMOPS!$D$3),IFERROR(UPPER(TRIM(INDEX(BASELINE!$A404:$ZZ404,CALC!$R$1)&amp;"")),"")&lt;&gt;"ENCERRADA"),1,0),0)</f>
        <v/>
      </c>
      <c r="B404">
        <f>B403+A404</f>
        <v/>
      </c>
    </row>
    <row r="405">
      <c r="A405">
        <f>IFERROR(IF(AND(INDEX(BASELINE!$A405:$ZZ405,CALC!$H$1)&lt;&gt;"",INT(IF(AND(CALC!$F$1&gt;0,N(INDEX(BASELINE!$A405:$ZZ405,CALC!$F$1))&gt;0),N(INDEX(BASELINE!$A405:$ZZ405,CALC!$F$1)),N(INDEX(BASELINE!$A405:$ZZ405,CALC!$P$1))))=INT(SIMOPS!$D$3),IFERROR(UPPER(TRIM(INDEX(BASELINE!$A405:$ZZ405,CALC!$R$1)&amp;"")),"")&lt;&gt;"ENCERRADA"),1,0),0)</f>
        <v/>
      </c>
      <c r="B405">
        <f>B404+A405</f>
        <v/>
      </c>
    </row>
    <row r="406">
      <c r="A406">
        <f>IFERROR(IF(AND(INDEX(BASELINE!$A406:$ZZ406,CALC!$H$1)&lt;&gt;"",INT(IF(AND(CALC!$F$1&gt;0,N(INDEX(BASELINE!$A406:$ZZ406,CALC!$F$1))&gt;0),N(INDEX(BASELINE!$A406:$ZZ406,CALC!$F$1)),N(INDEX(BASELINE!$A406:$ZZ406,CALC!$P$1))))=INT(SIMOPS!$D$3),IFERROR(UPPER(TRIM(INDEX(BASELINE!$A406:$ZZ406,CALC!$R$1)&amp;"")),"")&lt;&gt;"ENCERRADA"),1,0),0)</f>
        <v/>
      </c>
      <c r="B406">
        <f>B405+A406</f>
        <v/>
      </c>
    </row>
    <row r="407">
      <c r="A407">
        <f>IFERROR(IF(AND(INDEX(BASELINE!$A407:$ZZ407,CALC!$H$1)&lt;&gt;"",INT(IF(AND(CALC!$F$1&gt;0,N(INDEX(BASELINE!$A407:$ZZ407,CALC!$F$1))&gt;0),N(INDEX(BASELINE!$A407:$ZZ407,CALC!$F$1)),N(INDEX(BASELINE!$A407:$ZZ407,CALC!$P$1))))=INT(SIMOPS!$D$3),IFERROR(UPPER(TRIM(INDEX(BASELINE!$A407:$ZZ407,CALC!$R$1)&amp;"")),"")&lt;&gt;"ENCERRADA"),1,0),0)</f>
        <v/>
      </c>
      <c r="B407">
        <f>B406+A407</f>
        <v/>
      </c>
    </row>
    <row r="408">
      <c r="A408">
        <f>IFERROR(IF(AND(INDEX(BASELINE!$A408:$ZZ408,CALC!$H$1)&lt;&gt;"",INT(IF(AND(CALC!$F$1&gt;0,N(INDEX(BASELINE!$A408:$ZZ408,CALC!$F$1))&gt;0),N(INDEX(BASELINE!$A408:$ZZ408,CALC!$F$1)),N(INDEX(BASELINE!$A408:$ZZ408,CALC!$P$1))))=INT(SIMOPS!$D$3),IFERROR(UPPER(TRIM(INDEX(BASELINE!$A408:$ZZ408,CALC!$R$1)&amp;"")),"")&lt;&gt;"ENCERRADA"),1,0),0)</f>
        <v/>
      </c>
      <c r="B408">
        <f>B407+A408</f>
        <v/>
      </c>
    </row>
    <row r="409">
      <c r="A409">
        <f>IFERROR(IF(AND(INDEX(BASELINE!$A409:$ZZ409,CALC!$H$1)&lt;&gt;"",INT(IF(AND(CALC!$F$1&gt;0,N(INDEX(BASELINE!$A409:$ZZ409,CALC!$F$1))&gt;0),N(INDEX(BASELINE!$A409:$ZZ409,CALC!$F$1)),N(INDEX(BASELINE!$A409:$ZZ409,CALC!$P$1))))=INT(SIMOPS!$D$3),IFERROR(UPPER(TRIM(INDEX(BASELINE!$A409:$ZZ409,CALC!$R$1)&amp;"")),"")&lt;&gt;"ENCERRADA"),1,0),0)</f>
        <v/>
      </c>
      <c r="B409">
        <f>B408+A409</f>
        <v/>
      </c>
    </row>
    <row r="410">
      <c r="A410">
        <f>IFERROR(IF(AND(INDEX(BASELINE!$A410:$ZZ410,CALC!$H$1)&lt;&gt;"",INT(IF(AND(CALC!$F$1&gt;0,N(INDEX(BASELINE!$A410:$ZZ410,CALC!$F$1))&gt;0),N(INDEX(BASELINE!$A410:$ZZ410,CALC!$F$1)),N(INDEX(BASELINE!$A410:$ZZ410,CALC!$P$1))))=INT(SIMOPS!$D$3),IFERROR(UPPER(TRIM(INDEX(BASELINE!$A410:$ZZ410,CALC!$R$1)&amp;"")),"")&lt;&gt;"ENCERRADA"),1,0),0)</f>
        <v/>
      </c>
      <c r="B410">
        <f>B409+A410</f>
        <v/>
      </c>
    </row>
    <row r="411">
      <c r="A411">
        <f>IFERROR(IF(AND(INDEX(BASELINE!$A411:$ZZ411,CALC!$H$1)&lt;&gt;"",INT(IF(AND(CALC!$F$1&gt;0,N(INDEX(BASELINE!$A411:$ZZ411,CALC!$F$1))&gt;0),N(INDEX(BASELINE!$A411:$ZZ411,CALC!$F$1)),N(INDEX(BASELINE!$A411:$ZZ411,CALC!$P$1))))=INT(SIMOPS!$D$3),IFERROR(UPPER(TRIM(INDEX(BASELINE!$A411:$ZZ411,CALC!$R$1)&amp;"")),"")&lt;&gt;"ENCERRADA"),1,0),0)</f>
        <v/>
      </c>
      <c r="B411">
        <f>B410+A411</f>
        <v/>
      </c>
    </row>
    <row r="412">
      <c r="A412">
        <f>IFERROR(IF(AND(INDEX(BASELINE!$A412:$ZZ412,CALC!$H$1)&lt;&gt;"",INT(IF(AND(CALC!$F$1&gt;0,N(INDEX(BASELINE!$A412:$ZZ412,CALC!$F$1))&gt;0),N(INDEX(BASELINE!$A412:$ZZ412,CALC!$F$1)),N(INDEX(BASELINE!$A412:$ZZ412,CALC!$P$1))))=INT(SIMOPS!$D$3),IFERROR(UPPER(TRIM(INDEX(BASELINE!$A412:$ZZ412,CALC!$R$1)&amp;"")),"")&lt;&gt;"ENCERRADA"),1,0),0)</f>
        <v/>
      </c>
      <c r="B412">
        <f>B411+A412</f>
        <v/>
      </c>
    </row>
    <row r="413">
      <c r="A413">
        <f>IFERROR(IF(AND(INDEX(BASELINE!$A413:$ZZ413,CALC!$H$1)&lt;&gt;"",INT(IF(AND(CALC!$F$1&gt;0,N(INDEX(BASELINE!$A413:$ZZ413,CALC!$F$1))&gt;0),N(INDEX(BASELINE!$A413:$ZZ413,CALC!$F$1)),N(INDEX(BASELINE!$A413:$ZZ413,CALC!$P$1))))=INT(SIMOPS!$D$3),IFERROR(UPPER(TRIM(INDEX(BASELINE!$A413:$ZZ413,CALC!$R$1)&amp;"")),"")&lt;&gt;"ENCERRADA"),1,0),0)</f>
        <v/>
      </c>
      <c r="B413">
        <f>B412+A413</f>
        <v/>
      </c>
    </row>
    <row r="414">
      <c r="A414">
        <f>IFERROR(IF(AND(INDEX(BASELINE!$A414:$ZZ414,CALC!$H$1)&lt;&gt;"",INT(IF(AND(CALC!$F$1&gt;0,N(INDEX(BASELINE!$A414:$ZZ414,CALC!$F$1))&gt;0),N(INDEX(BASELINE!$A414:$ZZ414,CALC!$F$1)),N(INDEX(BASELINE!$A414:$ZZ414,CALC!$P$1))))=INT(SIMOPS!$D$3),IFERROR(UPPER(TRIM(INDEX(BASELINE!$A414:$ZZ414,CALC!$R$1)&amp;"")),"")&lt;&gt;"ENCERRADA"),1,0),0)</f>
        <v/>
      </c>
      <c r="B414">
        <f>B413+A414</f>
        <v/>
      </c>
    </row>
    <row r="415">
      <c r="A415">
        <f>IFERROR(IF(AND(INDEX(BASELINE!$A415:$ZZ415,CALC!$H$1)&lt;&gt;"",INT(IF(AND(CALC!$F$1&gt;0,N(INDEX(BASELINE!$A415:$ZZ415,CALC!$F$1))&gt;0),N(INDEX(BASELINE!$A415:$ZZ415,CALC!$F$1)),N(INDEX(BASELINE!$A415:$ZZ415,CALC!$P$1))))=INT(SIMOPS!$D$3),IFERROR(UPPER(TRIM(INDEX(BASELINE!$A415:$ZZ415,CALC!$R$1)&amp;"")),"")&lt;&gt;"ENCERRADA"),1,0),0)</f>
        <v/>
      </c>
      <c r="B415">
        <f>B414+A415</f>
        <v/>
      </c>
    </row>
    <row r="416">
      <c r="A416">
        <f>IFERROR(IF(AND(INDEX(BASELINE!$A416:$ZZ416,CALC!$H$1)&lt;&gt;"",INT(IF(AND(CALC!$F$1&gt;0,N(INDEX(BASELINE!$A416:$ZZ416,CALC!$F$1))&gt;0),N(INDEX(BASELINE!$A416:$ZZ416,CALC!$F$1)),N(INDEX(BASELINE!$A416:$ZZ416,CALC!$P$1))))=INT(SIMOPS!$D$3),IFERROR(UPPER(TRIM(INDEX(BASELINE!$A416:$ZZ416,CALC!$R$1)&amp;"")),"")&lt;&gt;"ENCERRADA"),1,0),0)</f>
        <v/>
      </c>
      <c r="B416">
        <f>B415+A416</f>
        <v/>
      </c>
    </row>
    <row r="417">
      <c r="A417">
        <f>IFERROR(IF(AND(INDEX(BASELINE!$A417:$ZZ417,CALC!$H$1)&lt;&gt;"",INT(IF(AND(CALC!$F$1&gt;0,N(INDEX(BASELINE!$A417:$ZZ417,CALC!$F$1))&gt;0),N(INDEX(BASELINE!$A417:$ZZ417,CALC!$F$1)),N(INDEX(BASELINE!$A417:$ZZ417,CALC!$P$1))))=INT(SIMOPS!$D$3),IFERROR(UPPER(TRIM(INDEX(BASELINE!$A417:$ZZ417,CALC!$R$1)&amp;"")),"")&lt;&gt;"ENCERRADA"),1,0),0)</f>
        <v/>
      </c>
      <c r="B417">
        <f>B416+A417</f>
        <v/>
      </c>
    </row>
    <row r="418">
      <c r="A418">
        <f>IFERROR(IF(AND(INDEX(BASELINE!$A418:$ZZ418,CALC!$H$1)&lt;&gt;"",INT(IF(AND(CALC!$F$1&gt;0,N(INDEX(BASELINE!$A418:$ZZ418,CALC!$F$1))&gt;0),N(INDEX(BASELINE!$A418:$ZZ418,CALC!$F$1)),N(INDEX(BASELINE!$A418:$ZZ418,CALC!$P$1))))=INT(SIMOPS!$D$3),IFERROR(UPPER(TRIM(INDEX(BASELINE!$A418:$ZZ418,CALC!$R$1)&amp;"")),"")&lt;&gt;"ENCERRADA"),1,0),0)</f>
        <v/>
      </c>
      <c r="B418">
        <f>B417+A418</f>
        <v/>
      </c>
    </row>
    <row r="419">
      <c r="A419">
        <f>IFERROR(IF(AND(INDEX(BASELINE!$A419:$ZZ419,CALC!$H$1)&lt;&gt;"",INT(IF(AND(CALC!$F$1&gt;0,N(INDEX(BASELINE!$A419:$ZZ419,CALC!$F$1))&gt;0),N(INDEX(BASELINE!$A419:$ZZ419,CALC!$F$1)),N(INDEX(BASELINE!$A419:$ZZ419,CALC!$P$1))))=INT(SIMOPS!$D$3),IFERROR(UPPER(TRIM(INDEX(BASELINE!$A419:$ZZ419,CALC!$R$1)&amp;"")),"")&lt;&gt;"ENCERRADA"),1,0),0)</f>
        <v/>
      </c>
      <c r="B419">
        <f>B418+A419</f>
        <v/>
      </c>
    </row>
    <row r="420">
      <c r="A420">
        <f>IFERROR(IF(AND(INDEX(BASELINE!$A420:$ZZ420,CALC!$H$1)&lt;&gt;"",INT(IF(AND(CALC!$F$1&gt;0,N(INDEX(BASELINE!$A420:$ZZ420,CALC!$F$1))&gt;0),N(INDEX(BASELINE!$A420:$ZZ420,CALC!$F$1)),N(INDEX(BASELINE!$A420:$ZZ420,CALC!$P$1))))=INT(SIMOPS!$D$3),IFERROR(UPPER(TRIM(INDEX(BASELINE!$A420:$ZZ420,CALC!$R$1)&amp;"")),"")&lt;&gt;"ENCERRADA"),1,0),0)</f>
        <v/>
      </c>
      <c r="B420">
        <f>B419+A420</f>
        <v/>
      </c>
    </row>
    <row r="421">
      <c r="A421">
        <f>IFERROR(IF(AND(INDEX(BASELINE!$A421:$ZZ421,CALC!$H$1)&lt;&gt;"",INT(IF(AND(CALC!$F$1&gt;0,N(INDEX(BASELINE!$A421:$ZZ421,CALC!$F$1))&gt;0),N(INDEX(BASELINE!$A421:$ZZ421,CALC!$F$1)),N(INDEX(BASELINE!$A421:$ZZ421,CALC!$P$1))))=INT(SIMOPS!$D$3),IFERROR(UPPER(TRIM(INDEX(BASELINE!$A421:$ZZ421,CALC!$R$1)&amp;"")),"")&lt;&gt;"ENCERRADA"),1,0),0)</f>
        <v/>
      </c>
      <c r="B421">
        <f>B420+A421</f>
        <v/>
      </c>
    </row>
    <row r="422">
      <c r="A422">
        <f>IFERROR(IF(AND(INDEX(BASELINE!$A422:$ZZ422,CALC!$H$1)&lt;&gt;"",INT(IF(AND(CALC!$F$1&gt;0,N(INDEX(BASELINE!$A422:$ZZ422,CALC!$F$1))&gt;0),N(INDEX(BASELINE!$A422:$ZZ422,CALC!$F$1)),N(INDEX(BASELINE!$A422:$ZZ422,CALC!$P$1))))=INT(SIMOPS!$D$3),IFERROR(UPPER(TRIM(INDEX(BASELINE!$A422:$ZZ422,CALC!$R$1)&amp;"")),"")&lt;&gt;"ENCERRADA"),1,0),0)</f>
        <v/>
      </c>
      <c r="B422">
        <f>B421+A422</f>
        <v/>
      </c>
    </row>
    <row r="423">
      <c r="A423">
        <f>IFERROR(IF(AND(INDEX(BASELINE!$A423:$ZZ423,CALC!$H$1)&lt;&gt;"",INT(IF(AND(CALC!$F$1&gt;0,N(INDEX(BASELINE!$A423:$ZZ423,CALC!$F$1))&gt;0),N(INDEX(BASELINE!$A423:$ZZ423,CALC!$F$1)),N(INDEX(BASELINE!$A423:$ZZ423,CALC!$P$1))))=INT(SIMOPS!$D$3),IFERROR(UPPER(TRIM(INDEX(BASELINE!$A423:$ZZ423,CALC!$R$1)&amp;"")),"")&lt;&gt;"ENCERRADA"),1,0),0)</f>
        <v/>
      </c>
      <c r="B423">
        <f>B422+A423</f>
        <v/>
      </c>
    </row>
    <row r="424">
      <c r="A424">
        <f>IFERROR(IF(AND(INDEX(BASELINE!$A424:$ZZ424,CALC!$H$1)&lt;&gt;"",INT(IF(AND(CALC!$F$1&gt;0,N(INDEX(BASELINE!$A424:$ZZ424,CALC!$F$1))&gt;0),N(INDEX(BASELINE!$A424:$ZZ424,CALC!$F$1)),N(INDEX(BASELINE!$A424:$ZZ424,CALC!$P$1))))=INT(SIMOPS!$D$3),IFERROR(UPPER(TRIM(INDEX(BASELINE!$A424:$ZZ424,CALC!$R$1)&amp;"")),"")&lt;&gt;"ENCERRADA"),1,0),0)</f>
        <v/>
      </c>
      <c r="B424">
        <f>B423+A424</f>
        <v/>
      </c>
    </row>
    <row r="425">
      <c r="A425">
        <f>IFERROR(IF(AND(INDEX(BASELINE!$A425:$ZZ425,CALC!$H$1)&lt;&gt;"",INT(IF(AND(CALC!$F$1&gt;0,N(INDEX(BASELINE!$A425:$ZZ425,CALC!$F$1))&gt;0),N(INDEX(BASELINE!$A425:$ZZ425,CALC!$F$1)),N(INDEX(BASELINE!$A425:$ZZ425,CALC!$P$1))))=INT(SIMOPS!$D$3),IFERROR(UPPER(TRIM(INDEX(BASELINE!$A425:$ZZ425,CALC!$R$1)&amp;"")),"")&lt;&gt;"ENCERRADA"),1,0),0)</f>
        <v/>
      </c>
      <c r="B425">
        <f>B424+A425</f>
        <v/>
      </c>
    </row>
    <row r="426">
      <c r="A426">
        <f>IFERROR(IF(AND(INDEX(BASELINE!$A426:$ZZ426,CALC!$H$1)&lt;&gt;"",INT(IF(AND(CALC!$F$1&gt;0,N(INDEX(BASELINE!$A426:$ZZ426,CALC!$F$1))&gt;0),N(INDEX(BASELINE!$A426:$ZZ426,CALC!$F$1)),N(INDEX(BASELINE!$A426:$ZZ426,CALC!$P$1))))=INT(SIMOPS!$D$3),IFERROR(UPPER(TRIM(INDEX(BASELINE!$A426:$ZZ426,CALC!$R$1)&amp;"")),"")&lt;&gt;"ENCERRADA"),1,0),0)</f>
        <v/>
      </c>
      <c r="B426">
        <f>B425+A426</f>
        <v/>
      </c>
    </row>
    <row r="427">
      <c r="A427">
        <f>IFERROR(IF(AND(INDEX(BASELINE!$A427:$ZZ427,CALC!$H$1)&lt;&gt;"",INT(IF(AND(CALC!$F$1&gt;0,N(INDEX(BASELINE!$A427:$ZZ427,CALC!$F$1))&gt;0),N(INDEX(BASELINE!$A427:$ZZ427,CALC!$F$1)),N(INDEX(BASELINE!$A427:$ZZ427,CALC!$P$1))))=INT(SIMOPS!$D$3),IFERROR(UPPER(TRIM(INDEX(BASELINE!$A427:$ZZ427,CALC!$R$1)&amp;"")),"")&lt;&gt;"ENCERRADA"),1,0),0)</f>
        <v/>
      </c>
      <c r="B427">
        <f>B426+A427</f>
        <v/>
      </c>
    </row>
    <row r="428">
      <c r="A428">
        <f>IFERROR(IF(AND(INDEX(BASELINE!$A428:$ZZ428,CALC!$H$1)&lt;&gt;"",INT(IF(AND(CALC!$F$1&gt;0,N(INDEX(BASELINE!$A428:$ZZ428,CALC!$F$1))&gt;0),N(INDEX(BASELINE!$A428:$ZZ428,CALC!$F$1)),N(INDEX(BASELINE!$A428:$ZZ428,CALC!$P$1))))=INT(SIMOPS!$D$3),IFERROR(UPPER(TRIM(INDEX(BASELINE!$A428:$ZZ428,CALC!$R$1)&amp;"")),"")&lt;&gt;"ENCERRADA"),1,0),0)</f>
        <v/>
      </c>
      <c r="B428">
        <f>B427+A428</f>
        <v/>
      </c>
    </row>
    <row r="429">
      <c r="A429">
        <f>IFERROR(IF(AND(INDEX(BASELINE!$A429:$ZZ429,CALC!$H$1)&lt;&gt;"",INT(IF(AND(CALC!$F$1&gt;0,N(INDEX(BASELINE!$A429:$ZZ429,CALC!$F$1))&gt;0),N(INDEX(BASELINE!$A429:$ZZ429,CALC!$F$1)),N(INDEX(BASELINE!$A429:$ZZ429,CALC!$P$1))))=INT(SIMOPS!$D$3),IFERROR(UPPER(TRIM(INDEX(BASELINE!$A429:$ZZ429,CALC!$R$1)&amp;"")),"")&lt;&gt;"ENCERRADA"),1,0),0)</f>
        <v/>
      </c>
      <c r="B429">
        <f>B428+A429</f>
        <v/>
      </c>
    </row>
    <row r="430">
      <c r="A430">
        <f>IFERROR(IF(AND(INDEX(BASELINE!$A430:$ZZ430,CALC!$H$1)&lt;&gt;"",INT(IF(AND(CALC!$F$1&gt;0,N(INDEX(BASELINE!$A430:$ZZ430,CALC!$F$1))&gt;0),N(INDEX(BASELINE!$A430:$ZZ430,CALC!$F$1)),N(INDEX(BASELINE!$A430:$ZZ430,CALC!$P$1))))=INT(SIMOPS!$D$3),IFERROR(UPPER(TRIM(INDEX(BASELINE!$A430:$ZZ430,CALC!$R$1)&amp;"")),"")&lt;&gt;"ENCERRADA"),1,0),0)</f>
        <v/>
      </c>
      <c r="B430">
        <f>B429+A430</f>
        <v/>
      </c>
    </row>
    <row r="431">
      <c r="A431">
        <f>IFERROR(IF(AND(INDEX(BASELINE!$A431:$ZZ431,CALC!$H$1)&lt;&gt;"",INT(IF(AND(CALC!$F$1&gt;0,N(INDEX(BASELINE!$A431:$ZZ431,CALC!$F$1))&gt;0),N(INDEX(BASELINE!$A431:$ZZ431,CALC!$F$1)),N(INDEX(BASELINE!$A431:$ZZ431,CALC!$P$1))))=INT(SIMOPS!$D$3),IFERROR(UPPER(TRIM(INDEX(BASELINE!$A431:$ZZ431,CALC!$R$1)&amp;"")),"")&lt;&gt;"ENCERRADA"),1,0),0)</f>
        <v/>
      </c>
      <c r="B431">
        <f>B430+A431</f>
        <v/>
      </c>
    </row>
    <row r="432">
      <c r="A432">
        <f>IFERROR(IF(AND(INDEX(BASELINE!$A432:$ZZ432,CALC!$H$1)&lt;&gt;"",INT(IF(AND(CALC!$F$1&gt;0,N(INDEX(BASELINE!$A432:$ZZ432,CALC!$F$1))&gt;0),N(INDEX(BASELINE!$A432:$ZZ432,CALC!$F$1)),N(INDEX(BASELINE!$A432:$ZZ432,CALC!$P$1))))=INT(SIMOPS!$D$3),IFERROR(UPPER(TRIM(INDEX(BASELINE!$A432:$ZZ432,CALC!$R$1)&amp;"")),"")&lt;&gt;"ENCERRADA"),1,0),0)</f>
        <v/>
      </c>
      <c r="B432">
        <f>B431+A432</f>
        <v/>
      </c>
    </row>
    <row r="433">
      <c r="A433">
        <f>IFERROR(IF(AND(INDEX(BASELINE!$A433:$ZZ433,CALC!$H$1)&lt;&gt;"",INT(IF(AND(CALC!$F$1&gt;0,N(INDEX(BASELINE!$A433:$ZZ433,CALC!$F$1))&gt;0),N(INDEX(BASELINE!$A433:$ZZ433,CALC!$F$1)),N(INDEX(BASELINE!$A433:$ZZ433,CALC!$P$1))))=INT(SIMOPS!$D$3),IFERROR(UPPER(TRIM(INDEX(BASELINE!$A433:$ZZ433,CALC!$R$1)&amp;"")),"")&lt;&gt;"ENCERRADA"),1,0),0)</f>
        <v/>
      </c>
      <c r="B433">
        <f>B432+A433</f>
        <v/>
      </c>
    </row>
    <row r="434">
      <c r="A434">
        <f>IFERROR(IF(AND(INDEX(BASELINE!$A434:$ZZ434,CALC!$H$1)&lt;&gt;"",INT(IF(AND(CALC!$F$1&gt;0,N(INDEX(BASELINE!$A434:$ZZ434,CALC!$F$1))&gt;0),N(INDEX(BASELINE!$A434:$ZZ434,CALC!$F$1)),N(INDEX(BASELINE!$A434:$ZZ434,CALC!$P$1))))=INT(SIMOPS!$D$3),IFERROR(UPPER(TRIM(INDEX(BASELINE!$A434:$ZZ434,CALC!$R$1)&amp;"")),"")&lt;&gt;"ENCERRADA"),1,0),0)</f>
        <v/>
      </c>
      <c r="B434">
        <f>B433+A434</f>
        <v/>
      </c>
    </row>
    <row r="435">
      <c r="A435">
        <f>IFERROR(IF(AND(INDEX(BASELINE!$A435:$ZZ435,CALC!$H$1)&lt;&gt;"",INT(IF(AND(CALC!$F$1&gt;0,N(INDEX(BASELINE!$A435:$ZZ435,CALC!$F$1))&gt;0),N(INDEX(BASELINE!$A435:$ZZ435,CALC!$F$1)),N(INDEX(BASELINE!$A435:$ZZ435,CALC!$P$1))))=INT(SIMOPS!$D$3),IFERROR(UPPER(TRIM(INDEX(BASELINE!$A435:$ZZ435,CALC!$R$1)&amp;"")),"")&lt;&gt;"ENCERRADA"),1,0),0)</f>
        <v/>
      </c>
      <c r="B435">
        <f>B434+A435</f>
        <v/>
      </c>
    </row>
    <row r="436">
      <c r="A436">
        <f>IFERROR(IF(AND(INDEX(BASELINE!$A436:$ZZ436,CALC!$H$1)&lt;&gt;"",INT(IF(AND(CALC!$F$1&gt;0,N(INDEX(BASELINE!$A436:$ZZ436,CALC!$F$1))&gt;0),N(INDEX(BASELINE!$A436:$ZZ436,CALC!$F$1)),N(INDEX(BASELINE!$A436:$ZZ436,CALC!$P$1))))=INT(SIMOPS!$D$3),IFERROR(UPPER(TRIM(INDEX(BASELINE!$A436:$ZZ436,CALC!$R$1)&amp;"")),"")&lt;&gt;"ENCERRADA"),1,0),0)</f>
        <v/>
      </c>
      <c r="B436">
        <f>B435+A436</f>
        <v/>
      </c>
    </row>
    <row r="437">
      <c r="A437">
        <f>IFERROR(IF(AND(INDEX(BASELINE!$A437:$ZZ437,CALC!$H$1)&lt;&gt;"",INT(IF(AND(CALC!$F$1&gt;0,N(INDEX(BASELINE!$A437:$ZZ437,CALC!$F$1))&gt;0),N(INDEX(BASELINE!$A437:$ZZ437,CALC!$F$1)),N(INDEX(BASELINE!$A437:$ZZ437,CALC!$P$1))))=INT(SIMOPS!$D$3),IFERROR(UPPER(TRIM(INDEX(BASELINE!$A437:$ZZ437,CALC!$R$1)&amp;"")),"")&lt;&gt;"ENCERRADA"),1,0),0)</f>
        <v/>
      </c>
      <c r="B437">
        <f>B436+A437</f>
        <v/>
      </c>
    </row>
    <row r="438">
      <c r="A438">
        <f>IFERROR(IF(AND(INDEX(BASELINE!$A438:$ZZ438,CALC!$H$1)&lt;&gt;"",INT(IF(AND(CALC!$F$1&gt;0,N(INDEX(BASELINE!$A438:$ZZ438,CALC!$F$1))&gt;0),N(INDEX(BASELINE!$A438:$ZZ438,CALC!$F$1)),N(INDEX(BASELINE!$A438:$ZZ438,CALC!$P$1))))=INT(SIMOPS!$D$3),IFERROR(UPPER(TRIM(INDEX(BASELINE!$A438:$ZZ438,CALC!$R$1)&amp;"")),"")&lt;&gt;"ENCERRADA"),1,0),0)</f>
        <v/>
      </c>
      <c r="B438">
        <f>B437+A438</f>
        <v/>
      </c>
    </row>
    <row r="439">
      <c r="A439">
        <f>IFERROR(IF(AND(INDEX(BASELINE!$A439:$ZZ439,CALC!$H$1)&lt;&gt;"",INT(IF(AND(CALC!$F$1&gt;0,N(INDEX(BASELINE!$A439:$ZZ439,CALC!$F$1))&gt;0),N(INDEX(BASELINE!$A439:$ZZ439,CALC!$F$1)),N(INDEX(BASELINE!$A439:$ZZ439,CALC!$P$1))))=INT(SIMOPS!$D$3),IFERROR(UPPER(TRIM(INDEX(BASELINE!$A439:$ZZ439,CALC!$R$1)&amp;"")),"")&lt;&gt;"ENCERRADA"),1,0),0)</f>
        <v/>
      </c>
      <c r="B439">
        <f>B438+A439</f>
        <v/>
      </c>
    </row>
    <row r="440">
      <c r="A440">
        <f>IFERROR(IF(AND(INDEX(BASELINE!$A440:$ZZ440,CALC!$H$1)&lt;&gt;"",INT(IF(AND(CALC!$F$1&gt;0,N(INDEX(BASELINE!$A440:$ZZ440,CALC!$F$1))&gt;0),N(INDEX(BASELINE!$A440:$ZZ440,CALC!$F$1)),N(INDEX(BASELINE!$A440:$ZZ440,CALC!$P$1))))=INT(SIMOPS!$D$3),IFERROR(UPPER(TRIM(INDEX(BASELINE!$A440:$ZZ440,CALC!$R$1)&amp;"")),"")&lt;&gt;"ENCERRADA"),1,0),0)</f>
        <v/>
      </c>
      <c r="B440">
        <f>B439+A440</f>
        <v/>
      </c>
    </row>
    <row r="441">
      <c r="A441">
        <f>IFERROR(IF(AND(INDEX(BASELINE!$A441:$ZZ441,CALC!$H$1)&lt;&gt;"",INT(IF(AND(CALC!$F$1&gt;0,N(INDEX(BASELINE!$A441:$ZZ441,CALC!$F$1))&gt;0),N(INDEX(BASELINE!$A441:$ZZ441,CALC!$F$1)),N(INDEX(BASELINE!$A441:$ZZ441,CALC!$P$1))))=INT(SIMOPS!$D$3),IFERROR(UPPER(TRIM(INDEX(BASELINE!$A441:$ZZ441,CALC!$R$1)&amp;"")),"")&lt;&gt;"ENCERRADA"),1,0),0)</f>
        <v/>
      </c>
      <c r="B441">
        <f>B440+A441</f>
        <v/>
      </c>
    </row>
    <row r="442">
      <c r="A442">
        <f>IFERROR(IF(AND(INDEX(BASELINE!$A442:$ZZ442,CALC!$H$1)&lt;&gt;"",INT(IF(AND(CALC!$F$1&gt;0,N(INDEX(BASELINE!$A442:$ZZ442,CALC!$F$1))&gt;0),N(INDEX(BASELINE!$A442:$ZZ442,CALC!$F$1)),N(INDEX(BASELINE!$A442:$ZZ442,CALC!$P$1))))=INT(SIMOPS!$D$3),IFERROR(UPPER(TRIM(INDEX(BASELINE!$A442:$ZZ442,CALC!$R$1)&amp;"")),"")&lt;&gt;"ENCERRADA"),1,0),0)</f>
        <v/>
      </c>
      <c r="B442">
        <f>B441+A442</f>
        <v/>
      </c>
    </row>
    <row r="443">
      <c r="A443">
        <f>IFERROR(IF(AND(INDEX(BASELINE!$A443:$ZZ443,CALC!$H$1)&lt;&gt;"",INT(IF(AND(CALC!$F$1&gt;0,N(INDEX(BASELINE!$A443:$ZZ443,CALC!$F$1))&gt;0),N(INDEX(BASELINE!$A443:$ZZ443,CALC!$F$1)),N(INDEX(BASELINE!$A443:$ZZ443,CALC!$P$1))))=INT(SIMOPS!$D$3),IFERROR(UPPER(TRIM(INDEX(BASELINE!$A443:$ZZ443,CALC!$R$1)&amp;"")),"")&lt;&gt;"ENCERRADA"),1,0),0)</f>
        <v/>
      </c>
      <c r="B443">
        <f>B442+A443</f>
        <v/>
      </c>
    </row>
    <row r="444">
      <c r="A444">
        <f>IFERROR(IF(AND(INDEX(BASELINE!$A444:$ZZ444,CALC!$H$1)&lt;&gt;"",INT(IF(AND(CALC!$F$1&gt;0,N(INDEX(BASELINE!$A444:$ZZ444,CALC!$F$1))&gt;0),N(INDEX(BASELINE!$A444:$ZZ444,CALC!$F$1)),N(INDEX(BASELINE!$A444:$ZZ444,CALC!$P$1))))=INT(SIMOPS!$D$3),IFERROR(UPPER(TRIM(INDEX(BASELINE!$A444:$ZZ444,CALC!$R$1)&amp;"")),"")&lt;&gt;"ENCERRADA"),1,0),0)</f>
        <v/>
      </c>
      <c r="B444">
        <f>B443+A444</f>
        <v/>
      </c>
    </row>
    <row r="445">
      <c r="A445">
        <f>IFERROR(IF(AND(INDEX(BASELINE!$A445:$ZZ445,CALC!$H$1)&lt;&gt;"",INT(IF(AND(CALC!$F$1&gt;0,N(INDEX(BASELINE!$A445:$ZZ445,CALC!$F$1))&gt;0),N(INDEX(BASELINE!$A445:$ZZ445,CALC!$F$1)),N(INDEX(BASELINE!$A445:$ZZ445,CALC!$P$1))))=INT(SIMOPS!$D$3),IFERROR(UPPER(TRIM(INDEX(BASELINE!$A445:$ZZ445,CALC!$R$1)&amp;"")),"")&lt;&gt;"ENCERRADA"),1,0),0)</f>
        <v/>
      </c>
      <c r="B445">
        <f>B444+A445</f>
        <v/>
      </c>
    </row>
    <row r="446">
      <c r="A446">
        <f>IFERROR(IF(AND(INDEX(BASELINE!$A446:$ZZ446,CALC!$H$1)&lt;&gt;"",INT(IF(AND(CALC!$F$1&gt;0,N(INDEX(BASELINE!$A446:$ZZ446,CALC!$F$1))&gt;0),N(INDEX(BASELINE!$A446:$ZZ446,CALC!$F$1)),N(INDEX(BASELINE!$A446:$ZZ446,CALC!$P$1))))=INT(SIMOPS!$D$3),IFERROR(UPPER(TRIM(INDEX(BASELINE!$A446:$ZZ446,CALC!$R$1)&amp;"")),"")&lt;&gt;"ENCERRADA"),1,0),0)</f>
        <v/>
      </c>
      <c r="B446">
        <f>B445+A446</f>
        <v/>
      </c>
    </row>
    <row r="447">
      <c r="A447">
        <f>IFERROR(IF(AND(INDEX(BASELINE!$A447:$ZZ447,CALC!$H$1)&lt;&gt;"",INT(IF(AND(CALC!$F$1&gt;0,N(INDEX(BASELINE!$A447:$ZZ447,CALC!$F$1))&gt;0),N(INDEX(BASELINE!$A447:$ZZ447,CALC!$F$1)),N(INDEX(BASELINE!$A447:$ZZ447,CALC!$P$1))))=INT(SIMOPS!$D$3),IFERROR(UPPER(TRIM(INDEX(BASELINE!$A447:$ZZ447,CALC!$R$1)&amp;"")),"")&lt;&gt;"ENCERRADA"),1,0),0)</f>
        <v/>
      </c>
      <c r="B447">
        <f>B446+A447</f>
        <v/>
      </c>
    </row>
    <row r="448">
      <c r="A448">
        <f>IFERROR(IF(AND(INDEX(BASELINE!$A448:$ZZ448,CALC!$H$1)&lt;&gt;"",INT(IF(AND(CALC!$F$1&gt;0,N(INDEX(BASELINE!$A448:$ZZ448,CALC!$F$1))&gt;0),N(INDEX(BASELINE!$A448:$ZZ448,CALC!$F$1)),N(INDEX(BASELINE!$A448:$ZZ448,CALC!$P$1))))=INT(SIMOPS!$D$3),IFERROR(UPPER(TRIM(INDEX(BASELINE!$A448:$ZZ448,CALC!$R$1)&amp;"")),"")&lt;&gt;"ENCERRADA"),1,0),0)</f>
        <v/>
      </c>
      <c r="B448">
        <f>B447+A448</f>
        <v/>
      </c>
    </row>
    <row r="449">
      <c r="A449">
        <f>IFERROR(IF(AND(INDEX(BASELINE!$A449:$ZZ449,CALC!$H$1)&lt;&gt;"",INT(IF(AND(CALC!$F$1&gt;0,N(INDEX(BASELINE!$A449:$ZZ449,CALC!$F$1))&gt;0),N(INDEX(BASELINE!$A449:$ZZ449,CALC!$F$1)),N(INDEX(BASELINE!$A449:$ZZ449,CALC!$P$1))))=INT(SIMOPS!$D$3),IFERROR(UPPER(TRIM(INDEX(BASELINE!$A449:$ZZ449,CALC!$R$1)&amp;"")),"")&lt;&gt;"ENCERRADA"),1,0),0)</f>
        <v/>
      </c>
      <c r="B449">
        <f>B448+A449</f>
        <v/>
      </c>
    </row>
    <row r="450">
      <c r="A450">
        <f>IFERROR(IF(AND(INDEX(BASELINE!$A450:$ZZ450,CALC!$H$1)&lt;&gt;"",INT(IF(AND(CALC!$F$1&gt;0,N(INDEX(BASELINE!$A450:$ZZ450,CALC!$F$1))&gt;0),N(INDEX(BASELINE!$A450:$ZZ450,CALC!$F$1)),N(INDEX(BASELINE!$A450:$ZZ450,CALC!$P$1))))=INT(SIMOPS!$D$3),IFERROR(UPPER(TRIM(INDEX(BASELINE!$A450:$ZZ450,CALC!$R$1)&amp;"")),"")&lt;&gt;"ENCERRADA"),1,0),0)</f>
        <v/>
      </c>
      <c r="B450">
        <f>B449+A450</f>
        <v/>
      </c>
    </row>
    <row r="451">
      <c r="A451">
        <f>IFERROR(IF(AND(INDEX(BASELINE!$A451:$ZZ451,CALC!$H$1)&lt;&gt;"",INT(IF(AND(CALC!$F$1&gt;0,N(INDEX(BASELINE!$A451:$ZZ451,CALC!$F$1))&gt;0),N(INDEX(BASELINE!$A451:$ZZ451,CALC!$F$1)),N(INDEX(BASELINE!$A451:$ZZ451,CALC!$P$1))))=INT(SIMOPS!$D$3),IFERROR(UPPER(TRIM(INDEX(BASELINE!$A451:$ZZ451,CALC!$R$1)&amp;"")),"")&lt;&gt;"ENCERRADA"),1,0),0)</f>
        <v/>
      </c>
      <c r="B451">
        <f>B450+A451</f>
        <v/>
      </c>
    </row>
    <row r="452">
      <c r="A452">
        <f>IFERROR(IF(AND(INDEX(BASELINE!$A452:$ZZ452,CALC!$H$1)&lt;&gt;"",INT(IF(AND(CALC!$F$1&gt;0,N(INDEX(BASELINE!$A452:$ZZ452,CALC!$F$1))&gt;0),N(INDEX(BASELINE!$A452:$ZZ452,CALC!$F$1)),N(INDEX(BASELINE!$A452:$ZZ452,CALC!$P$1))))=INT(SIMOPS!$D$3),IFERROR(UPPER(TRIM(INDEX(BASELINE!$A452:$ZZ452,CALC!$R$1)&amp;"")),"")&lt;&gt;"ENCERRADA"),1,0),0)</f>
        <v/>
      </c>
      <c r="B452">
        <f>B451+A452</f>
        <v/>
      </c>
    </row>
    <row r="453">
      <c r="A453">
        <f>IFERROR(IF(AND(INDEX(BASELINE!$A453:$ZZ453,CALC!$H$1)&lt;&gt;"",INT(IF(AND(CALC!$F$1&gt;0,N(INDEX(BASELINE!$A453:$ZZ453,CALC!$F$1))&gt;0),N(INDEX(BASELINE!$A453:$ZZ453,CALC!$F$1)),N(INDEX(BASELINE!$A453:$ZZ453,CALC!$P$1))))=INT(SIMOPS!$D$3),IFERROR(UPPER(TRIM(INDEX(BASELINE!$A453:$ZZ453,CALC!$R$1)&amp;"")),"")&lt;&gt;"ENCERRADA"),1,0),0)</f>
        <v/>
      </c>
      <c r="B453">
        <f>B452+A453</f>
        <v/>
      </c>
    </row>
    <row r="454">
      <c r="A454">
        <f>IFERROR(IF(AND(INDEX(BASELINE!$A454:$ZZ454,CALC!$H$1)&lt;&gt;"",INT(IF(AND(CALC!$F$1&gt;0,N(INDEX(BASELINE!$A454:$ZZ454,CALC!$F$1))&gt;0),N(INDEX(BASELINE!$A454:$ZZ454,CALC!$F$1)),N(INDEX(BASELINE!$A454:$ZZ454,CALC!$P$1))))=INT(SIMOPS!$D$3),IFERROR(UPPER(TRIM(INDEX(BASELINE!$A454:$ZZ454,CALC!$R$1)&amp;"")),"")&lt;&gt;"ENCERRADA"),1,0),0)</f>
        <v/>
      </c>
      <c r="B454">
        <f>B453+A454</f>
        <v/>
      </c>
    </row>
    <row r="455">
      <c r="A455">
        <f>IFERROR(IF(AND(INDEX(BASELINE!$A455:$ZZ455,CALC!$H$1)&lt;&gt;"",INT(IF(AND(CALC!$F$1&gt;0,N(INDEX(BASELINE!$A455:$ZZ455,CALC!$F$1))&gt;0),N(INDEX(BASELINE!$A455:$ZZ455,CALC!$F$1)),N(INDEX(BASELINE!$A455:$ZZ455,CALC!$P$1))))=INT(SIMOPS!$D$3),IFERROR(UPPER(TRIM(INDEX(BASELINE!$A455:$ZZ455,CALC!$R$1)&amp;"")),"")&lt;&gt;"ENCERRADA"),1,0),0)</f>
        <v/>
      </c>
      <c r="B455">
        <f>B454+A455</f>
        <v/>
      </c>
    </row>
    <row r="456">
      <c r="A456">
        <f>IFERROR(IF(AND(INDEX(BASELINE!$A456:$ZZ456,CALC!$H$1)&lt;&gt;"",INT(IF(AND(CALC!$F$1&gt;0,N(INDEX(BASELINE!$A456:$ZZ456,CALC!$F$1))&gt;0),N(INDEX(BASELINE!$A456:$ZZ456,CALC!$F$1)),N(INDEX(BASELINE!$A456:$ZZ456,CALC!$P$1))))=INT(SIMOPS!$D$3),IFERROR(UPPER(TRIM(INDEX(BASELINE!$A456:$ZZ456,CALC!$R$1)&amp;"")),"")&lt;&gt;"ENCERRADA"),1,0),0)</f>
        <v/>
      </c>
      <c r="B456">
        <f>B455+A456</f>
        <v/>
      </c>
    </row>
    <row r="457">
      <c r="A457">
        <f>IFERROR(IF(AND(INDEX(BASELINE!$A457:$ZZ457,CALC!$H$1)&lt;&gt;"",INT(IF(AND(CALC!$F$1&gt;0,N(INDEX(BASELINE!$A457:$ZZ457,CALC!$F$1))&gt;0),N(INDEX(BASELINE!$A457:$ZZ457,CALC!$F$1)),N(INDEX(BASELINE!$A457:$ZZ457,CALC!$P$1))))=INT(SIMOPS!$D$3),IFERROR(UPPER(TRIM(INDEX(BASELINE!$A457:$ZZ457,CALC!$R$1)&amp;"")),"")&lt;&gt;"ENCERRADA"),1,0),0)</f>
        <v/>
      </c>
      <c r="B457">
        <f>B456+A457</f>
        <v/>
      </c>
    </row>
    <row r="458">
      <c r="A458">
        <f>IFERROR(IF(AND(INDEX(BASELINE!$A458:$ZZ458,CALC!$H$1)&lt;&gt;"",INT(IF(AND(CALC!$F$1&gt;0,N(INDEX(BASELINE!$A458:$ZZ458,CALC!$F$1))&gt;0),N(INDEX(BASELINE!$A458:$ZZ458,CALC!$F$1)),N(INDEX(BASELINE!$A458:$ZZ458,CALC!$P$1))))=INT(SIMOPS!$D$3),IFERROR(UPPER(TRIM(INDEX(BASELINE!$A458:$ZZ458,CALC!$R$1)&amp;"")),"")&lt;&gt;"ENCERRADA"),1,0),0)</f>
        <v/>
      </c>
      <c r="B458">
        <f>B457+A458</f>
        <v/>
      </c>
    </row>
    <row r="459">
      <c r="A459">
        <f>IFERROR(IF(AND(INDEX(BASELINE!$A459:$ZZ459,CALC!$H$1)&lt;&gt;"",INT(IF(AND(CALC!$F$1&gt;0,N(INDEX(BASELINE!$A459:$ZZ459,CALC!$F$1))&gt;0),N(INDEX(BASELINE!$A459:$ZZ459,CALC!$F$1)),N(INDEX(BASELINE!$A459:$ZZ459,CALC!$P$1))))=INT(SIMOPS!$D$3),IFERROR(UPPER(TRIM(INDEX(BASELINE!$A459:$ZZ459,CALC!$R$1)&amp;"")),"")&lt;&gt;"ENCERRADA"),1,0),0)</f>
        <v/>
      </c>
      <c r="B459">
        <f>B458+A459</f>
        <v/>
      </c>
    </row>
    <row r="460">
      <c r="A460">
        <f>IFERROR(IF(AND(INDEX(BASELINE!$A460:$ZZ460,CALC!$H$1)&lt;&gt;"",INT(IF(AND(CALC!$F$1&gt;0,N(INDEX(BASELINE!$A460:$ZZ460,CALC!$F$1))&gt;0),N(INDEX(BASELINE!$A460:$ZZ460,CALC!$F$1)),N(INDEX(BASELINE!$A460:$ZZ460,CALC!$P$1))))=INT(SIMOPS!$D$3),IFERROR(UPPER(TRIM(INDEX(BASELINE!$A460:$ZZ460,CALC!$R$1)&amp;"")),"")&lt;&gt;"ENCERRADA"),1,0),0)</f>
        <v/>
      </c>
      <c r="B460">
        <f>B459+A460</f>
        <v/>
      </c>
    </row>
    <row r="461">
      <c r="A461">
        <f>IFERROR(IF(AND(INDEX(BASELINE!$A461:$ZZ461,CALC!$H$1)&lt;&gt;"",INT(IF(AND(CALC!$F$1&gt;0,N(INDEX(BASELINE!$A461:$ZZ461,CALC!$F$1))&gt;0),N(INDEX(BASELINE!$A461:$ZZ461,CALC!$F$1)),N(INDEX(BASELINE!$A461:$ZZ461,CALC!$P$1))))=INT(SIMOPS!$D$3),IFERROR(UPPER(TRIM(INDEX(BASELINE!$A461:$ZZ461,CALC!$R$1)&amp;"")),"")&lt;&gt;"ENCERRADA"),1,0),0)</f>
        <v/>
      </c>
      <c r="B461">
        <f>B460+A461</f>
        <v/>
      </c>
    </row>
    <row r="462">
      <c r="A462">
        <f>IFERROR(IF(AND(INDEX(BASELINE!$A462:$ZZ462,CALC!$H$1)&lt;&gt;"",INT(IF(AND(CALC!$F$1&gt;0,N(INDEX(BASELINE!$A462:$ZZ462,CALC!$F$1))&gt;0),N(INDEX(BASELINE!$A462:$ZZ462,CALC!$F$1)),N(INDEX(BASELINE!$A462:$ZZ462,CALC!$P$1))))=INT(SIMOPS!$D$3),IFERROR(UPPER(TRIM(INDEX(BASELINE!$A462:$ZZ462,CALC!$R$1)&amp;"")),"")&lt;&gt;"ENCERRADA"),1,0),0)</f>
        <v/>
      </c>
      <c r="B462">
        <f>B461+A462</f>
        <v/>
      </c>
    </row>
    <row r="463">
      <c r="A463">
        <f>IFERROR(IF(AND(INDEX(BASELINE!$A463:$ZZ463,CALC!$H$1)&lt;&gt;"",INT(IF(AND(CALC!$F$1&gt;0,N(INDEX(BASELINE!$A463:$ZZ463,CALC!$F$1))&gt;0),N(INDEX(BASELINE!$A463:$ZZ463,CALC!$F$1)),N(INDEX(BASELINE!$A463:$ZZ463,CALC!$P$1))))=INT(SIMOPS!$D$3),IFERROR(UPPER(TRIM(INDEX(BASELINE!$A463:$ZZ463,CALC!$R$1)&amp;"")),"")&lt;&gt;"ENCERRADA"),1,0),0)</f>
        <v/>
      </c>
      <c r="B463">
        <f>B462+A463</f>
        <v/>
      </c>
    </row>
    <row r="464">
      <c r="A464">
        <f>IFERROR(IF(AND(INDEX(BASELINE!$A464:$ZZ464,CALC!$H$1)&lt;&gt;"",INT(IF(AND(CALC!$F$1&gt;0,N(INDEX(BASELINE!$A464:$ZZ464,CALC!$F$1))&gt;0),N(INDEX(BASELINE!$A464:$ZZ464,CALC!$F$1)),N(INDEX(BASELINE!$A464:$ZZ464,CALC!$P$1))))=INT(SIMOPS!$D$3),IFERROR(UPPER(TRIM(INDEX(BASELINE!$A464:$ZZ464,CALC!$R$1)&amp;"")),"")&lt;&gt;"ENCERRADA"),1,0),0)</f>
        <v/>
      </c>
      <c r="B464">
        <f>B463+A464</f>
        <v/>
      </c>
    </row>
    <row r="465">
      <c r="A465">
        <f>IFERROR(IF(AND(INDEX(BASELINE!$A465:$ZZ465,CALC!$H$1)&lt;&gt;"",INT(IF(AND(CALC!$F$1&gt;0,N(INDEX(BASELINE!$A465:$ZZ465,CALC!$F$1))&gt;0),N(INDEX(BASELINE!$A465:$ZZ465,CALC!$F$1)),N(INDEX(BASELINE!$A465:$ZZ465,CALC!$P$1))))=INT(SIMOPS!$D$3),IFERROR(UPPER(TRIM(INDEX(BASELINE!$A465:$ZZ465,CALC!$R$1)&amp;"")),"")&lt;&gt;"ENCERRADA"),1,0),0)</f>
        <v/>
      </c>
      <c r="B465">
        <f>B464+A465</f>
        <v/>
      </c>
    </row>
    <row r="466">
      <c r="A466">
        <f>IFERROR(IF(AND(INDEX(BASELINE!$A466:$ZZ466,CALC!$H$1)&lt;&gt;"",INT(IF(AND(CALC!$F$1&gt;0,N(INDEX(BASELINE!$A466:$ZZ466,CALC!$F$1))&gt;0),N(INDEX(BASELINE!$A466:$ZZ466,CALC!$F$1)),N(INDEX(BASELINE!$A466:$ZZ466,CALC!$P$1))))=INT(SIMOPS!$D$3),IFERROR(UPPER(TRIM(INDEX(BASELINE!$A466:$ZZ466,CALC!$R$1)&amp;"")),"")&lt;&gt;"ENCERRADA"),1,0),0)</f>
        <v/>
      </c>
      <c r="B466">
        <f>B465+A466</f>
        <v/>
      </c>
    </row>
    <row r="467">
      <c r="A467">
        <f>IFERROR(IF(AND(INDEX(BASELINE!$A467:$ZZ467,CALC!$H$1)&lt;&gt;"",INT(IF(AND(CALC!$F$1&gt;0,N(INDEX(BASELINE!$A467:$ZZ467,CALC!$F$1))&gt;0),N(INDEX(BASELINE!$A467:$ZZ467,CALC!$F$1)),N(INDEX(BASELINE!$A467:$ZZ467,CALC!$P$1))))=INT(SIMOPS!$D$3),IFERROR(UPPER(TRIM(INDEX(BASELINE!$A467:$ZZ467,CALC!$R$1)&amp;"")),"")&lt;&gt;"ENCERRADA"),1,0),0)</f>
        <v/>
      </c>
      <c r="B467">
        <f>B466+A467</f>
        <v/>
      </c>
    </row>
    <row r="468">
      <c r="A468">
        <f>IFERROR(IF(AND(INDEX(BASELINE!$A468:$ZZ468,CALC!$H$1)&lt;&gt;"",INT(IF(AND(CALC!$F$1&gt;0,N(INDEX(BASELINE!$A468:$ZZ468,CALC!$F$1))&gt;0),N(INDEX(BASELINE!$A468:$ZZ468,CALC!$F$1)),N(INDEX(BASELINE!$A468:$ZZ468,CALC!$P$1))))=INT(SIMOPS!$D$3),IFERROR(UPPER(TRIM(INDEX(BASELINE!$A468:$ZZ468,CALC!$R$1)&amp;"")),"")&lt;&gt;"ENCERRADA"),1,0),0)</f>
        <v/>
      </c>
      <c r="B468">
        <f>B467+A468</f>
        <v/>
      </c>
    </row>
    <row r="469">
      <c r="A469">
        <f>IFERROR(IF(AND(INDEX(BASELINE!$A469:$ZZ469,CALC!$H$1)&lt;&gt;"",INT(IF(AND(CALC!$F$1&gt;0,N(INDEX(BASELINE!$A469:$ZZ469,CALC!$F$1))&gt;0),N(INDEX(BASELINE!$A469:$ZZ469,CALC!$F$1)),N(INDEX(BASELINE!$A469:$ZZ469,CALC!$P$1))))=INT(SIMOPS!$D$3),IFERROR(UPPER(TRIM(INDEX(BASELINE!$A469:$ZZ469,CALC!$R$1)&amp;"")),"")&lt;&gt;"ENCERRADA"),1,0),0)</f>
        <v/>
      </c>
      <c r="B469">
        <f>B468+A469</f>
        <v/>
      </c>
    </row>
    <row r="470">
      <c r="A470">
        <f>IFERROR(IF(AND(INDEX(BASELINE!$A470:$ZZ470,CALC!$H$1)&lt;&gt;"",INT(IF(AND(CALC!$F$1&gt;0,N(INDEX(BASELINE!$A470:$ZZ470,CALC!$F$1))&gt;0),N(INDEX(BASELINE!$A470:$ZZ470,CALC!$F$1)),N(INDEX(BASELINE!$A470:$ZZ470,CALC!$P$1))))=INT(SIMOPS!$D$3),IFERROR(UPPER(TRIM(INDEX(BASELINE!$A470:$ZZ470,CALC!$R$1)&amp;"")),"")&lt;&gt;"ENCERRADA"),1,0),0)</f>
        <v/>
      </c>
      <c r="B470">
        <f>B469+A470</f>
        <v/>
      </c>
    </row>
    <row r="471">
      <c r="A471">
        <f>IFERROR(IF(AND(INDEX(BASELINE!$A471:$ZZ471,CALC!$H$1)&lt;&gt;"",INT(IF(AND(CALC!$F$1&gt;0,N(INDEX(BASELINE!$A471:$ZZ471,CALC!$F$1))&gt;0),N(INDEX(BASELINE!$A471:$ZZ471,CALC!$F$1)),N(INDEX(BASELINE!$A471:$ZZ471,CALC!$P$1))))=INT(SIMOPS!$D$3),IFERROR(UPPER(TRIM(INDEX(BASELINE!$A471:$ZZ471,CALC!$R$1)&amp;"")),"")&lt;&gt;"ENCERRADA"),1,0),0)</f>
        <v/>
      </c>
      <c r="B471">
        <f>B470+A471</f>
        <v/>
      </c>
    </row>
    <row r="472">
      <c r="A472">
        <f>IFERROR(IF(AND(INDEX(BASELINE!$A472:$ZZ472,CALC!$H$1)&lt;&gt;"",INT(IF(AND(CALC!$F$1&gt;0,N(INDEX(BASELINE!$A472:$ZZ472,CALC!$F$1))&gt;0),N(INDEX(BASELINE!$A472:$ZZ472,CALC!$F$1)),N(INDEX(BASELINE!$A472:$ZZ472,CALC!$P$1))))=INT(SIMOPS!$D$3),IFERROR(UPPER(TRIM(INDEX(BASELINE!$A472:$ZZ472,CALC!$R$1)&amp;"")),"")&lt;&gt;"ENCERRADA"),1,0),0)</f>
        <v/>
      </c>
      <c r="B472">
        <f>B471+A472</f>
        <v/>
      </c>
    </row>
    <row r="473">
      <c r="A473">
        <f>IFERROR(IF(AND(INDEX(BASELINE!$A473:$ZZ473,CALC!$H$1)&lt;&gt;"",INT(IF(AND(CALC!$F$1&gt;0,N(INDEX(BASELINE!$A473:$ZZ473,CALC!$F$1))&gt;0),N(INDEX(BASELINE!$A473:$ZZ473,CALC!$F$1)),N(INDEX(BASELINE!$A473:$ZZ473,CALC!$P$1))))=INT(SIMOPS!$D$3),IFERROR(UPPER(TRIM(INDEX(BASELINE!$A473:$ZZ473,CALC!$R$1)&amp;"")),"")&lt;&gt;"ENCERRADA"),1,0),0)</f>
        <v/>
      </c>
      <c r="B473">
        <f>B472+A473</f>
        <v/>
      </c>
    </row>
    <row r="474">
      <c r="A474">
        <f>IFERROR(IF(AND(INDEX(BASELINE!$A474:$ZZ474,CALC!$H$1)&lt;&gt;"",INT(IF(AND(CALC!$F$1&gt;0,N(INDEX(BASELINE!$A474:$ZZ474,CALC!$F$1))&gt;0),N(INDEX(BASELINE!$A474:$ZZ474,CALC!$F$1)),N(INDEX(BASELINE!$A474:$ZZ474,CALC!$P$1))))=INT(SIMOPS!$D$3),IFERROR(UPPER(TRIM(INDEX(BASELINE!$A474:$ZZ474,CALC!$R$1)&amp;"")),"")&lt;&gt;"ENCERRADA"),1,0),0)</f>
        <v/>
      </c>
      <c r="B474">
        <f>B473+A474</f>
        <v/>
      </c>
    </row>
    <row r="475">
      <c r="A475">
        <f>IFERROR(IF(AND(INDEX(BASELINE!$A475:$ZZ475,CALC!$H$1)&lt;&gt;"",INT(IF(AND(CALC!$F$1&gt;0,N(INDEX(BASELINE!$A475:$ZZ475,CALC!$F$1))&gt;0),N(INDEX(BASELINE!$A475:$ZZ475,CALC!$F$1)),N(INDEX(BASELINE!$A475:$ZZ475,CALC!$P$1))))=INT(SIMOPS!$D$3),IFERROR(UPPER(TRIM(INDEX(BASELINE!$A475:$ZZ475,CALC!$R$1)&amp;"")),"")&lt;&gt;"ENCERRADA"),1,0),0)</f>
        <v/>
      </c>
      <c r="B475">
        <f>B474+A475</f>
        <v/>
      </c>
    </row>
    <row r="476">
      <c r="A476">
        <f>IFERROR(IF(AND(INDEX(BASELINE!$A476:$ZZ476,CALC!$H$1)&lt;&gt;"",INT(IF(AND(CALC!$F$1&gt;0,N(INDEX(BASELINE!$A476:$ZZ476,CALC!$F$1))&gt;0),N(INDEX(BASELINE!$A476:$ZZ476,CALC!$F$1)),N(INDEX(BASELINE!$A476:$ZZ476,CALC!$P$1))))=INT(SIMOPS!$D$3),IFERROR(UPPER(TRIM(INDEX(BASELINE!$A476:$ZZ476,CALC!$R$1)&amp;"")),"")&lt;&gt;"ENCERRADA"),1,0),0)</f>
        <v/>
      </c>
      <c r="B476">
        <f>B475+A476</f>
        <v/>
      </c>
    </row>
    <row r="477">
      <c r="A477">
        <f>IFERROR(IF(AND(INDEX(BASELINE!$A477:$ZZ477,CALC!$H$1)&lt;&gt;"",INT(IF(AND(CALC!$F$1&gt;0,N(INDEX(BASELINE!$A477:$ZZ477,CALC!$F$1))&gt;0),N(INDEX(BASELINE!$A477:$ZZ477,CALC!$F$1)),N(INDEX(BASELINE!$A477:$ZZ477,CALC!$P$1))))=INT(SIMOPS!$D$3),IFERROR(UPPER(TRIM(INDEX(BASELINE!$A477:$ZZ477,CALC!$R$1)&amp;"")),"")&lt;&gt;"ENCERRADA"),1,0),0)</f>
        <v/>
      </c>
      <c r="B477">
        <f>B476+A477</f>
        <v/>
      </c>
    </row>
    <row r="478">
      <c r="A478">
        <f>IFERROR(IF(AND(INDEX(BASELINE!$A478:$ZZ478,CALC!$H$1)&lt;&gt;"",INT(IF(AND(CALC!$F$1&gt;0,N(INDEX(BASELINE!$A478:$ZZ478,CALC!$F$1))&gt;0),N(INDEX(BASELINE!$A478:$ZZ478,CALC!$F$1)),N(INDEX(BASELINE!$A478:$ZZ478,CALC!$P$1))))=INT(SIMOPS!$D$3),IFERROR(UPPER(TRIM(INDEX(BASELINE!$A478:$ZZ478,CALC!$R$1)&amp;"")),"")&lt;&gt;"ENCERRADA"),1,0),0)</f>
        <v/>
      </c>
      <c r="B478">
        <f>B477+A478</f>
        <v/>
      </c>
    </row>
    <row r="479">
      <c r="A479">
        <f>IFERROR(IF(AND(INDEX(BASELINE!$A479:$ZZ479,CALC!$H$1)&lt;&gt;"",INT(IF(AND(CALC!$F$1&gt;0,N(INDEX(BASELINE!$A479:$ZZ479,CALC!$F$1))&gt;0),N(INDEX(BASELINE!$A479:$ZZ479,CALC!$F$1)),N(INDEX(BASELINE!$A479:$ZZ479,CALC!$P$1))))=INT(SIMOPS!$D$3),IFERROR(UPPER(TRIM(INDEX(BASELINE!$A479:$ZZ479,CALC!$R$1)&amp;"")),"")&lt;&gt;"ENCERRADA"),1,0),0)</f>
        <v/>
      </c>
      <c r="B479">
        <f>B478+A479</f>
        <v/>
      </c>
    </row>
    <row r="480">
      <c r="A480">
        <f>IFERROR(IF(AND(INDEX(BASELINE!$A480:$ZZ480,CALC!$H$1)&lt;&gt;"",INT(IF(AND(CALC!$F$1&gt;0,N(INDEX(BASELINE!$A480:$ZZ480,CALC!$F$1))&gt;0),N(INDEX(BASELINE!$A480:$ZZ480,CALC!$F$1)),N(INDEX(BASELINE!$A480:$ZZ480,CALC!$P$1))))=INT(SIMOPS!$D$3),IFERROR(UPPER(TRIM(INDEX(BASELINE!$A480:$ZZ480,CALC!$R$1)&amp;"")),"")&lt;&gt;"ENCERRADA"),1,0),0)</f>
        <v/>
      </c>
      <c r="B480">
        <f>B479+A480</f>
        <v/>
      </c>
    </row>
    <row r="481">
      <c r="A481">
        <f>IFERROR(IF(AND(INDEX(BASELINE!$A481:$ZZ481,CALC!$H$1)&lt;&gt;"",INT(IF(AND(CALC!$F$1&gt;0,N(INDEX(BASELINE!$A481:$ZZ481,CALC!$F$1))&gt;0),N(INDEX(BASELINE!$A481:$ZZ481,CALC!$F$1)),N(INDEX(BASELINE!$A481:$ZZ481,CALC!$P$1))))=INT(SIMOPS!$D$3),IFERROR(UPPER(TRIM(INDEX(BASELINE!$A481:$ZZ481,CALC!$R$1)&amp;"")),"")&lt;&gt;"ENCERRADA"),1,0),0)</f>
        <v/>
      </c>
      <c r="B481">
        <f>B480+A481</f>
        <v/>
      </c>
    </row>
    <row r="482">
      <c r="A482">
        <f>IFERROR(IF(AND(INDEX(BASELINE!$A482:$ZZ482,CALC!$H$1)&lt;&gt;"",INT(IF(AND(CALC!$F$1&gt;0,N(INDEX(BASELINE!$A482:$ZZ482,CALC!$F$1))&gt;0),N(INDEX(BASELINE!$A482:$ZZ482,CALC!$F$1)),N(INDEX(BASELINE!$A482:$ZZ482,CALC!$P$1))))=INT(SIMOPS!$D$3),IFERROR(UPPER(TRIM(INDEX(BASELINE!$A482:$ZZ482,CALC!$R$1)&amp;"")),"")&lt;&gt;"ENCERRADA"),1,0),0)</f>
        <v/>
      </c>
      <c r="B482">
        <f>B481+A482</f>
        <v/>
      </c>
    </row>
    <row r="483">
      <c r="A483">
        <f>IFERROR(IF(AND(INDEX(BASELINE!$A483:$ZZ483,CALC!$H$1)&lt;&gt;"",INT(IF(AND(CALC!$F$1&gt;0,N(INDEX(BASELINE!$A483:$ZZ483,CALC!$F$1))&gt;0),N(INDEX(BASELINE!$A483:$ZZ483,CALC!$F$1)),N(INDEX(BASELINE!$A483:$ZZ483,CALC!$P$1))))=INT(SIMOPS!$D$3),IFERROR(UPPER(TRIM(INDEX(BASELINE!$A483:$ZZ483,CALC!$R$1)&amp;"")),"")&lt;&gt;"ENCERRADA"),1,0),0)</f>
        <v/>
      </c>
      <c r="B483">
        <f>B482+A483</f>
        <v/>
      </c>
    </row>
    <row r="484">
      <c r="A484">
        <f>IFERROR(IF(AND(INDEX(BASELINE!$A484:$ZZ484,CALC!$H$1)&lt;&gt;"",INT(IF(AND(CALC!$F$1&gt;0,N(INDEX(BASELINE!$A484:$ZZ484,CALC!$F$1))&gt;0),N(INDEX(BASELINE!$A484:$ZZ484,CALC!$F$1)),N(INDEX(BASELINE!$A484:$ZZ484,CALC!$P$1))))=INT(SIMOPS!$D$3),IFERROR(UPPER(TRIM(INDEX(BASELINE!$A484:$ZZ484,CALC!$R$1)&amp;"")),"")&lt;&gt;"ENCERRADA"),1,0),0)</f>
        <v/>
      </c>
      <c r="B484">
        <f>B483+A484</f>
        <v/>
      </c>
    </row>
    <row r="485">
      <c r="A485">
        <f>IFERROR(IF(AND(INDEX(BASELINE!$A485:$ZZ485,CALC!$H$1)&lt;&gt;"",INT(IF(AND(CALC!$F$1&gt;0,N(INDEX(BASELINE!$A485:$ZZ485,CALC!$F$1))&gt;0),N(INDEX(BASELINE!$A485:$ZZ485,CALC!$F$1)),N(INDEX(BASELINE!$A485:$ZZ485,CALC!$P$1))))=INT(SIMOPS!$D$3),IFERROR(UPPER(TRIM(INDEX(BASELINE!$A485:$ZZ485,CALC!$R$1)&amp;"")),"")&lt;&gt;"ENCERRADA"),1,0),0)</f>
        <v/>
      </c>
      <c r="B485">
        <f>B484+A485</f>
        <v/>
      </c>
    </row>
    <row r="486">
      <c r="A486">
        <f>IFERROR(IF(AND(INDEX(BASELINE!$A486:$ZZ486,CALC!$H$1)&lt;&gt;"",INT(IF(AND(CALC!$F$1&gt;0,N(INDEX(BASELINE!$A486:$ZZ486,CALC!$F$1))&gt;0),N(INDEX(BASELINE!$A486:$ZZ486,CALC!$F$1)),N(INDEX(BASELINE!$A486:$ZZ486,CALC!$P$1))))=INT(SIMOPS!$D$3),IFERROR(UPPER(TRIM(INDEX(BASELINE!$A486:$ZZ486,CALC!$R$1)&amp;"")),"")&lt;&gt;"ENCERRADA"),1,0),0)</f>
        <v/>
      </c>
      <c r="B486">
        <f>B485+A486</f>
        <v/>
      </c>
    </row>
    <row r="487">
      <c r="A487">
        <f>IFERROR(IF(AND(INDEX(BASELINE!$A487:$ZZ487,CALC!$H$1)&lt;&gt;"",INT(IF(AND(CALC!$F$1&gt;0,N(INDEX(BASELINE!$A487:$ZZ487,CALC!$F$1))&gt;0),N(INDEX(BASELINE!$A487:$ZZ487,CALC!$F$1)),N(INDEX(BASELINE!$A487:$ZZ487,CALC!$P$1))))=INT(SIMOPS!$D$3),IFERROR(UPPER(TRIM(INDEX(BASELINE!$A487:$ZZ487,CALC!$R$1)&amp;"")),"")&lt;&gt;"ENCERRADA"),1,0),0)</f>
        <v/>
      </c>
      <c r="B487">
        <f>B486+A487</f>
        <v/>
      </c>
    </row>
    <row r="488">
      <c r="A488">
        <f>IFERROR(IF(AND(INDEX(BASELINE!$A488:$ZZ488,CALC!$H$1)&lt;&gt;"",INT(IF(AND(CALC!$F$1&gt;0,N(INDEX(BASELINE!$A488:$ZZ488,CALC!$F$1))&gt;0),N(INDEX(BASELINE!$A488:$ZZ488,CALC!$F$1)),N(INDEX(BASELINE!$A488:$ZZ488,CALC!$P$1))))=INT(SIMOPS!$D$3),IFERROR(UPPER(TRIM(INDEX(BASELINE!$A488:$ZZ488,CALC!$R$1)&amp;"")),"")&lt;&gt;"ENCERRADA"),1,0),0)</f>
        <v/>
      </c>
      <c r="B488">
        <f>B487+A488</f>
        <v/>
      </c>
    </row>
    <row r="489">
      <c r="A489">
        <f>IFERROR(IF(AND(INDEX(BASELINE!$A489:$ZZ489,CALC!$H$1)&lt;&gt;"",INT(IF(AND(CALC!$F$1&gt;0,N(INDEX(BASELINE!$A489:$ZZ489,CALC!$F$1))&gt;0),N(INDEX(BASELINE!$A489:$ZZ489,CALC!$F$1)),N(INDEX(BASELINE!$A489:$ZZ489,CALC!$P$1))))=INT(SIMOPS!$D$3),IFERROR(UPPER(TRIM(INDEX(BASELINE!$A489:$ZZ489,CALC!$R$1)&amp;"")),"")&lt;&gt;"ENCERRADA"),1,0),0)</f>
        <v/>
      </c>
      <c r="B489">
        <f>B488+A489</f>
        <v/>
      </c>
    </row>
    <row r="490">
      <c r="A490">
        <f>IFERROR(IF(AND(INDEX(BASELINE!$A490:$ZZ490,CALC!$H$1)&lt;&gt;"",INT(IF(AND(CALC!$F$1&gt;0,N(INDEX(BASELINE!$A490:$ZZ490,CALC!$F$1))&gt;0),N(INDEX(BASELINE!$A490:$ZZ490,CALC!$F$1)),N(INDEX(BASELINE!$A490:$ZZ490,CALC!$P$1))))=INT(SIMOPS!$D$3),IFERROR(UPPER(TRIM(INDEX(BASELINE!$A490:$ZZ490,CALC!$R$1)&amp;"")),"")&lt;&gt;"ENCERRADA"),1,0),0)</f>
        <v/>
      </c>
      <c r="B490">
        <f>B489+A490</f>
        <v/>
      </c>
    </row>
    <row r="491">
      <c r="A491">
        <f>IFERROR(IF(AND(INDEX(BASELINE!$A491:$ZZ491,CALC!$H$1)&lt;&gt;"",INT(IF(AND(CALC!$F$1&gt;0,N(INDEX(BASELINE!$A491:$ZZ491,CALC!$F$1))&gt;0),N(INDEX(BASELINE!$A491:$ZZ491,CALC!$F$1)),N(INDEX(BASELINE!$A491:$ZZ491,CALC!$P$1))))=INT(SIMOPS!$D$3),IFERROR(UPPER(TRIM(INDEX(BASELINE!$A491:$ZZ491,CALC!$R$1)&amp;"")),"")&lt;&gt;"ENCERRADA"),1,0),0)</f>
        <v/>
      </c>
      <c r="B491">
        <f>B490+A491</f>
        <v/>
      </c>
    </row>
    <row r="492">
      <c r="A492">
        <f>IFERROR(IF(AND(INDEX(BASELINE!$A492:$ZZ492,CALC!$H$1)&lt;&gt;"",INT(IF(AND(CALC!$F$1&gt;0,N(INDEX(BASELINE!$A492:$ZZ492,CALC!$F$1))&gt;0),N(INDEX(BASELINE!$A492:$ZZ492,CALC!$F$1)),N(INDEX(BASELINE!$A492:$ZZ492,CALC!$P$1))))=INT(SIMOPS!$D$3),IFERROR(UPPER(TRIM(INDEX(BASELINE!$A492:$ZZ492,CALC!$R$1)&amp;"")),"")&lt;&gt;"ENCERRADA"),1,0),0)</f>
        <v/>
      </c>
      <c r="B492">
        <f>B491+A492</f>
        <v/>
      </c>
    </row>
    <row r="493">
      <c r="A493">
        <f>IFERROR(IF(AND(INDEX(BASELINE!$A493:$ZZ493,CALC!$H$1)&lt;&gt;"",INT(IF(AND(CALC!$F$1&gt;0,N(INDEX(BASELINE!$A493:$ZZ493,CALC!$F$1))&gt;0),N(INDEX(BASELINE!$A493:$ZZ493,CALC!$F$1)),N(INDEX(BASELINE!$A493:$ZZ493,CALC!$P$1))))=INT(SIMOPS!$D$3),IFERROR(UPPER(TRIM(INDEX(BASELINE!$A493:$ZZ493,CALC!$R$1)&amp;"")),"")&lt;&gt;"ENCERRADA"),1,0),0)</f>
        <v/>
      </c>
      <c r="B493">
        <f>B492+A493</f>
        <v/>
      </c>
    </row>
    <row r="494">
      <c r="A494">
        <f>IFERROR(IF(AND(INDEX(BASELINE!$A494:$ZZ494,CALC!$H$1)&lt;&gt;"",INT(IF(AND(CALC!$F$1&gt;0,N(INDEX(BASELINE!$A494:$ZZ494,CALC!$F$1))&gt;0),N(INDEX(BASELINE!$A494:$ZZ494,CALC!$F$1)),N(INDEX(BASELINE!$A494:$ZZ494,CALC!$P$1))))=INT(SIMOPS!$D$3),IFERROR(UPPER(TRIM(INDEX(BASELINE!$A494:$ZZ494,CALC!$R$1)&amp;"")),"")&lt;&gt;"ENCERRADA"),1,0),0)</f>
        <v/>
      </c>
      <c r="B494">
        <f>B493+A494</f>
        <v/>
      </c>
    </row>
    <row r="495">
      <c r="A495">
        <f>IFERROR(IF(AND(INDEX(BASELINE!$A495:$ZZ495,CALC!$H$1)&lt;&gt;"",INT(IF(AND(CALC!$F$1&gt;0,N(INDEX(BASELINE!$A495:$ZZ495,CALC!$F$1))&gt;0),N(INDEX(BASELINE!$A495:$ZZ495,CALC!$F$1)),N(INDEX(BASELINE!$A495:$ZZ495,CALC!$P$1))))=INT(SIMOPS!$D$3),IFERROR(UPPER(TRIM(INDEX(BASELINE!$A495:$ZZ495,CALC!$R$1)&amp;"")),"")&lt;&gt;"ENCERRADA"),1,0),0)</f>
        <v/>
      </c>
      <c r="B495">
        <f>B494+A495</f>
        <v/>
      </c>
    </row>
    <row r="496">
      <c r="A496">
        <f>IFERROR(IF(AND(INDEX(BASELINE!$A496:$ZZ496,CALC!$H$1)&lt;&gt;"",INT(IF(AND(CALC!$F$1&gt;0,N(INDEX(BASELINE!$A496:$ZZ496,CALC!$F$1))&gt;0),N(INDEX(BASELINE!$A496:$ZZ496,CALC!$F$1)),N(INDEX(BASELINE!$A496:$ZZ496,CALC!$P$1))))=INT(SIMOPS!$D$3),IFERROR(UPPER(TRIM(INDEX(BASELINE!$A496:$ZZ496,CALC!$R$1)&amp;"")),"")&lt;&gt;"ENCERRADA"),1,0),0)</f>
        <v/>
      </c>
      <c r="B496">
        <f>B495+A496</f>
        <v/>
      </c>
    </row>
    <row r="497">
      <c r="A497">
        <f>IFERROR(IF(AND(INDEX(BASELINE!$A497:$ZZ497,CALC!$H$1)&lt;&gt;"",INT(IF(AND(CALC!$F$1&gt;0,N(INDEX(BASELINE!$A497:$ZZ497,CALC!$F$1))&gt;0),N(INDEX(BASELINE!$A497:$ZZ497,CALC!$F$1)),N(INDEX(BASELINE!$A497:$ZZ497,CALC!$P$1))))=INT(SIMOPS!$D$3),IFERROR(UPPER(TRIM(INDEX(BASELINE!$A497:$ZZ497,CALC!$R$1)&amp;"")),"")&lt;&gt;"ENCERRADA"),1,0),0)</f>
        <v/>
      </c>
      <c r="B497">
        <f>B496+A497</f>
        <v/>
      </c>
    </row>
    <row r="498">
      <c r="A498">
        <f>IFERROR(IF(AND(INDEX(BASELINE!$A498:$ZZ498,CALC!$H$1)&lt;&gt;"",INT(IF(AND(CALC!$F$1&gt;0,N(INDEX(BASELINE!$A498:$ZZ498,CALC!$F$1))&gt;0),N(INDEX(BASELINE!$A498:$ZZ498,CALC!$F$1)),N(INDEX(BASELINE!$A498:$ZZ498,CALC!$P$1))))=INT(SIMOPS!$D$3),IFERROR(UPPER(TRIM(INDEX(BASELINE!$A498:$ZZ498,CALC!$R$1)&amp;"")),"")&lt;&gt;"ENCERRADA"),1,0),0)</f>
        <v/>
      </c>
      <c r="B498">
        <f>B497+A498</f>
        <v/>
      </c>
    </row>
    <row r="499">
      <c r="A499">
        <f>IFERROR(IF(AND(INDEX(BASELINE!$A499:$ZZ499,CALC!$H$1)&lt;&gt;"",INT(IF(AND(CALC!$F$1&gt;0,N(INDEX(BASELINE!$A499:$ZZ499,CALC!$F$1))&gt;0),N(INDEX(BASELINE!$A499:$ZZ499,CALC!$F$1)),N(INDEX(BASELINE!$A499:$ZZ499,CALC!$P$1))))=INT(SIMOPS!$D$3),IFERROR(UPPER(TRIM(INDEX(BASELINE!$A499:$ZZ499,CALC!$R$1)&amp;"")),"")&lt;&gt;"ENCERRADA"),1,0),0)</f>
        <v/>
      </c>
      <c r="B499">
        <f>B498+A499</f>
        <v/>
      </c>
    </row>
    <row r="500">
      <c r="A500">
        <f>IFERROR(IF(AND(INDEX(BASELINE!$A500:$ZZ500,CALC!$H$1)&lt;&gt;"",INT(IF(AND(CALC!$F$1&gt;0,N(INDEX(BASELINE!$A500:$ZZ500,CALC!$F$1))&gt;0),N(INDEX(BASELINE!$A500:$ZZ500,CALC!$F$1)),N(INDEX(BASELINE!$A500:$ZZ500,CALC!$P$1))))=INT(SIMOPS!$D$3),IFERROR(UPPER(TRIM(INDEX(BASELINE!$A500:$ZZ500,CALC!$R$1)&amp;"")),"")&lt;&gt;"ENCERRADA"),1,0),0)</f>
        <v/>
      </c>
      <c r="B500">
        <f>B499+A500</f>
        <v/>
      </c>
    </row>
    <row r="501">
      <c r="A501">
        <f>IFERROR(IF(AND(INDEX(BASELINE!$A501:$ZZ501,CALC!$H$1)&lt;&gt;"",INT(IF(AND(CALC!$F$1&gt;0,N(INDEX(BASELINE!$A501:$ZZ501,CALC!$F$1))&gt;0),N(INDEX(BASELINE!$A501:$ZZ501,CALC!$F$1)),N(INDEX(BASELINE!$A501:$ZZ501,CALC!$P$1))))=INT(SIMOPS!$D$3),IFERROR(UPPER(TRIM(INDEX(BASELINE!$A501:$ZZ501,CALC!$R$1)&amp;"")),"")&lt;&gt;"ENCERRADA"),1,0),0)</f>
        <v/>
      </c>
      <c r="B501">
        <f>B500+A501</f>
        <v/>
      </c>
    </row>
    <row r="502">
      <c r="A502">
        <f>IFERROR(IF(AND(INDEX(BASELINE!$A502:$ZZ502,CALC!$H$1)&lt;&gt;"",INT(IF(AND(CALC!$F$1&gt;0,N(INDEX(BASELINE!$A502:$ZZ502,CALC!$F$1))&gt;0),N(INDEX(BASELINE!$A502:$ZZ502,CALC!$F$1)),N(INDEX(BASELINE!$A502:$ZZ502,CALC!$P$1))))=INT(SIMOPS!$D$3),IFERROR(UPPER(TRIM(INDEX(BASELINE!$A502:$ZZ502,CALC!$R$1)&amp;"")),"")&lt;&gt;"ENCERRADA"),1,0),0)</f>
        <v/>
      </c>
      <c r="B502">
        <f>B501+A502</f>
        <v/>
      </c>
    </row>
    <row r="503">
      <c r="A503">
        <f>IFERROR(IF(AND(INDEX(BASELINE!$A503:$ZZ503,CALC!$H$1)&lt;&gt;"",INT(IF(AND(CALC!$F$1&gt;0,N(INDEX(BASELINE!$A503:$ZZ503,CALC!$F$1))&gt;0),N(INDEX(BASELINE!$A503:$ZZ503,CALC!$F$1)),N(INDEX(BASELINE!$A503:$ZZ503,CALC!$P$1))))=INT(SIMOPS!$D$3),IFERROR(UPPER(TRIM(INDEX(BASELINE!$A503:$ZZ503,CALC!$R$1)&amp;"")),"")&lt;&gt;"ENCERRADA"),1,0),0)</f>
        <v/>
      </c>
      <c r="B503">
        <f>B502+A503</f>
        <v/>
      </c>
    </row>
    <row r="504">
      <c r="A504">
        <f>IFERROR(IF(AND(INDEX(BASELINE!$A504:$ZZ504,CALC!$H$1)&lt;&gt;"",INT(IF(AND(CALC!$F$1&gt;0,N(INDEX(BASELINE!$A504:$ZZ504,CALC!$F$1))&gt;0),N(INDEX(BASELINE!$A504:$ZZ504,CALC!$F$1)),N(INDEX(BASELINE!$A504:$ZZ504,CALC!$P$1))))=INT(SIMOPS!$D$3),IFERROR(UPPER(TRIM(INDEX(BASELINE!$A504:$ZZ504,CALC!$R$1)&amp;"")),"")&lt;&gt;"ENCERRADA"),1,0),0)</f>
        <v/>
      </c>
      <c r="B504">
        <f>B503+A504</f>
        <v/>
      </c>
    </row>
    <row r="505">
      <c r="A505">
        <f>IFERROR(IF(AND(INDEX(BASELINE!$A505:$ZZ505,CALC!$H$1)&lt;&gt;"",INT(IF(AND(CALC!$F$1&gt;0,N(INDEX(BASELINE!$A505:$ZZ505,CALC!$F$1))&gt;0),N(INDEX(BASELINE!$A505:$ZZ505,CALC!$F$1)),N(INDEX(BASELINE!$A505:$ZZ505,CALC!$P$1))))=INT(SIMOPS!$D$3),IFERROR(UPPER(TRIM(INDEX(BASELINE!$A505:$ZZ505,CALC!$R$1)&amp;"")),"")&lt;&gt;"ENCERRADA"),1,0),0)</f>
        <v/>
      </c>
      <c r="B505">
        <f>B504+A505</f>
        <v/>
      </c>
    </row>
    <row r="506">
      <c r="A506">
        <f>IFERROR(IF(AND(INDEX(BASELINE!$A506:$ZZ506,CALC!$H$1)&lt;&gt;"",INT(IF(AND(CALC!$F$1&gt;0,N(INDEX(BASELINE!$A506:$ZZ506,CALC!$F$1))&gt;0),N(INDEX(BASELINE!$A506:$ZZ506,CALC!$F$1)),N(INDEX(BASELINE!$A506:$ZZ506,CALC!$P$1))))=INT(SIMOPS!$D$3),IFERROR(UPPER(TRIM(INDEX(BASELINE!$A506:$ZZ506,CALC!$R$1)&amp;"")),"")&lt;&gt;"ENCERRADA"),1,0),0)</f>
        <v/>
      </c>
      <c r="B506">
        <f>B505+A506</f>
        <v/>
      </c>
    </row>
    <row r="507">
      <c r="A507">
        <f>IFERROR(IF(AND(INDEX(BASELINE!$A507:$ZZ507,CALC!$H$1)&lt;&gt;"",INT(IF(AND(CALC!$F$1&gt;0,N(INDEX(BASELINE!$A507:$ZZ507,CALC!$F$1))&gt;0),N(INDEX(BASELINE!$A507:$ZZ507,CALC!$F$1)),N(INDEX(BASELINE!$A507:$ZZ507,CALC!$P$1))))=INT(SIMOPS!$D$3),IFERROR(UPPER(TRIM(INDEX(BASELINE!$A507:$ZZ507,CALC!$R$1)&amp;"")),"")&lt;&gt;"ENCERRADA"),1,0),0)</f>
        <v/>
      </c>
      <c r="B507">
        <f>B506+A507</f>
        <v/>
      </c>
    </row>
    <row r="508">
      <c r="A508">
        <f>IFERROR(IF(AND(INDEX(BASELINE!$A508:$ZZ508,CALC!$H$1)&lt;&gt;"",INT(IF(AND(CALC!$F$1&gt;0,N(INDEX(BASELINE!$A508:$ZZ508,CALC!$F$1))&gt;0),N(INDEX(BASELINE!$A508:$ZZ508,CALC!$F$1)),N(INDEX(BASELINE!$A508:$ZZ508,CALC!$P$1))))=INT(SIMOPS!$D$3),IFERROR(UPPER(TRIM(INDEX(BASELINE!$A508:$ZZ508,CALC!$R$1)&amp;"")),"")&lt;&gt;"ENCERRADA"),1,0),0)</f>
        <v/>
      </c>
      <c r="B508">
        <f>B507+A508</f>
        <v/>
      </c>
    </row>
    <row r="509">
      <c r="A509">
        <f>IFERROR(IF(AND(INDEX(BASELINE!$A509:$ZZ509,CALC!$H$1)&lt;&gt;"",INT(IF(AND(CALC!$F$1&gt;0,N(INDEX(BASELINE!$A509:$ZZ509,CALC!$F$1))&gt;0),N(INDEX(BASELINE!$A509:$ZZ509,CALC!$F$1)),N(INDEX(BASELINE!$A509:$ZZ509,CALC!$P$1))))=INT(SIMOPS!$D$3),IFERROR(UPPER(TRIM(INDEX(BASELINE!$A509:$ZZ509,CALC!$R$1)&amp;"")),"")&lt;&gt;"ENCERRADA"),1,0),0)</f>
        <v/>
      </c>
      <c r="B509">
        <f>B508+A509</f>
        <v/>
      </c>
    </row>
    <row r="510">
      <c r="A510">
        <f>IFERROR(IF(AND(INDEX(BASELINE!$A510:$ZZ510,CALC!$H$1)&lt;&gt;"",INT(IF(AND(CALC!$F$1&gt;0,N(INDEX(BASELINE!$A510:$ZZ510,CALC!$F$1))&gt;0),N(INDEX(BASELINE!$A510:$ZZ510,CALC!$F$1)),N(INDEX(BASELINE!$A510:$ZZ510,CALC!$P$1))))=INT(SIMOPS!$D$3),IFERROR(UPPER(TRIM(INDEX(BASELINE!$A510:$ZZ510,CALC!$R$1)&amp;"")),"")&lt;&gt;"ENCERRADA"),1,0),0)</f>
        <v/>
      </c>
      <c r="B510">
        <f>B509+A510</f>
        <v/>
      </c>
    </row>
    <row r="511">
      <c r="A511">
        <f>IFERROR(IF(AND(INDEX(BASELINE!$A511:$ZZ511,CALC!$H$1)&lt;&gt;"",INT(IF(AND(CALC!$F$1&gt;0,N(INDEX(BASELINE!$A511:$ZZ511,CALC!$F$1))&gt;0),N(INDEX(BASELINE!$A511:$ZZ511,CALC!$F$1)),N(INDEX(BASELINE!$A511:$ZZ511,CALC!$P$1))))=INT(SIMOPS!$D$3),IFERROR(UPPER(TRIM(INDEX(BASELINE!$A511:$ZZ511,CALC!$R$1)&amp;"")),"")&lt;&gt;"ENCERRADA"),1,0),0)</f>
        <v/>
      </c>
      <c r="B511">
        <f>B510+A511</f>
        <v/>
      </c>
    </row>
    <row r="512">
      <c r="A512">
        <f>IFERROR(IF(AND(INDEX(BASELINE!$A512:$ZZ512,CALC!$H$1)&lt;&gt;"",INT(IF(AND(CALC!$F$1&gt;0,N(INDEX(BASELINE!$A512:$ZZ512,CALC!$F$1))&gt;0),N(INDEX(BASELINE!$A512:$ZZ512,CALC!$F$1)),N(INDEX(BASELINE!$A512:$ZZ512,CALC!$P$1))))=INT(SIMOPS!$D$3),IFERROR(UPPER(TRIM(INDEX(BASELINE!$A512:$ZZ512,CALC!$R$1)&amp;"")),"")&lt;&gt;"ENCERRADA"),1,0),0)</f>
        <v/>
      </c>
      <c r="B512">
        <f>B511+A512</f>
        <v/>
      </c>
    </row>
    <row r="513">
      <c r="A513">
        <f>IFERROR(IF(AND(INDEX(BASELINE!$A513:$ZZ513,CALC!$H$1)&lt;&gt;"",INT(IF(AND(CALC!$F$1&gt;0,N(INDEX(BASELINE!$A513:$ZZ513,CALC!$F$1))&gt;0),N(INDEX(BASELINE!$A513:$ZZ513,CALC!$F$1)),N(INDEX(BASELINE!$A513:$ZZ513,CALC!$P$1))))=INT(SIMOPS!$D$3),IFERROR(UPPER(TRIM(INDEX(BASELINE!$A513:$ZZ513,CALC!$R$1)&amp;"")),"")&lt;&gt;"ENCERRADA"),1,0),0)</f>
        <v/>
      </c>
      <c r="B513">
        <f>B512+A513</f>
        <v/>
      </c>
    </row>
    <row r="514">
      <c r="A514">
        <f>IFERROR(IF(AND(INDEX(BASELINE!$A514:$ZZ514,CALC!$H$1)&lt;&gt;"",INT(IF(AND(CALC!$F$1&gt;0,N(INDEX(BASELINE!$A514:$ZZ514,CALC!$F$1))&gt;0),N(INDEX(BASELINE!$A514:$ZZ514,CALC!$F$1)),N(INDEX(BASELINE!$A514:$ZZ514,CALC!$P$1))))=INT(SIMOPS!$D$3),IFERROR(UPPER(TRIM(INDEX(BASELINE!$A514:$ZZ514,CALC!$R$1)&amp;"")),"")&lt;&gt;"ENCERRADA"),1,0),0)</f>
        <v/>
      </c>
      <c r="B514">
        <f>B513+A514</f>
        <v/>
      </c>
    </row>
    <row r="515">
      <c r="A515">
        <f>IFERROR(IF(AND(INDEX(BASELINE!$A515:$ZZ515,CALC!$H$1)&lt;&gt;"",INT(IF(AND(CALC!$F$1&gt;0,N(INDEX(BASELINE!$A515:$ZZ515,CALC!$F$1))&gt;0),N(INDEX(BASELINE!$A515:$ZZ515,CALC!$F$1)),N(INDEX(BASELINE!$A515:$ZZ515,CALC!$P$1))))=INT(SIMOPS!$D$3),IFERROR(UPPER(TRIM(INDEX(BASELINE!$A515:$ZZ515,CALC!$R$1)&amp;"")),"")&lt;&gt;"ENCERRADA"),1,0),0)</f>
        <v/>
      </c>
      <c r="B515">
        <f>B514+A515</f>
        <v/>
      </c>
    </row>
    <row r="516">
      <c r="A516">
        <f>IFERROR(IF(AND(INDEX(BASELINE!$A516:$ZZ516,CALC!$H$1)&lt;&gt;"",INT(IF(AND(CALC!$F$1&gt;0,N(INDEX(BASELINE!$A516:$ZZ516,CALC!$F$1))&gt;0),N(INDEX(BASELINE!$A516:$ZZ516,CALC!$F$1)),N(INDEX(BASELINE!$A516:$ZZ516,CALC!$P$1))))=INT(SIMOPS!$D$3),IFERROR(UPPER(TRIM(INDEX(BASELINE!$A516:$ZZ516,CALC!$R$1)&amp;"")),"")&lt;&gt;"ENCERRADA"),1,0),0)</f>
        <v/>
      </c>
      <c r="B516">
        <f>B515+A516</f>
        <v/>
      </c>
    </row>
    <row r="517">
      <c r="A517">
        <f>IFERROR(IF(AND(INDEX(BASELINE!$A517:$ZZ517,CALC!$H$1)&lt;&gt;"",INT(IF(AND(CALC!$F$1&gt;0,N(INDEX(BASELINE!$A517:$ZZ517,CALC!$F$1))&gt;0),N(INDEX(BASELINE!$A517:$ZZ517,CALC!$F$1)),N(INDEX(BASELINE!$A517:$ZZ517,CALC!$P$1))))=INT(SIMOPS!$D$3),IFERROR(UPPER(TRIM(INDEX(BASELINE!$A517:$ZZ517,CALC!$R$1)&amp;"")),"")&lt;&gt;"ENCERRADA"),1,0),0)</f>
        <v/>
      </c>
      <c r="B517">
        <f>B516+A517</f>
        <v/>
      </c>
    </row>
    <row r="518">
      <c r="A518">
        <f>IFERROR(IF(AND(INDEX(BASELINE!$A518:$ZZ518,CALC!$H$1)&lt;&gt;"",INT(IF(AND(CALC!$F$1&gt;0,N(INDEX(BASELINE!$A518:$ZZ518,CALC!$F$1))&gt;0),N(INDEX(BASELINE!$A518:$ZZ518,CALC!$F$1)),N(INDEX(BASELINE!$A518:$ZZ518,CALC!$P$1))))=INT(SIMOPS!$D$3),IFERROR(UPPER(TRIM(INDEX(BASELINE!$A518:$ZZ518,CALC!$R$1)&amp;"")),"")&lt;&gt;"ENCERRADA"),1,0),0)</f>
        <v/>
      </c>
      <c r="B518">
        <f>B517+A518</f>
        <v/>
      </c>
    </row>
    <row r="519">
      <c r="A519">
        <f>IFERROR(IF(AND(INDEX(BASELINE!$A519:$ZZ519,CALC!$H$1)&lt;&gt;"",INT(IF(AND(CALC!$F$1&gt;0,N(INDEX(BASELINE!$A519:$ZZ519,CALC!$F$1))&gt;0),N(INDEX(BASELINE!$A519:$ZZ519,CALC!$F$1)),N(INDEX(BASELINE!$A519:$ZZ519,CALC!$P$1))))=INT(SIMOPS!$D$3),IFERROR(UPPER(TRIM(INDEX(BASELINE!$A519:$ZZ519,CALC!$R$1)&amp;"")),"")&lt;&gt;"ENCERRADA"),1,0),0)</f>
        <v/>
      </c>
      <c r="B519">
        <f>B518+A519</f>
        <v/>
      </c>
    </row>
    <row r="520">
      <c r="A520">
        <f>IFERROR(IF(AND(INDEX(BASELINE!$A520:$ZZ520,CALC!$H$1)&lt;&gt;"",INT(IF(AND(CALC!$F$1&gt;0,N(INDEX(BASELINE!$A520:$ZZ520,CALC!$F$1))&gt;0),N(INDEX(BASELINE!$A520:$ZZ520,CALC!$F$1)),N(INDEX(BASELINE!$A520:$ZZ520,CALC!$P$1))))=INT(SIMOPS!$D$3),IFERROR(UPPER(TRIM(INDEX(BASELINE!$A520:$ZZ520,CALC!$R$1)&amp;"")),"")&lt;&gt;"ENCERRADA"),1,0),0)</f>
        <v/>
      </c>
      <c r="B520">
        <f>B519+A520</f>
        <v/>
      </c>
    </row>
    <row r="521">
      <c r="A521">
        <f>IFERROR(IF(AND(INDEX(BASELINE!$A521:$ZZ521,CALC!$H$1)&lt;&gt;"",INT(IF(AND(CALC!$F$1&gt;0,N(INDEX(BASELINE!$A521:$ZZ521,CALC!$F$1))&gt;0),N(INDEX(BASELINE!$A521:$ZZ521,CALC!$F$1)),N(INDEX(BASELINE!$A521:$ZZ521,CALC!$P$1))))=INT(SIMOPS!$D$3),IFERROR(UPPER(TRIM(INDEX(BASELINE!$A521:$ZZ521,CALC!$R$1)&amp;"")),"")&lt;&gt;"ENCERRADA"),1,0),0)</f>
        <v/>
      </c>
      <c r="B521">
        <f>B520+A521</f>
        <v/>
      </c>
    </row>
    <row r="522">
      <c r="A522">
        <f>IFERROR(IF(AND(INDEX(BASELINE!$A522:$ZZ522,CALC!$H$1)&lt;&gt;"",INT(IF(AND(CALC!$F$1&gt;0,N(INDEX(BASELINE!$A522:$ZZ522,CALC!$F$1))&gt;0),N(INDEX(BASELINE!$A522:$ZZ522,CALC!$F$1)),N(INDEX(BASELINE!$A522:$ZZ522,CALC!$P$1))))=INT(SIMOPS!$D$3),IFERROR(UPPER(TRIM(INDEX(BASELINE!$A522:$ZZ522,CALC!$R$1)&amp;"")),"")&lt;&gt;"ENCERRADA"),1,0),0)</f>
        <v/>
      </c>
      <c r="B522">
        <f>B521+A522</f>
        <v/>
      </c>
    </row>
    <row r="523">
      <c r="A523">
        <f>IFERROR(IF(AND(INDEX(BASELINE!$A523:$ZZ523,CALC!$H$1)&lt;&gt;"",INT(IF(AND(CALC!$F$1&gt;0,N(INDEX(BASELINE!$A523:$ZZ523,CALC!$F$1))&gt;0),N(INDEX(BASELINE!$A523:$ZZ523,CALC!$F$1)),N(INDEX(BASELINE!$A523:$ZZ523,CALC!$P$1))))=INT(SIMOPS!$D$3),IFERROR(UPPER(TRIM(INDEX(BASELINE!$A523:$ZZ523,CALC!$R$1)&amp;"")),"")&lt;&gt;"ENCERRADA"),1,0),0)</f>
        <v/>
      </c>
      <c r="B523">
        <f>B522+A523</f>
        <v/>
      </c>
    </row>
    <row r="524">
      <c r="A524">
        <f>IFERROR(IF(AND(INDEX(BASELINE!$A524:$ZZ524,CALC!$H$1)&lt;&gt;"",INT(IF(AND(CALC!$F$1&gt;0,N(INDEX(BASELINE!$A524:$ZZ524,CALC!$F$1))&gt;0),N(INDEX(BASELINE!$A524:$ZZ524,CALC!$F$1)),N(INDEX(BASELINE!$A524:$ZZ524,CALC!$P$1))))=INT(SIMOPS!$D$3),IFERROR(UPPER(TRIM(INDEX(BASELINE!$A524:$ZZ524,CALC!$R$1)&amp;"")),"")&lt;&gt;"ENCERRADA"),1,0),0)</f>
        <v/>
      </c>
      <c r="B524">
        <f>B523+A524</f>
        <v/>
      </c>
    </row>
    <row r="525">
      <c r="A525">
        <f>IFERROR(IF(AND(INDEX(BASELINE!$A525:$ZZ525,CALC!$H$1)&lt;&gt;"",INT(IF(AND(CALC!$F$1&gt;0,N(INDEX(BASELINE!$A525:$ZZ525,CALC!$F$1))&gt;0),N(INDEX(BASELINE!$A525:$ZZ525,CALC!$F$1)),N(INDEX(BASELINE!$A525:$ZZ525,CALC!$P$1))))=INT(SIMOPS!$D$3),IFERROR(UPPER(TRIM(INDEX(BASELINE!$A525:$ZZ525,CALC!$R$1)&amp;"")),"")&lt;&gt;"ENCERRADA"),1,0),0)</f>
        <v/>
      </c>
      <c r="B525">
        <f>B524+A525</f>
        <v/>
      </c>
    </row>
    <row r="526">
      <c r="A526">
        <f>IFERROR(IF(AND(INDEX(BASELINE!$A526:$ZZ526,CALC!$H$1)&lt;&gt;"",INT(IF(AND(CALC!$F$1&gt;0,N(INDEX(BASELINE!$A526:$ZZ526,CALC!$F$1))&gt;0),N(INDEX(BASELINE!$A526:$ZZ526,CALC!$F$1)),N(INDEX(BASELINE!$A526:$ZZ526,CALC!$P$1))))=INT(SIMOPS!$D$3),IFERROR(UPPER(TRIM(INDEX(BASELINE!$A526:$ZZ526,CALC!$R$1)&amp;"")),"")&lt;&gt;"ENCERRADA"),1,0),0)</f>
        <v/>
      </c>
      <c r="B526">
        <f>B525+A526</f>
        <v/>
      </c>
    </row>
    <row r="527">
      <c r="A527">
        <f>IFERROR(IF(AND(INDEX(BASELINE!$A527:$ZZ527,CALC!$H$1)&lt;&gt;"",INT(IF(AND(CALC!$F$1&gt;0,N(INDEX(BASELINE!$A527:$ZZ527,CALC!$F$1))&gt;0),N(INDEX(BASELINE!$A527:$ZZ527,CALC!$F$1)),N(INDEX(BASELINE!$A527:$ZZ527,CALC!$P$1))))=INT(SIMOPS!$D$3),IFERROR(UPPER(TRIM(INDEX(BASELINE!$A527:$ZZ527,CALC!$R$1)&amp;"")),"")&lt;&gt;"ENCERRADA"),1,0),0)</f>
        <v/>
      </c>
      <c r="B527">
        <f>B526+A527</f>
        <v/>
      </c>
    </row>
    <row r="528">
      <c r="A528">
        <f>IFERROR(IF(AND(INDEX(BASELINE!$A528:$ZZ528,CALC!$H$1)&lt;&gt;"",INT(IF(AND(CALC!$F$1&gt;0,N(INDEX(BASELINE!$A528:$ZZ528,CALC!$F$1))&gt;0),N(INDEX(BASELINE!$A528:$ZZ528,CALC!$F$1)),N(INDEX(BASELINE!$A528:$ZZ528,CALC!$P$1))))=INT(SIMOPS!$D$3),IFERROR(UPPER(TRIM(INDEX(BASELINE!$A528:$ZZ528,CALC!$R$1)&amp;"")),"")&lt;&gt;"ENCERRADA"),1,0),0)</f>
        <v/>
      </c>
      <c r="B528">
        <f>B527+A528</f>
        <v/>
      </c>
    </row>
    <row r="529">
      <c r="A529">
        <f>IFERROR(IF(AND(INDEX(BASELINE!$A529:$ZZ529,CALC!$H$1)&lt;&gt;"",INT(IF(AND(CALC!$F$1&gt;0,N(INDEX(BASELINE!$A529:$ZZ529,CALC!$F$1))&gt;0),N(INDEX(BASELINE!$A529:$ZZ529,CALC!$F$1)),N(INDEX(BASELINE!$A529:$ZZ529,CALC!$P$1))))=INT(SIMOPS!$D$3),IFERROR(UPPER(TRIM(INDEX(BASELINE!$A529:$ZZ529,CALC!$R$1)&amp;"")),"")&lt;&gt;"ENCERRADA"),1,0),0)</f>
        <v/>
      </c>
      <c r="B529">
        <f>B528+A529</f>
        <v/>
      </c>
    </row>
    <row r="530">
      <c r="A530">
        <f>IFERROR(IF(AND(INDEX(BASELINE!$A530:$ZZ530,CALC!$H$1)&lt;&gt;"",INT(IF(AND(CALC!$F$1&gt;0,N(INDEX(BASELINE!$A530:$ZZ530,CALC!$F$1))&gt;0),N(INDEX(BASELINE!$A530:$ZZ530,CALC!$F$1)),N(INDEX(BASELINE!$A530:$ZZ530,CALC!$P$1))))=INT(SIMOPS!$D$3),IFERROR(UPPER(TRIM(INDEX(BASELINE!$A530:$ZZ530,CALC!$R$1)&amp;"")),"")&lt;&gt;"ENCERRADA"),1,0),0)</f>
        <v/>
      </c>
      <c r="B530">
        <f>B529+A530</f>
        <v/>
      </c>
    </row>
    <row r="531">
      <c r="A531">
        <f>IFERROR(IF(AND(INDEX(BASELINE!$A531:$ZZ531,CALC!$H$1)&lt;&gt;"",INT(IF(AND(CALC!$F$1&gt;0,N(INDEX(BASELINE!$A531:$ZZ531,CALC!$F$1))&gt;0),N(INDEX(BASELINE!$A531:$ZZ531,CALC!$F$1)),N(INDEX(BASELINE!$A531:$ZZ531,CALC!$P$1))))=INT(SIMOPS!$D$3),IFERROR(UPPER(TRIM(INDEX(BASELINE!$A531:$ZZ531,CALC!$R$1)&amp;"")),"")&lt;&gt;"ENCERRADA"),1,0),0)</f>
        <v/>
      </c>
      <c r="B531">
        <f>B530+A531</f>
        <v/>
      </c>
    </row>
    <row r="532">
      <c r="A532">
        <f>IFERROR(IF(AND(INDEX(BASELINE!$A532:$ZZ532,CALC!$H$1)&lt;&gt;"",INT(IF(AND(CALC!$F$1&gt;0,N(INDEX(BASELINE!$A532:$ZZ532,CALC!$F$1))&gt;0),N(INDEX(BASELINE!$A532:$ZZ532,CALC!$F$1)),N(INDEX(BASELINE!$A532:$ZZ532,CALC!$P$1))))=INT(SIMOPS!$D$3),IFERROR(UPPER(TRIM(INDEX(BASELINE!$A532:$ZZ532,CALC!$R$1)&amp;"")),"")&lt;&gt;"ENCERRADA"),1,0),0)</f>
        <v/>
      </c>
      <c r="B532">
        <f>B531+A532</f>
        <v/>
      </c>
    </row>
    <row r="533">
      <c r="A533">
        <f>IFERROR(IF(AND(INDEX(BASELINE!$A533:$ZZ533,CALC!$H$1)&lt;&gt;"",INT(IF(AND(CALC!$F$1&gt;0,N(INDEX(BASELINE!$A533:$ZZ533,CALC!$F$1))&gt;0),N(INDEX(BASELINE!$A533:$ZZ533,CALC!$F$1)),N(INDEX(BASELINE!$A533:$ZZ533,CALC!$P$1))))=INT(SIMOPS!$D$3),IFERROR(UPPER(TRIM(INDEX(BASELINE!$A533:$ZZ533,CALC!$R$1)&amp;"")),"")&lt;&gt;"ENCERRADA"),1,0),0)</f>
        <v/>
      </c>
      <c r="B533">
        <f>B532+A533</f>
        <v/>
      </c>
    </row>
    <row r="534">
      <c r="A534">
        <f>IFERROR(IF(AND(INDEX(BASELINE!$A534:$ZZ534,CALC!$H$1)&lt;&gt;"",INT(IF(AND(CALC!$F$1&gt;0,N(INDEX(BASELINE!$A534:$ZZ534,CALC!$F$1))&gt;0),N(INDEX(BASELINE!$A534:$ZZ534,CALC!$F$1)),N(INDEX(BASELINE!$A534:$ZZ534,CALC!$P$1))))=INT(SIMOPS!$D$3),IFERROR(UPPER(TRIM(INDEX(BASELINE!$A534:$ZZ534,CALC!$R$1)&amp;"")),"")&lt;&gt;"ENCERRADA"),1,0),0)</f>
        <v/>
      </c>
      <c r="B534">
        <f>B533+A534</f>
        <v/>
      </c>
    </row>
    <row r="535">
      <c r="A535">
        <f>IFERROR(IF(AND(INDEX(BASELINE!$A535:$ZZ535,CALC!$H$1)&lt;&gt;"",INT(IF(AND(CALC!$F$1&gt;0,N(INDEX(BASELINE!$A535:$ZZ535,CALC!$F$1))&gt;0),N(INDEX(BASELINE!$A535:$ZZ535,CALC!$F$1)),N(INDEX(BASELINE!$A535:$ZZ535,CALC!$P$1))))=INT(SIMOPS!$D$3),IFERROR(UPPER(TRIM(INDEX(BASELINE!$A535:$ZZ535,CALC!$R$1)&amp;"")),"")&lt;&gt;"ENCERRADA"),1,0),0)</f>
        <v/>
      </c>
      <c r="B535">
        <f>B534+A535</f>
        <v/>
      </c>
    </row>
    <row r="536">
      <c r="A536">
        <f>IFERROR(IF(AND(INDEX(BASELINE!$A536:$ZZ536,CALC!$H$1)&lt;&gt;"",INT(IF(AND(CALC!$F$1&gt;0,N(INDEX(BASELINE!$A536:$ZZ536,CALC!$F$1))&gt;0),N(INDEX(BASELINE!$A536:$ZZ536,CALC!$F$1)),N(INDEX(BASELINE!$A536:$ZZ536,CALC!$P$1))))=INT(SIMOPS!$D$3),IFERROR(UPPER(TRIM(INDEX(BASELINE!$A536:$ZZ536,CALC!$R$1)&amp;"")),"")&lt;&gt;"ENCERRADA"),1,0),0)</f>
        <v/>
      </c>
      <c r="B536">
        <f>B535+A536</f>
        <v/>
      </c>
    </row>
    <row r="537">
      <c r="A537">
        <f>IFERROR(IF(AND(INDEX(BASELINE!$A537:$ZZ537,CALC!$H$1)&lt;&gt;"",INT(IF(AND(CALC!$F$1&gt;0,N(INDEX(BASELINE!$A537:$ZZ537,CALC!$F$1))&gt;0),N(INDEX(BASELINE!$A537:$ZZ537,CALC!$F$1)),N(INDEX(BASELINE!$A537:$ZZ537,CALC!$P$1))))=INT(SIMOPS!$D$3),IFERROR(UPPER(TRIM(INDEX(BASELINE!$A537:$ZZ537,CALC!$R$1)&amp;"")),"")&lt;&gt;"ENCERRADA"),1,0),0)</f>
        <v/>
      </c>
      <c r="B537">
        <f>B536+A537</f>
        <v/>
      </c>
    </row>
    <row r="538">
      <c r="A538">
        <f>IFERROR(IF(AND(INDEX(BASELINE!$A538:$ZZ538,CALC!$H$1)&lt;&gt;"",INT(IF(AND(CALC!$F$1&gt;0,N(INDEX(BASELINE!$A538:$ZZ538,CALC!$F$1))&gt;0),N(INDEX(BASELINE!$A538:$ZZ538,CALC!$F$1)),N(INDEX(BASELINE!$A538:$ZZ538,CALC!$P$1))))=INT(SIMOPS!$D$3),IFERROR(UPPER(TRIM(INDEX(BASELINE!$A538:$ZZ538,CALC!$R$1)&amp;"")),"")&lt;&gt;"ENCERRADA"),1,0),0)</f>
        <v/>
      </c>
      <c r="B538">
        <f>B537+A538</f>
        <v/>
      </c>
    </row>
    <row r="539">
      <c r="A539">
        <f>IFERROR(IF(AND(INDEX(BASELINE!$A539:$ZZ539,CALC!$H$1)&lt;&gt;"",INT(IF(AND(CALC!$F$1&gt;0,N(INDEX(BASELINE!$A539:$ZZ539,CALC!$F$1))&gt;0),N(INDEX(BASELINE!$A539:$ZZ539,CALC!$F$1)),N(INDEX(BASELINE!$A539:$ZZ539,CALC!$P$1))))=INT(SIMOPS!$D$3),IFERROR(UPPER(TRIM(INDEX(BASELINE!$A539:$ZZ539,CALC!$R$1)&amp;"")),"")&lt;&gt;"ENCERRADA"),1,0),0)</f>
        <v/>
      </c>
      <c r="B539">
        <f>B538+A539</f>
        <v/>
      </c>
    </row>
    <row r="540">
      <c r="A540">
        <f>IFERROR(IF(AND(INDEX(BASELINE!$A540:$ZZ540,CALC!$H$1)&lt;&gt;"",INT(IF(AND(CALC!$F$1&gt;0,N(INDEX(BASELINE!$A540:$ZZ540,CALC!$F$1))&gt;0),N(INDEX(BASELINE!$A540:$ZZ540,CALC!$F$1)),N(INDEX(BASELINE!$A540:$ZZ540,CALC!$P$1))))=INT(SIMOPS!$D$3),IFERROR(UPPER(TRIM(INDEX(BASELINE!$A540:$ZZ540,CALC!$R$1)&amp;"")),"")&lt;&gt;"ENCERRADA"),1,0),0)</f>
        <v/>
      </c>
      <c r="B540">
        <f>B539+A540</f>
        <v/>
      </c>
    </row>
    <row r="541">
      <c r="A541">
        <f>IFERROR(IF(AND(INDEX(BASELINE!$A541:$ZZ541,CALC!$H$1)&lt;&gt;"",INT(IF(AND(CALC!$F$1&gt;0,N(INDEX(BASELINE!$A541:$ZZ541,CALC!$F$1))&gt;0),N(INDEX(BASELINE!$A541:$ZZ541,CALC!$F$1)),N(INDEX(BASELINE!$A541:$ZZ541,CALC!$P$1))))=INT(SIMOPS!$D$3),IFERROR(UPPER(TRIM(INDEX(BASELINE!$A541:$ZZ541,CALC!$R$1)&amp;"")),"")&lt;&gt;"ENCERRADA"),1,0),0)</f>
        <v/>
      </c>
      <c r="B541">
        <f>B540+A541</f>
        <v/>
      </c>
    </row>
    <row r="542">
      <c r="A542">
        <f>IFERROR(IF(AND(INDEX(BASELINE!$A542:$ZZ542,CALC!$H$1)&lt;&gt;"",INT(IF(AND(CALC!$F$1&gt;0,N(INDEX(BASELINE!$A542:$ZZ542,CALC!$F$1))&gt;0),N(INDEX(BASELINE!$A542:$ZZ542,CALC!$F$1)),N(INDEX(BASELINE!$A542:$ZZ542,CALC!$P$1))))=INT(SIMOPS!$D$3),IFERROR(UPPER(TRIM(INDEX(BASELINE!$A542:$ZZ542,CALC!$R$1)&amp;"")),"")&lt;&gt;"ENCERRADA"),1,0),0)</f>
        <v/>
      </c>
      <c r="B542">
        <f>B541+A542</f>
        <v/>
      </c>
    </row>
    <row r="543">
      <c r="A543">
        <f>IFERROR(IF(AND(INDEX(BASELINE!$A543:$ZZ543,CALC!$H$1)&lt;&gt;"",INT(IF(AND(CALC!$F$1&gt;0,N(INDEX(BASELINE!$A543:$ZZ543,CALC!$F$1))&gt;0),N(INDEX(BASELINE!$A543:$ZZ543,CALC!$F$1)),N(INDEX(BASELINE!$A543:$ZZ543,CALC!$P$1))))=INT(SIMOPS!$D$3),IFERROR(UPPER(TRIM(INDEX(BASELINE!$A543:$ZZ543,CALC!$R$1)&amp;"")),"")&lt;&gt;"ENCERRADA"),1,0),0)</f>
        <v/>
      </c>
      <c r="B543">
        <f>B542+A543</f>
        <v/>
      </c>
    </row>
    <row r="544">
      <c r="A544">
        <f>IFERROR(IF(AND(INDEX(BASELINE!$A544:$ZZ544,CALC!$H$1)&lt;&gt;"",INT(IF(AND(CALC!$F$1&gt;0,N(INDEX(BASELINE!$A544:$ZZ544,CALC!$F$1))&gt;0),N(INDEX(BASELINE!$A544:$ZZ544,CALC!$F$1)),N(INDEX(BASELINE!$A544:$ZZ544,CALC!$P$1))))=INT(SIMOPS!$D$3),IFERROR(UPPER(TRIM(INDEX(BASELINE!$A544:$ZZ544,CALC!$R$1)&amp;"")),"")&lt;&gt;"ENCERRADA"),1,0),0)</f>
        <v/>
      </c>
      <c r="B544">
        <f>B543+A544</f>
        <v/>
      </c>
    </row>
    <row r="545">
      <c r="A545">
        <f>IFERROR(IF(AND(INDEX(BASELINE!$A545:$ZZ545,CALC!$H$1)&lt;&gt;"",INT(IF(AND(CALC!$F$1&gt;0,N(INDEX(BASELINE!$A545:$ZZ545,CALC!$F$1))&gt;0),N(INDEX(BASELINE!$A545:$ZZ545,CALC!$F$1)),N(INDEX(BASELINE!$A545:$ZZ545,CALC!$P$1))))=INT(SIMOPS!$D$3),IFERROR(UPPER(TRIM(INDEX(BASELINE!$A545:$ZZ545,CALC!$R$1)&amp;"")),"")&lt;&gt;"ENCERRADA"),1,0),0)</f>
        <v/>
      </c>
      <c r="B545">
        <f>B544+A545</f>
        <v/>
      </c>
    </row>
    <row r="546">
      <c r="A546">
        <f>IFERROR(IF(AND(INDEX(BASELINE!$A546:$ZZ546,CALC!$H$1)&lt;&gt;"",INT(IF(AND(CALC!$F$1&gt;0,N(INDEX(BASELINE!$A546:$ZZ546,CALC!$F$1))&gt;0),N(INDEX(BASELINE!$A546:$ZZ546,CALC!$F$1)),N(INDEX(BASELINE!$A546:$ZZ546,CALC!$P$1))))=INT(SIMOPS!$D$3),IFERROR(UPPER(TRIM(INDEX(BASELINE!$A546:$ZZ546,CALC!$R$1)&amp;"")),"")&lt;&gt;"ENCERRADA"),1,0),0)</f>
        <v/>
      </c>
      <c r="B546">
        <f>B545+A546</f>
        <v/>
      </c>
    </row>
    <row r="547">
      <c r="A547">
        <f>IFERROR(IF(AND(INDEX(BASELINE!$A547:$ZZ547,CALC!$H$1)&lt;&gt;"",INT(IF(AND(CALC!$F$1&gt;0,N(INDEX(BASELINE!$A547:$ZZ547,CALC!$F$1))&gt;0),N(INDEX(BASELINE!$A547:$ZZ547,CALC!$F$1)),N(INDEX(BASELINE!$A547:$ZZ547,CALC!$P$1))))=INT(SIMOPS!$D$3),IFERROR(UPPER(TRIM(INDEX(BASELINE!$A547:$ZZ547,CALC!$R$1)&amp;"")),"")&lt;&gt;"ENCERRADA"),1,0),0)</f>
        <v/>
      </c>
      <c r="B547">
        <f>B546+A547</f>
        <v/>
      </c>
    </row>
    <row r="548">
      <c r="A548">
        <f>IFERROR(IF(AND(INDEX(BASELINE!$A548:$ZZ548,CALC!$H$1)&lt;&gt;"",INT(IF(AND(CALC!$F$1&gt;0,N(INDEX(BASELINE!$A548:$ZZ548,CALC!$F$1))&gt;0),N(INDEX(BASELINE!$A548:$ZZ548,CALC!$F$1)),N(INDEX(BASELINE!$A548:$ZZ548,CALC!$P$1))))=INT(SIMOPS!$D$3),IFERROR(UPPER(TRIM(INDEX(BASELINE!$A548:$ZZ548,CALC!$R$1)&amp;"")),"")&lt;&gt;"ENCERRADA"),1,0),0)</f>
        <v/>
      </c>
      <c r="B548">
        <f>B547+A548</f>
        <v/>
      </c>
    </row>
    <row r="549">
      <c r="A549">
        <f>IFERROR(IF(AND(INDEX(BASELINE!$A549:$ZZ549,CALC!$H$1)&lt;&gt;"",INT(IF(AND(CALC!$F$1&gt;0,N(INDEX(BASELINE!$A549:$ZZ549,CALC!$F$1))&gt;0),N(INDEX(BASELINE!$A549:$ZZ549,CALC!$F$1)),N(INDEX(BASELINE!$A549:$ZZ549,CALC!$P$1))))=INT(SIMOPS!$D$3),IFERROR(UPPER(TRIM(INDEX(BASELINE!$A549:$ZZ549,CALC!$R$1)&amp;"")),"")&lt;&gt;"ENCERRADA"),1,0),0)</f>
        <v/>
      </c>
      <c r="B549">
        <f>B548+A549</f>
        <v/>
      </c>
    </row>
    <row r="550">
      <c r="A550">
        <f>IFERROR(IF(AND(INDEX(BASELINE!$A550:$ZZ550,CALC!$H$1)&lt;&gt;"",INT(IF(AND(CALC!$F$1&gt;0,N(INDEX(BASELINE!$A550:$ZZ550,CALC!$F$1))&gt;0),N(INDEX(BASELINE!$A550:$ZZ550,CALC!$F$1)),N(INDEX(BASELINE!$A550:$ZZ550,CALC!$P$1))))=INT(SIMOPS!$D$3),IFERROR(UPPER(TRIM(INDEX(BASELINE!$A550:$ZZ550,CALC!$R$1)&amp;"")),"")&lt;&gt;"ENCERRADA"),1,0),0)</f>
        <v/>
      </c>
      <c r="B550">
        <f>B549+A550</f>
        <v/>
      </c>
    </row>
    <row r="551">
      <c r="A551">
        <f>IFERROR(IF(AND(INDEX(BASELINE!$A551:$ZZ551,CALC!$H$1)&lt;&gt;"",INT(IF(AND(CALC!$F$1&gt;0,N(INDEX(BASELINE!$A551:$ZZ551,CALC!$F$1))&gt;0),N(INDEX(BASELINE!$A551:$ZZ551,CALC!$F$1)),N(INDEX(BASELINE!$A551:$ZZ551,CALC!$P$1))))=INT(SIMOPS!$D$3),IFERROR(UPPER(TRIM(INDEX(BASELINE!$A551:$ZZ551,CALC!$R$1)&amp;"")),"")&lt;&gt;"ENCERRADA"),1,0),0)</f>
        <v/>
      </c>
      <c r="B551">
        <f>B550+A551</f>
        <v/>
      </c>
    </row>
    <row r="552">
      <c r="A552">
        <f>IFERROR(IF(AND(INDEX(BASELINE!$A552:$ZZ552,CALC!$H$1)&lt;&gt;"",INT(IF(AND(CALC!$F$1&gt;0,N(INDEX(BASELINE!$A552:$ZZ552,CALC!$F$1))&gt;0),N(INDEX(BASELINE!$A552:$ZZ552,CALC!$F$1)),N(INDEX(BASELINE!$A552:$ZZ552,CALC!$P$1))))=INT(SIMOPS!$D$3),IFERROR(UPPER(TRIM(INDEX(BASELINE!$A552:$ZZ552,CALC!$R$1)&amp;"")),"")&lt;&gt;"ENCERRADA"),1,0),0)</f>
        <v/>
      </c>
      <c r="B552">
        <f>B551+A552</f>
        <v/>
      </c>
    </row>
    <row r="553">
      <c r="A553">
        <f>IFERROR(IF(AND(INDEX(BASELINE!$A553:$ZZ553,CALC!$H$1)&lt;&gt;"",INT(IF(AND(CALC!$F$1&gt;0,N(INDEX(BASELINE!$A553:$ZZ553,CALC!$F$1))&gt;0),N(INDEX(BASELINE!$A553:$ZZ553,CALC!$F$1)),N(INDEX(BASELINE!$A553:$ZZ553,CALC!$P$1))))=INT(SIMOPS!$D$3),IFERROR(UPPER(TRIM(INDEX(BASELINE!$A553:$ZZ553,CALC!$R$1)&amp;"")),"")&lt;&gt;"ENCERRADA"),1,0),0)</f>
        <v/>
      </c>
      <c r="B553">
        <f>B552+A553</f>
        <v/>
      </c>
    </row>
    <row r="554">
      <c r="A554">
        <f>IFERROR(IF(AND(INDEX(BASELINE!$A554:$ZZ554,CALC!$H$1)&lt;&gt;"",INT(IF(AND(CALC!$F$1&gt;0,N(INDEX(BASELINE!$A554:$ZZ554,CALC!$F$1))&gt;0),N(INDEX(BASELINE!$A554:$ZZ554,CALC!$F$1)),N(INDEX(BASELINE!$A554:$ZZ554,CALC!$P$1))))=INT(SIMOPS!$D$3),IFERROR(UPPER(TRIM(INDEX(BASELINE!$A554:$ZZ554,CALC!$R$1)&amp;"")),"")&lt;&gt;"ENCERRADA"),1,0),0)</f>
        <v/>
      </c>
      <c r="B554">
        <f>B553+A554</f>
        <v/>
      </c>
    </row>
    <row r="555">
      <c r="A555">
        <f>IFERROR(IF(AND(INDEX(BASELINE!$A555:$ZZ555,CALC!$H$1)&lt;&gt;"",INT(IF(AND(CALC!$F$1&gt;0,N(INDEX(BASELINE!$A555:$ZZ555,CALC!$F$1))&gt;0),N(INDEX(BASELINE!$A555:$ZZ555,CALC!$F$1)),N(INDEX(BASELINE!$A555:$ZZ555,CALC!$P$1))))=INT(SIMOPS!$D$3),IFERROR(UPPER(TRIM(INDEX(BASELINE!$A555:$ZZ555,CALC!$R$1)&amp;"")),"")&lt;&gt;"ENCERRADA"),1,0),0)</f>
        <v/>
      </c>
      <c r="B555">
        <f>B554+A555</f>
        <v/>
      </c>
    </row>
    <row r="556">
      <c r="A556">
        <f>IFERROR(IF(AND(INDEX(BASELINE!$A556:$ZZ556,CALC!$H$1)&lt;&gt;"",INT(IF(AND(CALC!$F$1&gt;0,N(INDEX(BASELINE!$A556:$ZZ556,CALC!$F$1))&gt;0),N(INDEX(BASELINE!$A556:$ZZ556,CALC!$F$1)),N(INDEX(BASELINE!$A556:$ZZ556,CALC!$P$1))))=INT(SIMOPS!$D$3),IFERROR(UPPER(TRIM(INDEX(BASELINE!$A556:$ZZ556,CALC!$R$1)&amp;"")),"")&lt;&gt;"ENCERRADA"),1,0),0)</f>
        <v/>
      </c>
      <c r="B556">
        <f>B555+A556</f>
        <v/>
      </c>
    </row>
    <row r="557">
      <c r="A557">
        <f>IFERROR(IF(AND(INDEX(BASELINE!$A557:$ZZ557,CALC!$H$1)&lt;&gt;"",INT(IF(AND(CALC!$F$1&gt;0,N(INDEX(BASELINE!$A557:$ZZ557,CALC!$F$1))&gt;0),N(INDEX(BASELINE!$A557:$ZZ557,CALC!$F$1)),N(INDEX(BASELINE!$A557:$ZZ557,CALC!$P$1))))=INT(SIMOPS!$D$3),IFERROR(UPPER(TRIM(INDEX(BASELINE!$A557:$ZZ557,CALC!$R$1)&amp;"")),"")&lt;&gt;"ENCERRADA"),1,0),0)</f>
        <v/>
      </c>
      <c r="B557">
        <f>B556+A557</f>
        <v/>
      </c>
    </row>
    <row r="558">
      <c r="A558">
        <f>IFERROR(IF(AND(INDEX(BASELINE!$A558:$ZZ558,CALC!$H$1)&lt;&gt;"",INT(IF(AND(CALC!$F$1&gt;0,N(INDEX(BASELINE!$A558:$ZZ558,CALC!$F$1))&gt;0),N(INDEX(BASELINE!$A558:$ZZ558,CALC!$F$1)),N(INDEX(BASELINE!$A558:$ZZ558,CALC!$P$1))))=INT(SIMOPS!$D$3),IFERROR(UPPER(TRIM(INDEX(BASELINE!$A558:$ZZ558,CALC!$R$1)&amp;"")),"")&lt;&gt;"ENCERRADA"),1,0),0)</f>
        <v/>
      </c>
      <c r="B558">
        <f>B557+A558</f>
        <v/>
      </c>
    </row>
    <row r="559">
      <c r="A559">
        <f>IFERROR(IF(AND(INDEX(BASELINE!$A559:$ZZ559,CALC!$H$1)&lt;&gt;"",INT(IF(AND(CALC!$F$1&gt;0,N(INDEX(BASELINE!$A559:$ZZ559,CALC!$F$1))&gt;0),N(INDEX(BASELINE!$A559:$ZZ559,CALC!$F$1)),N(INDEX(BASELINE!$A559:$ZZ559,CALC!$P$1))))=INT(SIMOPS!$D$3),IFERROR(UPPER(TRIM(INDEX(BASELINE!$A559:$ZZ559,CALC!$R$1)&amp;"")),"")&lt;&gt;"ENCERRADA"),1,0),0)</f>
        <v/>
      </c>
      <c r="B559">
        <f>B558+A559</f>
        <v/>
      </c>
    </row>
    <row r="560">
      <c r="A560">
        <f>IFERROR(IF(AND(INDEX(BASELINE!$A560:$ZZ560,CALC!$H$1)&lt;&gt;"",INT(IF(AND(CALC!$F$1&gt;0,N(INDEX(BASELINE!$A560:$ZZ560,CALC!$F$1))&gt;0),N(INDEX(BASELINE!$A560:$ZZ560,CALC!$F$1)),N(INDEX(BASELINE!$A560:$ZZ560,CALC!$P$1))))=INT(SIMOPS!$D$3),IFERROR(UPPER(TRIM(INDEX(BASELINE!$A560:$ZZ560,CALC!$R$1)&amp;"")),"")&lt;&gt;"ENCERRADA"),1,0),0)</f>
        <v/>
      </c>
      <c r="B560">
        <f>B559+A560</f>
        <v/>
      </c>
    </row>
    <row r="561">
      <c r="A561">
        <f>IFERROR(IF(AND(INDEX(BASELINE!$A561:$ZZ561,CALC!$H$1)&lt;&gt;"",INT(IF(AND(CALC!$F$1&gt;0,N(INDEX(BASELINE!$A561:$ZZ561,CALC!$F$1))&gt;0),N(INDEX(BASELINE!$A561:$ZZ561,CALC!$F$1)),N(INDEX(BASELINE!$A561:$ZZ561,CALC!$P$1))))=INT(SIMOPS!$D$3),IFERROR(UPPER(TRIM(INDEX(BASELINE!$A561:$ZZ561,CALC!$R$1)&amp;"")),"")&lt;&gt;"ENCERRADA"),1,0),0)</f>
        <v/>
      </c>
      <c r="B561">
        <f>B560+A561</f>
        <v/>
      </c>
    </row>
    <row r="562">
      <c r="A562">
        <f>IFERROR(IF(AND(INDEX(BASELINE!$A562:$ZZ562,CALC!$H$1)&lt;&gt;"",INT(IF(AND(CALC!$F$1&gt;0,N(INDEX(BASELINE!$A562:$ZZ562,CALC!$F$1))&gt;0),N(INDEX(BASELINE!$A562:$ZZ562,CALC!$F$1)),N(INDEX(BASELINE!$A562:$ZZ562,CALC!$P$1))))=INT(SIMOPS!$D$3),IFERROR(UPPER(TRIM(INDEX(BASELINE!$A562:$ZZ562,CALC!$R$1)&amp;"")),"")&lt;&gt;"ENCERRADA"),1,0),0)</f>
        <v/>
      </c>
      <c r="B562">
        <f>B561+A562</f>
        <v/>
      </c>
    </row>
    <row r="563">
      <c r="A563">
        <f>IFERROR(IF(AND(INDEX(BASELINE!$A563:$ZZ563,CALC!$H$1)&lt;&gt;"",INT(IF(AND(CALC!$F$1&gt;0,N(INDEX(BASELINE!$A563:$ZZ563,CALC!$F$1))&gt;0),N(INDEX(BASELINE!$A563:$ZZ563,CALC!$F$1)),N(INDEX(BASELINE!$A563:$ZZ563,CALC!$P$1))))=INT(SIMOPS!$D$3),IFERROR(UPPER(TRIM(INDEX(BASELINE!$A563:$ZZ563,CALC!$R$1)&amp;"")),"")&lt;&gt;"ENCERRADA"),1,0),0)</f>
        <v/>
      </c>
      <c r="B563">
        <f>B562+A563</f>
        <v/>
      </c>
    </row>
    <row r="564">
      <c r="A564">
        <f>IFERROR(IF(AND(INDEX(BASELINE!$A564:$ZZ564,CALC!$H$1)&lt;&gt;"",INT(IF(AND(CALC!$F$1&gt;0,N(INDEX(BASELINE!$A564:$ZZ564,CALC!$F$1))&gt;0),N(INDEX(BASELINE!$A564:$ZZ564,CALC!$F$1)),N(INDEX(BASELINE!$A564:$ZZ564,CALC!$P$1))))=INT(SIMOPS!$D$3),IFERROR(UPPER(TRIM(INDEX(BASELINE!$A564:$ZZ564,CALC!$R$1)&amp;"")),"")&lt;&gt;"ENCERRADA"),1,0),0)</f>
        <v/>
      </c>
      <c r="B564">
        <f>B563+A564</f>
        <v/>
      </c>
    </row>
    <row r="565">
      <c r="A565">
        <f>IFERROR(IF(AND(INDEX(BASELINE!$A565:$ZZ565,CALC!$H$1)&lt;&gt;"",INT(IF(AND(CALC!$F$1&gt;0,N(INDEX(BASELINE!$A565:$ZZ565,CALC!$F$1))&gt;0),N(INDEX(BASELINE!$A565:$ZZ565,CALC!$F$1)),N(INDEX(BASELINE!$A565:$ZZ565,CALC!$P$1))))=INT(SIMOPS!$D$3),IFERROR(UPPER(TRIM(INDEX(BASELINE!$A565:$ZZ565,CALC!$R$1)&amp;"")),"")&lt;&gt;"ENCERRADA"),1,0),0)</f>
        <v/>
      </c>
      <c r="B565">
        <f>B564+A565</f>
        <v/>
      </c>
    </row>
    <row r="566">
      <c r="A566">
        <f>IFERROR(IF(AND(INDEX(BASELINE!$A566:$ZZ566,CALC!$H$1)&lt;&gt;"",INT(IF(AND(CALC!$F$1&gt;0,N(INDEX(BASELINE!$A566:$ZZ566,CALC!$F$1))&gt;0),N(INDEX(BASELINE!$A566:$ZZ566,CALC!$F$1)),N(INDEX(BASELINE!$A566:$ZZ566,CALC!$P$1))))=INT(SIMOPS!$D$3),IFERROR(UPPER(TRIM(INDEX(BASELINE!$A566:$ZZ566,CALC!$R$1)&amp;"")),"")&lt;&gt;"ENCERRADA"),1,0),0)</f>
        <v/>
      </c>
      <c r="B566">
        <f>B565+A566</f>
        <v/>
      </c>
    </row>
    <row r="567">
      <c r="A567">
        <f>IFERROR(IF(AND(INDEX(BASELINE!$A567:$ZZ567,CALC!$H$1)&lt;&gt;"",INT(IF(AND(CALC!$F$1&gt;0,N(INDEX(BASELINE!$A567:$ZZ567,CALC!$F$1))&gt;0),N(INDEX(BASELINE!$A567:$ZZ567,CALC!$F$1)),N(INDEX(BASELINE!$A567:$ZZ567,CALC!$P$1))))=INT(SIMOPS!$D$3),IFERROR(UPPER(TRIM(INDEX(BASELINE!$A567:$ZZ567,CALC!$R$1)&amp;"")),"")&lt;&gt;"ENCERRADA"),1,0),0)</f>
        <v/>
      </c>
      <c r="B567">
        <f>B566+A567</f>
        <v/>
      </c>
    </row>
    <row r="568">
      <c r="A568">
        <f>IFERROR(IF(AND(INDEX(BASELINE!$A568:$ZZ568,CALC!$H$1)&lt;&gt;"",INT(IF(AND(CALC!$F$1&gt;0,N(INDEX(BASELINE!$A568:$ZZ568,CALC!$F$1))&gt;0),N(INDEX(BASELINE!$A568:$ZZ568,CALC!$F$1)),N(INDEX(BASELINE!$A568:$ZZ568,CALC!$P$1))))=INT(SIMOPS!$D$3),IFERROR(UPPER(TRIM(INDEX(BASELINE!$A568:$ZZ568,CALC!$R$1)&amp;"")),"")&lt;&gt;"ENCERRADA"),1,0),0)</f>
        <v/>
      </c>
      <c r="B568">
        <f>B567+A568</f>
        <v/>
      </c>
    </row>
    <row r="569">
      <c r="A569">
        <f>IFERROR(IF(AND(INDEX(BASELINE!$A569:$ZZ569,CALC!$H$1)&lt;&gt;"",INT(IF(AND(CALC!$F$1&gt;0,N(INDEX(BASELINE!$A569:$ZZ569,CALC!$F$1))&gt;0),N(INDEX(BASELINE!$A569:$ZZ569,CALC!$F$1)),N(INDEX(BASELINE!$A569:$ZZ569,CALC!$P$1))))=INT(SIMOPS!$D$3),IFERROR(UPPER(TRIM(INDEX(BASELINE!$A569:$ZZ569,CALC!$R$1)&amp;"")),"")&lt;&gt;"ENCERRADA"),1,0),0)</f>
        <v/>
      </c>
      <c r="B569">
        <f>B568+A569</f>
        <v/>
      </c>
    </row>
    <row r="570">
      <c r="A570">
        <f>IFERROR(IF(AND(INDEX(BASELINE!$A570:$ZZ570,CALC!$H$1)&lt;&gt;"",INT(IF(AND(CALC!$F$1&gt;0,N(INDEX(BASELINE!$A570:$ZZ570,CALC!$F$1))&gt;0),N(INDEX(BASELINE!$A570:$ZZ570,CALC!$F$1)),N(INDEX(BASELINE!$A570:$ZZ570,CALC!$P$1))))=INT(SIMOPS!$D$3),IFERROR(UPPER(TRIM(INDEX(BASELINE!$A570:$ZZ570,CALC!$R$1)&amp;"")),"")&lt;&gt;"ENCERRADA"),1,0),0)</f>
        <v/>
      </c>
      <c r="B570">
        <f>B569+A570</f>
        <v/>
      </c>
    </row>
    <row r="571">
      <c r="A571">
        <f>IFERROR(IF(AND(INDEX(BASELINE!$A571:$ZZ571,CALC!$H$1)&lt;&gt;"",INT(IF(AND(CALC!$F$1&gt;0,N(INDEX(BASELINE!$A571:$ZZ571,CALC!$F$1))&gt;0),N(INDEX(BASELINE!$A571:$ZZ571,CALC!$F$1)),N(INDEX(BASELINE!$A571:$ZZ571,CALC!$P$1))))=INT(SIMOPS!$D$3),IFERROR(UPPER(TRIM(INDEX(BASELINE!$A571:$ZZ571,CALC!$R$1)&amp;"")),"")&lt;&gt;"ENCERRADA"),1,0),0)</f>
        <v/>
      </c>
      <c r="B571">
        <f>B570+A571</f>
        <v/>
      </c>
    </row>
    <row r="572">
      <c r="A572">
        <f>IFERROR(IF(AND(INDEX(BASELINE!$A572:$ZZ572,CALC!$H$1)&lt;&gt;"",INT(IF(AND(CALC!$F$1&gt;0,N(INDEX(BASELINE!$A572:$ZZ572,CALC!$F$1))&gt;0),N(INDEX(BASELINE!$A572:$ZZ572,CALC!$F$1)),N(INDEX(BASELINE!$A572:$ZZ572,CALC!$P$1))))=INT(SIMOPS!$D$3),IFERROR(UPPER(TRIM(INDEX(BASELINE!$A572:$ZZ572,CALC!$R$1)&amp;"")),"")&lt;&gt;"ENCERRADA"),1,0),0)</f>
        <v/>
      </c>
      <c r="B572">
        <f>B571+A572</f>
        <v/>
      </c>
    </row>
    <row r="573">
      <c r="A573">
        <f>IFERROR(IF(AND(INDEX(BASELINE!$A573:$ZZ573,CALC!$H$1)&lt;&gt;"",INT(IF(AND(CALC!$F$1&gt;0,N(INDEX(BASELINE!$A573:$ZZ573,CALC!$F$1))&gt;0),N(INDEX(BASELINE!$A573:$ZZ573,CALC!$F$1)),N(INDEX(BASELINE!$A573:$ZZ573,CALC!$P$1))))=INT(SIMOPS!$D$3),IFERROR(UPPER(TRIM(INDEX(BASELINE!$A573:$ZZ573,CALC!$R$1)&amp;"")),"")&lt;&gt;"ENCERRADA"),1,0),0)</f>
        <v/>
      </c>
      <c r="B573">
        <f>B572+A573</f>
        <v/>
      </c>
    </row>
    <row r="574">
      <c r="A574">
        <f>IFERROR(IF(AND(INDEX(BASELINE!$A574:$ZZ574,CALC!$H$1)&lt;&gt;"",INT(IF(AND(CALC!$F$1&gt;0,N(INDEX(BASELINE!$A574:$ZZ574,CALC!$F$1))&gt;0),N(INDEX(BASELINE!$A574:$ZZ574,CALC!$F$1)),N(INDEX(BASELINE!$A574:$ZZ574,CALC!$P$1))))=INT(SIMOPS!$D$3),IFERROR(UPPER(TRIM(INDEX(BASELINE!$A574:$ZZ574,CALC!$R$1)&amp;"")),"")&lt;&gt;"ENCERRADA"),1,0),0)</f>
        <v/>
      </c>
      <c r="B574">
        <f>B573+A574</f>
        <v/>
      </c>
    </row>
    <row r="575">
      <c r="A575">
        <f>IFERROR(IF(AND(INDEX(BASELINE!$A575:$ZZ575,CALC!$H$1)&lt;&gt;"",INT(IF(AND(CALC!$F$1&gt;0,N(INDEX(BASELINE!$A575:$ZZ575,CALC!$F$1))&gt;0),N(INDEX(BASELINE!$A575:$ZZ575,CALC!$F$1)),N(INDEX(BASELINE!$A575:$ZZ575,CALC!$P$1))))=INT(SIMOPS!$D$3),IFERROR(UPPER(TRIM(INDEX(BASELINE!$A575:$ZZ575,CALC!$R$1)&amp;"")),"")&lt;&gt;"ENCERRADA"),1,0),0)</f>
        <v/>
      </c>
      <c r="B575">
        <f>B574+A575</f>
        <v/>
      </c>
    </row>
    <row r="576">
      <c r="A576">
        <f>IFERROR(IF(AND(INDEX(BASELINE!$A576:$ZZ576,CALC!$H$1)&lt;&gt;"",INT(IF(AND(CALC!$F$1&gt;0,N(INDEX(BASELINE!$A576:$ZZ576,CALC!$F$1))&gt;0),N(INDEX(BASELINE!$A576:$ZZ576,CALC!$F$1)),N(INDEX(BASELINE!$A576:$ZZ576,CALC!$P$1))))=INT(SIMOPS!$D$3),IFERROR(UPPER(TRIM(INDEX(BASELINE!$A576:$ZZ576,CALC!$R$1)&amp;"")),"")&lt;&gt;"ENCERRADA"),1,0),0)</f>
        <v/>
      </c>
      <c r="B576">
        <f>B575+A576</f>
        <v/>
      </c>
    </row>
    <row r="577">
      <c r="A577">
        <f>IFERROR(IF(AND(INDEX(BASELINE!$A577:$ZZ577,CALC!$H$1)&lt;&gt;"",INT(IF(AND(CALC!$F$1&gt;0,N(INDEX(BASELINE!$A577:$ZZ577,CALC!$F$1))&gt;0),N(INDEX(BASELINE!$A577:$ZZ577,CALC!$F$1)),N(INDEX(BASELINE!$A577:$ZZ577,CALC!$P$1))))=INT(SIMOPS!$D$3),IFERROR(UPPER(TRIM(INDEX(BASELINE!$A577:$ZZ577,CALC!$R$1)&amp;"")),"")&lt;&gt;"ENCERRADA"),1,0),0)</f>
        <v/>
      </c>
      <c r="B577">
        <f>B576+A577</f>
        <v/>
      </c>
    </row>
    <row r="578">
      <c r="A578">
        <f>IFERROR(IF(AND(INDEX(BASELINE!$A578:$ZZ578,CALC!$H$1)&lt;&gt;"",INT(IF(AND(CALC!$F$1&gt;0,N(INDEX(BASELINE!$A578:$ZZ578,CALC!$F$1))&gt;0),N(INDEX(BASELINE!$A578:$ZZ578,CALC!$F$1)),N(INDEX(BASELINE!$A578:$ZZ578,CALC!$P$1))))=INT(SIMOPS!$D$3),IFERROR(UPPER(TRIM(INDEX(BASELINE!$A578:$ZZ578,CALC!$R$1)&amp;"")),"")&lt;&gt;"ENCERRADA"),1,0),0)</f>
        <v/>
      </c>
      <c r="B578">
        <f>B577+A578</f>
        <v/>
      </c>
    </row>
    <row r="579">
      <c r="A579">
        <f>IFERROR(IF(AND(INDEX(BASELINE!$A579:$ZZ579,CALC!$H$1)&lt;&gt;"",INT(IF(AND(CALC!$F$1&gt;0,N(INDEX(BASELINE!$A579:$ZZ579,CALC!$F$1))&gt;0),N(INDEX(BASELINE!$A579:$ZZ579,CALC!$F$1)),N(INDEX(BASELINE!$A579:$ZZ579,CALC!$P$1))))=INT(SIMOPS!$D$3),IFERROR(UPPER(TRIM(INDEX(BASELINE!$A579:$ZZ579,CALC!$R$1)&amp;"")),"")&lt;&gt;"ENCERRADA"),1,0),0)</f>
        <v/>
      </c>
      <c r="B579">
        <f>B578+A579</f>
        <v/>
      </c>
    </row>
    <row r="580">
      <c r="A580">
        <f>IFERROR(IF(AND(INDEX(BASELINE!$A580:$ZZ580,CALC!$H$1)&lt;&gt;"",INT(IF(AND(CALC!$F$1&gt;0,N(INDEX(BASELINE!$A580:$ZZ580,CALC!$F$1))&gt;0),N(INDEX(BASELINE!$A580:$ZZ580,CALC!$F$1)),N(INDEX(BASELINE!$A580:$ZZ580,CALC!$P$1))))=INT(SIMOPS!$D$3),IFERROR(UPPER(TRIM(INDEX(BASELINE!$A580:$ZZ580,CALC!$R$1)&amp;"")),"")&lt;&gt;"ENCERRADA"),1,0),0)</f>
        <v/>
      </c>
      <c r="B580">
        <f>B579+A580</f>
        <v/>
      </c>
    </row>
    <row r="581">
      <c r="A581">
        <f>IFERROR(IF(AND(INDEX(BASELINE!$A581:$ZZ581,CALC!$H$1)&lt;&gt;"",INT(IF(AND(CALC!$F$1&gt;0,N(INDEX(BASELINE!$A581:$ZZ581,CALC!$F$1))&gt;0),N(INDEX(BASELINE!$A581:$ZZ581,CALC!$F$1)),N(INDEX(BASELINE!$A581:$ZZ581,CALC!$P$1))))=INT(SIMOPS!$D$3),IFERROR(UPPER(TRIM(INDEX(BASELINE!$A581:$ZZ581,CALC!$R$1)&amp;"")),"")&lt;&gt;"ENCERRADA"),1,0),0)</f>
        <v/>
      </c>
      <c r="B581">
        <f>B580+A581</f>
        <v/>
      </c>
    </row>
    <row r="582">
      <c r="A582">
        <f>IFERROR(IF(AND(INDEX(BASELINE!$A582:$ZZ582,CALC!$H$1)&lt;&gt;"",INT(IF(AND(CALC!$F$1&gt;0,N(INDEX(BASELINE!$A582:$ZZ582,CALC!$F$1))&gt;0),N(INDEX(BASELINE!$A582:$ZZ582,CALC!$F$1)),N(INDEX(BASELINE!$A582:$ZZ582,CALC!$P$1))))=INT(SIMOPS!$D$3),IFERROR(UPPER(TRIM(INDEX(BASELINE!$A582:$ZZ582,CALC!$R$1)&amp;"")),"")&lt;&gt;"ENCERRADA"),1,0),0)</f>
        <v/>
      </c>
      <c r="B582">
        <f>B581+A582</f>
        <v/>
      </c>
    </row>
    <row r="583">
      <c r="A583">
        <f>IFERROR(IF(AND(INDEX(BASELINE!$A583:$ZZ583,CALC!$H$1)&lt;&gt;"",INT(IF(AND(CALC!$F$1&gt;0,N(INDEX(BASELINE!$A583:$ZZ583,CALC!$F$1))&gt;0),N(INDEX(BASELINE!$A583:$ZZ583,CALC!$F$1)),N(INDEX(BASELINE!$A583:$ZZ583,CALC!$P$1))))=INT(SIMOPS!$D$3),IFERROR(UPPER(TRIM(INDEX(BASELINE!$A583:$ZZ583,CALC!$R$1)&amp;"")),"")&lt;&gt;"ENCERRADA"),1,0),0)</f>
        <v/>
      </c>
      <c r="B583">
        <f>B582+A583</f>
        <v/>
      </c>
    </row>
    <row r="584">
      <c r="A584">
        <f>IFERROR(IF(AND(INDEX(BASELINE!$A584:$ZZ584,CALC!$H$1)&lt;&gt;"",INT(IF(AND(CALC!$F$1&gt;0,N(INDEX(BASELINE!$A584:$ZZ584,CALC!$F$1))&gt;0),N(INDEX(BASELINE!$A584:$ZZ584,CALC!$F$1)),N(INDEX(BASELINE!$A584:$ZZ584,CALC!$P$1))))=INT(SIMOPS!$D$3),IFERROR(UPPER(TRIM(INDEX(BASELINE!$A584:$ZZ584,CALC!$R$1)&amp;"")),"")&lt;&gt;"ENCERRADA"),1,0),0)</f>
        <v/>
      </c>
      <c r="B584">
        <f>B583+A584</f>
        <v/>
      </c>
    </row>
    <row r="585">
      <c r="A585">
        <f>IFERROR(IF(AND(INDEX(BASELINE!$A585:$ZZ585,CALC!$H$1)&lt;&gt;"",INT(IF(AND(CALC!$F$1&gt;0,N(INDEX(BASELINE!$A585:$ZZ585,CALC!$F$1))&gt;0),N(INDEX(BASELINE!$A585:$ZZ585,CALC!$F$1)),N(INDEX(BASELINE!$A585:$ZZ585,CALC!$P$1))))=INT(SIMOPS!$D$3),IFERROR(UPPER(TRIM(INDEX(BASELINE!$A585:$ZZ585,CALC!$R$1)&amp;"")),"")&lt;&gt;"ENCERRADA"),1,0),0)</f>
        <v/>
      </c>
      <c r="B585">
        <f>B584+A585</f>
        <v/>
      </c>
    </row>
    <row r="586">
      <c r="A586">
        <f>IFERROR(IF(AND(INDEX(BASELINE!$A586:$ZZ586,CALC!$H$1)&lt;&gt;"",INT(IF(AND(CALC!$F$1&gt;0,N(INDEX(BASELINE!$A586:$ZZ586,CALC!$F$1))&gt;0),N(INDEX(BASELINE!$A586:$ZZ586,CALC!$F$1)),N(INDEX(BASELINE!$A586:$ZZ586,CALC!$P$1))))=INT(SIMOPS!$D$3),IFERROR(UPPER(TRIM(INDEX(BASELINE!$A586:$ZZ586,CALC!$R$1)&amp;"")),"")&lt;&gt;"ENCERRADA"),1,0),0)</f>
        <v/>
      </c>
      <c r="B586">
        <f>B585+A586</f>
        <v/>
      </c>
    </row>
    <row r="587">
      <c r="A587">
        <f>IFERROR(IF(AND(INDEX(BASELINE!$A587:$ZZ587,CALC!$H$1)&lt;&gt;"",INT(IF(AND(CALC!$F$1&gt;0,N(INDEX(BASELINE!$A587:$ZZ587,CALC!$F$1))&gt;0),N(INDEX(BASELINE!$A587:$ZZ587,CALC!$F$1)),N(INDEX(BASELINE!$A587:$ZZ587,CALC!$P$1))))=INT(SIMOPS!$D$3),IFERROR(UPPER(TRIM(INDEX(BASELINE!$A587:$ZZ587,CALC!$R$1)&amp;"")),"")&lt;&gt;"ENCERRADA"),1,0),0)</f>
        <v/>
      </c>
      <c r="B587">
        <f>B586+A587</f>
        <v/>
      </c>
    </row>
    <row r="588">
      <c r="A588">
        <f>IFERROR(IF(AND(INDEX(BASELINE!$A588:$ZZ588,CALC!$H$1)&lt;&gt;"",INT(IF(AND(CALC!$F$1&gt;0,N(INDEX(BASELINE!$A588:$ZZ588,CALC!$F$1))&gt;0),N(INDEX(BASELINE!$A588:$ZZ588,CALC!$F$1)),N(INDEX(BASELINE!$A588:$ZZ588,CALC!$P$1))))=INT(SIMOPS!$D$3),IFERROR(UPPER(TRIM(INDEX(BASELINE!$A588:$ZZ588,CALC!$R$1)&amp;"")),"")&lt;&gt;"ENCERRADA"),1,0),0)</f>
        <v/>
      </c>
      <c r="B588">
        <f>B587+A588</f>
        <v/>
      </c>
    </row>
    <row r="589">
      <c r="A589">
        <f>IFERROR(IF(AND(INDEX(BASELINE!$A589:$ZZ589,CALC!$H$1)&lt;&gt;"",INT(IF(AND(CALC!$F$1&gt;0,N(INDEX(BASELINE!$A589:$ZZ589,CALC!$F$1))&gt;0),N(INDEX(BASELINE!$A589:$ZZ589,CALC!$F$1)),N(INDEX(BASELINE!$A589:$ZZ589,CALC!$P$1))))=INT(SIMOPS!$D$3),IFERROR(UPPER(TRIM(INDEX(BASELINE!$A589:$ZZ589,CALC!$R$1)&amp;"")),"")&lt;&gt;"ENCERRADA"),1,0),0)</f>
        <v/>
      </c>
      <c r="B589">
        <f>B588+A589</f>
        <v/>
      </c>
    </row>
    <row r="590">
      <c r="A590">
        <f>IFERROR(IF(AND(INDEX(BASELINE!$A590:$ZZ590,CALC!$H$1)&lt;&gt;"",INT(IF(AND(CALC!$F$1&gt;0,N(INDEX(BASELINE!$A590:$ZZ590,CALC!$F$1))&gt;0),N(INDEX(BASELINE!$A590:$ZZ590,CALC!$F$1)),N(INDEX(BASELINE!$A590:$ZZ590,CALC!$P$1))))=INT(SIMOPS!$D$3),IFERROR(UPPER(TRIM(INDEX(BASELINE!$A590:$ZZ590,CALC!$R$1)&amp;"")),"")&lt;&gt;"ENCERRADA"),1,0),0)</f>
        <v/>
      </c>
      <c r="B590">
        <f>B589+A590</f>
        <v/>
      </c>
    </row>
    <row r="591">
      <c r="A591">
        <f>IFERROR(IF(AND(INDEX(BASELINE!$A591:$ZZ591,CALC!$H$1)&lt;&gt;"",INT(IF(AND(CALC!$F$1&gt;0,N(INDEX(BASELINE!$A591:$ZZ591,CALC!$F$1))&gt;0),N(INDEX(BASELINE!$A591:$ZZ591,CALC!$F$1)),N(INDEX(BASELINE!$A591:$ZZ591,CALC!$P$1))))=INT(SIMOPS!$D$3),IFERROR(UPPER(TRIM(INDEX(BASELINE!$A591:$ZZ591,CALC!$R$1)&amp;"")),"")&lt;&gt;"ENCERRADA"),1,0),0)</f>
        <v/>
      </c>
      <c r="B591">
        <f>B590+A591</f>
        <v/>
      </c>
    </row>
    <row r="592">
      <c r="A592">
        <f>IFERROR(IF(AND(INDEX(BASELINE!$A592:$ZZ592,CALC!$H$1)&lt;&gt;"",INT(IF(AND(CALC!$F$1&gt;0,N(INDEX(BASELINE!$A592:$ZZ592,CALC!$F$1))&gt;0),N(INDEX(BASELINE!$A592:$ZZ592,CALC!$F$1)),N(INDEX(BASELINE!$A592:$ZZ592,CALC!$P$1))))=INT(SIMOPS!$D$3),IFERROR(UPPER(TRIM(INDEX(BASELINE!$A592:$ZZ592,CALC!$R$1)&amp;"")),"")&lt;&gt;"ENCERRADA"),1,0),0)</f>
        <v/>
      </c>
      <c r="B592">
        <f>B591+A592</f>
        <v/>
      </c>
    </row>
    <row r="593">
      <c r="A593">
        <f>IFERROR(IF(AND(INDEX(BASELINE!$A593:$ZZ593,CALC!$H$1)&lt;&gt;"",INT(IF(AND(CALC!$F$1&gt;0,N(INDEX(BASELINE!$A593:$ZZ593,CALC!$F$1))&gt;0),N(INDEX(BASELINE!$A593:$ZZ593,CALC!$F$1)),N(INDEX(BASELINE!$A593:$ZZ593,CALC!$P$1))))=INT(SIMOPS!$D$3),IFERROR(UPPER(TRIM(INDEX(BASELINE!$A593:$ZZ593,CALC!$R$1)&amp;"")),"")&lt;&gt;"ENCERRADA"),1,0),0)</f>
        <v/>
      </c>
      <c r="B593">
        <f>B592+A593</f>
        <v/>
      </c>
    </row>
    <row r="594">
      <c r="A594">
        <f>IFERROR(IF(AND(INDEX(BASELINE!$A594:$ZZ594,CALC!$H$1)&lt;&gt;"",INT(IF(AND(CALC!$F$1&gt;0,N(INDEX(BASELINE!$A594:$ZZ594,CALC!$F$1))&gt;0),N(INDEX(BASELINE!$A594:$ZZ594,CALC!$F$1)),N(INDEX(BASELINE!$A594:$ZZ594,CALC!$P$1))))=INT(SIMOPS!$D$3),IFERROR(UPPER(TRIM(INDEX(BASELINE!$A594:$ZZ594,CALC!$R$1)&amp;"")),"")&lt;&gt;"ENCERRADA"),1,0),0)</f>
        <v/>
      </c>
      <c r="B594">
        <f>B593+A594</f>
        <v/>
      </c>
    </row>
    <row r="595">
      <c r="A595">
        <f>IFERROR(IF(AND(INDEX(BASELINE!$A595:$ZZ595,CALC!$H$1)&lt;&gt;"",INT(IF(AND(CALC!$F$1&gt;0,N(INDEX(BASELINE!$A595:$ZZ595,CALC!$F$1))&gt;0),N(INDEX(BASELINE!$A595:$ZZ595,CALC!$F$1)),N(INDEX(BASELINE!$A595:$ZZ595,CALC!$P$1))))=INT(SIMOPS!$D$3),IFERROR(UPPER(TRIM(INDEX(BASELINE!$A595:$ZZ595,CALC!$R$1)&amp;"")),"")&lt;&gt;"ENCERRADA"),1,0),0)</f>
        <v/>
      </c>
      <c r="B595">
        <f>B594+A595</f>
        <v/>
      </c>
    </row>
    <row r="596">
      <c r="A596">
        <f>IFERROR(IF(AND(INDEX(BASELINE!$A596:$ZZ596,CALC!$H$1)&lt;&gt;"",INT(IF(AND(CALC!$F$1&gt;0,N(INDEX(BASELINE!$A596:$ZZ596,CALC!$F$1))&gt;0),N(INDEX(BASELINE!$A596:$ZZ596,CALC!$F$1)),N(INDEX(BASELINE!$A596:$ZZ596,CALC!$P$1))))=INT(SIMOPS!$D$3),IFERROR(UPPER(TRIM(INDEX(BASELINE!$A596:$ZZ596,CALC!$R$1)&amp;"")),"")&lt;&gt;"ENCERRADA"),1,0),0)</f>
        <v/>
      </c>
      <c r="B596">
        <f>B595+A596</f>
        <v/>
      </c>
    </row>
    <row r="597">
      <c r="A597">
        <f>IFERROR(IF(AND(INDEX(BASELINE!$A597:$ZZ597,CALC!$H$1)&lt;&gt;"",INT(IF(AND(CALC!$F$1&gt;0,N(INDEX(BASELINE!$A597:$ZZ597,CALC!$F$1))&gt;0),N(INDEX(BASELINE!$A597:$ZZ597,CALC!$F$1)),N(INDEX(BASELINE!$A597:$ZZ597,CALC!$P$1))))=INT(SIMOPS!$D$3),IFERROR(UPPER(TRIM(INDEX(BASELINE!$A597:$ZZ597,CALC!$R$1)&amp;"")),"")&lt;&gt;"ENCERRADA"),1,0),0)</f>
        <v/>
      </c>
      <c r="B597">
        <f>B596+A597</f>
        <v/>
      </c>
    </row>
    <row r="598">
      <c r="A598">
        <f>IFERROR(IF(AND(INDEX(BASELINE!$A598:$ZZ598,CALC!$H$1)&lt;&gt;"",INT(IF(AND(CALC!$F$1&gt;0,N(INDEX(BASELINE!$A598:$ZZ598,CALC!$F$1))&gt;0),N(INDEX(BASELINE!$A598:$ZZ598,CALC!$F$1)),N(INDEX(BASELINE!$A598:$ZZ598,CALC!$P$1))))=INT(SIMOPS!$D$3),IFERROR(UPPER(TRIM(INDEX(BASELINE!$A598:$ZZ598,CALC!$R$1)&amp;"")),"")&lt;&gt;"ENCERRADA"),1,0),0)</f>
        <v/>
      </c>
      <c r="B598">
        <f>B597+A598</f>
        <v/>
      </c>
    </row>
    <row r="599">
      <c r="A599">
        <f>IFERROR(IF(AND(INDEX(BASELINE!$A599:$ZZ599,CALC!$H$1)&lt;&gt;"",INT(IF(AND(CALC!$F$1&gt;0,N(INDEX(BASELINE!$A599:$ZZ599,CALC!$F$1))&gt;0),N(INDEX(BASELINE!$A599:$ZZ599,CALC!$F$1)),N(INDEX(BASELINE!$A599:$ZZ599,CALC!$P$1))))=INT(SIMOPS!$D$3),IFERROR(UPPER(TRIM(INDEX(BASELINE!$A599:$ZZ599,CALC!$R$1)&amp;"")),"")&lt;&gt;"ENCERRADA"),1,0),0)</f>
        <v/>
      </c>
      <c r="B599">
        <f>B598+A599</f>
        <v/>
      </c>
    </row>
    <row r="600">
      <c r="A600">
        <f>IFERROR(IF(AND(INDEX(BASELINE!$A600:$ZZ600,CALC!$H$1)&lt;&gt;"",INT(IF(AND(CALC!$F$1&gt;0,N(INDEX(BASELINE!$A600:$ZZ600,CALC!$F$1))&gt;0),N(INDEX(BASELINE!$A600:$ZZ600,CALC!$F$1)),N(INDEX(BASELINE!$A600:$ZZ600,CALC!$P$1))))=INT(SIMOPS!$D$3),IFERROR(UPPER(TRIM(INDEX(BASELINE!$A600:$ZZ600,CALC!$R$1)&amp;"")),"")&lt;&gt;"ENCERRADA"),1,0),0)</f>
        <v/>
      </c>
      <c r="B600">
        <f>B599+A600</f>
        <v/>
      </c>
    </row>
    <row r="601">
      <c r="A601">
        <f>IFERROR(IF(AND(INDEX(BASELINE!$A601:$ZZ601,CALC!$H$1)&lt;&gt;"",INT(IF(AND(CALC!$F$1&gt;0,N(INDEX(BASELINE!$A601:$ZZ601,CALC!$F$1))&gt;0),N(INDEX(BASELINE!$A601:$ZZ601,CALC!$F$1)),N(INDEX(BASELINE!$A601:$ZZ601,CALC!$P$1))))=INT(SIMOPS!$D$3),IFERROR(UPPER(TRIM(INDEX(BASELINE!$A601:$ZZ601,CALC!$R$1)&amp;"")),"")&lt;&gt;"ENCERRADA"),1,0),0)</f>
        <v/>
      </c>
      <c r="B601">
        <f>B600+A601</f>
        <v/>
      </c>
    </row>
    <row r="602">
      <c r="A602">
        <f>IFERROR(IF(AND(INDEX(BASELINE!$A602:$ZZ602,CALC!$H$1)&lt;&gt;"",INT(IF(AND(CALC!$F$1&gt;0,N(INDEX(BASELINE!$A602:$ZZ602,CALC!$F$1))&gt;0),N(INDEX(BASELINE!$A602:$ZZ602,CALC!$F$1)),N(INDEX(BASELINE!$A602:$ZZ602,CALC!$P$1))))=INT(SIMOPS!$D$3),IFERROR(UPPER(TRIM(INDEX(BASELINE!$A602:$ZZ602,CALC!$R$1)&amp;"")),"")&lt;&gt;"ENCERRADA"),1,0),0)</f>
        <v/>
      </c>
      <c r="B602">
        <f>B601+A602</f>
        <v/>
      </c>
    </row>
    <row r="603">
      <c r="A603">
        <f>IFERROR(IF(AND(INDEX(BASELINE!$A603:$ZZ603,CALC!$H$1)&lt;&gt;"",INT(IF(AND(CALC!$F$1&gt;0,N(INDEX(BASELINE!$A603:$ZZ603,CALC!$F$1))&gt;0),N(INDEX(BASELINE!$A603:$ZZ603,CALC!$F$1)),N(INDEX(BASELINE!$A603:$ZZ603,CALC!$P$1))))=INT(SIMOPS!$D$3),IFERROR(UPPER(TRIM(INDEX(BASELINE!$A603:$ZZ603,CALC!$R$1)&amp;"")),"")&lt;&gt;"ENCERRADA"),1,0),0)</f>
        <v/>
      </c>
      <c r="B603">
        <f>B602+A603</f>
        <v/>
      </c>
    </row>
    <row r="604">
      <c r="A604">
        <f>IFERROR(IF(AND(INDEX(BASELINE!$A604:$ZZ604,CALC!$H$1)&lt;&gt;"",INT(IF(AND(CALC!$F$1&gt;0,N(INDEX(BASELINE!$A604:$ZZ604,CALC!$F$1))&gt;0),N(INDEX(BASELINE!$A604:$ZZ604,CALC!$F$1)),N(INDEX(BASELINE!$A604:$ZZ604,CALC!$P$1))))=INT(SIMOPS!$D$3),IFERROR(UPPER(TRIM(INDEX(BASELINE!$A604:$ZZ604,CALC!$R$1)&amp;"")),"")&lt;&gt;"ENCERRADA"),1,0),0)</f>
        <v/>
      </c>
      <c r="B604">
        <f>B603+A604</f>
        <v/>
      </c>
    </row>
    <row r="605">
      <c r="A605">
        <f>IFERROR(IF(AND(INDEX(BASELINE!$A605:$ZZ605,CALC!$H$1)&lt;&gt;"",INT(IF(AND(CALC!$F$1&gt;0,N(INDEX(BASELINE!$A605:$ZZ605,CALC!$F$1))&gt;0),N(INDEX(BASELINE!$A605:$ZZ605,CALC!$F$1)),N(INDEX(BASELINE!$A605:$ZZ605,CALC!$P$1))))=INT(SIMOPS!$D$3),IFERROR(UPPER(TRIM(INDEX(BASELINE!$A605:$ZZ605,CALC!$R$1)&amp;"")),"")&lt;&gt;"ENCERRADA"),1,0),0)</f>
        <v/>
      </c>
      <c r="B605">
        <f>B604+A605</f>
        <v/>
      </c>
    </row>
    <row r="606">
      <c r="A606">
        <f>IFERROR(IF(AND(INDEX(BASELINE!$A606:$ZZ606,CALC!$H$1)&lt;&gt;"",INT(IF(AND(CALC!$F$1&gt;0,N(INDEX(BASELINE!$A606:$ZZ606,CALC!$F$1))&gt;0),N(INDEX(BASELINE!$A606:$ZZ606,CALC!$F$1)),N(INDEX(BASELINE!$A606:$ZZ606,CALC!$P$1))))=INT(SIMOPS!$D$3),IFERROR(UPPER(TRIM(INDEX(BASELINE!$A606:$ZZ606,CALC!$R$1)&amp;"")),"")&lt;&gt;"ENCERRADA"),1,0),0)</f>
        <v/>
      </c>
      <c r="B606">
        <f>B605+A606</f>
        <v/>
      </c>
    </row>
    <row r="607">
      <c r="A607">
        <f>IFERROR(IF(AND(INDEX(BASELINE!$A607:$ZZ607,CALC!$H$1)&lt;&gt;"",INT(IF(AND(CALC!$F$1&gt;0,N(INDEX(BASELINE!$A607:$ZZ607,CALC!$F$1))&gt;0),N(INDEX(BASELINE!$A607:$ZZ607,CALC!$F$1)),N(INDEX(BASELINE!$A607:$ZZ607,CALC!$P$1))))=INT(SIMOPS!$D$3),IFERROR(UPPER(TRIM(INDEX(BASELINE!$A607:$ZZ607,CALC!$R$1)&amp;"")),"")&lt;&gt;"ENCERRADA"),1,0),0)</f>
        <v/>
      </c>
      <c r="B607">
        <f>B606+A607</f>
        <v/>
      </c>
    </row>
    <row r="608">
      <c r="A608">
        <f>IFERROR(IF(AND(INDEX(BASELINE!$A608:$ZZ608,CALC!$H$1)&lt;&gt;"",INT(IF(AND(CALC!$F$1&gt;0,N(INDEX(BASELINE!$A608:$ZZ608,CALC!$F$1))&gt;0),N(INDEX(BASELINE!$A608:$ZZ608,CALC!$F$1)),N(INDEX(BASELINE!$A608:$ZZ608,CALC!$P$1))))=INT(SIMOPS!$D$3),IFERROR(UPPER(TRIM(INDEX(BASELINE!$A608:$ZZ608,CALC!$R$1)&amp;"")),"")&lt;&gt;"ENCERRADA"),1,0),0)</f>
        <v/>
      </c>
      <c r="B608">
        <f>B607+A608</f>
        <v/>
      </c>
    </row>
    <row r="609">
      <c r="A609">
        <f>IFERROR(IF(AND(INDEX(BASELINE!$A609:$ZZ609,CALC!$H$1)&lt;&gt;"",INT(IF(AND(CALC!$F$1&gt;0,N(INDEX(BASELINE!$A609:$ZZ609,CALC!$F$1))&gt;0),N(INDEX(BASELINE!$A609:$ZZ609,CALC!$F$1)),N(INDEX(BASELINE!$A609:$ZZ609,CALC!$P$1))))=INT(SIMOPS!$D$3),IFERROR(UPPER(TRIM(INDEX(BASELINE!$A609:$ZZ609,CALC!$R$1)&amp;"")),"")&lt;&gt;"ENCERRADA"),1,0),0)</f>
        <v/>
      </c>
      <c r="B609">
        <f>B608+A609</f>
        <v/>
      </c>
    </row>
    <row r="610">
      <c r="A610">
        <f>IFERROR(IF(AND(INDEX(BASELINE!$A610:$ZZ610,CALC!$H$1)&lt;&gt;"",INT(IF(AND(CALC!$F$1&gt;0,N(INDEX(BASELINE!$A610:$ZZ610,CALC!$F$1))&gt;0),N(INDEX(BASELINE!$A610:$ZZ610,CALC!$F$1)),N(INDEX(BASELINE!$A610:$ZZ610,CALC!$P$1))))=INT(SIMOPS!$D$3),IFERROR(UPPER(TRIM(INDEX(BASELINE!$A610:$ZZ610,CALC!$R$1)&amp;"")),"")&lt;&gt;"ENCERRADA"),1,0),0)</f>
        <v/>
      </c>
      <c r="B610">
        <f>B609+A610</f>
        <v/>
      </c>
    </row>
    <row r="611">
      <c r="A611">
        <f>IFERROR(IF(AND(INDEX(BASELINE!$A611:$ZZ611,CALC!$H$1)&lt;&gt;"",INT(IF(AND(CALC!$F$1&gt;0,N(INDEX(BASELINE!$A611:$ZZ611,CALC!$F$1))&gt;0),N(INDEX(BASELINE!$A611:$ZZ611,CALC!$F$1)),N(INDEX(BASELINE!$A611:$ZZ611,CALC!$P$1))))=INT(SIMOPS!$D$3),IFERROR(UPPER(TRIM(INDEX(BASELINE!$A611:$ZZ611,CALC!$R$1)&amp;"")),"")&lt;&gt;"ENCERRADA"),1,0),0)</f>
        <v/>
      </c>
      <c r="B611">
        <f>B610+A611</f>
        <v/>
      </c>
    </row>
    <row r="612">
      <c r="A612">
        <f>IFERROR(IF(AND(INDEX(BASELINE!$A612:$ZZ612,CALC!$H$1)&lt;&gt;"",INT(IF(AND(CALC!$F$1&gt;0,N(INDEX(BASELINE!$A612:$ZZ612,CALC!$F$1))&gt;0),N(INDEX(BASELINE!$A612:$ZZ612,CALC!$F$1)),N(INDEX(BASELINE!$A612:$ZZ612,CALC!$P$1))))=INT(SIMOPS!$D$3),IFERROR(UPPER(TRIM(INDEX(BASELINE!$A612:$ZZ612,CALC!$R$1)&amp;"")),"")&lt;&gt;"ENCERRADA"),1,0),0)</f>
        <v/>
      </c>
      <c r="B612">
        <f>B611+A612</f>
        <v/>
      </c>
    </row>
    <row r="613">
      <c r="A613">
        <f>IFERROR(IF(AND(INDEX(BASELINE!$A613:$ZZ613,CALC!$H$1)&lt;&gt;"",INT(IF(AND(CALC!$F$1&gt;0,N(INDEX(BASELINE!$A613:$ZZ613,CALC!$F$1))&gt;0),N(INDEX(BASELINE!$A613:$ZZ613,CALC!$F$1)),N(INDEX(BASELINE!$A613:$ZZ613,CALC!$P$1))))=INT(SIMOPS!$D$3),IFERROR(UPPER(TRIM(INDEX(BASELINE!$A613:$ZZ613,CALC!$R$1)&amp;"")),"")&lt;&gt;"ENCERRADA"),1,0),0)</f>
        <v/>
      </c>
      <c r="B613">
        <f>B612+A613</f>
        <v/>
      </c>
    </row>
    <row r="614">
      <c r="A614">
        <f>IFERROR(IF(AND(INDEX(BASELINE!$A614:$ZZ614,CALC!$H$1)&lt;&gt;"",INT(IF(AND(CALC!$F$1&gt;0,N(INDEX(BASELINE!$A614:$ZZ614,CALC!$F$1))&gt;0),N(INDEX(BASELINE!$A614:$ZZ614,CALC!$F$1)),N(INDEX(BASELINE!$A614:$ZZ614,CALC!$P$1))))=INT(SIMOPS!$D$3),IFERROR(UPPER(TRIM(INDEX(BASELINE!$A614:$ZZ614,CALC!$R$1)&amp;"")),"")&lt;&gt;"ENCERRADA"),1,0),0)</f>
        <v/>
      </c>
      <c r="B614">
        <f>B613+A614</f>
        <v/>
      </c>
    </row>
    <row r="615">
      <c r="A615">
        <f>IFERROR(IF(AND(INDEX(BASELINE!$A615:$ZZ615,CALC!$H$1)&lt;&gt;"",INT(IF(AND(CALC!$F$1&gt;0,N(INDEX(BASELINE!$A615:$ZZ615,CALC!$F$1))&gt;0),N(INDEX(BASELINE!$A615:$ZZ615,CALC!$F$1)),N(INDEX(BASELINE!$A615:$ZZ615,CALC!$P$1))))=INT(SIMOPS!$D$3),IFERROR(UPPER(TRIM(INDEX(BASELINE!$A615:$ZZ615,CALC!$R$1)&amp;"")),"")&lt;&gt;"ENCERRADA"),1,0),0)</f>
        <v/>
      </c>
      <c r="B615">
        <f>B614+A615</f>
        <v/>
      </c>
    </row>
    <row r="616">
      <c r="A616">
        <f>IFERROR(IF(AND(INDEX(BASELINE!$A616:$ZZ616,CALC!$H$1)&lt;&gt;"",INT(IF(AND(CALC!$F$1&gt;0,N(INDEX(BASELINE!$A616:$ZZ616,CALC!$F$1))&gt;0),N(INDEX(BASELINE!$A616:$ZZ616,CALC!$F$1)),N(INDEX(BASELINE!$A616:$ZZ616,CALC!$P$1))))=INT(SIMOPS!$D$3),IFERROR(UPPER(TRIM(INDEX(BASELINE!$A616:$ZZ616,CALC!$R$1)&amp;"")),"")&lt;&gt;"ENCERRADA"),1,0),0)</f>
        <v/>
      </c>
      <c r="B616">
        <f>B615+A616</f>
        <v/>
      </c>
    </row>
    <row r="617">
      <c r="A617">
        <f>IFERROR(IF(AND(INDEX(BASELINE!$A617:$ZZ617,CALC!$H$1)&lt;&gt;"",INT(IF(AND(CALC!$F$1&gt;0,N(INDEX(BASELINE!$A617:$ZZ617,CALC!$F$1))&gt;0),N(INDEX(BASELINE!$A617:$ZZ617,CALC!$F$1)),N(INDEX(BASELINE!$A617:$ZZ617,CALC!$P$1))))=INT(SIMOPS!$D$3),IFERROR(UPPER(TRIM(INDEX(BASELINE!$A617:$ZZ617,CALC!$R$1)&amp;"")),"")&lt;&gt;"ENCERRADA"),1,0),0)</f>
        <v/>
      </c>
      <c r="B617">
        <f>B616+A617</f>
        <v/>
      </c>
    </row>
    <row r="618">
      <c r="A618">
        <f>IFERROR(IF(AND(INDEX(BASELINE!$A618:$ZZ618,CALC!$H$1)&lt;&gt;"",INT(IF(AND(CALC!$F$1&gt;0,N(INDEX(BASELINE!$A618:$ZZ618,CALC!$F$1))&gt;0),N(INDEX(BASELINE!$A618:$ZZ618,CALC!$F$1)),N(INDEX(BASELINE!$A618:$ZZ618,CALC!$P$1))))=INT(SIMOPS!$D$3),IFERROR(UPPER(TRIM(INDEX(BASELINE!$A618:$ZZ618,CALC!$R$1)&amp;"")),"")&lt;&gt;"ENCERRADA"),1,0),0)</f>
        <v/>
      </c>
      <c r="B618">
        <f>B617+A618</f>
        <v/>
      </c>
    </row>
    <row r="619">
      <c r="A619">
        <f>IFERROR(IF(AND(INDEX(BASELINE!$A619:$ZZ619,CALC!$H$1)&lt;&gt;"",INT(IF(AND(CALC!$F$1&gt;0,N(INDEX(BASELINE!$A619:$ZZ619,CALC!$F$1))&gt;0),N(INDEX(BASELINE!$A619:$ZZ619,CALC!$F$1)),N(INDEX(BASELINE!$A619:$ZZ619,CALC!$P$1))))=INT(SIMOPS!$D$3),IFERROR(UPPER(TRIM(INDEX(BASELINE!$A619:$ZZ619,CALC!$R$1)&amp;"")),"")&lt;&gt;"ENCERRADA"),1,0),0)</f>
        <v/>
      </c>
      <c r="B619">
        <f>B618+A619</f>
        <v/>
      </c>
    </row>
    <row r="620">
      <c r="A620">
        <f>IFERROR(IF(AND(INDEX(BASELINE!$A620:$ZZ620,CALC!$H$1)&lt;&gt;"",INT(IF(AND(CALC!$F$1&gt;0,N(INDEX(BASELINE!$A620:$ZZ620,CALC!$F$1))&gt;0),N(INDEX(BASELINE!$A620:$ZZ620,CALC!$F$1)),N(INDEX(BASELINE!$A620:$ZZ620,CALC!$P$1))))=INT(SIMOPS!$D$3),IFERROR(UPPER(TRIM(INDEX(BASELINE!$A620:$ZZ620,CALC!$R$1)&amp;"")),"")&lt;&gt;"ENCERRADA"),1,0),0)</f>
        <v/>
      </c>
      <c r="B620">
        <f>B619+A620</f>
        <v/>
      </c>
    </row>
    <row r="621">
      <c r="A621">
        <f>IFERROR(IF(AND(INDEX(BASELINE!$A621:$ZZ621,CALC!$H$1)&lt;&gt;"",INT(IF(AND(CALC!$F$1&gt;0,N(INDEX(BASELINE!$A621:$ZZ621,CALC!$F$1))&gt;0),N(INDEX(BASELINE!$A621:$ZZ621,CALC!$F$1)),N(INDEX(BASELINE!$A621:$ZZ621,CALC!$P$1))))=INT(SIMOPS!$D$3),IFERROR(UPPER(TRIM(INDEX(BASELINE!$A621:$ZZ621,CALC!$R$1)&amp;"")),"")&lt;&gt;"ENCERRADA"),1,0),0)</f>
        <v/>
      </c>
      <c r="B621">
        <f>B620+A621</f>
        <v/>
      </c>
    </row>
    <row r="622">
      <c r="A622">
        <f>IFERROR(IF(AND(INDEX(BASELINE!$A622:$ZZ622,CALC!$H$1)&lt;&gt;"",INT(IF(AND(CALC!$F$1&gt;0,N(INDEX(BASELINE!$A622:$ZZ622,CALC!$F$1))&gt;0),N(INDEX(BASELINE!$A622:$ZZ622,CALC!$F$1)),N(INDEX(BASELINE!$A622:$ZZ622,CALC!$P$1))))=INT(SIMOPS!$D$3),IFERROR(UPPER(TRIM(INDEX(BASELINE!$A622:$ZZ622,CALC!$R$1)&amp;"")),"")&lt;&gt;"ENCERRADA"),1,0),0)</f>
        <v/>
      </c>
      <c r="B622">
        <f>B621+A622</f>
        <v/>
      </c>
    </row>
    <row r="623">
      <c r="A623">
        <f>IFERROR(IF(AND(INDEX(BASELINE!$A623:$ZZ623,CALC!$H$1)&lt;&gt;"",INT(IF(AND(CALC!$F$1&gt;0,N(INDEX(BASELINE!$A623:$ZZ623,CALC!$F$1))&gt;0),N(INDEX(BASELINE!$A623:$ZZ623,CALC!$F$1)),N(INDEX(BASELINE!$A623:$ZZ623,CALC!$P$1))))=INT(SIMOPS!$D$3),IFERROR(UPPER(TRIM(INDEX(BASELINE!$A623:$ZZ623,CALC!$R$1)&amp;"")),"")&lt;&gt;"ENCERRADA"),1,0),0)</f>
        <v/>
      </c>
      <c r="B623">
        <f>B622+A623</f>
        <v/>
      </c>
    </row>
    <row r="624">
      <c r="A624">
        <f>IFERROR(IF(AND(INDEX(BASELINE!$A624:$ZZ624,CALC!$H$1)&lt;&gt;"",INT(IF(AND(CALC!$F$1&gt;0,N(INDEX(BASELINE!$A624:$ZZ624,CALC!$F$1))&gt;0),N(INDEX(BASELINE!$A624:$ZZ624,CALC!$F$1)),N(INDEX(BASELINE!$A624:$ZZ624,CALC!$P$1))))=INT(SIMOPS!$D$3),IFERROR(UPPER(TRIM(INDEX(BASELINE!$A624:$ZZ624,CALC!$R$1)&amp;"")),"")&lt;&gt;"ENCERRADA"),1,0),0)</f>
        <v/>
      </c>
      <c r="B624">
        <f>B623+A624</f>
        <v/>
      </c>
    </row>
    <row r="625">
      <c r="A625">
        <f>IFERROR(IF(AND(INDEX(BASELINE!$A625:$ZZ625,CALC!$H$1)&lt;&gt;"",INT(IF(AND(CALC!$F$1&gt;0,N(INDEX(BASELINE!$A625:$ZZ625,CALC!$F$1))&gt;0),N(INDEX(BASELINE!$A625:$ZZ625,CALC!$F$1)),N(INDEX(BASELINE!$A625:$ZZ625,CALC!$P$1))))=INT(SIMOPS!$D$3),IFERROR(UPPER(TRIM(INDEX(BASELINE!$A625:$ZZ625,CALC!$R$1)&amp;"")),"")&lt;&gt;"ENCERRADA"),1,0),0)</f>
        <v/>
      </c>
      <c r="B625">
        <f>B624+A625</f>
        <v/>
      </c>
    </row>
    <row r="626">
      <c r="A626">
        <f>IFERROR(IF(AND(INDEX(BASELINE!$A626:$ZZ626,CALC!$H$1)&lt;&gt;"",INT(IF(AND(CALC!$F$1&gt;0,N(INDEX(BASELINE!$A626:$ZZ626,CALC!$F$1))&gt;0),N(INDEX(BASELINE!$A626:$ZZ626,CALC!$F$1)),N(INDEX(BASELINE!$A626:$ZZ626,CALC!$P$1))))=INT(SIMOPS!$D$3),IFERROR(UPPER(TRIM(INDEX(BASELINE!$A626:$ZZ626,CALC!$R$1)&amp;"")),"")&lt;&gt;"ENCERRADA"),1,0),0)</f>
        <v/>
      </c>
      <c r="B626">
        <f>B625+A626</f>
        <v/>
      </c>
    </row>
    <row r="627">
      <c r="A627">
        <f>IFERROR(IF(AND(INDEX(BASELINE!$A627:$ZZ627,CALC!$H$1)&lt;&gt;"",INT(IF(AND(CALC!$F$1&gt;0,N(INDEX(BASELINE!$A627:$ZZ627,CALC!$F$1))&gt;0),N(INDEX(BASELINE!$A627:$ZZ627,CALC!$F$1)),N(INDEX(BASELINE!$A627:$ZZ627,CALC!$P$1))))=INT(SIMOPS!$D$3),IFERROR(UPPER(TRIM(INDEX(BASELINE!$A627:$ZZ627,CALC!$R$1)&amp;"")),"")&lt;&gt;"ENCERRADA"),1,0),0)</f>
        <v/>
      </c>
      <c r="B627">
        <f>B626+A627</f>
        <v/>
      </c>
    </row>
    <row r="628">
      <c r="A628">
        <f>IFERROR(IF(AND(INDEX(BASELINE!$A628:$ZZ628,CALC!$H$1)&lt;&gt;"",INT(IF(AND(CALC!$F$1&gt;0,N(INDEX(BASELINE!$A628:$ZZ628,CALC!$F$1))&gt;0),N(INDEX(BASELINE!$A628:$ZZ628,CALC!$F$1)),N(INDEX(BASELINE!$A628:$ZZ628,CALC!$P$1))))=INT(SIMOPS!$D$3),IFERROR(UPPER(TRIM(INDEX(BASELINE!$A628:$ZZ628,CALC!$R$1)&amp;"")),"")&lt;&gt;"ENCERRADA"),1,0),0)</f>
        <v/>
      </c>
      <c r="B628">
        <f>B627+A628</f>
        <v/>
      </c>
    </row>
    <row r="629">
      <c r="A629">
        <f>IFERROR(IF(AND(INDEX(BASELINE!$A629:$ZZ629,CALC!$H$1)&lt;&gt;"",INT(IF(AND(CALC!$F$1&gt;0,N(INDEX(BASELINE!$A629:$ZZ629,CALC!$F$1))&gt;0),N(INDEX(BASELINE!$A629:$ZZ629,CALC!$F$1)),N(INDEX(BASELINE!$A629:$ZZ629,CALC!$P$1))))=INT(SIMOPS!$D$3),IFERROR(UPPER(TRIM(INDEX(BASELINE!$A629:$ZZ629,CALC!$R$1)&amp;"")),"")&lt;&gt;"ENCERRADA"),1,0),0)</f>
        <v/>
      </c>
      <c r="B629">
        <f>B628+A629</f>
        <v/>
      </c>
    </row>
    <row r="630">
      <c r="A630">
        <f>IFERROR(IF(AND(INDEX(BASELINE!$A630:$ZZ630,CALC!$H$1)&lt;&gt;"",INT(IF(AND(CALC!$F$1&gt;0,N(INDEX(BASELINE!$A630:$ZZ630,CALC!$F$1))&gt;0),N(INDEX(BASELINE!$A630:$ZZ630,CALC!$F$1)),N(INDEX(BASELINE!$A630:$ZZ630,CALC!$P$1))))=INT(SIMOPS!$D$3),IFERROR(UPPER(TRIM(INDEX(BASELINE!$A630:$ZZ630,CALC!$R$1)&amp;"")),"")&lt;&gt;"ENCERRADA"),1,0),0)</f>
        <v/>
      </c>
      <c r="B630">
        <f>B629+A630</f>
        <v/>
      </c>
    </row>
    <row r="631">
      <c r="A631">
        <f>IFERROR(IF(AND(INDEX(BASELINE!$A631:$ZZ631,CALC!$H$1)&lt;&gt;"",INT(IF(AND(CALC!$F$1&gt;0,N(INDEX(BASELINE!$A631:$ZZ631,CALC!$F$1))&gt;0),N(INDEX(BASELINE!$A631:$ZZ631,CALC!$F$1)),N(INDEX(BASELINE!$A631:$ZZ631,CALC!$P$1))))=INT(SIMOPS!$D$3),IFERROR(UPPER(TRIM(INDEX(BASELINE!$A631:$ZZ631,CALC!$R$1)&amp;"")),"")&lt;&gt;"ENCERRADA"),1,0),0)</f>
        <v/>
      </c>
      <c r="B631">
        <f>B630+A631</f>
        <v/>
      </c>
    </row>
    <row r="632">
      <c r="A632">
        <f>IFERROR(IF(AND(INDEX(BASELINE!$A632:$ZZ632,CALC!$H$1)&lt;&gt;"",INT(IF(AND(CALC!$F$1&gt;0,N(INDEX(BASELINE!$A632:$ZZ632,CALC!$F$1))&gt;0),N(INDEX(BASELINE!$A632:$ZZ632,CALC!$F$1)),N(INDEX(BASELINE!$A632:$ZZ632,CALC!$P$1))))=INT(SIMOPS!$D$3),IFERROR(UPPER(TRIM(INDEX(BASELINE!$A632:$ZZ632,CALC!$R$1)&amp;"")),"")&lt;&gt;"ENCERRADA"),1,0),0)</f>
        <v/>
      </c>
      <c r="B632">
        <f>B631+A632</f>
        <v/>
      </c>
    </row>
    <row r="633">
      <c r="A633">
        <f>IFERROR(IF(AND(INDEX(BASELINE!$A633:$ZZ633,CALC!$H$1)&lt;&gt;"",INT(IF(AND(CALC!$F$1&gt;0,N(INDEX(BASELINE!$A633:$ZZ633,CALC!$F$1))&gt;0),N(INDEX(BASELINE!$A633:$ZZ633,CALC!$F$1)),N(INDEX(BASELINE!$A633:$ZZ633,CALC!$P$1))))=INT(SIMOPS!$D$3),IFERROR(UPPER(TRIM(INDEX(BASELINE!$A633:$ZZ633,CALC!$R$1)&amp;"")),"")&lt;&gt;"ENCERRADA"),1,0),0)</f>
        <v/>
      </c>
      <c r="B633">
        <f>B632+A633</f>
        <v/>
      </c>
    </row>
    <row r="634">
      <c r="A634">
        <f>IFERROR(IF(AND(INDEX(BASELINE!$A634:$ZZ634,CALC!$H$1)&lt;&gt;"",INT(IF(AND(CALC!$F$1&gt;0,N(INDEX(BASELINE!$A634:$ZZ634,CALC!$F$1))&gt;0),N(INDEX(BASELINE!$A634:$ZZ634,CALC!$F$1)),N(INDEX(BASELINE!$A634:$ZZ634,CALC!$P$1))))=INT(SIMOPS!$D$3),IFERROR(UPPER(TRIM(INDEX(BASELINE!$A634:$ZZ634,CALC!$R$1)&amp;"")),"")&lt;&gt;"ENCERRADA"),1,0),0)</f>
        <v/>
      </c>
      <c r="B634">
        <f>B633+A634</f>
        <v/>
      </c>
    </row>
    <row r="635">
      <c r="A635">
        <f>IFERROR(IF(AND(INDEX(BASELINE!$A635:$ZZ635,CALC!$H$1)&lt;&gt;"",INT(IF(AND(CALC!$F$1&gt;0,N(INDEX(BASELINE!$A635:$ZZ635,CALC!$F$1))&gt;0),N(INDEX(BASELINE!$A635:$ZZ635,CALC!$F$1)),N(INDEX(BASELINE!$A635:$ZZ635,CALC!$P$1))))=INT(SIMOPS!$D$3),IFERROR(UPPER(TRIM(INDEX(BASELINE!$A635:$ZZ635,CALC!$R$1)&amp;"")),"")&lt;&gt;"ENCERRADA"),1,0),0)</f>
        <v/>
      </c>
      <c r="B635">
        <f>B634+A635</f>
        <v/>
      </c>
    </row>
    <row r="636">
      <c r="A636">
        <f>IFERROR(IF(AND(INDEX(BASELINE!$A636:$ZZ636,CALC!$H$1)&lt;&gt;"",INT(IF(AND(CALC!$F$1&gt;0,N(INDEX(BASELINE!$A636:$ZZ636,CALC!$F$1))&gt;0),N(INDEX(BASELINE!$A636:$ZZ636,CALC!$F$1)),N(INDEX(BASELINE!$A636:$ZZ636,CALC!$P$1))))=INT(SIMOPS!$D$3),IFERROR(UPPER(TRIM(INDEX(BASELINE!$A636:$ZZ636,CALC!$R$1)&amp;"")),"")&lt;&gt;"ENCERRADA"),1,0),0)</f>
        <v/>
      </c>
      <c r="B636">
        <f>B635+A636</f>
        <v/>
      </c>
    </row>
    <row r="637">
      <c r="A637">
        <f>IFERROR(IF(AND(INDEX(BASELINE!$A637:$ZZ637,CALC!$H$1)&lt;&gt;"",INT(IF(AND(CALC!$F$1&gt;0,N(INDEX(BASELINE!$A637:$ZZ637,CALC!$F$1))&gt;0),N(INDEX(BASELINE!$A637:$ZZ637,CALC!$F$1)),N(INDEX(BASELINE!$A637:$ZZ637,CALC!$P$1))))=INT(SIMOPS!$D$3),IFERROR(UPPER(TRIM(INDEX(BASELINE!$A637:$ZZ637,CALC!$R$1)&amp;"")),"")&lt;&gt;"ENCERRADA"),1,0),0)</f>
        <v/>
      </c>
      <c r="B637">
        <f>B636+A637</f>
        <v/>
      </c>
    </row>
    <row r="638">
      <c r="A638">
        <f>IFERROR(IF(AND(INDEX(BASELINE!$A638:$ZZ638,CALC!$H$1)&lt;&gt;"",INT(IF(AND(CALC!$F$1&gt;0,N(INDEX(BASELINE!$A638:$ZZ638,CALC!$F$1))&gt;0),N(INDEX(BASELINE!$A638:$ZZ638,CALC!$F$1)),N(INDEX(BASELINE!$A638:$ZZ638,CALC!$P$1))))=INT(SIMOPS!$D$3),IFERROR(UPPER(TRIM(INDEX(BASELINE!$A638:$ZZ638,CALC!$R$1)&amp;"")),"")&lt;&gt;"ENCERRADA"),1,0),0)</f>
        <v/>
      </c>
      <c r="B638">
        <f>B637+A638</f>
        <v/>
      </c>
    </row>
    <row r="639">
      <c r="A639">
        <f>IFERROR(IF(AND(INDEX(BASELINE!$A639:$ZZ639,CALC!$H$1)&lt;&gt;"",INT(IF(AND(CALC!$F$1&gt;0,N(INDEX(BASELINE!$A639:$ZZ639,CALC!$F$1))&gt;0),N(INDEX(BASELINE!$A639:$ZZ639,CALC!$F$1)),N(INDEX(BASELINE!$A639:$ZZ639,CALC!$P$1))))=INT(SIMOPS!$D$3),IFERROR(UPPER(TRIM(INDEX(BASELINE!$A639:$ZZ639,CALC!$R$1)&amp;"")),"")&lt;&gt;"ENCERRADA"),1,0),0)</f>
        <v/>
      </c>
      <c r="B639">
        <f>B638+A639</f>
        <v/>
      </c>
    </row>
    <row r="640">
      <c r="A640">
        <f>IFERROR(IF(AND(INDEX(BASELINE!$A640:$ZZ640,CALC!$H$1)&lt;&gt;"",INT(IF(AND(CALC!$F$1&gt;0,N(INDEX(BASELINE!$A640:$ZZ640,CALC!$F$1))&gt;0),N(INDEX(BASELINE!$A640:$ZZ640,CALC!$F$1)),N(INDEX(BASELINE!$A640:$ZZ640,CALC!$P$1))))=INT(SIMOPS!$D$3),IFERROR(UPPER(TRIM(INDEX(BASELINE!$A640:$ZZ640,CALC!$R$1)&amp;"")),"")&lt;&gt;"ENCERRADA"),1,0),0)</f>
        <v/>
      </c>
      <c r="B640">
        <f>B639+A640</f>
        <v/>
      </c>
    </row>
    <row r="641">
      <c r="A641">
        <f>IFERROR(IF(AND(INDEX(BASELINE!$A641:$ZZ641,CALC!$H$1)&lt;&gt;"",INT(IF(AND(CALC!$F$1&gt;0,N(INDEX(BASELINE!$A641:$ZZ641,CALC!$F$1))&gt;0),N(INDEX(BASELINE!$A641:$ZZ641,CALC!$F$1)),N(INDEX(BASELINE!$A641:$ZZ641,CALC!$P$1))))=INT(SIMOPS!$D$3),IFERROR(UPPER(TRIM(INDEX(BASELINE!$A641:$ZZ641,CALC!$R$1)&amp;"")),"")&lt;&gt;"ENCERRADA"),1,0),0)</f>
        <v/>
      </c>
      <c r="B641">
        <f>B640+A641</f>
        <v/>
      </c>
    </row>
    <row r="642">
      <c r="A642">
        <f>IFERROR(IF(AND(INDEX(BASELINE!$A642:$ZZ642,CALC!$H$1)&lt;&gt;"",INT(IF(AND(CALC!$F$1&gt;0,N(INDEX(BASELINE!$A642:$ZZ642,CALC!$F$1))&gt;0),N(INDEX(BASELINE!$A642:$ZZ642,CALC!$F$1)),N(INDEX(BASELINE!$A642:$ZZ642,CALC!$P$1))))=INT(SIMOPS!$D$3),IFERROR(UPPER(TRIM(INDEX(BASELINE!$A642:$ZZ642,CALC!$R$1)&amp;"")),"")&lt;&gt;"ENCERRADA"),1,0),0)</f>
        <v/>
      </c>
      <c r="B642">
        <f>B641+A642</f>
        <v/>
      </c>
    </row>
    <row r="643">
      <c r="A643">
        <f>IFERROR(IF(AND(INDEX(BASELINE!$A643:$ZZ643,CALC!$H$1)&lt;&gt;"",INT(IF(AND(CALC!$F$1&gt;0,N(INDEX(BASELINE!$A643:$ZZ643,CALC!$F$1))&gt;0),N(INDEX(BASELINE!$A643:$ZZ643,CALC!$F$1)),N(INDEX(BASELINE!$A643:$ZZ643,CALC!$P$1))))=INT(SIMOPS!$D$3),IFERROR(UPPER(TRIM(INDEX(BASELINE!$A643:$ZZ643,CALC!$R$1)&amp;"")),"")&lt;&gt;"ENCERRADA"),1,0),0)</f>
        <v/>
      </c>
      <c r="B643">
        <f>B642+A643</f>
        <v/>
      </c>
    </row>
    <row r="644">
      <c r="A644">
        <f>IFERROR(IF(AND(INDEX(BASELINE!$A644:$ZZ644,CALC!$H$1)&lt;&gt;"",INT(IF(AND(CALC!$F$1&gt;0,N(INDEX(BASELINE!$A644:$ZZ644,CALC!$F$1))&gt;0),N(INDEX(BASELINE!$A644:$ZZ644,CALC!$F$1)),N(INDEX(BASELINE!$A644:$ZZ644,CALC!$P$1))))=INT(SIMOPS!$D$3),IFERROR(UPPER(TRIM(INDEX(BASELINE!$A644:$ZZ644,CALC!$R$1)&amp;"")),"")&lt;&gt;"ENCERRADA"),1,0),0)</f>
        <v/>
      </c>
      <c r="B644">
        <f>B643+A644</f>
        <v/>
      </c>
    </row>
    <row r="645">
      <c r="A645">
        <f>IFERROR(IF(AND(INDEX(BASELINE!$A645:$ZZ645,CALC!$H$1)&lt;&gt;"",INT(IF(AND(CALC!$F$1&gt;0,N(INDEX(BASELINE!$A645:$ZZ645,CALC!$F$1))&gt;0),N(INDEX(BASELINE!$A645:$ZZ645,CALC!$F$1)),N(INDEX(BASELINE!$A645:$ZZ645,CALC!$P$1))))=INT(SIMOPS!$D$3),IFERROR(UPPER(TRIM(INDEX(BASELINE!$A645:$ZZ645,CALC!$R$1)&amp;"")),"")&lt;&gt;"ENCERRADA"),1,0),0)</f>
        <v/>
      </c>
      <c r="B645">
        <f>B644+A645</f>
        <v/>
      </c>
    </row>
    <row r="646">
      <c r="A646">
        <f>IFERROR(IF(AND(INDEX(BASELINE!$A646:$ZZ646,CALC!$H$1)&lt;&gt;"",INT(IF(AND(CALC!$F$1&gt;0,N(INDEX(BASELINE!$A646:$ZZ646,CALC!$F$1))&gt;0),N(INDEX(BASELINE!$A646:$ZZ646,CALC!$F$1)),N(INDEX(BASELINE!$A646:$ZZ646,CALC!$P$1))))=INT(SIMOPS!$D$3),IFERROR(UPPER(TRIM(INDEX(BASELINE!$A646:$ZZ646,CALC!$R$1)&amp;"")),"")&lt;&gt;"ENCERRADA"),1,0),0)</f>
        <v/>
      </c>
      <c r="B646">
        <f>B645+A646</f>
        <v/>
      </c>
    </row>
    <row r="647">
      <c r="A647">
        <f>IFERROR(IF(AND(INDEX(BASELINE!$A647:$ZZ647,CALC!$H$1)&lt;&gt;"",INT(IF(AND(CALC!$F$1&gt;0,N(INDEX(BASELINE!$A647:$ZZ647,CALC!$F$1))&gt;0),N(INDEX(BASELINE!$A647:$ZZ647,CALC!$F$1)),N(INDEX(BASELINE!$A647:$ZZ647,CALC!$P$1))))=INT(SIMOPS!$D$3),IFERROR(UPPER(TRIM(INDEX(BASELINE!$A647:$ZZ647,CALC!$R$1)&amp;"")),"")&lt;&gt;"ENCERRADA"),1,0),0)</f>
        <v/>
      </c>
      <c r="B647">
        <f>B646+A647</f>
        <v/>
      </c>
    </row>
    <row r="648">
      <c r="A648">
        <f>IFERROR(IF(AND(INDEX(BASELINE!$A648:$ZZ648,CALC!$H$1)&lt;&gt;"",INT(IF(AND(CALC!$F$1&gt;0,N(INDEX(BASELINE!$A648:$ZZ648,CALC!$F$1))&gt;0),N(INDEX(BASELINE!$A648:$ZZ648,CALC!$F$1)),N(INDEX(BASELINE!$A648:$ZZ648,CALC!$P$1))))=INT(SIMOPS!$D$3),IFERROR(UPPER(TRIM(INDEX(BASELINE!$A648:$ZZ648,CALC!$R$1)&amp;"")),"")&lt;&gt;"ENCERRADA"),1,0),0)</f>
        <v/>
      </c>
      <c r="B648">
        <f>B647+A648</f>
        <v/>
      </c>
    </row>
    <row r="649">
      <c r="A649">
        <f>IFERROR(IF(AND(INDEX(BASELINE!$A649:$ZZ649,CALC!$H$1)&lt;&gt;"",INT(IF(AND(CALC!$F$1&gt;0,N(INDEX(BASELINE!$A649:$ZZ649,CALC!$F$1))&gt;0),N(INDEX(BASELINE!$A649:$ZZ649,CALC!$F$1)),N(INDEX(BASELINE!$A649:$ZZ649,CALC!$P$1))))=INT(SIMOPS!$D$3),IFERROR(UPPER(TRIM(INDEX(BASELINE!$A649:$ZZ649,CALC!$R$1)&amp;"")),"")&lt;&gt;"ENCERRADA"),1,0),0)</f>
        <v/>
      </c>
      <c r="B649">
        <f>B648+A649</f>
        <v/>
      </c>
    </row>
    <row r="650">
      <c r="A650">
        <f>IFERROR(IF(AND(INDEX(BASELINE!$A650:$ZZ650,CALC!$H$1)&lt;&gt;"",INT(IF(AND(CALC!$F$1&gt;0,N(INDEX(BASELINE!$A650:$ZZ650,CALC!$F$1))&gt;0),N(INDEX(BASELINE!$A650:$ZZ650,CALC!$F$1)),N(INDEX(BASELINE!$A650:$ZZ650,CALC!$P$1))))=INT(SIMOPS!$D$3),IFERROR(UPPER(TRIM(INDEX(BASELINE!$A650:$ZZ650,CALC!$R$1)&amp;"")),"")&lt;&gt;"ENCERRADA"),1,0),0)</f>
        <v/>
      </c>
      <c r="B650">
        <f>B649+A650</f>
        <v/>
      </c>
    </row>
    <row r="651">
      <c r="A651">
        <f>IFERROR(IF(AND(INDEX(BASELINE!$A651:$ZZ651,CALC!$H$1)&lt;&gt;"",INT(IF(AND(CALC!$F$1&gt;0,N(INDEX(BASELINE!$A651:$ZZ651,CALC!$F$1))&gt;0),N(INDEX(BASELINE!$A651:$ZZ651,CALC!$F$1)),N(INDEX(BASELINE!$A651:$ZZ651,CALC!$P$1))))=INT(SIMOPS!$D$3),IFERROR(UPPER(TRIM(INDEX(BASELINE!$A651:$ZZ651,CALC!$R$1)&amp;"")),"")&lt;&gt;"ENCERRADA"),1,0),0)</f>
        <v/>
      </c>
      <c r="B651">
        <f>B650+A651</f>
        <v/>
      </c>
    </row>
    <row r="652">
      <c r="A652">
        <f>IFERROR(IF(AND(INDEX(BASELINE!$A652:$ZZ652,CALC!$H$1)&lt;&gt;"",INT(IF(AND(CALC!$F$1&gt;0,N(INDEX(BASELINE!$A652:$ZZ652,CALC!$F$1))&gt;0),N(INDEX(BASELINE!$A652:$ZZ652,CALC!$F$1)),N(INDEX(BASELINE!$A652:$ZZ652,CALC!$P$1))))=INT(SIMOPS!$D$3),IFERROR(UPPER(TRIM(INDEX(BASELINE!$A652:$ZZ652,CALC!$R$1)&amp;"")),"")&lt;&gt;"ENCERRADA"),1,0),0)</f>
        <v/>
      </c>
      <c r="B652">
        <f>B651+A652</f>
        <v/>
      </c>
    </row>
    <row r="653">
      <c r="A653">
        <f>IFERROR(IF(AND(INDEX(BASELINE!$A653:$ZZ653,CALC!$H$1)&lt;&gt;"",INT(IF(AND(CALC!$F$1&gt;0,N(INDEX(BASELINE!$A653:$ZZ653,CALC!$F$1))&gt;0),N(INDEX(BASELINE!$A653:$ZZ653,CALC!$F$1)),N(INDEX(BASELINE!$A653:$ZZ653,CALC!$P$1))))=INT(SIMOPS!$D$3),IFERROR(UPPER(TRIM(INDEX(BASELINE!$A653:$ZZ653,CALC!$R$1)&amp;"")),"")&lt;&gt;"ENCERRADA"),1,0),0)</f>
        <v/>
      </c>
      <c r="B653">
        <f>B652+A653</f>
        <v/>
      </c>
    </row>
    <row r="654">
      <c r="A654">
        <f>IFERROR(IF(AND(INDEX(BASELINE!$A654:$ZZ654,CALC!$H$1)&lt;&gt;"",INT(IF(AND(CALC!$F$1&gt;0,N(INDEX(BASELINE!$A654:$ZZ654,CALC!$F$1))&gt;0),N(INDEX(BASELINE!$A654:$ZZ654,CALC!$F$1)),N(INDEX(BASELINE!$A654:$ZZ654,CALC!$P$1))))=INT(SIMOPS!$D$3),IFERROR(UPPER(TRIM(INDEX(BASELINE!$A654:$ZZ654,CALC!$R$1)&amp;"")),"")&lt;&gt;"ENCERRADA"),1,0),0)</f>
        <v/>
      </c>
      <c r="B654">
        <f>B653+A654</f>
        <v/>
      </c>
    </row>
    <row r="655">
      <c r="A655">
        <f>IFERROR(IF(AND(INDEX(BASELINE!$A655:$ZZ655,CALC!$H$1)&lt;&gt;"",INT(IF(AND(CALC!$F$1&gt;0,N(INDEX(BASELINE!$A655:$ZZ655,CALC!$F$1))&gt;0),N(INDEX(BASELINE!$A655:$ZZ655,CALC!$F$1)),N(INDEX(BASELINE!$A655:$ZZ655,CALC!$P$1))))=INT(SIMOPS!$D$3),IFERROR(UPPER(TRIM(INDEX(BASELINE!$A655:$ZZ655,CALC!$R$1)&amp;"")),"")&lt;&gt;"ENCERRADA"),1,0),0)</f>
        <v/>
      </c>
      <c r="B655">
        <f>B654+A655</f>
        <v/>
      </c>
    </row>
    <row r="656">
      <c r="A656">
        <f>IFERROR(IF(AND(INDEX(BASELINE!$A656:$ZZ656,CALC!$H$1)&lt;&gt;"",INT(IF(AND(CALC!$F$1&gt;0,N(INDEX(BASELINE!$A656:$ZZ656,CALC!$F$1))&gt;0),N(INDEX(BASELINE!$A656:$ZZ656,CALC!$F$1)),N(INDEX(BASELINE!$A656:$ZZ656,CALC!$P$1))))=INT(SIMOPS!$D$3),IFERROR(UPPER(TRIM(INDEX(BASELINE!$A656:$ZZ656,CALC!$R$1)&amp;"")),"")&lt;&gt;"ENCERRADA"),1,0),0)</f>
        <v/>
      </c>
      <c r="B656">
        <f>B655+A656</f>
        <v/>
      </c>
    </row>
    <row r="657">
      <c r="A657">
        <f>IFERROR(IF(AND(INDEX(BASELINE!$A657:$ZZ657,CALC!$H$1)&lt;&gt;"",INT(IF(AND(CALC!$F$1&gt;0,N(INDEX(BASELINE!$A657:$ZZ657,CALC!$F$1))&gt;0),N(INDEX(BASELINE!$A657:$ZZ657,CALC!$F$1)),N(INDEX(BASELINE!$A657:$ZZ657,CALC!$P$1))))=INT(SIMOPS!$D$3),IFERROR(UPPER(TRIM(INDEX(BASELINE!$A657:$ZZ657,CALC!$R$1)&amp;"")),"")&lt;&gt;"ENCERRADA"),1,0),0)</f>
        <v/>
      </c>
      <c r="B657">
        <f>B656+A657</f>
        <v/>
      </c>
    </row>
    <row r="658">
      <c r="A658">
        <f>IFERROR(IF(AND(INDEX(BASELINE!$A658:$ZZ658,CALC!$H$1)&lt;&gt;"",INT(IF(AND(CALC!$F$1&gt;0,N(INDEX(BASELINE!$A658:$ZZ658,CALC!$F$1))&gt;0),N(INDEX(BASELINE!$A658:$ZZ658,CALC!$F$1)),N(INDEX(BASELINE!$A658:$ZZ658,CALC!$P$1))))=INT(SIMOPS!$D$3),IFERROR(UPPER(TRIM(INDEX(BASELINE!$A658:$ZZ658,CALC!$R$1)&amp;"")),"")&lt;&gt;"ENCERRADA"),1,0),0)</f>
        <v/>
      </c>
      <c r="B658">
        <f>B657+A658</f>
        <v/>
      </c>
    </row>
    <row r="659">
      <c r="A659">
        <f>IFERROR(IF(AND(INDEX(BASELINE!$A659:$ZZ659,CALC!$H$1)&lt;&gt;"",INT(IF(AND(CALC!$F$1&gt;0,N(INDEX(BASELINE!$A659:$ZZ659,CALC!$F$1))&gt;0),N(INDEX(BASELINE!$A659:$ZZ659,CALC!$F$1)),N(INDEX(BASELINE!$A659:$ZZ659,CALC!$P$1))))=INT(SIMOPS!$D$3),IFERROR(UPPER(TRIM(INDEX(BASELINE!$A659:$ZZ659,CALC!$R$1)&amp;"")),"")&lt;&gt;"ENCERRADA"),1,0),0)</f>
        <v/>
      </c>
      <c r="B659">
        <f>B658+A659</f>
        <v/>
      </c>
    </row>
    <row r="660">
      <c r="A660">
        <f>IFERROR(IF(AND(INDEX(BASELINE!$A660:$ZZ660,CALC!$H$1)&lt;&gt;"",INT(IF(AND(CALC!$F$1&gt;0,N(INDEX(BASELINE!$A660:$ZZ660,CALC!$F$1))&gt;0),N(INDEX(BASELINE!$A660:$ZZ660,CALC!$F$1)),N(INDEX(BASELINE!$A660:$ZZ660,CALC!$P$1))))=INT(SIMOPS!$D$3),IFERROR(UPPER(TRIM(INDEX(BASELINE!$A660:$ZZ660,CALC!$R$1)&amp;"")),"")&lt;&gt;"ENCERRADA"),1,0),0)</f>
        <v/>
      </c>
      <c r="B660">
        <f>B659+A660</f>
        <v/>
      </c>
    </row>
    <row r="661">
      <c r="A661">
        <f>IFERROR(IF(AND(INDEX(BASELINE!$A661:$ZZ661,CALC!$H$1)&lt;&gt;"",INT(IF(AND(CALC!$F$1&gt;0,N(INDEX(BASELINE!$A661:$ZZ661,CALC!$F$1))&gt;0),N(INDEX(BASELINE!$A661:$ZZ661,CALC!$F$1)),N(INDEX(BASELINE!$A661:$ZZ661,CALC!$P$1))))=INT(SIMOPS!$D$3),IFERROR(UPPER(TRIM(INDEX(BASELINE!$A661:$ZZ661,CALC!$R$1)&amp;"")),"")&lt;&gt;"ENCERRADA"),1,0),0)</f>
        <v/>
      </c>
      <c r="B661">
        <f>B660+A661</f>
        <v/>
      </c>
    </row>
    <row r="662">
      <c r="A662">
        <f>IFERROR(IF(AND(INDEX(BASELINE!$A662:$ZZ662,CALC!$H$1)&lt;&gt;"",INT(IF(AND(CALC!$F$1&gt;0,N(INDEX(BASELINE!$A662:$ZZ662,CALC!$F$1))&gt;0),N(INDEX(BASELINE!$A662:$ZZ662,CALC!$F$1)),N(INDEX(BASELINE!$A662:$ZZ662,CALC!$P$1))))=INT(SIMOPS!$D$3),IFERROR(UPPER(TRIM(INDEX(BASELINE!$A662:$ZZ662,CALC!$R$1)&amp;"")),"")&lt;&gt;"ENCERRADA"),1,0),0)</f>
        <v/>
      </c>
      <c r="B662">
        <f>B661+A662</f>
        <v/>
      </c>
    </row>
    <row r="663">
      <c r="A663">
        <f>IFERROR(IF(AND(INDEX(BASELINE!$A663:$ZZ663,CALC!$H$1)&lt;&gt;"",INT(IF(AND(CALC!$F$1&gt;0,N(INDEX(BASELINE!$A663:$ZZ663,CALC!$F$1))&gt;0),N(INDEX(BASELINE!$A663:$ZZ663,CALC!$F$1)),N(INDEX(BASELINE!$A663:$ZZ663,CALC!$P$1))))=INT(SIMOPS!$D$3),IFERROR(UPPER(TRIM(INDEX(BASELINE!$A663:$ZZ663,CALC!$R$1)&amp;"")),"")&lt;&gt;"ENCERRADA"),1,0),0)</f>
        <v/>
      </c>
      <c r="B663">
        <f>B662+A663</f>
        <v/>
      </c>
    </row>
    <row r="664">
      <c r="A664">
        <f>IFERROR(IF(AND(INDEX(BASELINE!$A664:$ZZ664,CALC!$H$1)&lt;&gt;"",INT(IF(AND(CALC!$F$1&gt;0,N(INDEX(BASELINE!$A664:$ZZ664,CALC!$F$1))&gt;0),N(INDEX(BASELINE!$A664:$ZZ664,CALC!$F$1)),N(INDEX(BASELINE!$A664:$ZZ664,CALC!$P$1))))=INT(SIMOPS!$D$3),IFERROR(UPPER(TRIM(INDEX(BASELINE!$A664:$ZZ664,CALC!$R$1)&amp;"")),"")&lt;&gt;"ENCERRADA"),1,0),0)</f>
        <v/>
      </c>
      <c r="B664">
        <f>B663+A664</f>
        <v/>
      </c>
    </row>
    <row r="665">
      <c r="A665">
        <f>IFERROR(IF(AND(INDEX(BASELINE!$A665:$ZZ665,CALC!$H$1)&lt;&gt;"",INT(IF(AND(CALC!$F$1&gt;0,N(INDEX(BASELINE!$A665:$ZZ665,CALC!$F$1))&gt;0),N(INDEX(BASELINE!$A665:$ZZ665,CALC!$F$1)),N(INDEX(BASELINE!$A665:$ZZ665,CALC!$P$1))))=INT(SIMOPS!$D$3),IFERROR(UPPER(TRIM(INDEX(BASELINE!$A665:$ZZ665,CALC!$R$1)&amp;"")),"")&lt;&gt;"ENCERRADA"),1,0),0)</f>
        <v/>
      </c>
      <c r="B665">
        <f>B664+A665</f>
        <v/>
      </c>
    </row>
    <row r="666">
      <c r="A666">
        <f>IFERROR(IF(AND(INDEX(BASELINE!$A666:$ZZ666,CALC!$H$1)&lt;&gt;"",INT(IF(AND(CALC!$F$1&gt;0,N(INDEX(BASELINE!$A666:$ZZ666,CALC!$F$1))&gt;0),N(INDEX(BASELINE!$A666:$ZZ666,CALC!$F$1)),N(INDEX(BASELINE!$A666:$ZZ666,CALC!$P$1))))=INT(SIMOPS!$D$3),IFERROR(UPPER(TRIM(INDEX(BASELINE!$A666:$ZZ666,CALC!$R$1)&amp;"")),"")&lt;&gt;"ENCERRADA"),1,0),0)</f>
        <v/>
      </c>
      <c r="B666">
        <f>B665+A666</f>
        <v/>
      </c>
    </row>
    <row r="667">
      <c r="A667">
        <f>IFERROR(IF(AND(INDEX(BASELINE!$A667:$ZZ667,CALC!$H$1)&lt;&gt;"",INT(IF(AND(CALC!$F$1&gt;0,N(INDEX(BASELINE!$A667:$ZZ667,CALC!$F$1))&gt;0),N(INDEX(BASELINE!$A667:$ZZ667,CALC!$F$1)),N(INDEX(BASELINE!$A667:$ZZ667,CALC!$P$1))))=INT(SIMOPS!$D$3),IFERROR(UPPER(TRIM(INDEX(BASELINE!$A667:$ZZ667,CALC!$R$1)&amp;"")),"")&lt;&gt;"ENCERRADA"),1,0),0)</f>
        <v/>
      </c>
      <c r="B667">
        <f>B666+A667</f>
        <v/>
      </c>
    </row>
    <row r="668">
      <c r="A668">
        <f>IFERROR(IF(AND(INDEX(BASELINE!$A668:$ZZ668,CALC!$H$1)&lt;&gt;"",INT(IF(AND(CALC!$F$1&gt;0,N(INDEX(BASELINE!$A668:$ZZ668,CALC!$F$1))&gt;0),N(INDEX(BASELINE!$A668:$ZZ668,CALC!$F$1)),N(INDEX(BASELINE!$A668:$ZZ668,CALC!$P$1))))=INT(SIMOPS!$D$3),IFERROR(UPPER(TRIM(INDEX(BASELINE!$A668:$ZZ668,CALC!$R$1)&amp;"")),"")&lt;&gt;"ENCERRADA"),1,0),0)</f>
        <v/>
      </c>
      <c r="B668">
        <f>B667+A668</f>
        <v/>
      </c>
    </row>
    <row r="669">
      <c r="A669">
        <f>IFERROR(IF(AND(INDEX(BASELINE!$A669:$ZZ669,CALC!$H$1)&lt;&gt;"",INT(IF(AND(CALC!$F$1&gt;0,N(INDEX(BASELINE!$A669:$ZZ669,CALC!$F$1))&gt;0),N(INDEX(BASELINE!$A669:$ZZ669,CALC!$F$1)),N(INDEX(BASELINE!$A669:$ZZ669,CALC!$P$1))))=INT(SIMOPS!$D$3),IFERROR(UPPER(TRIM(INDEX(BASELINE!$A669:$ZZ669,CALC!$R$1)&amp;"")),"")&lt;&gt;"ENCERRADA"),1,0),0)</f>
        <v/>
      </c>
      <c r="B669">
        <f>B668+A669</f>
        <v/>
      </c>
    </row>
    <row r="670">
      <c r="A670">
        <f>IFERROR(IF(AND(INDEX(BASELINE!$A670:$ZZ670,CALC!$H$1)&lt;&gt;"",INT(IF(AND(CALC!$F$1&gt;0,N(INDEX(BASELINE!$A670:$ZZ670,CALC!$F$1))&gt;0),N(INDEX(BASELINE!$A670:$ZZ670,CALC!$F$1)),N(INDEX(BASELINE!$A670:$ZZ670,CALC!$P$1))))=INT(SIMOPS!$D$3),IFERROR(UPPER(TRIM(INDEX(BASELINE!$A670:$ZZ670,CALC!$R$1)&amp;"")),"")&lt;&gt;"ENCERRADA"),1,0),0)</f>
        <v/>
      </c>
      <c r="B670">
        <f>B669+A670</f>
        <v/>
      </c>
    </row>
    <row r="671">
      <c r="A671">
        <f>IFERROR(IF(AND(INDEX(BASELINE!$A671:$ZZ671,CALC!$H$1)&lt;&gt;"",INT(IF(AND(CALC!$F$1&gt;0,N(INDEX(BASELINE!$A671:$ZZ671,CALC!$F$1))&gt;0),N(INDEX(BASELINE!$A671:$ZZ671,CALC!$F$1)),N(INDEX(BASELINE!$A671:$ZZ671,CALC!$P$1))))=INT(SIMOPS!$D$3),IFERROR(UPPER(TRIM(INDEX(BASELINE!$A671:$ZZ671,CALC!$R$1)&amp;"")),"")&lt;&gt;"ENCERRADA"),1,0),0)</f>
        <v/>
      </c>
      <c r="B671">
        <f>B670+A671</f>
        <v/>
      </c>
    </row>
    <row r="672">
      <c r="A672">
        <f>IFERROR(IF(AND(INDEX(BASELINE!$A672:$ZZ672,CALC!$H$1)&lt;&gt;"",INT(IF(AND(CALC!$F$1&gt;0,N(INDEX(BASELINE!$A672:$ZZ672,CALC!$F$1))&gt;0),N(INDEX(BASELINE!$A672:$ZZ672,CALC!$F$1)),N(INDEX(BASELINE!$A672:$ZZ672,CALC!$P$1))))=INT(SIMOPS!$D$3),IFERROR(UPPER(TRIM(INDEX(BASELINE!$A672:$ZZ672,CALC!$R$1)&amp;"")),"")&lt;&gt;"ENCERRADA"),1,0),0)</f>
        <v/>
      </c>
      <c r="B672">
        <f>B671+A672</f>
        <v/>
      </c>
    </row>
    <row r="673">
      <c r="A673">
        <f>IFERROR(IF(AND(INDEX(BASELINE!$A673:$ZZ673,CALC!$H$1)&lt;&gt;"",INT(IF(AND(CALC!$F$1&gt;0,N(INDEX(BASELINE!$A673:$ZZ673,CALC!$F$1))&gt;0),N(INDEX(BASELINE!$A673:$ZZ673,CALC!$F$1)),N(INDEX(BASELINE!$A673:$ZZ673,CALC!$P$1))))=INT(SIMOPS!$D$3),IFERROR(UPPER(TRIM(INDEX(BASELINE!$A673:$ZZ673,CALC!$R$1)&amp;"")),"")&lt;&gt;"ENCERRADA"),1,0),0)</f>
        <v/>
      </c>
      <c r="B673">
        <f>B672+A673</f>
        <v/>
      </c>
    </row>
    <row r="674">
      <c r="A674">
        <f>IFERROR(IF(AND(INDEX(BASELINE!$A674:$ZZ674,CALC!$H$1)&lt;&gt;"",INT(IF(AND(CALC!$F$1&gt;0,N(INDEX(BASELINE!$A674:$ZZ674,CALC!$F$1))&gt;0),N(INDEX(BASELINE!$A674:$ZZ674,CALC!$F$1)),N(INDEX(BASELINE!$A674:$ZZ674,CALC!$P$1))))=INT(SIMOPS!$D$3),IFERROR(UPPER(TRIM(INDEX(BASELINE!$A674:$ZZ674,CALC!$R$1)&amp;"")),"")&lt;&gt;"ENCERRADA"),1,0),0)</f>
        <v/>
      </c>
      <c r="B674">
        <f>B673+A674</f>
        <v/>
      </c>
    </row>
    <row r="675">
      <c r="A675">
        <f>IFERROR(IF(AND(INDEX(BASELINE!$A675:$ZZ675,CALC!$H$1)&lt;&gt;"",INT(IF(AND(CALC!$F$1&gt;0,N(INDEX(BASELINE!$A675:$ZZ675,CALC!$F$1))&gt;0),N(INDEX(BASELINE!$A675:$ZZ675,CALC!$F$1)),N(INDEX(BASELINE!$A675:$ZZ675,CALC!$P$1))))=INT(SIMOPS!$D$3),IFERROR(UPPER(TRIM(INDEX(BASELINE!$A675:$ZZ675,CALC!$R$1)&amp;"")),"")&lt;&gt;"ENCERRADA"),1,0),0)</f>
        <v/>
      </c>
      <c r="B675">
        <f>B674+A675</f>
        <v/>
      </c>
    </row>
    <row r="676">
      <c r="A676">
        <f>IFERROR(IF(AND(INDEX(BASELINE!$A676:$ZZ676,CALC!$H$1)&lt;&gt;"",INT(IF(AND(CALC!$F$1&gt;0,N(INDEX(BASELINE!$A676:$ZZ676,CALC!$F$1))&gt;0),N(INDEX(BASELINE!$A676:$ZZ676,CALC!$F$1)),N(INDEX(BASELINE!$A676:$ZZ676,CALC!$P$1))))=INT(SIMOPS!$D$3),IFERROR(UPPER(TRIM(INDEX(BASELINE!$A676:$ZZ676,CALC!$R$1)&amp;"")),"")&lt;&gt;"ENCERRADA"),1,0),0)</f>
        <v/>
      </c>
      <c r="B676">
        <f>B675+A676</f>
        <v/>
      </c>
    </row>
    <row r="677">
      <c r="A677">
        <f>IFERROR(IF(AND(INDEX(BASELINE!$A677:$ZZ677,CALC!$H$1)&lt;&gt;"",INT(IF(AND(CALC!$F$1&gt;0,N(INDEX(BASELINE!$A677:$ZZ677,CALC!$F$1))&gt;0),N(INDEX(BASELINE!$A677:$ZZ677,CALC!$F$1)),N(INDEX(BASELINE!$A677:$ZZ677,CALC!$P$1))))=INT(SIMOPS!$D$3),IFERROR(UPPER(TRIM(INDEX(BASELINE!$A677:$ZZ677,CALC!$R$1)&amp;"")),"")&lt;&gt;"ENCERRADA"),1,0),0)</f>
        <v/>
      </c>
      <c r="B677">
        <f>B676+A677</f>
        <v/>
      </c>
    </row>
    <row r="678">
      <c r="A678">
        <f>IFERROR(IF(AND(INDEX(BASELINE!$A678:$ZZ678,CALC!$H$1)&lt;&gt;"",INT(IF(AND(CALC!$F$1&gt;0,N(INDEX(BASELINE!$A678:$ZZ678,CALC!$F$1))&gt;0),N(INDEX(BASELINE!$A678:$ZZ678,CALC!$F$1)),N(INDEX(BASELINE!$A678:$ZZ678,CALC!$P$1))))=INT(SIMOPS!$D$3),IFERROR(UPPER(TRIM(INDEX(BASELINE!$A678:$ZZ678,CALC!$R$1)&amp;"")),"")&lt;&gt;"ENCERRADA"),1,0),0)</f>
        <v/>
      </c>
      <c r="B678">
        <f>B677+A678</f>
        <v/>
      </c>
    </row>
    <row r="679">
      <c r="A679">
        <f>IFERROR(IF(AND(INDEX(BASELINE!$A679:$ZZ679,CALC!$H$1)&lt;&gt;"",INT(IF(AND(CALC!$F$1&gt;0,N(INDEX(BASELINE!$A679:$ZZ679,CALC!$F$1))&gt;0),N(INDEX(BASELINE!$A679:$ZZ679,CALC!$F$1)),N(INDEX(BASELINE!$A679:$ZZ679,CALC!$P$1))))=INT(SIMOPS!$D$3),IFERROR(UPPER(TRIM(INDEX(BASELINE!$A679:$ZZ679,CALC!$R$1)&amp;"")),"")&lt;&gt;"ENCERRADA"),1,0),0)</f>
        <v/>
      </c>
      <c r="B679">
        <f>B678+A679</f>
        <v/>
      </c>
    </row>
    <row r="680">
      <c r="A680">
        <f>IFERROR(IF(AND(INDEX(BASELINE!$A680:$ZZ680,CALC!$H$1)&lt;&gt;"",INT(IF(AND(CALC!$F$1&gt;0,N(INDEX(BASELINE!$A680:$ZZ680,CALC!$F$1))&gt;0),N(INDEX(BASELINE!$A680:$ZZ680,CALC!$F$1)),N(INDEX(BASELINE!$A680:$ZZ680,CALC!$P$1))))=INT(SIMOPS!$D$3),IFERROR(UPPER(TRIM(INDEX(BASELINE!$A680:$ZZ680,CALC!$R$1)&amp;"")),"")&lt;&gt;"ENCERRADA"),1,0),0)</f>
        <v/>
      </c>
      <c r="B680">
        <f>B679+A680</f>
        <v/>
      </c>
    </row>
    <row r="681">
      <c r="A681">
        <f>IFERROR(IF(AND(INDEX(BASELINE!$A681:$ZZ681,CALC!$H$1)&lt;&gt;"",INT(IF(AND(CALC!$F$1&gt;0,N(INDEX(BASELINE!$A681:$ZZ681,CALC!$F$1))&gt;0),N(INDEX(BASELINE!$A681:$ZZ681,CALC!$F$1)),N(INDEX(BASELINE!$A681:$ZZ681,CALC!$P$1))))=INT(SIMOPS!$D$3),IFERROR(UPPER(TRIM(INDEX(BASELINE!$A681:$ZZ681,CALC!$R$1)&amp;"")),"")&lt;&gt;"ENCERRADA"),1,0),0)</f>
        <v/>
      </c>
      <c r="B681">
        <f>B680+A681</f>
        <v/>
      </c>
    </row>
    <row r="682">
      <c r="A682">
        <f>IFERROR(IF(AND(INDEX(BASELINE!$A682:$ZZ682,CALC!$H$1)&lt;&gt;"",INT(IF(AND(CALC!$F$1&gt;0,N(INDEX(BASELINE!$A682:$ZZ682,CALC!$F$1))&gt;0),N(INDEX(BASELINE!$A682:$ZZ682,CALC!$F$1)),N(INDEX(BASELINE!$A682:$ZZ682,CALC!$P$1))))=INT(SIMOPS!$D$3),IFERROR(UPPER(TRIM(INDEX(BASELINE!$A682:$ZZ682,CALC!$R$1)&amp;"")),"")&lt;&gt;"ENCERRADA"),1,0),0)</f>
        <v/>
      </c>
      <c r="B682">
        <f>B681+A682</f>
        <v/>
      </c>
    </row>
    <row r="683">
      <c r="A683">
        <f>IFERROR(IF(AND(INDEX(BASELINE!$A683:$ZZ683,CALC!$H$1)&lt;&gt;"",INT(IF(AND(CALC!$F$1&gt;0,N(INDEX(BASELINE!$A683:$ZZ683,CALC!$F$1))&gt;0),N(INDEX(BASELINE!$A683:$ZZ683,CALC!$F$1)),N(INDEX(BASELINE!$A683:$ZZ683,CALC!$P$1))))=INT(SIMOPS!$D$3),IFERROR(UPPER(TRIM(INDEX(BASELINE!$A683:$ZZ683,CALC!$R$1)&amp;"")),"")&lt;&gt;"ENCERRADA"),1,0),0)</f>
        <v/>
      </c>
      <c r="B683">
        <f>B682+A683</f>
        <v/>
      </c>
    </row>
    <row r="684">
      <c r="A684">
        <f>IFERROR(IF(AND(INDEX(BASELINE!$A684:$ZZ684,CALC!$H$1)&lt;&gt;"",INT(IF(AND(CALC!$F$1&gt;0,N(INDEX(BASELINE!$A684:$ZZ684,CALC!$F$1))&gt;0),N(INDEX(BASELINE!$A684:$ZZ684,CALC!$F$1)),N(INDEX(BASELINE!$A684:$ZZ684,CALC!$P$1))))=INT(SIMOPS!$D$3),IFERROR(UPPER(TRIM(INDEX(BASELINE!$A684:$ZZ684,CALC!$R$1)&amp;"")),"")&lt;&gt;"ENCERRADA"),1,0),0)</f>
        <v/>
      </c>
      <c r="B684">
        <f>B683+A684</f>
        <v/>
      </c>
    </row>
    <row r="685">
      <c r="A685">
        <f>IFERROR(IF(AND(INDEX(BASELINE!$A685:$ZZ685,CALC!$H$1)&lt;&gt;"",INT(IF(AND(CALC!$F$1&gt;0,N(INDEX(BASELINE!$A685:$ZZ685,CALC!$F$1))&gt;0),N(INDEX(BASELINE!$A685:$ZZ685,CALC!$F$1)),N(INDEX(BASELINE!$A685:$ZZ685,CALC!$P$1))))=INT(SIMOPS!$D$3),IFERROR(UPPER(TRIM(INDEX(BASELINE!$A685:$ZZ685,CALC!$R$1)&amp;"")),"")&lt;&gt;"ENCERRADA"),1,0),0)</f>
        <v/>
      </c>
      <c r="B685">
        <f>B684+A685</f>
        <v/>
      </c>
    </row>
    <row r="686">
      <c r="A686">
        <f>IFERROR(IF(AND(INDEX(BASELINE!$A686:$ZZ686,CALC!$H$1)&lt;&gt;"",INT(IF(AND(CALC!$F$1&gt;0,N(INDEX(BASELINE!$A686:$ZZ686,CALC!$F$1))&gt;0),N(INDEX(BASELINE!$A686:$ZZ686,CALC!$F$1)),N(INDEX(BASELINE!$A686:$ZZ686,CALC!$P$1))))=INT(SIMOPS!$D$3),IFERROR(UPPER(TRIM(INDEX(BASELINE!$A686:$ZZ686,CALC!$R$1)&amp;"")),"")&lt;&gt;"ENCERRADA"),1,0),0)</f>
        <v/>
      </c>
      <c r="B686">
        <f>B685+A686</f>
        <v/>
      </c>
    </row>
    <row r="687">
      <c r="A687">
        <f>IFERROR(IF(AND(INDEX(BASELINE!$A687:$ZZ687,CALC!$H$1)&lt;&gt;"",INT(IF(AND(CALC!$F$1&gt;0,N(INDEX(BASELINE!$A687:$ZZ687,CALC!$F$1))&gt;0),N(INDEX(BASELINE!$A687:$ZZ687,CALC!$F$1)),N(INDEX(BASELINE!$A687:$ZZ687,CALC!$P$1))))=INT(SIMOPS!$D$3),IFERROR(UPPER(TRIM(INDEX(BASELINE!$A687:$ZZ687,CALC!$R$1)&amp;"")),"")&lt;&gt;"ENCERRADA"),1,0),0)</f>
        <v/>
      </c>
      <c r="B687">
        <f>B686+A687</f>
        <v/>
      </c>
    </row>
    <row r="688">
      <c r="A688">
        <f>IFERROR(IF(AND(INDEX(BASELINE!$A688:$ZZ688,CALC!$H$1)&lt;&gt;"",INT(IF(AND(CALC!$F$1&gt;0,N(INDEX(BASELINE!$A688:$ZZ688,CALC!$F$1))&gt;0),N(INDEX(BASELINE!$A688:$ZZ688,CALC!$F$1)),N(INDEX(BASELINE!$A688:$ZZ688,CALC!$P$1))))=INT(SIMOPS!$D$3),IFERROR(UPPER(TRIM(INDEX(BASELINE!$A688:$ZZ688,CALC!$R$1)&amp;"")),"")&lt;&gt;"ENCERRADA"),1,0),0)</f>
        <v/>
      </c>
      <c r="B688">
        <f>B687+A688</f>
        <v/>
      </c>
    </row>
    <row r="689">
      <c r="A689">
        <f>IFERROR(IF(AND(INDEX(BASELINE!$A689:$ZZ689,CALC!$H$1)&lt;&gt;"",INT(IF(AND(CALC!$F$1&gt;0,N(INDEX(BASELINE!$A689:$ZZ689,CALC!$F$1))&gt;0),N(INDEX(BASELINE!$A689:$ZZ689,CALC!$F$1)),N(INDEX(BASELINE!$A689:$ZZ689,CALC!$P$1))))=INT(SIMOPS!$D$3),IFERROR(UPPER(TRIM(INDEX(BASELINE!$A689:$ZZ689,CALC!$R$1)&amp;"")),"")&lt;&gt;"ENCERRADA"),1,0),0)</f>
        <v/>
      </c>
      <c r="B689">
        <f>B688+A689</f>
        <v/>
      </c>
    </row>
    <row r="690">
      <c r="A690">
        <f>IFERROR(IF(AND(INDEX(BASELINE!$A690:$ZZ690,CALC!$H$1)&lt;&gt;"",INT(IF(AND(CALC!$F$1&gt;0,N(INDEX(BASELINE!$A690:$ZZ690,CALC!$F$1))&gt;0),N(INDEX(BASELINE!$A690:$ZZ690,CALC!$F$1)),N(INDEX(BASELINE!$A690:$ZZ690,CALC!$P$1))))=INT(SIMOPS!$D$3),IFERROR(UPPER(TRIM(INDEX(BASELINE!$A690:$ZZ690,CALC!$R$1)&amp;"")),"")&lt;&gt;"ENCERRADA"),1,0),0)</f>
        <v/>
      </c>
      <c r="B690">
        <f>B689+A690</f>
        <v/>
      </c>
    </row>
    <row r="691">
      <c r="A691">
        <f>IFERROR(IF(AND(INDEX(BASELINE!$A691:$ZZ691,CALC!$H$1)&lt;&gt;"",INT(IF(AND(CALC!$F$1&gt;0,N(INDEX(BASELINE!$A691:$ZZ691,CALC!$F$1))&gt;0),N(INDEX(BASELINE!$A691:$ZZ691,CALC!$F$1)),N(INDEX(BASELINE!$A691:$ZZ691,CALC!$P$1))))=INT(SIMOPS!$D$3),IFERROR(UPPER(TRIM(INDEX(BASELINE!$A691:$ZZ691,CALC!$R$1)&amp;"")),"")&lt;&gt;"ENCERRADA"),1,0),0)</f>
        <v/>
      </c>
      <c r="B691">
        <f>B690+A691</f>
        <v/>
      </c>
    </row>
    <row r="692">
      <c r="A692">
        <f>IFERROR(IF(AND(INDEX(BASELINE!$A692:$ZZ692,CALC!$H$1)&lt;&gt;"",INT(IF(AND(CALC!$F$1&gt;0,N(INDEX(BASELINE!$A692:$ZZ692,CALC!$F$1))&gt;0),N(INDEX(BASELINE!$A692:$ZZ692,CALC!$F$1)),N(INDEX(BASELINE!$A692:$ZZ692,CALC!$P$1))))=INT(SIMOPS!$D$3),IFERROR(UPPER(TRIM(INDEX(BASELINE!$A692:$ZZ692,CALC!$R$1)&amp;"")),"")&lt;&gt;"ENCERRADA"),1,0),0)</f>
        <v/>
      </c>
      <c r="B692">
        <f>B691+A692</f>
        <v/>
      </c>
    </row>
    <row r="693">
      <c r="A693">
        <f>IFERROR(IF(AND(INDEX(BASELINE!$A693:$ZZ693,CALC!$H$1)&lt;&gt;"",INT(IF(AND(CALC!$F$1&gt;0,N(INDEX(BASELINE!$A693:$ZZ693,CALC!$F$1))&gt;0),N(INDEX(BASELINE!$A693:$ZZ693,CALC!$F$1)),N(INDEX(BASELINE!$A693:$ZZ693,CALC!$P$1))))=INT(SIMOPS!$D$3),IFERROR(UPPER(TRIM(INDEX(BASELINE!$A693:$ZZ693,CALC!$R$1)&amp;"")),"")&lt;&gt;"ENCERRADA"),1,0),0)</f>
        <v/>
      </c>
      <c r="B693">
        <f>B692+A693</f>
        <v/>
      </c>
    </row>
    <row r="694">
      <c r="A694">
        <f>IFERROR(IF(AND(INDEX(BASELINE!$A694:$ZZ694,CALC!$H$1)&lt;&gt;"",INT(IF(AND(CALC!$F$1&gt;0,N(INDEX(BASELINE!$A694:$ZZ694,CALC!$F$1))&gt;0),N(INDEX(BASELINE!$A694:$ZZ694,CALC!$F$1)),N(INDEX(BASELINE!$A694:$ZZ694,CALC!$P$1))))=INT(SIMOPS!$D$3),IFERROR(UPPER(TRIM(INDEX(BASELINE!$A694:$ZZ694,CALC!$R$1)&amp;"")),"")&lt;&gt;"ENCERRADA"),1,0),0)</f>
        <v/>
      </c>
      <c r="B694">
        <f>B693+A694</f>
        <v/>
      </c>
    </row>
    <row r="695">
      <c r="A695">
        <f>IFERROR(IF(AND(INDEX(BASELINE!$A695:$ZZ695,CALC!$H$1)&lt;&gt;"",INT(IF(AND(CALC!$F$1&gt;0,N(INDEX(BASELINE!$A695:$ZZ695,CALC!$F$1))&gt;0),N(INDEX(BASELINE!$A695:$ZZ695,CALC!$F$1)),N(INDEX(BASELINE!$A695:$ZZ695,CALC!$P$1))))=INT(SIMOPS!$D$3),IFERROR(UPPER(TRIM(INDEX(BASELINE!$A695:$ZZ695,CALC!$R$1)&amp;"")),"")&lt;&gt;"ENCERRADA"),1,0),0)</f>
        <v/>
      </c>
      <c r="B695">
        <f>B694+A695</f>
        <v/>
      </c>
    </row>
    <row r="696">
      <c r="A696">
        <f>IFERROR(IF(AND(INDEX(BASELINE!$A696:$ZZ696,CALC!$H$1)&lt;&gt;"",INT(IF(AND(CALC!$F$1&gt;0,N(INDEX(BASELINE!$A696:$ZZ696,CALC!$F$1))&gt;0),N(INDEX(BASELINE!$A696:$ZZ696,CALC!$F$1)),N(INDEX(BASELINE!$A696:$ZZ696,CALC!$P$1))))=INT(SIMOPS!$D$3),IFERROR(UPPER(TRIM(INDEX(BASELINE!$A696:$ZZ696,CALC!$R$1)&amp;"")),"")&lt;&gt;"ENCERRADA"),1,0),0)</f>
        <v/>
      </c>
      <c r="B696">
        <f>B695+A696</f>
        <v/>
      </c>
    </row>
    <row r="697">
      <c r="A697">
        <f>IFERROR(IF(AND(INDEX(BASELINE!$A697:$ZZ697,CALC!$H$1)&lt;&gt;"",INT(IF(AND(CALC!$F$1&gt;0,N(INDEX(BASELINE!$A697:$ZZ697,CALC!$F$1))&gt;0),N(INDEX(BASELINE!$A697:$ZZ697,CALC!$F$1)),N(INDEX(BASELINE!$A697:$ZZ697,CALC!$P$1))))=INT(SIMOPS!$D$3),IFERROR(UPPER(TRIM(INDEX(BASELINE!$A697:$ZZ697,CALC!$R$1)&amp;"")),"")&lt;&gt;"ENCERRADA"),1,0),0)</f>
        <v/>
      </c>
      <c r="B697">
        <f>B696+A697</f>
        <v/>
      </c>
    </row>
    <row r="698">
      <c r="A698">
        <f>IFERROR(IF(AND(INDEX(BASELINE!$A698:$ZZ698,CALC!$H$1)&lt;&gt;"",INT(IF(AND(CALC!$F$1&gt;0,N(INDEX(BASELINE!$A698:$ZZ698,CALC!$F$1))&gt;0),N(INDEX(BASELINE!$A698:$ZZ698,CALC!$F$1)),N(INDEX(BASELINE!$A698:$ZZ698,CALC!$P$1))))=INT(SIMOPS!$D$3),IFERROR(UPPER(TRIM(INDEX(BASELINE!$A698:$ZZ698,CALC!$R$1)&amp;"")),"")&lt;&gt;"ENCERRADA"),1,0),0)</f>
        <v/>
      </c>
      <c r="B698">
        <f>B697+A698</f>
        <v/>
      </c>
    </row>
    <row r="699">
      <c r="A699">
        <f>IFERROR(IF(AND(INDEX(BASELINE!$A699:$ZZ699,CALC!$H$1)&lt;&gt;"",INT(IF(AND(CALC!$F$1&gt;0,N(INDEX(BASELINE!$A699:$ZZ699,CALC!$F$1))&gt;0),N(INDEX(BASELINE!$A699:$ZZ699,CALC!$F$1)),N(INDEX(BASELINE!$A699:$ZZ699,CALC!$P$1))))=INT(SIMOPS!$D$3),IFERROR(UPPER(TRIM(INDEX(BASELINE!$A699:$ZZ699,CALC!$R$1)&amp;"")),"")&lt;&gt;"ENCERRADA"),1,0),0)</f>
        <v/>
      </c>
      <c r="B699">
        <f>B698+A699</f>
        <v/>
      </c>
    </row>
    <row r="700">
      <c r="A700">
        <f>IFERROR(IF(AND(INDEX(BASELINE!$A700:$ZZ700,CALC!$H$1)&lt;&gt;"",INT(IF(AND(CALC!$F$1&gt;0,N(INDEX(BASELINE!$A700:$ZZ700,CALC!$F$1))&gt;0),N(INDEX(BASELINE!$A700:$ZZ700,CALC!$F$1)),N(INDEX(BASELINE!$A700:$ZZ700,CALC!$P$1))))=INT(SIMOPS!$D$3),IFERROR(UPPER(TRIM(INDEX(BASELINE!$A700:$ZZ700,CALC!$R$1)&amp;"")),"")&lt;&gt;"ENCERRADA"),1,0),0)</f>
        <v/>
      </c>
      <c r="B700">
        <f>B699+A700</f>
        <v/>
      </c>
    </row>
    <row r="701">
      <c r="A701">
        <f>IFERROR(IF(AND(INDEX(BASELINE!$A701:$ZZ701,CALC!$H$1)&lt;&gt;"",INT(IF(AND(CALC!$F$1&gt;0,N(INDEX(BASELINE!$A701:$ZZ701,CALC!$F$1))&gt;0),N(INDEX(BASELINE!$A701:$ZZ701,CALC!$F$1)),N(INDEX(BASELINE!$A701:$ZZ701,CALC!$P$1))))=INT(SIMOPS!$D$3),IFERROR(UPPER(TRIM(INDEX(BASELINE!$A701:$ZZ701,CALC!$R$1)&amp;"")),"")&lt;&gt;"ENCERRADA"),1,0),0)</f>
        <v/>
      </c>
      <c r="B701">
        <f>B700+A701</f>
        <v/>
      </c>
    </row>
    <row r="702">
      <c r="A702">
        <f>IFERROR(IF(AND(INDEX(BASELINE!$A702:$ZZ702,CALC!$H$1)&lt;&gt;"",INT(IF(AND(CALC!$F$1&gt;0,N(INDEX(BASELINE!$A702:$ZZ702,CALC!$F$1))&gt;0),N(INDEX(BASELINE!$A702:$ZZ702,CALC!$F$1)),N(INDEX(BASELINE!$A702:$ZZ702,CALC!$P$1))))=INT(SIMOPS!$D$3),IFERROR(UPPER(TRIM(INDEX(BASELINE!$A702:$ZZ702,CALC!$R$1)&amp;"")),"")&lt;&gt;"ENCERRADA"),1,0),0)</f>
        <v/>
      </c>
      <c r="B702">
        <f>B701+A702</f>
        <v/>
      </c>
    </row>
    <row r="703">
      <c r="A703">
        <f>IFERROR(IF(AND(INDEX(BASELINE!$A703:$ZZ703,CALC!$H$1)&lt;&gt;"",INT(IF(AND(CALC!$F$1&gt;0,N(INDEX(BASELINE!$A703:$ZZ703,CALC!$F$1))&gt;0),N(INDEX(BASELINE!$A703:$ZZ703,CALC!$F$1)),N(INDEX(BASELINE!$A703:$ZZ703,CALC!$P$1))))=INT(SIMOPS!$D$3),IFERROR(UPPER(TRIM(INDEX(BASELINE!$A703:$ZZ703,CALC!$R$1)&amp;"")),"")&lt;&gt;"ENCERRADA"),1,0),0)</f>
        <v/>
      </c>
      <c r="B703">
        <f>B702+A703</f>
        <v/>
      </c>
    </row>
    <row r="704">
      <c r="A704">
        <f>IFERROR(IF(AND(INDEX(BASELINE!$A704:$ZZ704,CALC!$H$1)&lt;&gt;"",INT(IF(AND(CALC!$F$1&gt;0,N(INDEX(BASELINE!$A704:$ZZ704,CALC!$F$1))&gt;0),N(INDEX(BASELINE!$A704:$ZZ704,CALC!$F$1)),N(INDEX(BASELINE!$A704:$ZZ704,CALC!$P$1))))=INT(SIMOPS!$D$3),IFERROR(UPPER(TRIM(INDEX(BASELINE!$A704:$ZZ704,CALC!$R$1)&amp;"")),"")&lt;&gt;"ENCERRADA"),1,0),0)</f>
        <v/>
      </c>
      <c r="B704">
        <f>B703+A704</f>
        <v/>
      </c>
    </row>
    <row r="705">
      <c r="A705">
        <f>IFERROR(IF(AND(INDEX(BASELINE!$A705:$ZZ705,CALC!$H$1)&lt;&gt;"",INT(IF(AND(CALC!$F$1&gt;0,N(INDEX(BASELINE!$A705:$ZZ705,CALC!$F$1))&gt;0),N(INDEX(BASELINE!$A705:$ZZ705,CALC!$F$1)),N(INDEX(BASELINE!$A705:$ZZ705,CALC!$P$1))))=INT(SIMOPS!$D$3),IFERROR(UPPER(TRIM(INDEX(BASELINE!$A705:$ZZ705,CALC!$R$1)&amp;"")),"")&lt;&gt;"ENCERRADA"),1,0),0)</f>
        <v/>
      </c>
      <c r="B705">
        <f>B704+A705</f>
        <v/>
      </c>
    </row>
    <row r="706">
      <c r="A706">
        <f>IFERROR(IF(AND(INDEX(BASELINE!$A706:$ZZ706,CALC!$H$1)&lt;&gt;"",INT(IF(AND(CALC!$F$1&gt;0,N(INDEX(BASELINE!$A706:$ZZ706,CALC!$F$1))&gt;0),N(INDEX(BASELINE!$A706:$ZZ706,CALC!$F$1)),N(INDEX(BASELINE!$A706:$ZZ706,CALC!$P$1))))=INT(SIMOPS!$D$3),IFERROR(UPPER(TRIM(INDEX(BASELINE!$A706:$ZZ706,CALC!$R$1)&amp;"")),"")&lt;&gt;"ENCERRADA"),1,0),0)</f>
        <v/>
      </c>
      <c r="B706">
        <f>B705+A706</f>
        <v/>
      </c>
    </row>
    <row r="707">
      <c r="A707">
        <f>IFERROR(IF(AND(INDEX(BASELINE!$A707:$ZZ707,CALC!$H$1)&lt;&gt;"",INT(IF(AND(CALC!$F$1&gt;0,N(INDEX(BASELINE!$A707:$ZZ707,CALC!$F$1))&gt;0),N(INDEX(BASELINE!$A707:$ZZ707,CALC!$F$1)),N(INDEX(BASELINE!$A707:$ZZ707,CALC!$P$1))))=INT(SIMOPS!$D$3),IFERROR(UPPER(TRIM(INDEX(BASELINE!$A707:$ZZ707,CALC!$R$1)&amp;"")),"")&lt;&gt;"ENCERRADA"),1,0),0)</f>
        <v/>
      </c>
      <c r="B707">
        <f>B706+A707</f>
        <v/>
      </c>
    </row>
    <row r="708">
      <c r="A708">
        <f>IFERROR(IF(AND(INDEX(BASELINE!$A708:$ZZ708,CALC!$H$1)&lt;&gt;"",INT(IF(AND(CALC!$F$1&gt;0,N(INDEX(BASELINE!$A708:$ZZ708,CALC!$F$1))&gt;0),N(INDEX(BASELINE!$A708:$ZZ708,CALC!$F$1)),N(INDEX(BASELINE!$A708:$ZZ708,CALC!$P$1))))=INT(SIMOPS!$D$3),IFERROR(UPPER(TRIM(INDEX(BASELINE!$A708:$ZZ708,CALC!$R$1)&amp;"")),"")&lt;&gt;"ENCERRADA"),1,0),0)</f>
        <v/>
      </c>
      <c r="B708">
        <f>B707+A708</f>
        <v/>
      </c>
    </row>
    <row r="709">
      <c r="A709">
        <f>IFERROR(IF(AND(INDEX(BASELINE!$A709:$ZZ709,CALC!$H$1)&lt;&gt;"",INT(IF(AND(CALC!$F$1&gt;0,N(INDEX(BASELINE!$A709:$ZZ709,CALC!$F$1))&gt;0),N(INDEX(BASELINE!$A709:$ZZ709,CALC!$F$1)),N(INDEX(BASELINE!$A709:$ZZ709,CALC!$P$1))))=INT(SIMOPS!$D$3),IFERROR(UPPER(TRIM(INDEX(BASELINE!$A709:$ZZ709,CALC!$R$1)&amp;"")),"")&lt;&gt;"ENCERRADA"),1,0),0)</f>
        <v/>
      </c>
      <c r="B709">
        <f>B708+A709</f>
        <v/>
      </c>
    </row>
    <row r="710">
      <c r="A710">
        <f>IFERROR(IF(AND(INDEX(BASELINE!$A710:$ZZ710,CALC!$H$1)&lt;&gt;"",INT(IF(AND(CALC!$F$1&gt;0,N(INDEX(BASELINE!$A710:$ZZ710,CALC!$F$1))&gt;0),N(INDEX(BASELINE!$A710:$ZZ710,CALC!$F$1)),N(INDEX(BASELINE!$A710:$ZZ710,CALC!$P$1))))=INT(SIMOPS!$D$3),IFERROR(UPPER(TRIM(INDEX(BASELINE!$A710:$ZZ710,CALC!$R$1)&amp;"")),"")&lt;&gt;"ENCERRADA"),1,0),0)</f>
        <v/>
      </c>
      <c r="B710">
        <f>B709+A710</f>
        <v/>
      </c>
    </row>
    <row r="711">
      <c r="A711">
        <f>IFERROR(IF(AND(INDEX(BASELINE!$A711:$ZZ711,CALC!$H$1)&lt;&gt;"",INT(IF(AND(CALC!$F$1&gt;0,N(INDEX(BASELINE!$A711:$ZZ711,CALC!$F$1))&gt;0),N(INDEX(BASELINE!$A711:$ZZ711,CALC!$F$1)),N(INDEX(BASELINE!$A711:$ZZ711,CALC!$P$1))))=INT(SIMOPS!$D$3),IFERROR(UPPER(TRIM(INDEX(BASELINE!$A711:$ZZ711,CALC!$R$1)&amp;"")),"")&lt;&gt;"ENCERRADA"),1,0),0)</f>
        <v/>
      </c>
      <c r="B711">
        <f>B710+A711</f>
        <v/>
      </c>
    </row>
    <row r="712">
      <c r="A712">
        <f>IFERROR(IF(AND(INDEX(BASELINE!$A712:$ZZ712,CALC!$H$1)&lt;&gt;"",INT(IF(AND(CALC!$F$1&gt;0,N(INDEX(BASELINE!$A712:$ZZ712,CALC!$F$1))&gt;0),N(INDEX(BASELINE!$A712:$ZZ712,CALC!$F$1)),N(INDEX(BASELINE!$A712:$ZZ712,CALC!$P$1))))=INT(SIMOPS!$D$3),IFERROR(UPPER(TRIM(INDEX(BASELINE!$A712:$ZZ712,CALC!$R$1)&amp;"")),"")&lt;&gt;"ENCERRADA"),1,0),0)</f>
        <v/>
      </c>
      <c r="B712">
        <f>B711+A712</f>
        <v/>
      </c>
    </row>
    <row r="713">
      <c r="A713">
        <f>IFERROR(IF(AND(INDEX(BASELINE!$A713:$ZZ713,CALC!$H$1)&lt;&gt;"",INT(IF(AND(CALC!$F$1&gt;0,N(INDEX(BASELINE!$A713:$ZZ713,CALC!$F$1))&gt;0),N(INDEX(BASELINE!$A713:$ZZ713,CALC!$F$1)),N(INDEX(BASELINE!$A713:$ZZ713,CALC!$P$1))))=INT(SIMOPS!$D$3),IFERROR(UPPER(TRIM(INDEX(BASELINE!$A713:$ZZ713,CALC!$R$1)&amp;"")),"")&lt;&gt;"ENCERRADA"),1,0),0)</f>
        <v/>
      </c>
      <c r="B713">
        <f>B712+A713</f>
        <v/>
      </c>
    </row>
    <row r="714">
      <c r="A714">
        <f>IFERROR(IF(AND(INDEX(BASELINE!$A714:$ZZ714,CALC!$H$1)&lt;&gt;"",INT(IF(AND(CALC!$F$1&gt;0,N(INDEX(BASELINE!$A714:$ZZ714,CALC!$F$1))&gt;0),N(INDEX(BASELINE!$A714:$ZZ714,CALC!$F$1)),N(INDEX(BASELINE!$A714:$ZZ714,CALC!$P$1))))=INT(SIMOPS!$D$3),IFERROR(UPPER(TRIM(INDEX(BASELINE!$A714:$ZZ714,CALC!$R$1)&amp;"")),"")&lt;&gt;"ENCERRADA"),1,0),0)</f>
        <v/>
      </c>
      <c r="B714">
        <f>B713+A714</f>
        <v/>
      </c>
    </row>
    <row r="715">
      <c r="A715">
        <f>IFERROR(IF(AND(INDEX(BASELINE!$A715:$ZZ715,CALC!$H$1)&lt;&gt;"",INT(IF(AND(CALC!$F$1&gt;0,N(INDEX(BASELINE!$A715:$ZZ715,CALC!$F$1))&gt;0),N(INDEX(BASELINE!$A715:$ZZ715,CALC!$F$1)),N(INDEX(BASELINE!$A715:$ZZ715,CALC!$P$1))))=INT(SIMOPS!$D$3),IFERROR(UPPER(TRIM(INDEX(BASELINE!$A715:$ZZ715,CALC!$R$1)&amp;"")),"")&lt;&gt;"ENCERRADA"),1,0),0)</f>
        <v/>
      </c>
      <c r="B715">
        <f>B714+A715</f>
        <v/>
      </c>
    </row>
    <row r="716">
      <c r="A716">
        <f>IFERROR(IF(AND(INDEX(BASELINE!$A716:$ZZ716,CALC!$H$1)&lt;&gt;"",INT(IF(AND(CALC!$F$1&gt;0,N(INDEX(BASELINE!$A716:$ZZ716,CALC!$F$1))&gt;0),N(INDEX(BASELINE!$A716:$ZZ716,CALC!$F$1)),N(INDEX(BASELINE!$A716:$ZZ716,CALC!$P$1))))=INT(SIMOPS!$D$3),IFERROR(UPPER(TRIM(INDEX(BASELINE!$A716:$ZZ716,CALC!$R$1)&amp;"")),"")&lt;&gt;"ENCERRADA"),1,0),0)</f>
        <v/>
      </c>
      <c r="B716">
        <f>B715+A716</f>
        <v/>
      </c>
    </row>
    <row r="717">
      <c r="A717">
        <f>IFERROR(IF(AND(INDEX(BASELINE!$A717:$ZZ717,CALC!$H$1)&lt;&gt;"",INT(IF(AND(CALC!$F$1&gt;0,N(INDEX(BASELINE!$A717:$ZZ717,CALC!$F$1))&gt;0),N(INDEX(BASELINE!$A717:$ZZ717,CALC!$F$1)),N(INDEX(BASELINE!$A717:$ZZ717,CALC!$P$1))))=INT(SIMOPS!$D$3),IFERROR(UPPER(TRIM(INDEX(BASELINE!$A717:$ZZ717,CALC!$R$1)&amp;"")),"")&lt;&gt;"ENCERRADA"),1,0),0)</f>
        <v/>
      </c>
      <c r="B717">
        <f>B716+A717</f>
        <v/>
      </c>
    </row>
    <row r="718">
      <c r="A718">
        <f>IFERROR(IF(AND(INDEX(BASELINE!$A718:$ZZ718,CALC!$H$1)&lt;&gt;"",INT(IF(AND(CALC!$F$1&gt;0,N(INDEX(BASELINE!$A718:$ZZ718,CALC!$F$1))&gt;0),N(INDEX(BASELINE!$A718:$ZZ718,CALC!$F$1)),N(INDEX(BASELINE!$A718:$ZZ718,CALC!$P$1))))=INT(SIMOPS!$D$3),IFERROR(UPPER(TRIM(INDEX(BASELINE!$A718:$ZZ718,CALC!$R$1)&amp;"")),"")&lt;&gt;"ENCERRADA"),1,0),0)</f>
        <v/>
      </c>
      <c r="B718">
        <f>B717+A718</f>
        <v/>
      </c>
    </row>
    <row r="719">
      <c r="A719">
        <f>IFERROR(IF(AND(INDEX(BASELINE!$A719:$ZZ719,CALC!$H$1)&lt;&gt;"",INT(IF(AND(CALC!$F$1&gt;0,N(INDEX(BASELINE!$A719:$ZZ719,CALC!$F$1))&gt;0),N(INDEX(BASELINE!$A719:$ZZ719,CALC!$F$1)),N(INDEX(BASELINE!$A719:$ZZ719,CALC!$P$1))))=INT(SIMOPS!$D$3),IFERROR(UPPER(TRIM(INDEX(BASELINE!$A719:$ZZ719,CALC!$R$1)&amp;"")),"")&lt;&gt;"ENCERRADA"),1,0),0)</f>
        <v/>
      </c>
      <c r="B719">
        <f>B718+A719</f>
        <v/>
      </c>
    </row>
    <row r="720">
      <c r="A720">
        <f>IFERROR(IF(AND(INDEX(BASELINE!$A720:$ZZ720,CALC!$H$1)&lt;&gt;"",INT(IF(AND(CALC!$F$1&gt;0,N(INDEX(BASELINE!$A720:$ZZ720,CALC!$F$1))&gt;0),N(INDEX(BASELINE!$A720:$ZZ720,CALC!$F$1)),N(INDEX(BASELINE!$A720:$ZZ720,CALC!$P$1))))=INT(SIMOPS!$D$3),IFERROR(UPPER(TRIM(INDEX(BASELINE!$A720:$ZZ720,CALC!$R$1)&amp;"")),"")&lt;&gt;"ENCERRADA"),1,0),0)</f>
        <v/>
      </c>
      <c r="B720">
        <f>B719+A720</f>
        <v/>
      </c>
    </row>
    <row r="721">
      <c r="A721">
        <f>IFERROR(IF(AND(INDEX(BASELINE!$A721:$ZZ721,CALC!$H$1)&lt;&gt;"",INT(IF(AND(CALC!$F$1&gt;0,N(INDEX(BASELINE!$A721:$ZZ721,CALC!$F$1))&gt;0),N(INDEX(BASELINE!$A721:$ZZ721,CALC!$F$1)),N(INDEX(BASELINE!$A721:$ZZ721,CALC!$P$1))))=INT(SIMOPS!$D$3),IFERROR(UPPER(TRIM(INDEX(BASELINE!$A721:$ZZ721,CALC!$R$1)&amp;"")),"")&lt;&gt;"ENCERRADA"),1,0),0)</f>
        <v/>
      </c>
      <c r="B721">
        <f>B720+A721</f>
        <v/>
      </c>
    </row>
    <row r="722">
      <c r="A722">
        <f>IFERROR(IF(AND(INDEX(BASELINE!$A722:$ZZ722,CALC!$H$1)&lt;&gt;"",INT(IF(AND(CALC!$F$1&gt;0,N(INDEX(BASELINE!$A722:$ZZ722,CALC!$F$1))&gt;0),N(INDEX(BASELINE!$A722:$ZZ722,CALC!$F$1)),N(INDEX(BASELINE!$A722:$ZZ722,CALC!$P$1))))=INT(SIMOPS!$D$3),IFERROR(UPPER(TRIM(INDEX(BASELINE!$A722:$ZZ722,CALC!$R$1)&amp;"")),"")&lt;&gt;"ENCERRADA"),1,0),0)</f>
        <v/>
      </c>
      <c r="B722">
        <f>B721+A722</f>
        <v/>
      </c>
    </row>
    <row r="723">
      <c r="A723">
        <f>IFERROR(IF(AND(INDEX(BASELINE!$A723:$ZZ723,CALC!$H$1)&lt;&gt;"",INT(IF(AND(CALC!$F$1&gt;0,N(INDEX(BASELINE!$A723:$ZZ723,CALC!$F$1))&gt;0),N(INDEX(BASELINE!$A723:$ZZ723,CALC!$F$1)),N(INDEX(BASELINE!$A723:$ZZ723,CALC!$P$1))))=INT(SIMOPS!$D$3),IFERROR(UPPER(TRIM(INDEX(BASELINE!$A723:$ZZ723,CALC!$R$1)&amp;"")),"")&lt;&gt;"ENCERRADA"),1,0),0)</f>
        <v/>
      </c>
      <c r="B723">
        <f>B722+A723</f>
        <v/>
      </c>
    </row>
    <row r="724">
      <c r="A724">
        <f>IFERROR(IF(AND(INDEX(BASELINE!$A724:$ZZ724,CALC!$H$1)&lt;&gt;"",INT(IF(AND(CALC!$F$1&gt;0,N(INDEX(BASELINE!$A724:$ZZ724,CALC!$F$1))&gt;0),N(INDEX(BASELINE!$A724:$ZZ724,CALC!$F$1)),N(INDEX(BASELINE!$A724:$ZZ724,CALC!$P$1))))=INT(SIMOPS!$D$3),IFERROR(UPPER(TRIM(INDEX(BASELINE!$A724:$ZZ724,CALC!$R$1)&amp;"")),"")&lt;&gt;"ENCERRADA"),1,0),0)</f>
        <v/>
      </c>
      <c r="B724">
        <f>B723+A724</f>
        <v/>
      </c>
    </row>
    <row r="725">
      <c r="A725">
        <f>IFERROR(IF(AND(INDEX(BASELINE!$A725:$ZZ725,CALC!$H$1)&lt;&gt;"",INT(IF(AND(CALC!$F$1&gt;0,N(INDEX(BASELINE!$A725:$ZZ725,CALC!$F$1))&gt;0),N(INDEX(BASELINE!$A725:$ZZ725,CALC!$F$1)),N(INDEX(BASELINE!$A725:$ZZ725,CALC!$P$1))))=INT(SIMOPS!$D$3),IFERROR(UPPER(TRIM(INDEX(BASELINE!$A725:$ZZ725,CALC!$R$1)&amp;"")),"")&lt;&gt;"ENCERRADA"),1,0),0)</f>
        <v/>
      </c>
      <c r="B725">
        <f>B724+A725</f>
        <v/>
      </c>
    </row>
    <row r="726">
      <c r="A726">
        <f>IFERROR(IF(AND(INDEX(BASELINE!$A726:$ZZ726,CALC!$H$1)&lt;&gt;"",INT(IF(AND(CALC!$F$1&gt;0,N(INDEX(BASELINE!$A726:$ZZ726,CALC!$F$1))&gt;0),N(INDEX(BASELINE!$A726:$ZZ726,CALC!$F$1)),N(INDEX(BASELINE!$A726:$ZZ726,CALC!$P$1))))=INT(SIMOPS!$D$3),IFERROR(UPPER(TRIM(INDEX(BASELINE!$A726:$ZZ726,CALC!$R$1)&amp;"")),"")&lt;&gt;"ENCERRADA"),1,0),0)</f>
        <v/>
      </c>
      <c r="B726">
        <f>B725+A726</f>
        <v/>
      </c>
    </row>
    <row r="727">
      <c r="A727">
        <f>IFERROR(IF(AND(INDEX(BASELINE!$A727:$ZZ727,CALC!$H$1)&lt;&gt;"",INT(IF(AND(CALC!$F$1&gt;0,N(INDEX(BASELINE!$A727:$ZZ727,CALC!$F$1))&gt;0),N(INDEX(BASELINE!$A727:$ZZ727,CALC!$F$1)),N(INDEX(BASELINE!$A727:$ZZ727,CALC!$P$1))))=INT(SIMOPS!$D$3),IFERROR(UPPER(TRIM(INDEX(BASELINE!$A727:$ZZ727,CALC!$R$1)&amp;"")),"")&lt;&gt;"ENCERRADA"),1,0),0)</f>
        <v/>
      </c>
      <c r="B727">
        <f>B726+A727</f>
        <v/>
      </c>
    </row>
    <row r="728">
      <c r="A728">
        <f>IFERROR(IF(AND(INDEX(BASELINE!$A728:$ZZ728,CALC!$H$1)&lt;&gt;"",INT(IF(AND(CALC!$F$1&gt;0,N(INDEX(BASELINE!$A728:$ZZ728,CALC!$F$1))&gt;0),N(INDEX(BASELINE!$A728:$ZZ728,CALC!$F$1)),N(INDEX(BASELINE!$A728:$ZZ728,CALC!$P$1))))=INT(SIMOPS!$D$3),IFERROR(UPPER(TRIM(INDEX(BASELINE!$A728:$ZZ728,CALC!$R$1)&amp;"")),"")&lt;&gt;"ENCERRADA"),1,0),0)</f>
        <v/>
      </c>
      <c r="B728">
        <f>B727+A728</f>
        <v/>
      </c>
    </row>
    <row r="729">
      <c r="A729">
        <f>IFERROR(IF(AND(INDEX(BASELINE!$A729:$ZZ729,CALC!$H$1)&lt;&gt;"",INT(IF(AND(CALC!$F$1&gt;0,N(INDEX(BASELINE!$A729:$ZZ729,CALC!$F$1))&gt;0),N(INDEX(BASELINE!$A729:$ZZ729,CALC!$F$1)),N(INDEX(BASELINE!$A729:$ZZ729,CALC!$P$1))))=INT(SIMOPS!$D$3),IFERROR(UPPER(TRIM(INDEX(BASELINE!$A729:$ZZ729,CALC!$R$1)&amp;"")),"")&lt;&gt;"ENCERRADA"),1,0),0)</f>
        <v/>
      </c>
      <c r="B729">
        <f>B728+A729</f>
        <v/>
      </c>
    </row>
    <row r="730">
      <c r="A730">
        <f>IFERROR(IF(AND(INDEX(BASELINE!$A730:$ZZ730,CALC!$H$1)&lt;&gt;"",INT(IF(AND(CALC!$F$1&gt;0,N(INDEX(BASELINE!$A730:$ZZ730,CALC!$F$1))&gt;0),N(INDEX(BASELINE!$A730:$ZZ730,CALC!$F$1)),N(INDEX(BASELINE!$A730:$ZZ730,CALC!$P$1))))=INT(SIMOPS!$D$3),IFERROR(UPPER(TRIM(INDEX(BASELINE!$A730:$ZZ730,CALC!$R$1)&amp;"")),"")&lt;&gt;"ENCERRADA"),1,0),0)</f>
        <v/>
      </c>
      <c r="B730">
        <f>B729+A730</f>
        <v/>
      </c>
    </row>
    <row r="731">
      <c r="A731">
        <f>IFERROR(IF(AND(INDEX(BASELINE!$A731:$ZZ731,CALC!$H$1)&lt;&gt;"",INT(IF(AND(CALC!$F$1&gt;0,N(INDEX(BASELINE!$A731:$ZZ731,CALC!$F$1))&gt;0),N(INDEX(BASELINE!$A731:$ZZ731,CALC!$F$1)),N(INDEX(BASELINE!$A731:$ZZ731,CALC!$P$1))))=INT(SIMOPS!$D$3),IFERROR(UPPER(TRIM(INDEX(BASELINE!$A731:$ZZ731,CALC!$R$1)&amp;"")),"")&lt;&gt;"ENCERRADA"),1,0),0)</f>
        <v/>
      </c>
      <c r="B731">
        <f>B730+A731</f>
        <v/>
      </c>
    </row>
    <row r="732">
      <c r="A732">
        <f>IFERROR(IF(AND(INDEX(BASELINE!$A732:$ZZ732,CALC!$H$1)&lt;&gt;"",INT(IF(AND(CALC!$F$1&gt;0,N(INDEX(BASELINE!$A732:$ZZ732,CALC!$F$1))&gt;0),N(INDEX(BASELINE!$A732:$ZZ732,CALC!$F$1)),N(INDEX(BASELINE!$A732:$ZZ732,CALC!$P$1))))=INT(SIMOPS!$D$3),IFERROR(UPPER(TRIM(INDEX(BASELINE!$A732:$ZZ732,CALC!$R$1)&amp;"")),"")&lt;&gt;"ENCERRADA"),1,0),0)</f>
        <v/>
      </c>
      <c r="B732">
        <f>B731+A732</f>
        <v/>
      </c>
    </row>
    <row r="733">
      <c r="A733">
        <f>IFERROR(IF(AND(INDEX(BASELINE!$A733:$ZZ733,CALC!$H$1)&lt;&gt;"",INT(IF(AND(CALC!$F$1&gt;0,N(INDEX(BASELINE!$A733:$ZZ733,CALC!$F$1))&gt;0),N(INDEX(BASELINE!$A733:$ZZ733,CALC!$F$1)),N(INDEX(BASELINE!$A733:$ZZ733,CALC!$P$1))))=INT(SIMOPS!$D$3),IFERROR(UPPER(TRIM(INDEX(BASELINE!$A733:$ZZ733,CALC!$R$1)&amp;"")),"")&lt;&gt;"ENCERRADA"),1,0),0)</f>
        <v/>
      </c>
      <c r="B733">
        <f>B732+A733</f>
        <v/>
      </c>
    </row>
    <row r="734">
      <c r="A734">
        <f>IFERROR(IF(AND(INDEX(BASELINE!$A734:$ZZ734,CALC!$H$1)&lt;&gt;"",INT(IF(AND(CALC!$F$1&gt;0,N(INDEX(BASELINE!$A734:$ZZ734,CALC!$F$1))&gt;0),N(INDEX(BASELINE!$A734:$ZZ734,CALC!$F$1)),N(INDEX(BASELINE!$A734:$ZZ734,CALC!$P$1))))=INT(SIMOPS!$D$3),IFERROR(UPPER(TRIM(INDEX(BASELINE!$A734:$ZZ734,CALC!$R$1)&amp;"")),"")&lt;&gt;"ENCERRADA"),1,0),0)</f>
        <v/>
      </c>
      <c r="B734">
        <f>B733+A734</f>
        <v/>
      </c>
    </row>
    <row r="735">
      <c r="A735">
        <f>IFERROR(IF(AND(INDEX(BASELINE!$A735:$ZZ735,CALC!$H$1)&lt;&gt;"",INT(IF(AND(CALC!$F$1&gt;0,N(INDEX(BASELINE!$A735:$ZZ735,CALC!$F$1))&gt;0),N(INDEX(BASELINE!$A735:$ZZ735,CALC!$F$1)),N(INDEX(BASELINE!$A735:$ZZ735,CALC!$P$1))))=INT(SIMOPS!$D$3),IFERROR(UPPER(TRIM(INDEX(BASELINE!$A735:$ZZ735,CALC!$R$1)&amp;"")),"")&lt;&gt;"ENCERRADA"),1,0),0)</f>
        <v/>
      </c>
      <c r="B735">
        <f>B734+A735</f>
        <v/>
      </c>
    </row>
    <row r="736">
      <c r="A736">
        <f>IFERROR(IF(AND(INDEX(BASELINE!$A736:$ZZ736,CALC!$H$1)&lt;&gt;"",INT(IF(AND(CALC!$F$1&gt;0,N(INDEX(BASELINE!$A736:$ZZ736,CALC!$F$1))&gt;0),N(INDEX(BASELINE!$A736:$ZZ736,CALC!$F$1)),N(INDEX(BASELINE!$A736:$ZZ736,CALC!$P$1))))=INT(SIMOPS!$D$3),IFERROR(UPPER(TRIM(INDEX(BASELINE!$A736:$ZZ736,CALC!$R$1)&amp;"")),"")&lt;&gt;"ENCERRADA"),1,0),0)</f>
        <v/>
      </c>
      <c r="B736">
        <f>B735+A736</f>
        <v/>
      </c>
    </row>
    <row r="737">
      <c r="A737">
        <f>IFERROR(IF(AND(INDEX(BASELINE!$A737:$ZZ737,CALC!$H$1)&lt;&gt;"",INT(IF(AND(CALC!$F$1&gt;0,N(INDEX(BASELINE!$A737:$ZZ737,CALC!$F$1))&gt;0),N(INDEX(BASELINE!$A737:$ZZ737,CALC!$F$1)),N(INDEX(BASELINE!$A737:$ZZ737,CALC!$P$1))))=INT(SIMOPS!$D$3),IFERROR(UPPER(TRIM(INDEX(BASELINE!$A737:$ZZ737,CALC!$R$1)&amp;"")),"")&lt;&gt;"ENCERRADA"),1,0),0)</f>
        <v/>
      </c>
      <c r="B737">
        <f>B736+A737</f>
        <v/>
      </c>
    </row>
    <row r="738">
      <c r="A738">
        <f>IFERROR(IF(AND(INDEX(BASELINE!$A738:$ZZ738,CALC!$H$1)&lt;&gt;"",INT(IF(AND(CALC!$F$1&gt;0,N(INDEX(BASELINE!$A738:$ZZ738,CALC!$F$1))&gt;0),N(INDEX(BASELINE!$A738:$ZZ738,CALC!$F$1)),N(INDEX(BASELINE!$A738:$ZZ738,CALC!$P$1))))=INT(SIMOPS!$D$3),IFERROR(UPPER(TRIM(INDEX(BASELINE!$A738:$ZZ738,CALC!$R$1)&amp;"")),"")&lt;&gt;"ENCERRADA"),1,0),0)</f>
        <v/>
      </c>
      <c r="B738">
        <f>B737+A738</f>
        <v/>
      </c>
    </row>
    <row r="739">
      <c r="A739">
        <f>IFERROR(IF(AND(INDEX(BASELINE!$A739:$ZZ739,CALC!$H$1)&lt;&gt;"",INT(IF(AND(CALC!$F$1&gt;0,N(INDEX(BASELINE!$A739:$ZZ739,CALC!$F$1))&gt;0),N(INDEX(BASELINE!$A739:$ZZ739,CALC!$F$1)),N(INDEX(BASELINE!$A739:$ZZ739,CALC!$P$1))))=INT(SIMOPS!$D$3),IFERROR(UPPER(TRIM(INDEX(BASELINE!$A739:$ZZ739,CALC!$R$1)&amp;"")),"")&lt;&gt;"ENCERRADA"),1,0),0)</f>
        <v/>
      </c>
      <c r="B739">
        <f>B738+A739</f>
        <v/>
      </c>
    </row>
    <row r="740">
      <c r="A740">
        <f>IFERROR(IF(AND(INDEX(BASELINE!$A740:$ZZ740,CALC!$H$1)&lt;&gt;"",INT(IF(AND(CALC!$F$1&gt;0,N(INDEX(BASELINE!$A740:$ZZ740,CALC!$F$1))&gt;0),N(INDEX(BASELINE!$A740:$ZZ740,CALC!$F$1)),N(INDEX(BASELINE!$A740:$ZZ740,CALC!$P$1))))=INT(SIMOPS!$D$3),IFERROR(UPPER(TRIM(INDEX(BASELINE!$A740:$ZZ740,CALC!$R$1)&amp;"")),"")&lt;&gt;"ENCERRADA"),1,0),0)</f>
        <v/>
      </c>
      <c r="B740">
        <f>B739+A740</f>
        <v/>
      </c>
    </row>
    <row r="741">
      <c r="A741">
        <f>IFERROR(IF(AND(INDEX(BASELINE!$A741:$ZZ741,CALC!$H$1)&lt;&gt;"",INT(IF(AND(CALC!$F$1&gt;0,N(INDEX(BASELINE!$A741:$ZZ741,CALC!$F$1))&gt;0),N(INDEX(BASELINE!$A741:$ZZ741,CALC!$F$1)),N(INDEX(BASELINE!$A741:$ZZ741,CALC!$P$1))))=INT(SIMOPS!$D$3),IFERROR(UPPER(TRIM(INDEX(BASELINE!$A741:$ZZ741,CALC!$R$1)&amp;"")),"")&lt;&gt;"ENCERRADA"),1,0),0)</f>
        <v/>
      </c>
      <c r="B741">
        <f>B740+A741</f>
        <v/>
      </c>
    </row>
    <row r="742">
      <c r="A742">
        <f>IFERROR(IF(AND(INDEX(BASELINE!$A742:$ZZ742,CALC!$H$1)&lt;&gt;"",INT(IF(AND(CALC!$F$1&gt;0,N(INDEX(BASELINE!$A742:$ZZ742,CALC!$F$1))&gt;0),N(INDEX(BASELINE!$A742:$ZZ742,CALC!$F$1)),N(INDEX(BASELINE!$A742:$ZZ742,CALC!$P$1))))=INT(SIMOPS!$D$3),IFERROR(UPPER(TRIM(INDEX(BASELINE!$A742:$ZZ742,CALC!$R$1)&amp;"")),"")&lt;&gt;"ENCERRADA"),1,0),0)</f>
        <v/>
      </c>
      <c r="B742">
        <f>B741+A742</f>
        <v/>
      </c>
    </row>
    <row r="743">
      <c r="A743">
        <f>IFERROR(IF(AND(INDEX(BASELINE!$A743:$ZZ743,CALC!$H$1)&lt;&gt;"",INT(IF(AND(CALC!$F$1&gt;0,N(INDEX(BASELINE!$A743:$ZZ743,CALC!$F$1))&gt;0),N(INDEX(BASELINE!$A743:$ZZ743,CALC!$F$1)),N(INDEX(BASELINE!$A743:$ZZ743,CALC!$P$1))))=INT(SIMOPS!$D$3),IFERROR(UPPER(TRIM(INDEX(BASELINE!$A743:$ZZ743,CALC!$R$1)&amp;"")),"")&lt;&gt;"ENCERRADA"),1,0),0)</f>
        <v/>
      </c>
      <c r="B743">
        <f>B742+A743</f>
        <v/>
      </c>
    </row>
    <row r="744">
      <c r="A744">
        <f>IFERROR(IF(AND(INDEX(BASELINE!$A744:$ZZ744,CALC!$H$1)&lt;&gt;"",INT(IF(AND(CALC!$F$1&gt;0,N(INDEX(BASELINE!$A744:$ZZ744,CALC!$F$1))&gt;0),N(INDEX(BASELINE!$A744:$ZZ744,CALC!$F$1)),N(INDEX(BASELINE!$A744:$ZZ744,CALC!$P$1))))=INT(SIMOPS!$D$3),IFERROR(UPPER(TRIM(INDEX(BASELINE!$A744:$ZZ744,CALC!$R$1)&amp;"")),"")&lt;&gt;"ENCERRADA"),1,0),0)</f>
        <v/>
      </c>
      <c r="B744">
        <f>B743+A744</f>
        <v/>
      </c>
    </row>
    <row r="745">
      <c r="A745">
        <f>IFERROR(IF(AND(INDEX(BASELINE!$A745:$ZZ745,CALC!$H$1)&lt;&gt;"",INT(IF(AND(CALC!$F$1&gt;0,N(INDEX(BASELINE!$A745:$ZZ745,CALC!$F$1))&gt;0),N(INDEX(BASELINE!$A745:$ZZ745,CALC!$F$1)),N(INDEX(BASELINE!$A745:$ZZ745,CALC!$P$1))))=INT(SIMOPS!$D$3),IFERROR(UPPER(TRIM(INDEX(BASELINE!$A745:$ZZ745,CALC!$R$1)&amp;"")),"")&lt;&gt;"ENCERRADA"),1,0),0)</f>
        <v/>
      </c>
      <c r="B745">
        <f>B744+A745</f>
        <v/>
      </c>
    </row>
    <row r="746">
      <c r="A746">
        <f>IFERROR(IF(AND(INDEX(BASELINE!$A746:$ZZ746,CALC!$H$1)&lt;&gt;"",INT(IF(AND(CALC!$F$1&gt;0,N(INDEX(BASELINE!$A746:$ZZ746,CALC!$F$1))&gt;0),N(INDEX(BASELINE!$A746:$ZZ746,CALC!$F$1)),N(INDEX(BASELINE!$A746:$ZZ746,CALC!$P$1))))=INT(SIMOPS!$D$3),IFERROR(UPPER(TRIM(INDEX(BASELINE!$A746:$ZZ746,CALC!$R$1)&amp;"")),"")&lt;&gt;"ENCERRADA"),1,0),0)</f>
        <v/>
      </c>
      <c r="B746">
        <f>B745+A746</f>
        <v/>
      </c>
    </row>
    <row r="747">
      <c r="A747">
        <f>IFERROR(IF(AND(INDEX(BASELINE!$A747:$ZZ747,CALC!$H$1)&lt;&gt;"",INT(IF(AND(CALC!$F$1&gt;0,N(INDEX(BASELINE!$A747:$ZZ747,CALC!$F$1))&gt;0),N(INDEX(BASELINE!$A747:$ZZ747,CALC!$F$1)),N(INDEX(BASELINE!$A747:$ZZ747,CALC!$P$1))))=INT(SIMOPS!$D$3),IFERROR(UPPER(TRIM(INDEX(BASELINE!$A747:$ZZ747,CALC!$R$1)&amp;"")),"")&lt;&gt;"ENCERRADA"),1,0),0)</f>
        <v/>
      </c>
      <c r="B747">
        <f>B746+A747</f>
        <v/>
      </c>
    </row>
    <row r="748">
      <c r="A748">
        <f>IFERROR(IF(AND(INDEX(BASELINE!$A748:$ZZ748,CALC!$H$1)&lt;&gt;"",INT(IF(AND(CALC!$F$1&gt;0,N(INDEX(BASELINE!$A748:$ZZ748,CALC!$F$1))&gt;0),N(INDEX(BASELINE!$A748:$ZZ748,CALC!$F$1)),N(INDEX(BASELINE!$A748:$ZZ748,CALC!$P$1))))=INT(SIMOPS!$D$3),IFERROR(UPPER(TRIM(INDEX(BASELINE!$A748:$ZZ748,CALC!$R$1)&amp;"")),"")&lt;&gt;"ENCERRADA"),1,0),0)</f>
        <v/>
      </c>
      <c r="B748">
        <f>B747+A748</f>
        <v/>
      </c>
    </row>
    <row r="749">
      <c r="A749">
        <f>IFERROR(IF(AND(INDEX(BASELINE!$A749:$ZZ749,CALC!$H$1)&lt;&gt;"",INT(IF(AND(CALC!$F$1&gt;0,N(INDEX(BASELINE!$A749:$ZZ749,CALC!$F$1))&gt;0),N(INDEX(BASELINE!$A749:$ZZ749,CALC!$F$1)),N(INDEX(BASELINE!$A749:$ZZ749,CALC!$P$1))))=INT(SIMOPS!$D$3),IFERROR(UPPER(TRIM(INDEX(BASELINE!$A749:$ZZ749,CALC!$R$1)&amp;"")),"")&lt;&gt;"ENCERRADA"),1,0),0)</f>
        <v/>
      </c>
      <c r="B749">
        <f>B748+A749</f>
        <v/>
      </c>
    </row>
    <row r="750">
      <c r="A750">
        <f>IFERROR(IF(AND(INDEX(BASELINE!$A750:$ZZ750,CALC!$H$1)&lt;&gt;"",INT(IF(AND(CALC!$F$1&gt;0,N(INDEX(BASELINE!$A750:$ZZ750,CALC!$F$1))&gt;0),N(INDEX(BASELINE!$A750:$ZZ750,CALC!$F$1)),N(INDEX(BASELINE!$A750:$ZZ750,CALC!$P$1))))=INT(SIMOPS!$D$3),IFERROR(UPPER(TRIM(INDEX(BASELINE!$A750:$ZZ750,CALC!$R$1)&amp;"")),"")&lt;&gt;"ENCERRADA"),1,0),0)</f>
        <v/>
      </c>
      <c r="B750">
        <f>B749+A750</f>
        <v/>
      </c>
    </row>
    <row r="751">
      <c r="A751">
        <f>IFERROR(IF(AND(INDEX(BASELINE!$A751:$ZZ751,CALC!$H$1)&lt;&gt;"",INT(IF(AND(CALC!$F$1&gt;0,N(INDEX(BASELINE!$A751:$ZZ751,CALC!$F$1))&gt;0),N(INDEX(BASELINE!$A751:$ZZ751,CALC!$F$1)),N(INDEX(BASELINE!$A751:$ZZ751,CALC!$P$1))))=INT(SIMOPS!$D$3),IFERROR(UPPER(TRIM(INDEX(BASELINE!$A751:$ZZ751,CALC!$R$1)&amp;"")),"")&lt;&gt;"ENCERRADA"),1,0),0)</f>
        <v/>
      </c>
      <c r="B751">
        <f>B750+A751</f>
        <v/>
      </c>
    </row>
    <row r="752">
      <c r="A752">
        <f>IFERROR(IF(AND(INDEX(BASELINE!$A752:$ZZ752,CALC!$H$1)&lt;&gt;"",INT(IF(AND(CALC!$F$1&gt;0,N(INDEX(BASELINE!$A752:$ZZ752,CALC!$F$1))&gt;0),N(INDEX(BASELINE!$A752:$ZZ752,CALC!$F$1)),N(INDEX(BASELINE!$A752:$ZZ752,CALC!$P$1))))=INT(SIMOPS!$D$3),IFERROR(UPPER(TRIM(INDEX(BASELINE!$A752:$ZZ752,CALC!$R$1)&amp;"")),"")&lt;&gt;"ENCERRADA"),1,0),0)</f>
        <v/>
      </c>
      <c r="B752">
        <f>B751+A752</f>
        <v/>
      </c>
    </row>
    <row r="753">
      <c r="A753">
        <f>IFERROR(IF(AND(INDEX(BASELINE!$A753:$ZZ753,CALC!$H$1)&lt;&gt;"",INT(IF(AND(CALC!$F$1&gt;0,N(INDEX(BASELINE!$A753:$ZZ753,CALC!$F$1))&gt;0),N(INDEX(BASELINE!$A753:$ZZ753,CALC!$F$1)),N(INDEX(BASELINE!$A753:$ZZ753,CALC!$P$1))))=INT(SIMOPS!$D$3),IFERROR(UPPER(TRIM(INDEX(BASELINE!$A753:$ZZ753,CALC!$R$1)&amp;"")),"")&lt;&gt;"ENCERRADA"),1,0),0)</f>
        <v/>
      </c>
      <c r="B753">
        <f>B752+A753</f>
        <v/>
      </c>
    </row>
    <row r="754">
      <c r="A754">
        <f>IFERROR(IF(AND(INDEX(BASELINE!$A754:$ZZ754,CALC!$H$1)&lt;&gt;"",INT(IF(AND(CALC!$F$1&gt;0,N(INDEX(BASELINE!$A754:$ZZ754,CALC!$F$1))&gt;0),N(INDEX(BASELINE!$A754:$ZZ754,CALC!$F$1)),N(INDEX(BASELINE!$A754:$ZZ754,CALC!$P$1))))=INT(SIMOPS!$D$3),IFERROR(UPPER(TRIM(INDEX(BASELINE!$A754:$ZZ754,CALC!$R$1)&amp;"")),"")&lt;&gt;"ENCERRADA"),1,0),0)</f>
        <v/>
      </c>
      <c r="B754">
        <f>B753+A754</f>
        <v/>
      </c>
    </row>
    <row r="755">
      <c r="A755">
        <f>IFERROR(IF(AND(INDEX(BASELINE!$A755:$ZZ755,CALC!$H$1)&lt;&gt;"",INT(IF(AND(CALC!$F$1&gt;0,N(INDEX(BASELINE!$A755:$ZZ755,CALC!$F$1))&gt;0),N(INDEX(BASELINE!$A755:$ZZ755,CALC!$F$1)),N(INDEX(BASELINE!$A755:$ZZ755,CALC!$P$1))))=INT(SIMOPS!$D$3),IFERROR(UPPER(TRIM(INDEX(BASELINE!$A755:$ZZ755,CALC!$R$1)&amp;"")),"")&lt;&gt;"ENCERRADA"),1,0),0)</f>
        <v/>
      </c>
      <c r="B755">
        <f>B754+A755</f>
        <v/>
      </c>
    </row>
    <row r="756">
      <c r="A756">
        <f>IFERROR(IF(AND(INDEX(BASELINE!$A756:$ZZ756,CALC!$H$1)&lt;&gt;"",INT(IF(AND(CALC!$F$1&gt;0,N(INDEX(BASELINE!$A756:$ZZ756,CALC!$F$1))&gt;0),N(INDEX(BASELINE!$A756:$ZZ756,CALC!$F$1)),N(INDEX(BASELINE!$A756:$ZZ756,CALC!$P$1))))=INT(SIMOPS!$D$3),IFERROR(UPPER(TRIM(INDEX(BASELINE!$A756:$ZZ756,CALC!$R$1)&amp;"")),"")&lt;&gt;"ENCERRADA"),1,0),0)</f>
        <v/>
      </c>
      <c r="B756">
        <f>B755+A756</f>
        <v/>
      </c>
    </row>
    <row r="757">
      <c r="A757">
        <f>IFERROR(IF(AND(INDEX(BASELINE!$A757:$ZZ757,CALC!$H$1)&lt;&gt;"",INT(IF(AND(CALC!$F$1&gt;0,N(INDEX(BASELINE!$A757:$ZZ757,CALC!$F$1))&gt;0),N(INDEX(BASELINE!$A757:$ZZ757,CALC!$F$1)),N(INDEX(BASELINE!$A757:$ZZ757,CALC!$P$1))))=INT(SIMOPS!$D$3),IFERROR(UPPER(TRIM(INDEX(BASELINE!$A757:$ZZ757,CALC!$R$1)&amp;"")),"")&lt;&gt;"ENCERRADA"),1,0),0)</f>
        <v/>
      </c>
      <c r="B757">
        <f>B756+A757</f>
        <v/>
      </c>
    </row>
    <row r="758">
      <c r="A758">
        <f>IFERROR(IF(AND(INDEX(BASELINE!$A758:$ZZ758,CALC!$H$1)&lt;&gt;"",INT(IF(AND(CALC!$F$1&gt;0,N(INDEX(BASELINE!$A758:$ZZ758,CALC!$F$1))&gt;0),N(INDEX(BASELINE!$A758:$ZZ758,CALC!$F$1)),N(INDEX(BASELINE!$A758:$ZZ758,CALC!$P$1))))=INT(SIMOPS!$D$3),IFERROR(UPPER(TRIM(INDEX(BASELINE!$A758:$ZZ758,CALC!$R$1)&amp;"")),"")&lt;&gt;"ENCERRADA"),1,0),0)</f>
        <v/>
      </c>
      <c r="B758">
        <f>B757+A758</f>
        <v/>
      </c>
    </row>
    <row r="759">
      <c r="A759">
        <f>IFERROR(IF(AND(INDEX(BASELINE!$A759:$ZZ759,CALC!$H$1)&lt;&gt;"",INT(IF(AND(CALC!$F$1&gt;0,N(INDEX(BASELINE!$A759:$ZZ759,CALC!$F$1))&gt;0),N(INDEX(BASELINE!$A759:$ZZ759,CALC!$F$1)),N(INDEX(BASELINE!$A759:$ZZ759,CALC!$P$1))))=INT(SIMOPS!$D$3),IFERROR(UPPER(TRIM(INDEX(BASELINE!$A759:$ZZ759,CALC!$R$1)&amp;"")),"")&lt;&gt;"ENCERRADA"),1,0),0)</f>
        <v/>
      </c>
      <c r="B759">
        <f>B758+A759</f>
        <v/>
      </c>
    </row>
    <row r="760">
      <c r="A760">
        <f>IFERROR(IF(AND(INDEX(BASELINE!$A760:$ZZ760,CALC!$H$1)&lt;&gt;"",INT(IF(AND(CALC!$F$1&gt;0,N(INDEX(BASELINE!$A760:$ZZ760,CALC!$F$1))&gt;0),N(INDEX(BASELINE!$A760:$ZZ760,CALC!$F$1)),N(INDEX(BASELINE!$A760:$ZZ760,CALC!$P$1))))=INT(SIMOPS!$D$3),IFERROR(UPPER(TRIM(INDEX(BASELINE!$A760:$ZZ760,CALC!$R$1)&amp;"")),"")&lt;&gt;"ENCERRADA"),1,0),0)</f>
        <v/>
      </c>
      <c r="B760">
        <f>B759+A760</f>
        <v/>
      </c>
    </row>
    <row r="761">
      <c r="A761">
        <f>IFERROR(IF(AND(INDEX(BASELINE!$A761:$ZZ761,CALC!$H$1)&lt;&gt;"",INT(IF(AND(CALC!$F$1&gt;0,N(INDEX(BASELINE!$A761:$ZZ761,CALC!$F$1))&gt;0),N(INDEX(BASELINE!$A761:$ZZ761,CALC!$F$1)),N(INDEX(BASELINE!$A761:$ZZ761,CALC!$P$1))))=INT(SIMOPS!$D$3),IFERROR(UPPER(TRIM(INDEX(BASELINE!$A761:$ZZ761,CALC!$R$1)&amp;"")),"")&lt;&gt;"ENCERRADA"),1,0),0)</f>
        <v/>
      </c>
      <c r="B761">
        <f>B760+A761</f>
        <v/>
      </c>
    </row>
    <row r="762">
      <c r="A762">
        <f>IFERROR(IF(AND(INDEX(BASELINE!$A762:$ZZ762,CALC!$H$1)&lt;&gt;"",INT(IF(AND(CALC!$F$1&gt;0,N(INDEX(BASELINE!$A762:$ZZ762,CALC!$F$1))&gt;0),N(INDEX(BASELINE!$A762:$ZZ762,CALC!$F$1)),N(INDEX(BASELINE!$A762:$ZZ762,CALC!$P$1))))=INT(SIMOPS!$D$3),IFERROR(UPPER(TRIM(INDEX(BASELINE!$A762:$ZZ762,CALC!$R$1)&amp;"")),"")&lt;&gt;"ENCERRADA"),1,0),0)</f>
        <v/>
      </c>
      <c r="B762">
        <f>B761+A762</f>
        <v/>
      </c>
    </row>
    <row r="763">
      <c r="A763">
        <f>IFERROR(IF(AND(INDEX(BASELINE!$A763:$ZZ763,CALC!$H$1)&lt;&gt;"",INT(IF(AND(CALC!$F$1&gt;0,N(INDEX(BASELINE!$A763:$ZZ763,CALC!$F$1))&gt;0),N(INDEX(BASELINE!$A763:$ZZ763,CALC!$F$1)),N(INDEX(BASELINE!$A763:$ZZ763,CALC!$P$1))))=INT(SIMOPS!$D$3),IFERROR(UPPER(TRIM(INDEX(BASELINE!$A763:$ZZ763,CALC!$R$1)&amp;"")),"")&lt;&gt;"ENCERRADA"),1,0),0)</f>
        <v/>
      </c>
      <c r="B763">
        <f>B762+A763</f>
        <v/>
      </c>
    </row>
    <row r="764">
      <c r="A764">
        <f>IFERROR(IF(AND(INDEX(BASELINE!$A764:$ZZ764,CALC!$H$1)&lt;&gt;"",INT(IF(AND(CALC!$F$1&gt;0,N(INDEX(BASELINE!$A764:$ZZ764,CALC!$F$1))&gt;0),N(INDEX(BASELINE!$A764:$ZZ764,CALC!$F$1)),N(INDEX(BASELINE!$A764:$ZZ764,CALC!$P$1))))=INT(SIMOPS!$D$3),IFERROR(UPPER(TRIM(INDEX(BASELINE!$A764:$ZZ764,CALC!$R$1)&amp;"")),"")&lt;&gt;"ENCERRADA"),1,0),0)</f>
        <v/>
      </c>
      <c r="B764">
        <f>B763+A764</f>
        <v/>
      </c>
    </row>
    <row r="765">
      <c r="A765">
        <f>IFERROR(IF(AND(INDEX(BASELINE!$A765:$ZZ765,CALC!$H$1)&lt;&gt;"",INT(IF(AND(CALC!$F$1&gt;0,N(INDEX(BASELINE!$A765:$ZZ765,CALC!$F$1))&gt;0),N(INDEX(BASELINE!$A765:$ZZ765,CALC!$F$1)),N(INDEX(BASELINE!$A765:$ZZ765,CALC!$P$1))))=INT(SIMOPS!$D$3),IFERROR(UPPER(TRIM(INDEX(BASELINE!$A765:$ZZ765,CALC!$R$1)&amp;"")),"")&lt;&gt;"ENCERRADA"),1,0),0)</f>
        <v/>
      </c>
      <c r="B765">
        <f>B764+A765</f>
        <v/>
      </c>
    </row>
    <row r="766">
      <c r="A766">
        <f>IFERROR(IF(AND(INDEX(BASELINE!$A766:$ZZ766,CALC!$H$1)&lt;&gt;"",INT(IF(AND(CALC!$F$1&gt;0,N(INDEX(BASELINE!$A766:$ZZ766,CALC!$F$1))&gt;0),N(INDEX(BASELINE!$A766:$ZZ766,CALC!$F$1)),N(INDEX(BASELINE!$A766:$ZZ766,CALC!$P$1))))=INT(SIMOPS!$D$3),IFERROR(UPPER(TRIM(INDEX(BASELINE!$A766:$ZZ766,CALC!$R$1)&amp;"")),"")&lt;&gt;"ENCERRADA"),1,0),0)</f>
        <v/>
      </c>
      <c r="B766">
        <f>B765+A766</f>
        <v/>
      </c>
    </row>
    <row r="767">
      <c r="A767">
        <f>IFERROR(IF(AND(INDEX(BASELINE!$A767:$ZZ767,CALC!$H$1)&lt;&gt;"",INT(IF(AND(CALC!$F$1&gt;0,N(INDEX(BASELINE!$A767:$ZZ767,CALC!$F$1))&gt;0),N(INDEX(BASELINE!$A767:$ZZ767,CALC!$F$1)),N(INDEX(BASELINE!$A767:$ZZ767,CALC!$P$1))))=INT(SIMOPS!$D$3),IFERROR(UPPER(TRIM(INDEX(BASELINE!$A767:$ZZ767,CALC!$R$1)&amp;"")),"")&lt;&gt;"ENCERRADA"),1,0),0)</f>
        <v/>
      </c>
      <c r="B767">
        <f>B766+A767</f>
        <v/>
      </c>
    </row>
    <row r="768">
      <c r="A768">
        <f>IFERROR(IF(AND(INDEX(BASELINE!$A768:$ZZ768,CALC!$H$1)&lt;&gt;"",INT(IF(AND(CALC!$F$1&gt;0,N(INDEX(BASELINE!$A768:$ZZ768,CALC!$F$1))&gt;0),N(INDEX(BASELINE!$A768:$ZZ768,CALC!$F$1)),N(INDEX(BASELINE!$A768:$ZZ768,CALC!$P$1))))=INT(SIMOPS!$D$3),IFERROR(UPPER(TRIM(INDEX(BASELINE!$A768:$ZZ768,CALC!$R$1)&amp;"")),"")&lt;&gt;"ENCERRADA"),1,0),0)</f>
        <v/>
      </c>
      <c r="B768">
        <f>B767+A768</f>
        <v/>
      </c>
    </row>
    <row r="769">
      <c r="A769">
        <f>IFERROR(IF(AND(INDEX(BASELINE!$A769:$ZZ769,CALC!$H$1)&lt;&gt;"",INT(IF(AND(CALC!$F$1&gt;0,N(INDEX(BASELINE!$A769:$ZZ769,CALC!$F$1))&gt;0),N(INDEX(BASELINE!$A769:$ZZ769,CALC!$F$1)),N(INDEX(BASELINE!$A769:$ZZ769,CALC!$P$1))))=INT(SIMOPS!$D$3),IFERROR(UPPER(TRIM(INDEX(BASELINE!$A769:$ZZ769,CALC!$R$1)&amp;"")),"")&lt;&gt;"ENCERRADA"),1,0),0)</f>
        <v/>
      </c>
      <c r="B769">
        <f>B768+A769</f>
        <v/>
      </c>
    </row>
    <row r="770">
      <c r="A770">
        <f>IFERROR(IF(AND(INDEX(BASELINE!$A770:$ZZ770,CALC!$H$1)&lt;&gt;"",INT(IF(AND(CALC!$F$1&gt;0,N(INDEX(BASELINE!$A770:$ZZ770,CALC!$F$1))&gt;0),N(INDEX(BASELINE!$A770:$ZZ770,CALC!$F$1)),N(INDEX(BASELINE!$A770:$ZZ770,CALC!$P$1))))=INT(SIMOPS!$D$3),IFERROR(UPPER(TRIM(INDEX(BASELINE!$A770:$ZZ770,CALC!$R$1)&amp;"")),"")&lt;&gt;"ENCERRADA"),1,0),0)</f>
        <v/>
      </c>
      <c r="B770">
        <f>B769+A770</f>
        <v/>
      </c>
    </row>
    <row r="771">
      <c r="A771">
        <f>IFERROR(IF(AND(INDEX(BASELINE!$A771:$ZZ771,CALC!$H$1)&lt;&gt;"",INT(IF(AND(CALC!$F$1&gt;0,N(INDEX(BASELINE!$A771:$ZZ771,CALC!$F$1))&gt;0),N(INDEX(BASELINE!$A771:$ZZ771,CALC!$F$1)),N(INDEX(BASELINE!$A771:$ZZ771,CALC!$P$1))))=INT(SIMOPS!$D$3),IFERROR(UPPER(TRIM(INDEX(BASELINE!$A771:$ZZ771,CALC!$R$1)&amp;"")),"")&lt;&gt;"ENCERRADA"),1,0),0)</f>
        <v/>
      </c>
      <c r="B771">
        <f>B770+A771</f>
        <v/>
      </c>
    </row>
    <row r="772">
      <c r="A772">
        <f>IFERROR(IF(AND(INDEX(BASELINE!$A772:$ZZ772,CALC!$H$1)&lt;&gt;"",INT(IF(AND(CALC!$F$1&gt;0,N(INDEX(BASELINE!$A772:$ZZ772,CALC!$F$1))&gt;0),N(INDEX(BASELINE!$A772:$ZZ772,CALC!$F$1)),N(INDEX(BASELINE!$A772:$ZZ772,CALC!$P$1))))=INT(SIMOPS!$D$3),IFERROR(UPPER(TRIM(INDEX(BASELINE!$A772:$ZZ772,CALC!$R$1)&amp;"")),"")&lt;&gt;"ENCERRADA"),1,0),0)</f>
        <v/>
      </c>
      <c r="B772">
        <f>B771+A772</f>
        <v/>
      </c>
    </row>
    <row r="773">
      <c r="A773">
        <f>IFERROR(IF(AND(INDEX(BASELINE!$A773:$ZZ773,CALC!$H$1)&lt;&gt;"",INT(IF(AND(CALC!$F$1&gt;0,N(INDEX(BASELINE!$A773:$ZZ773,CALC!$F$1))&gt;0),N(INDEX(BASELINE!$A773:$ZZ773,CALC!$F$1)),N(INDEX(BASELINE!$A773:$ZZ773,CALC!$P$1))))=INT(SIMOPS!$D$3),IFERROR(UPPER(TRIM(INDEX(BASELINE!$A773:$ZZ773,CALC!$R$1)&amp;"")),"")&lt;&gt;"ENCERRADA"),1,0),0)</f>
        <v/>
      </c>
      <c r="B773">
        <f>B772+A773</f>
        <v/>
      </c>
    </row>
    <row r="774">
      <c r="A774">
        <f>IFERROR(IF(AND(INDEX(BASELINE!$A774:$ZZ774,CALC!$H$1)&lt;&gt;"",INT(IF(AND(CALC!$F$1&gt;0,N(INDEX(BASELINE!$A774:$ZZ774,CALC!$F$1))&gt;0),N(INDEX(BASELINE!$A774:$ZZ774,CALC!$F$1)),N(INDEX(BASELINE!$A774:$ZZ774,CALC!$P$1))))=INT(SIMOPS!$D$3),IFERROR(UPPER(TRIM(INDEX(BASELINE!$A774:$ZZ774,CALC!$R$1)&amp;"")),"")&lt;&gt;"ENCERRADA"),1,0),0)</f>
        <v/>
      </c>
      <c r="B774">
        <f>B773+A774</f>
        <v/>
      </c>
    </row>
    <row r="775">
      <c r="A775">
        <f>IFERROR(IF(AND(INDEX(BASELINE!$A775:$ZZ775,CALC!$H$1)&lt;&gt;"",INT(IF(AND(CALC!$F$1&gt;0,N(INDEX(BASELINE!$A775:$ZZ775,CALC!$F$1))&gt;0),N(INDEX(BASELINE!$A775:$ZZ775,CALC!$F$1)),N(INDEX(BASELINE!$A775:$ZZ775,CALC!$P$1))))=INT(SIMOPS!$D$3),IFERROR(UPPER(TRIM(INDEX(BASELINE!$A775:$ZZ775,CALC!$R$1)&amp;"")),"")&lt;&gt;"ENCERRADA"),1,0),0)</f>
        <v/>
      </c>
      <c r="B775">
        <f>B774+A775</f>
        <v/>
      </c>
    </row>
    <row r="776">
      <c r="A776">
        <f>IFERROR(IF(AND(INDEX(BASELINE!$A776:$ZZ776,CALC!$H$1)&lt;&gt;"",INT(IF(AND(CALC!$F$1&gt;0,N(INDEX(BASELINE!$A776:$ZZ776,CALC!$F$1))&gt;0),N(INDEX(BASELINE!$A776:$ZZ776,CALC!$F$1)),N(INDEX(BASELINE!$A776:$ZZ776,CALC!$P$1))))=INT(SIMOPS!$D$3),IFERROR(UPPER(TRIM(INDEX(BASELINE!$A776:$ZZ776,CALC!$R$1)&amp;"")),"")&lt;&gt;"ENCERRADA"),1,0),0)</f>
        <v/>
      </c>
      <c r="B776">
        <f>B775+A776</f>
        <v/>
      </c>
    </row>
    <row r="777">
      <c r="A777">
        <f>IFERROR(IF(AND(INDEX(BASELINE!$A777:$ZZ777,CALC!$H$1)&lt;&gt;"",INT(IF(AND(CALC!$F$1&gt;0,N(INDEX(BASELINE!$A777:$ZZ777,CALC!$F$1))&gt;0),N(INDEX(BASELINE!$A777:$ZZ777,CALC!$F$1)),N(INDEX(BASELINE!$A777:$ZZ777,CALC!$P$1))))=INT(SIMOPS!$D$3),IFERROR(UPPER(TRIM(INDEX(BASELINE!$A777:$ZZ777,CALC!$R$1)&amp;"")),"")&lt;&gt;"ENCERRADA"),1,0),0)</f>
        <v/>
      </c>
      <c r="B777">
        <f>B776+A777</f>
        <v/>
      </c>
    </row>
    <row r="778">
      <c r="A778">
        <f>IFERROR(IF(AND(INDEX(BASELINE!$A778:$ZZ778,CALC!$H$1)&lt;&gt;"",INT(IF(AND(CALC!$F$1&gt;0,N(INDEX(BASELINE!$A778:$ZZ778,CALC!$F$1))&gt;0),N(INDEX(BASELINE!$A778:$ZZ778,CALC!$F$1)),N(INDEX(BASELINE!$A778:$ZZ778,CALC!$P$1))))=INT(SIMOPS!$D$3),IFERROR(UPPER(TRIM(INDEX(BASELINE!$A778:$ZZ778,CALC!$R$1)&amp;"")),"")&lt;&gt;"ENCERRADA"),1,0),0)</f>
        <v/>
      </c>
      <c r="B778">
        <f>B777+A778</f>
        <v/>
      </c>
    </row>
    <row r="779">
      <c r="A779">
        <f>IFERROR(IF(AND(INDEX(BASELINE!$A779:$ZZ779,CALC!$H$1)&lt;&gt;"",INT(IF(AND(CALC!$F$1&gt;0,N(INDEX(BASELINE!$A779:$ZZ779,CALC!$F$1))&gt;0),N(INDEX(BASELINE!$A779:$ZZ779,CALC!$F$1)),N(INDEX(BASELINE!$A779:$ZZ779,CALC!$P$1))))=INT(SIMOPS!$D$3),IFERROR(UPPER(TRIM(INDEX(BASELINE!$A779:$ZZ779,CALC!$R$1)&amp;"")),"")&lt;&gt;"ENCERRADA"),1,0),0)</f>
        <v/>
      </c>
      <c r="B779">
        <f>B778+A779</f>
        <v/>
      </c>
    </row>
    <row r="780">
      <c r="A780">
        <f>IFERROR(IF(AND(INDEX(BASELINE!$A780:$ZZ780,CALC!$H$1)&lt;&gt;"",INT(IF(AND(CALC!$F$1&gt;0,N(INDEX(BASELINE!$A780:$ZZ780,CALC!$F$1))&gt;0),N(INDEX(BASELINE!$A780:$ZZ780,CALC!$F$1)),N(INDEX(BASELINE!$A780:$ZZ780,CALC!$P$1))))=INT(SIMOPS!$D$3),IFERROR(UPPER(TRIM(INDEX(BASELINE!$A780:$ZZ780,CALC!$R$1)&amp;"")),"")&lt;&gt;"ENCERRADA"),1,0),0)</f>
        <v/>
      </c>
      <c r="B780">
        <f>B779+A780</f>
        <v/>
      </c>
    </row>
    <row r="781">
      <c r="A781">
        <f>IFERROR(IF(AND(INDEX(BASELINE!$A781:$ZZ781,CALC!$H$1)&lt;&gt;"",INT(IF(AND(CALC!$F$1&gt;0,N(INDEX(BASELINE!$A781:$ZZ781,CALC!$F$1))&gt;0),N(INDEX(BASELINE!$A781:$ZZ781,CALC!$F$1)),N(INDEX(BASELINE!$A781:$ZZ781,CALC!$P$1))))=INT(SIMOPS!$D$3),IFERROR(UPPER(TRIM(INDEX(BASELINE!$A781:$ZZ781,CALC!$R$1)&amp;"")),"")&lt;&gt;"ENCERRADA"),1,0),0)</f>
        <v/>
      </c>
      <c r="B781">
        <f>B780+A781</f>
        <v/>
      </c>
    </row>
    <row r="782">
      <c r="A782">
        <f>IFERROR(IF(AND(INDEX(BASELINE!$A782:$ZZ782,CALC!$H$1)&lt;&gt;"",INT(IF(AND(CALC!$F$1&gt;0,N(INDEX(BASELINE!$A782:$ZZ782,CALC!$F$1))&gt;0),N(INDEX(BASELINE!$A782:$ZZ782,CALC!$F$1)),N(INDEX(BASELINE!$A782:$ZZ782,CALC!$P$1))))=INT(SIMOPS!$D$3),IFERROR(UPPER(TRIM(INDEX(BASELINE!$A782:$ZZ782,CALC!$R$1)&amp;"")),"")&lt;&gt;"ENCERRADA"),1,0),0)</f>
        <v/>
      </c>
      <c r="B782">
        <f>B781+A782</f>
        <v/>
      </c>
    </row>
    <row r="783">
      <c r="A783">
        <f>IFERROR(IF(AND(INDEX(BASELINE!$A783:$ZZ783,CALC!$H$1)&lt;&gt;"",INT(IF(AND(CALC!$F$1&gt;0,N(INDEX(BASELINE!$A783:$ZZ783,CALC!$F$1))&gt;0),N(INDEX(BASELINE!$A783:$ZZ783,CALC!$F$1)),N(INDEX(BASELINE!$A783:$ZZ783,CALC!$P$1))))=INT(SIMOPS!$D$3),IFERROR(UPPER(TRIM(INDEX(BASELINE!$A783:$ZZ783,CALC!$R$1)&amp;"")),"")&lt;&gt;"ENCERRADA"),1,0),0)</f>
        <v/>
      </c>
      <c r="B783">
        <f>B782+A783</f>
        <v/>
      </c>
    </row>
    <row r="784">
      <c r="A784">
        <f>IFERROR(IF(AND(INDEX(BASELINE!$A784:$ZZ784,CALC!$H$1)&lt;&gt;"",INT(IF(AND(CALC!$F$1&gt;0,N(INDEX(BASELINE!$A784:$ZZ784,CALC!$F$1))&gt;0),N(INDEX(BASELINE!$A784:$ZZ784,CALC!$F$1)),N(INDEX(BASELINE!$A784:$ZZ784,CALC!$P$1))))=INT(SIMOPS!$D$3),IFERROR(UPPER(TRIM(INDEX(BASELINE!$A784:$ZZ784,CALC!$R$1)&amp;"")),"")&lt;&gt;"ENCERRADA"),1,0),0)</f>
        <v/>
      </c>
      <c r="B784">
        <f>B783+A784</f>
        <v/>
      </c>
    </row>
    <row r="785">
      <c r="A785">
        <f>IFERROR(IF(AND(INDEX(BASELINE!$A785:$ZZ785,CALC!$H$1)&lt;&gt;"",INT(IF(AND(CALC!$F$1&gt;0,N(INDEX(BASELINE!$A785:$ZZ785,CALC!$F$1))&gt;0),N(INDEX(BASELINE!$A785:$ZZ785,CALC!$F$1)),N(INDEX(BASELINE!$A785:$ZZ785,CALC!$P$1))))=INT(SIMOPS!$D$3),IFERROR(UPPER(TRIM(INDEX(BASELINE!$A785:$ZZ785,CALC!$R$1)&amp;"")),"")&lt;&gt;"ENCERRADA"),1,0),0)</f>
        <v/>
      </c>
      <c r="B785">
        <f>B784+A785</f>
        <v/>
      </c>
    </row>
    <row r="786">
      <c r="A786">
        <f>IFERROR(IF(AND(INDEX(BASELINE!$A786:$ZZ786,CALC!$H$1)&lt;&gt;"",INT(IF(AND(CALC!$F$1&gt;0,N(INDEX(BASELINE!$A786:$ZZ786,CALC!$F$1))&gt;0),N(INDEX(BASELINE!$A786:$ZZ786,CALC!$F$1)),N(INDEX(BASELINE!$A786:$ZZ786,CALC!$P$1))))=INT(SIMOPS!$D$3),IFERROR(UPPER(TRIM(INDEX(BASELINE!$A786:$ZZ786,CALC!$R$1)&amp;"")),"")&lt;&gt;"ENCERRADA"),1,0),0)</f>
        <v/>
      </c>
      <c r="B786">
        <f>B785+A786</f>
        <v/>
      </c>
    </row>
    <row r="787">
      <c r="A787">
        <f>IFERROR(IF(AND(INDEX(BASELINE!$A787:$ZZ787,CALC!$H$1)&lt;&gt;"",INT(IF(AND(CALC!$F$1&gt;0,N(INDEX(BASELINE!$A787:$ZZ787,CALC!$F$1))&gt;0),N(INDEX(BASELINE!$A787:$ZZ787,CALC!$F$1)),N(INDEX(BASELINE!$A787:$ZZ787,CALC!$P$1))))=INT(SIMOPS!$D$3),IFERROR(UPPER(TRIM(INDEX(BASELINE!$A787:$ZZ787,CALC!$R$1)&amp;"")),"")&lt;&gt;"ENCERRADA"),1,0),0)</f>
        <v/>
      </c>
      <c r="B787">
        <f>B786+A787</f>
        <v/>
      </c>
    </row>
    <row r="788">
      <c r="A788">
        <f>IFERROR(IF(AND(INDEX(BASELINE!$A788:$ZZ788,CALC!$H$1)&lt;&gt;"",INT(IF(AND(CALC!$F$1&gt;0,N(INDEX(BASELINE!$A788:$ZZ788,CALC!$F$1))&gt;0),N(INDEX(BASELINE!$A788:$ZZ788,CALC!$F$1)),N(INDEX(BASELINE!$A788:$ZZ788,CALC!$P$1))))=INT(SIMOPS!$D$3),IFERROR(UPPER(TRIM(INDEX(BASELINE!$A788:$ZZ788,CALC!$R$1)&amp;"")),"")&lt;&gt;"ENCERRADA"),1,0),0)</f>
        <v/>
      </c>
      <c r="B788">
        <f>B787+A788</f>
        <v/>
      </c>
    </row>
    <row r="789">
      <c r="A789">
        <f>IFERROR(IF(AND(INDEX(BASELINE!$A789:$ZZ789,CALC!$H$1)&lt;&gt;"",INT(IF(AND(CALC!$F$1&gt;0,N(INDEX(BASELINE!$A789:$ZZ789,CALC!$F$1))&gt;0),N(INDEX(BASELINE!$A789:$ZZ789,CALC!$F$1)),N(INDEX(BASELINE!$A789:$ZZ789,CALC!$P$1))))=INT(SIMOPS!$D$3),IFERROR(UPPER(TRIM(INDEX(BASELINE!$A789:$ZZ789,CALC!$R$1)&amp;"")),"")&lt;&gt;"ENCERRADA"),1,0),0)</f>
        <v/>
      </c>
      <c r="B789">
        <f>B788+A789</f>
        <v/>
      </c>
    </row>
    <row r="790">
      <c r="A790">
        <f>IFERROR(IF(AND(INDEX(BASELINE!$A790:$ZZ790,CALC!$H$1)&lt;&gt;"",INT(IF(AND(CALC!$F$1&gt;0,N(INDEX(BASELINE!$A790:$ZZ790,CALC!$F$1))&gt;0),N(INDEX(BASELINE!$A790:$ZZ790,CALC!$F$1)),N(INDEX(BASELINE!$A790:$ZZ790,CALC!$P$1))))=INT(SIMOPS!$D$3),IFERROR(UPPER(TRIM(INDEX(BASELINE!$A790:$ZZ790,CALC!$R$1)&amp;"")),"")&lt;&gt;"ENCERRADA"),1,0),0)</f>
        <v/>
      </c>
      <c r="B790">
        <f>B789+A790</f>
        <v/>
      </c>
    </row>
    <row r="791">
      <c r="A791">
        <f>IFERROR(IF(AND(INDEX(BASELINE!$A791:$ZZ791,CALC!$H$1)&lt;&gt;"",INT(IF(AND(CALC!$F$1&gt;0,N(INDEX(BASELINE!$A791:$ZZ791,CALC!$F$1))&gt;0),N(INDEX(BASELINE!$A791:$ZZ791,CALC!$F$1)),N(INDEX(BASELINE!$A791:$ZZ791,CALC!$P$1))))=INT(SIMOPS!$D$3),IFERROR(UPPER(TRIM(INDEX(BASELINE!$A791:$ZZ791,CALC!$R$1)&amp;"")),"")&lt;&gt;"ENCERRADA"),1,0),0)</f>
        <v/>
      </c>
      <c r="B791">
        <f>B790+A791</f>
        <v/>
      </c>
    </row>
    <row r="792">
      <c r="A792">
        <f>IFERROR(IF(AND(INDEX(BASELINE!$A792:$ZZ792,CALC!$H$1)&lt;&gt;"",INT(IF(AND(CALC!$F$1&gt;0,N(INDEX(BASELINE!$A792:$ZZ792,CALC!$F$1))&gt;0),N(INDEX(BASELINE!$A792:$ZZ792,CALC!$F$1)),N(INDEX(BASELINE!$A792:$ZZ792,CALC!$P$1))))=INT(SIMOPS!$D$3),IFERROR(UPPER(TRIM(INDEX(BASELINE!$A792:$ZZ792,CALC!$R$1)&amp;"")),"")&lt;&gt;"ENCERRADA"),1,0),0)</f>
        <v/>
      </c>
      <c r="B792">
        <f>B791+A792</f>
        <v/>
      </c>
    </row>
    <row r="793">
      <c r="A793">
        <f>IFERROR(IF(AND(INDEX(BASELINE!$A793:$ZZ793,CALC!$H$1)&lt;&gt;"",INT(IF(AND(CALC!$F$1&gt;0,N(INDEX(BASELINE!$A793:$ZZ793,CALC!$F$1))&gt;0),N(INDEX(BASELINE!$A793:$ZZ793,CALC!$F$1)),N(INDEX(BASELINE!$A793:$ZZ793,CALC!$P$1))))=INT(SIMOPS!$D$3),IFERROR(UPPER(TRIM(INDEX(BASELINE!$A793:$ZZ793,CALC!$R$1)&amp;"")),"")&lt;&gt;"ENCERRADA"),1,0),0)</f>
        <v/>
      </c>
      <c r="B793">
        <f>B792+A793</f>
        <v/>
      </c>
    </row>
    <row r="794">
      <c r="A794">
        <f>IFERROR(IF(AND(INDEX(BASELINE!$A794:$ZZ794,CALC!$H$1)&lt;&gt;"",INT(IF(AND(CALC!$F$1&gt;0,N(INDEX(BASELINE!$A794:$ZZ794,CALC!$F$1))&gt;0),N(INDEX(BASELINE!$A794:$ZZ794,CALC!$F$1)),N(INDEX(BASELINE!$A794:$ZZ794,CALC!$P$1))))=INT(SIMOPS!$D$3),IFERROR(UPPER(TRIM(INDEX(BASELINE!$A794:$ZZ794,CALC!$R$1)&amp;"")),"")&lt;&gt;"ENCERRADA"),1,0),0)</f>
        <v/>
      </c>
      <c r="B794">
        <f>B793+A794</f>
        <v/>
      </c>
    </row>
    <row r="795">
      <c r="A795">
        <f>IFERROR(IF(AND(INDEX(BASELINE!$A795:$ZZ795,CALC!$H$1)&lt;&gt;"",INT(IF(AND(CALC!$F$1&gt;0,N(INDEX(BASELINE!$A795:$ZZ795,CALC!$F$1))&gt;0),N(INDEX(BASELINE!$A795:$ZZ795,CALC!$F$1)),N(INDEX(BASELINE!$A795:$ZZ795,CALC!$P$1))))=INT(SIMOPS!$D$3),IFERROR(UPPER(TRIM(INDEX(BASELINE!$A795:$ZZ795,CALC!$R$1)&amp;"")),"")&lt;&gt;"ENCERRADA"),1,0),0)</f>
        <v/>
      </c>
      <c r="B795">
        <f>B794+A795</f>
        <v/>
      </c>
    </row>
    <row r="796">
      <c r="A796">
        <f>IFERROR(IF(AND(INDEX(BASELINE!$A796:$ZZ796,CALC!$H$1)&lt;&gt;"",INT(IF(AND(CALC!$F$1&gt;0,N(INDEX(BASELINE!$A796:$ZZ796,CALC!$F$1))&gt;0),N(INDEX(BASELINE!$A796:$ZZ796,CALC!$F$1)),N(INDEX(BASELINE!$A796:$ZZ796,CALC!$P$1))))=INT(SIMOPS!$D$3),IFERROR(UPPER(TRIM(INDEX(BASELINE!$A796:$ZZ796,CALC!$R$1)&amp;"")),"")&lt;&gt;"ENCERRADA"),1,0),0)</f>
        <v/>
      </c>
      <c r="B796">
        <f>B795+A796</f>
        <v/>
      </c>
    </row>
    <row r="797">
      <c r="A797">
        <f>IFERROR(IF(AND(INDEX(BASELINE!$A797:$ZZ797,CALC!$H$1)&lt;&gt;"",INT(IF(AND(CALC!$F$1&gt;0,N(INDEX(BASELINE!$A797:$ZZ797,CALC!$F$1))&gt;0),N(INDEX(BASELINE!$A797:$ZZ797,CALC!$F$1)),N(INDEX(BASELINE!$A797:$ZZ797,CALC!$P$1))))=INT(SIMOPS!$D$3),IFERROR(UPPER(TRIM(INDEX(BASELINE!$A797:$ZZ797,CALC!$R$1)&amp;"")),"")&lt;&gt;"ENCERRADA"),1,0),0)</f>
        <v/>
      </c>
      <c r="B797">
        <f>B796+A797</f>
        <v/>
      </c>
    </row>
    <row r="798">
      <c r="A798">
        <f>IFERROR(IF(AND(INDEX(BASELINE!$A798:$ZZ798,CALC!$H$1)&lt;&gt;"",INT(IF(AND(CALC!$F$1&gt;0,N(INDEX(BASELINE!$A798:$ZZ798,CALC!$F$1))&gt;0),N(INDEX(BASELINE!$A798:$ZZ798,CALC!$F$1)),N(INDEX(BASELINE!$A798:$ZZ798,CALC!$P$1))))=INT(SIMOPS!$D$3),IFERROR(UPPER(TRIM(INDEX(BASELINE!$A798:$ZZ798,CALC!$R$1)&amp;"")),"")&lt;&gt;"ENCERRADA"),1,0),0)</f>
        <v/>
      </c>
      <c r="B798">
        <f>B797+A798</f>
        <v/>
      </c>
    </row>
    <row r="799">
      <c r="A799">
        <f>IFERROR(IF(AND(INDEX(BASELINE!$A799:$ZZ799,CALC!$H$1)&lt;&gt;"",INT(IF(AND(CALC!$F$1&gt;0,N(INDEX(BASELINE!$A799:$ZZ799,CALC!$F$1))&gt;0),N(INDEX(BASELINE!$A799:$ZZ799,CALC!$F$1)),N(INDEX(BASELINE!$A799:$ZZ799,CALC!$P$1))))=INT(SIMOPS!$D$3),IFERROR(UPPER(TRIM(INDEX(BASELINE!$A799:$ZZ799,CALC!$R$1)&amp;"")),"")&lt;&gt;"ENCERRADA"),1,0),0)</f>
        <v/>
      </c>
      <c r="B799">
        <f>B798+A799</f>
        <v/>
      </c>
    </row>
    <row r="800">
      <c r="A800">
        <f>IFERROR(IF(AND(INDEX(BASELINE!$A800:$ZZ800,CALC!$H$1)&lt;&gt;"",INT(IF(AND(CALC!$F$1&gt;0,N(INDEX(BASELINE!$A800:$ZZ800,CALC!$F$1))&gt;0),N(INDEX(BASELINE!$A800:$ZZ800,CALC!$F$1)),N(INDEX(BASELINE!$A800:$ZZ800,CALC!$P$1))))=INT(SIMOPS!$D$3),IFERROR(UPPER(TRIM(INDEX(BASELINE!$A800:$ZZ800,CALC!$R$1)&amp;"")),"")&lt;&gt;"ENCERRADA"),1,0),0)</f>
        <v/>
      </c>
      <c r="B800">
        <f>B799+A800</f>
        <v/>
      </c>
    </row>
    <row r="801">
      <c r="A801">
        <f>IFERROR(IF(AND(INDEX(BASELINE!$A801:$ZZ801,CALC!$H$1)&lt;&gt;"",INT(IF(AND(CALC!$F$1&gt;0,N(INDEX(BASELINE!$A801:$ZZ801,CALC!$F$1))&gt;0),N(INDEX(BASELINE!$A801:$ZZ801,CALC!$F$1)),N(INDEX(BASELINE!$A801:$ZZ801,CALC!$P$1))))=INT(SIMOPS!$D$3),IFERROR(UPPER(TRIM(INDEX(BASELINE!$A801:$ZZ801,CALC!$R$1)&amp;"")),"")&lt;&gt;"ENCERRADA"),1,0),0)</f>
        <v/>
      </c>
      <c r="B801">
        <f>B800+A801</f>
        <v/>
      </c>
    </row>
    <row r="802">
      <c r="A802">
        <f>IFERROR(IF(AND(INDEX(BASELINE!$A802:$ZZ802,CALC!$H$1)&lt;&gt;"",INT(IF(AND(CALC!$F$1&gt;0,N(INDEX(BASELINE!$A802:$ZZ802,CALC!$F$1))&gt;0),N(INDEX(BASELINE!$A802:$ZZ802,CALC!$F$1)),N(INDEX(BASELINE!$A802:$ZZ802,CALC!$P$1))))=INT(SIMOPS!$D$3),IFERROR(UPPER(TRIM(INDEX(BASELINE!$A802:$ZZ802,CALC!$R$1)&amp;"")),"")&lt;&gt;"ENCERRADA"),1,0),0)</f>
        <v/>
      </c>
      <c r="B802">
        <f>B801+A802</f>
        <v/>
      </c>
    </row>
    <row r="803">
      <c r="A803">
        <f>IFERROR(IF(AND(INDEX(BASELINE!$A803:$ZZ803,CALC!$H$1)&lt;&gt;"",INT(IF(AND(CALC!$F$1&gt;0,N(INDEX(BASELINE!$A803:$ZZ803,CALC!$F$1))&gt;0),N(INDEX(BASELINE!$A803:$ZZ803,CALC!$F$1)),N(INDEX(BASELINE!$A803:$ZZ803,CALC!$P$1))))=INT(SIMOPS!$D$3),IFERROR(UPPER(TRIM(INDEX(BASELINE!$A803:$ZZ803,CALC!$R$1)&amp;"")),"")&lt;&gt;"ENCERRADA"),1,0),0)</f>
        <v/>
      </c>
      <c r="B803">
        <f>B802+A803</f>
        <v/>
      </c>
    </row>
    <row r="804">
      <c r="A804">
        <f>IFERROR(IF(AND(INDEX(BASELINE!$A804:$ZZ804,CALC!$H$1)&lt;&gt;"",INT(IF(AND(CALC!$F$1&gt;0,N(INDEX(BASELINE!$A804:$ZZ804,CALC!$F$1))&gt;0),N(INDEX(BASELINE!$A804:$ZZ804,CALC!$F$1)),N(INDEX(BASELINE!$A804:$ZZ804,CALC!$P$1))))=INT(SIMOPS!$D$3),IFERROR(UPPER(TRIM(INDEX(BASELINE!$A804:$ZZ804,CALC!$R$1)&amp;"")),"")&lt;&gt;"ENCERRADA"),1,0),0)</f>
        <v/>
      </c>
      <c r="B804">
        <f>B803+A804</f>
        <v/>
      </c>
    </row>
    <row r="805">
      <c r="A805">
        <f>IFERROR(IF(AND(INDEX(BASELINE!$A805:$ZZ805,CALC!$H$1)&lt;&gt;"",INT(IF(AND(CALC!$F$1&gt;0,N(INDEX(BASELINE!$A805:$ZZ805,CALC!$F$1))&gt;0),N(INDEX(BASELINE!$A805:$ZZ805,CALC!$F$1)),N(INDEX(BASELINE!$A805:$ZZ805,CALC!$P$1))))=INT(SIMOPS!$D$3),IFERROR(UPPER(TRIM(INDEX(BASELINE!$A805:$ZZ805,CALC!$R$1)&amp;"")),"")&lt;&gt;"ENCERRADA"),1,0),0)</f>
        <v/>
      </c>
      <c r="B805">
        <f>B804+A805</f>
        <v/>
      </c>
    </row>
    <row r="806">
      <c r="A806">
        <f>IFERROR(IF(AND(INDEX(BASELINE!$A806:$ZZ806,CALC!$H$1)&lt;&gt;"",INT(IF(AND(CALC!$F$1&gt;0,N(INDEX(BASELINE!$A806:$ZZ806,CALC!$F$1))&gt;0),N(INDEX(BASELINE!$A806:$ZZ806,CALC!$F$1)),N(INDEX(BASELINE!$A806:$ZZ806,CALC!$P$1))))=INT(SIMOPS!$D$3),IFERROR(UPPER(TRIM(INDEX(BASELINE!$A806:$ZZ806,CALC!$R$1)&amp;"")),"")&lt;&gt;"ENCERRADA"),1,0),0)</f>
        <v/>
      </c>
      <c r="B806">
        <f>B805+A806</f>
        <v/>
      </c>
    </row>
    <row r="807">
      <c r="A807">
        <f>IFERROR(IF(AND(INDEX(BASELINE!$A807:$ZZ807,CALC!$H$1)&lt;&gt;"",INT(IF(AND(CALC!$F$1&gt;0,N(INDEX(BASELINE!$A807:$ZZ807,CALC!$F$1))&gt;0),N(INDEX(BASELINE!$A807:$ZZ807,CALC!$F$1)),N(INDEX(BASELINE!$A807:$ZZ807,CALC!$P$1))))=INT(SIMOPS!$D$3),IFERROR(UPPER(TRIM(INDEX(BASELINE!$A807:$ZZ807,CALC!$R$1)&amp;"")),"")&lt;&gt;"ENCERRADA"),1,0),0)</f>
        <v/>
      </c>
      <c r="B807">
        <f>B806+A807</f>
        <v/>
      </c>
    </row>
    <row r="808">
      <c r="A808">
        <f>IFERROR(IF(AND(INDEX(BASELINE!$A808:$ZZ808,CALC!$H$1)&lt;&gt;"",INT(IF(AND(CALC!$F$1&gt;0,N(INDEX(BASELINE!$A808:$ZZ808,CALC!$F$1))&gt;0),N(INDEX(BASELINE!$A808:$ZZ808,CALC!$F$1)),N(INDEX(BASELINE!$A808:$ZZ808,CALC!$P$1))))=INT(SIMOPS!$D$3),IFERROR(UPPER(TRIM(INDEX(BASELINE!$A808:$ZZ808,CALC!$R$1)&amp;"")),"")&lt;&gt;"ENCERRADA"),1,0),0)</f>
        <v/>
      </c>
      <c r="B808">
        <f>B807+A808</f>
        <v/>
      </c>
    </row>
    <row r="809">
      <c r="A809">
        <f>IFERROR(IF(AND(INDEX(BASELINE!$A809:$ZZ809,CALC!$H$1)&lt;&gt;"",INT(IF(AND(CALC!$F$1&gt;0,N(INDEX(BASELINE!$A809:$ZZ809,CALC!$F$1))&gt;0),N(INDEX(BASELINE!$A809:$ZZ809,CALC!$F$1)),N(INDEX(BASELINE!$A809:$ZZ809,CALC!$P$1))))=INT(SIMOPS!$D$3),IFERROR(UPPER(TRIM(INDEX(BASELINE!$A809:$ZZ809,CALC!$R$1)&amp;"")),"")&lt;&gt;"ENCERRADA"),1,0),0)</f>
        <v/>
      </c>
      <c r="B809">
        <f>B808+A809</f>
        <v/>
      </c>
    </row>
    <row r="810">
      <c r="A810">
        <f>IFERROR(IF(AND(INDEX(BASELINE!$A810:$ZZ810,CALC!$H$1)&lt;&gt;"",INT(IF(AND(CALC!$F$1&gt;0,N(INDEX(BASELINE!$A810:$ZZ810,CALC!$F$1))&gt;0),N(INDEX(BASELINE!$A810:$ZZ810,CALC!$F$1)),N(INDEX(BASELINE!$A810:$ZZ810,CALC!$P$1))))=INT(SIMOPS!$D$3),IFERROR(UPPER(TRIM(INDEX(BASELINE!$A810:$ZZ810,CALC!$R$1)&amp;"")),"")&lt;&gt;"ENCERRADA"),1,0),0)</f>
        <v/>
      </c>
      <c r="B810">
        <f>B809+A810</f>
        <v/>
      </c>
    </row>
    <row r="811">
      <c r="A811">
        <f>IFERROR(IF(AND(INDEX(BASELINE!$A811:$ZZ811,CALC!$H$1)&lt;&gt;"",INT(IF(AND(CALC!$F$1&gt;0,N(INDEX(BASELINE!$A811:$ZZ811,CALC!$F$1))&gt;0),N(INDEX(BASELINE!$A811:$ZZ811,CALC!$F$1)),N(INDEX(BASELINE!$A811:$ZZ811,CALC!$P$1))))=INT(SIMOPS!$D$3),IFERROR(UPPER(TRIM(INDEX(BASELINE!$A811:$ZZ811,CALC!$R$1)&amp;"")),"")&lt;&gt;"ENCERRADA"),1,0),0)</f>
        <v/>
      </c>
      <c r="B811">
        <f>B810+A811</f>
        <v/>
      </c>
    </row>
    <row r="812">
      <c r="A812">
        <f>IFERROR(IF(AND(INDEX(BASELINE!$A812:$ZZ812,CALC!$H$1)&lt;&gt;"",INT(IF(AND(CALC!$F$1&gt;0,N(INDEX(BASELINE!$A812:$ZZ812,CALC!$F$1))&gt;0),N(INDEX(BASELINE!$A812:$ZZ812,CALC!$F$1)),N(INDEX(BASELINE!$A812:$ZZ812,CALC!$P$1))))=INT(SIMOPS!$D$3),IFERROR(UPPER(TRIM(INDEX(BASELINE!$A812:$ZZ812,CALC!$R$1)&amp;"")),"")&lt;&gt;"ENCERRADA"),1,0),0)</f>
        <v/>
      </c>
      <c r="B812">
        <f>B811+A812</f>
        <v/>
      </c>
    </row>
    <row r="813">
      <c r="A813">
        <f>IFERROR(IF(AND(INDEX(BASELINE!$A813:$ZZ813,CALC!$H$1)&lt;&gt;"",INT(IF(AND(CALC!$F$1&gt;0,N(INDEX(BASELINE!$A813:$ZZ813,CALC!$F$1))&gt;0),N(INDEX(BASELINE!$A813:$ZZ813,CALC!$F$1)),N(INDEX(BASELINE!$A813:$ZZ813,CALC!$P$1))))=INT(SIMOPS!$D$3),IFERROR(UPPER(TRIM(INDEX(BASELINE!$A813:$ZZ813,CALC!$R$1)&amp;"")),"")&lt;&gt;"ENCERRADA"),1,0),0)</f>
        <v/>
      </c>
      <c r="B813">
        <f>B812+A813</f>
        <v/>
      </c>
    </row>
    <row r="814">
      <c r="A814">
        <f>IFERROR(IF(AND(INDEX(BASELINE!$A814:$ZZ814,CALC!$H$1)&lt;&gt;"",INT(IF(AND(CALC!$F$1&gt;0,N(INDEX(BASELINE!$A814:$ZZ814,CALC!$F$1))&gt;0),N(INDEX(BASELINE!$A814:$ZZ814,CALC!$F$1)),N(INDEX(BASELINE!$A814:$ZZ814,CALC!$P$1))))=INT(SIMOPS!$D$3),IFERROR(UPPER(TRIM(INDEX(BASELINE!$A814:$ZZ814,CALC!$R$1)&amp;"")),"")&lt;&gt;"ENCERRADA"),1,0),0)</f>
        <v/>
      </c>
      <c r="B814">
        <f>B813+A814</f>
        <v/>
      </c>
    </row>
    <row r="815">
      <c r="A815">
        <f>IFERROR(IF(AND(INDEX(BASELINE!$A815:$ZZ815,CALC!$H$1)&lt;&gt;"",INT(IF(AND(CALC!$F$1&gt;0,N(INDEX(BASELINE!$A815:$ZZ815,CALC!$F$1))&gt;0),N(INDEX(BASELINE!$A815:$ZZ815,CALC!$F$1)),N(INDEX(BASELINE!$A815:$ZZ815,CALC!$P$1))))=INT(SIMOPS!$D$3),IFERROR(UPPER(TRIM(INDEX(BASELINE!$A815:$ZZ815,CALC!$R$1)&amp;"")),"")&lt;&gt;"ENCERRADA"),1,0),0)</f>
        <v/>
      </c>
      <c r="B815">
        <f>B814+A815</f>
        <v/>
      </c>
    </row>
    <row r="816">
      <c r="A816">
        <f>IFERROR(IF(AND(INDEX(BASELINE!$A816:$ZZ816,CALC!$H$1)&lt;&gt;"",INT(IF(AND(CALC!$F$1&gt;0,N(INDEX(BASELINE!$A816:$ZZ816,CALC!$F$1))&gt;0),N(INDEX(BASELINE!$A816:$ZZ816,CALC!$F$1)),N(INDEX(BASELINE!$A816:$ZZ816,CALC!$P$1))))=INT(SIMOPS!$D$3),IFERROR(UPPER(TRIM(INDEX(BASELINE!$A816:$ZZ816,CALC!$R$1)&amp;"")),"")&lt;&gt;"ENCERRADA"),1,0),0)</f>
        <v/>
      </c>
      <c r="B816">
        <f>B815+A816</f>
        <v/>
      </c>
    </row>
    <row r="817">
      <c r="A817">
        <f>IFERROR(IF(AND(INDEX(BASELINE!$A817:$ZZ817,CALC!$H$1)&lt;&gt;"",INT(IF(AND(CALC!$F$1&gt;0,N(INDEX(BASELINE!$A817:$ZZ817,CALC!$F$1))&gt;0),N(INDEX(BASELINE!$A817:$ZZ817,CALC!$F$1)),N(INDEX(BASELINE!$A817:$ZZ817,CALC!$P$1))))=INT(SIMOPS!$D$3),IFERROR(UPPER(TRIM(INDEX(BASELINE!$A817:$ZZ817,CALC!$R$1)&amp;"")),"")&lt;&gt;"ENCERRADA"),1,0),0)</f>
        <v/>
      </c>
      <c r="B817">
        <f>B816+A817</f>
        <v/>
      </c>
    </row>
    <row r="818">
      <c r="A818">
        <f>IFERROR(IF(AND(INDEX(BASELINE!$A818:$ZZ818,CALC!$H$1)&lt;&gt;"",INT(IF(AND(CALC!$F$1&gt;0,N(INDEX(BASELINE!$A818:$ZZ818,CALC!$F$1))&gt;0),N(INDEX(BASELINE!$A818:$ZZ818,CALC!$F$1)),N(INDEX(BASELINE!$A818:$ZZ818,CALC!$P$1))))=INT(SIMOPS!$D$3),IFERROR(UPPER(TRIM(INDEX(BASELINE!$A818:$ZZ818,CALC!$R$1)&amp;"")),"")&lt;&gt;"ENCERRADA"),1,0),0)</f>
        <v/>
      </c>
      <c r="B818">
        <f>B817+A818</f>
        <v/>
      </c>
    </row>
    <row r="819">
      <c r="A819">
        <f>IFERROR(IF(AND(INDEX(BASELINE!$A819:$ZZ819,CALC!$H$1)&lt;&gt;"",INT(IF(AND(CALC!$F$1&gt;0,N(INDEX(BASELINE!$A819:$ZZ819,CALC!$F$1))&gt;0),N(INDEX(BASELINE!$A819:$ZZ819,CALC!$F$1)),N(INDEX(BASELINE!$A819:$ZZ819,CALC!$P$1))))=INT(SIMOPS!$D$3),IFERROR(UPPER(TRIM(INDEX(BASELINE!$A819:$ZZ819,CALC!$R$1)&amp;"")),"")&lt;&gt;"ENCERRADA"),1,0),0)</f>
        <v/>
      </c>
      <c r="B819">
        <f>B818+A819</f>
        <v/>
      </c>
    </row>
    <row r="820">
      <c r="A820">
        <f>IFERROR(IF(AND(INDEX(BASELINE!$A820:$ZZ820,CALC!$H$1)&lt;&gt;"",INT(IF(AND(CALC!$F$1&gt;0,N(INDEX(BASELINE!$A820:$ZZ820,CALC!$F$1))&gt;0),N(INDEX(BASELINE!$A820:$ZZ820,CALC!$F$1)),N(INDEX(BASELINE!$A820:$ZZ820,CALC!$P$1))))=INT(SIMOPS!$D$3),IFERROR(UPPER(TRIM(INDEX(BASELINE!$A820:$ZZ820,CALC!$R$1)&amp;"")),"")&lt;&gt;"ENCERRADA"),1,0),0)</f>
        <v/>
      </c>
      <c r="B820">
        <f>B819+A820</f>
        <v/>
      </c>
    </row>
    <row r="821">
      <c r="A821">
        <f>IFERROR(IF(AND(INDEX(BASELINE!$A821:$ZZ821,CALC!$H$1)&lt;&gt;"",INT(IF(AND(CALC!$F$1&gt;0,N(INDEX(BASELINE!$A821:$ZZ821,CALC!$F$1))&gt;0),N(INDEX(BASELINE!$A821:$ZZ821,CALC!$F$1)),N(INDEX(BASELINE!$A821:$ZZ821,CALC!$P$1))))=INT(SIMOPS!$D$3),IFERROR(UPPER(TRIM(INDEX(BASELINE!$A821:$ZZ821,CALC!$R$1)&amp;"")),"")&lt;&gt;"ENCERRADA"),1,0),0)</f>
        <v/>
      </c>
      <c r="B821">
        <f>B820+A821</f>
        <v/>
      </c>
    </row>
    <row r="822">
      <c r="A822">
        <f>IFERROR(IF(AND(INDEX(BASELINE!$A822:$ZZ822,CALC!$H$1)&lt;&gt;"",INT(IF(AND(CALC!$F$1&gt;0,N(INDEX(BASELINE!$A822:$ZZ822,CALC!$F$1))&gt;0),N(INDEX(BASELINE!$A822:$ZZ822,CALC!$F$1)),N(INDEX(BASELINE!$A822:$ZZ822,CALC!$P$1))))=INT(SIMOPS!$D$3),IFERROR(UPPER(TRIM(INDEX(BASELINE!$A822:$ZZ822,CALC!$R$1)&amp;"")),"")&lt;&gt;"ENCERRADA"),1,0),0)</f>
        <v/>
      </c>
      <c r="B822">
        <f>B821+A822</f>
        <v/>
      </c>
    </row>
    <row r="823">
      <c r="A823">
        <f>IFERROR(IF(AND(INDEX(BASELINE!$A823:$ZZ823,CALC!$H$1)&lt;&gt;"",INT(IF(AND(CALC!$F$1&gt;0,N(INDEX(BASELINE!$A823:$ZZ823,CALC!$F$1))&gt;0),N(INDEX(BASELINE!$A823:$ZZ823,CALC!$F$1)),N(INDEX(BASELINE!$A823:$ZZ823,CALC!$P$1))))=INT(SIMOPS!$D$3),IFERROR(UPPER(TRIM(INDEX(BASELINE!$A823:$ZZ823,CALC!$R$1)&amp;"")),"")&lt;&gt;"ENCERRADA"),1,0),0)</f>
        <v/>
      </c>
      <c r="B823">
        <f>B822+A823</f>
        <v/>
      </c>
    </row>
    <row r="824">
      <c r="A824">
        <f>IFERROR(IF(AND(INDEX(BASELINE!$A824:$ZZ824,CALC!$H$1)&lt;&gt;"",INT(IF(AND(CALC!$F$1&gt;0,N(INDEX(BASELINE!$A824:$ZZ824,CALC!$F$1))&gt;0),N(INDEX(BASELINE!$A824:$ZZ824,CALC!$F$1)),N(INDEX(BASELINE!$A824:$ZZ824,CALC!$P$1))))=INT(SIMOPS!$D$3),IFERROR(UPPER(TRIM(INDEX(BASELINE!$A824:$ZZ824,CALC!$R$1)&amp;"")),"")&lt;&gt;"ENCERRADA"),1,0),0)</f>
        <v/>
      </c>
      <c r="B824">
        <f>B823+A824</f>
        <v/>
      </c>
    </row>
    <row r="825">
      <c r="A825">
        <f>IFERROR(IF(AND(INDEX(BASELINE!$A825:$ZZ825,CALC!$H$1)&lt;&gt;"",INT(IF(AND(CALC!$F$1&gt;0,N(INDEX(BASELINE!$A825:$ZZ825,CALC!$F$1))&gt;0),N(INDEX(BASELINE!$A825:$ZZ825,CALC!$F$1)),N(INDEX(BASELINE!$A825:$ZZ825,CALC!$P$1))))=INT(SIMOPS!$D$3),IFERROR(UPPER(TRIM(INDEX(BASELINE!$A825:$ZZ825,CALC!$R$1)&amp;"")),"")&lt;&gt;"ENCERRADA"),1,0),0)</f>
        <v/>
      </c>
      <c r="B825">
        <f>B824+A825</f>
        <v/>
      </c>
    </row>
    <row r="826">
      <c r="A826">
        <f>IFERROR(IF(AND(INDEX(BASELINE!$A826:$ZZ826,CALC!$H$1)&lt;&gt;"",INT(IF(AND(CALC!$F$1&gt;0,N(INDEX(BASELINE!$A826:$ZZ826,CALC!$F$1))&gt;0),N(INDEX(BASELINE!$A826:$ZZ826,CALC!$F$1)),N(INDEX(BASELINE!$A826:$ZZ826,CALC!$P$1))))=INT(SIMOPS!$D$3),IFERROR(UPPER(TRIM(INDEX(BASELINE!$A826:$ZZ826,CALC!$R$1)&amp;"")),"")&lt;&gt;"ENCERRADA"),1,0),0)</f>
        <v/>
      </c>
      <c r="B826">
        <f>B825+A826</f>
        <v/>
      </c>
    </row>
    <row r="827">
      <c r="A827">
        <f>IFERROR(IF(AND(INDEX(BASELINE!$A827:$ZZ827,CALC!$H$1)&lt;&gt;"",INT(IF(AND(CALC!$F$1&gt;0,N(INDEX(BASELINE!$A827:$ZZ827,CALC!$F$1))&gt;0),N(INDEX(BASELINE!$A827:$ZZ827,CALC!$F$1)),N(INDEX(BASELINE!$A827:$ZZ827,CALC!$P$1))))=INT(SIMOPS!$D$3),IFERROR(UPPER(TRIM(INDEX(BASELINE!$A827:$ZZ827,CALC!$R$1)&amp;"")),"")&lt;&gt;"ENCERRADA"),1,0),0)</f>
        <v/>
      </c>
      <c r="B827">
        <f>B826+A827</f>
        <v/>
      </c>
    </row>
    <row r="828">
      <c r="A828">
        <f>IFERROR(IF(AND(INDEX(BASELINE!$A828:$ZZ828,CALC!$H$1)&lt;&gt;"",INT(IF(AND(CALC!$F$1&gt;0,N(INDEX(BASELINE!$A828:$ZZ828,CALC!$F$1))&gt;0),N(INDEX(BASELINE!$A828:$ZZ828,CALC!$F$1)),N(INDEX(BASELINE!$A828:$ZZ828,CALC!$P$1))))=INT(SIMOPS!$D$3),IFERROR(UPPER(TRIM(INDEX(BASELINE!$A828:$ZZ828,CALC!$R$1)&amp;"")),"")&lt;&gt;"ENCERRADA"),1,0),0)</f>
        <v/>
      </c>
      <c r="B828">
        <f>B827+A828</f>
        <v/>
      </c>
    </row>
    <row r="829">
      <c r="A829">
        <f>IFERROR(IF(AND(INDEX(BASELINE!$A829:$ZZ829,CALC!$H$1)&lt;&gt;"",INT(IF(AND(CALC!$F$1&gt;0,N(INDEX(BASELINE!$A829:$ZZ829,CALC!$F$1))&gt;0),N(INDEX(BASELINE!$A829:$ZZ829,CALC!$F$1)),N(INDEX(BASELINE!$A829:$ZZ829,CALC!$P$1))))=INT(SIMOPS!$D$3),IFERROR(UPPER(TRIM(INDEX(BASELINE!$A829:$ZZ829,CALC!$R$1)&amp;"")),"")&lt;&gt;"ENCERRADA"),1,0),0)</f>
        <v/>
      </c>
      <c r="B829">
        <f>B828+A829</f>
        <v/>
      </c>
    </row>
    <row r="830">
      <c r="A830">
        <f>IFERROR(IF(AND(INDEX(BASELINE!$A830:$ZZ830,CALC!$H$1)&lt;&gt;"",INT(IF(AND(CALC!$F$1&gt;0,N(INDEX(BASELINE!$A830:$ZZ830,CALC!$F$1))&gt;0),N(INDEX(BASELINE!$A830:$ZZ830,CALC!$F$1)),N(INDEX(BASELINE!$A830:$ZZ830,CALC!$P$1))))=INT(SIMOPS!$D$3),IFERROR(UPPER(TRIM(INDEX(BASELINE!$A830:$ZZ830,CALC!$R$1)&amp;"")),"")&lt;&gt;"ENCERRADA"),1,0),0)</f>
        <v/>
      </c>
      <c r="B830">
        <f>B829+A830</f>
        <v/>
      </c>
    </row>
    <row r="831">
      <c r="A831">
        <f>IFERROR(IF(AND(INDEX(BASELINE!$A831:$ZZ831,CALC!$H$1)&lt;&gt;"",INT(IF(AND(CALC!$F$1&gt;0,N(INDEX(BASELINE!$A831:$ZZ831,CALC!$F$1))&gt;0),N(INDEX(BASELINE!$A831:$ZZ831,CALC!$F$1)),N(INDEX(BASELINE!$A831:$ZZ831,CALC!$P$1))))=INT(SIMOPS!$D$3),IFERROR(UPPER(TRIM(INDEX(BASELINE!$A831:$ZZ831,CALC!$R$1)&amp;"")),"")&lt;&gt;"ENCERRADA"),1,0),0)</f>
        <v/>
      </c>
      <c r="B831">
        <f>B830+A831</f>
        <v/>
      </c>
    </row>
    <row r="832">
      <c r="A832">
        <f>IFERROR(IF(AND(INDEX(BASELINE!$A832:$ZZ832,CALC!$H$1)&lt;&gt;"",INT(IF(AND(CALC!$F$1&gt;0,N(INDEX(BASELINE!$A832:$ZZ832,CALC!$F$1))&gt;0),N(INDEX(BASELINE!$A832:$ZZ832,CALC!$F$1)),N(INDEX(BASELINE!$A832:$ZZ832,CALC!$P$1))))=INT(SIMOPS!$D$3),IFERROR(UPPER(TRIM(INDEX(BASELINE!$A832:$ZZ832,CALC!$R$1)&amp;"")),"")&lt;&gt;"ENCERRADA"),1,0),0)</f>
        <v/>
      </c>
      <c r="B832">
        <f>B831+A832</f>
        <v/>
      </c>
    </row>
    <row r="833">
      <c r="A833">
        <f>IFERROR(IF(AND(INDEX(BASELINE!$A833:$ZZ833,CALC!$H$1)&lt;&gt;"",INT(IF(AND(CALC!$F$1&gt;0,N(INDEX(BASELINE!$A833:$ZZ833,CALC!$F$1))&gt;0),N(INDEX(BASELINE!$A833:$ZZ833,CALC!$F$1)),N(INDEX(BASELINE!$A833:$ZZ833,CALC!$P$1))))=INT(SIMOPS!$D$3),IFERROR(UPPER(TRIM(INDEX(BASELINE!$A833:$ZZ833,CALC!$R$1)&amp;"")),"")&lt;&gt;"ENCERRADA"),1,0),0)</f>
        <v/>
      </c>
      <c r="B833">
        <f>B832+A833</f>
        <v/>
      </c>
    </row>
    <row r="834">
      <c r="A834">
        <f>IFERROR(IF(AND(INDEX(BASELINE!$A834:$ZZ834,CALC!$H$1)&lt;&gt;"",INT(IF(AND(CALC!$F$1&gt;0,N(INDEX(BASELINE!$A834:$ZZ834,CALC!$F$1))&gt;0),N(INDEX(BASELINE!$A834:$ZZ834,CALC!$F$1)),N(INDEX(BASELINE!$A834:$ZZ834,CALC!$P$1))))=INT(SIMOPS!$D$3),IFERROR(UPPER(TRIM(INDEX(BASELINE!$A834:$ZZ834,CALC!$R$1)&amp;"")),"")&lt;&gt;"ENCERRADA"),1,0),0)</f>
        <v/>
      </c>
      <c r="B834">
        <f>B833+A834</f>
        <v/>
      </c>
    </row>
    <row r="835">
      <c r="A835">
        <f>IFERROR(IF(AND(INDEX(BASELINE!$A835:$ZZ835,CALC!$H$1)&lt;&gt;"",INT(IF(AND(CALC!$F$1&gt;0,N(INDEX(BASELINE!$A835:$ZZ835,CALC!$F$1))&gt;0),N(INDEX(BASELINE!$A835:$ZZ835,CALC!$F$1)),N(INDEX(BASELINE!$A835:$ZZ835,CALC!$P$1))))=INT(SIMOPS!$D$3),IFERROR(UPPER(TRIM(INDEX(BASELINE!$A835:$ZZ835,CALC!$R$1)&amp;"")),"")&lt;&gt;"ENCERRADA"),1,0),0)</f>
        <v/>
      </c>
      <c r="B835">
        <f>B834+A835</f>
        <v/>
      </c>
    </row>
    <row r="836">
      <c r="A836">
        <f>IFERROR(IF(AND(INDEX(BASELINE!$A836:$ZZ836,CALC!$H$1)&lt;&gt;"",INT(IF(AND(CALC!$F$1&gt;0,N(INDEX(BASELINE!$A836:$ZZ836,CALC!$F$1))&gt;0),N(INDEX(BASELINE!$A836:$ZZ836,CALC!$F$1)),N(INDEX(BASELINE!$A836:$ZZ836,CALC!$P$1))))=INT(SIMOPS!$D$3),IFERROR(UPPER(TRIM(INDEX(BASELINE!$A836:$ZZ836,CALC!$R$1)&amp;"")),"")&lt;&gt;"ENCERRADA"),1,0),0)</f>
        <v/>
      </c>
      <c r="B836">
        <f>B835+A836</f>
        <v/>
      </c>
    </row>
    <row r="837">
      <c r="A837">
        <f>IFERROR(IF(AND(INDEX(BASELINE!$A837:$ZZ837,CALC!$H$1)&lt;&gt;"",INT(IF(AND(CALC!$F$1&gt;0,N(INDEX(BASELINE!$A837:$ZZ837,CALC!$F$1))&gt;0),N(INDEX(BASELINE!$A837:$ZZ837,CALC!$F$1)),N(INDEX(BASELINE!$A837:$ZZ837,CALC!$P$1))))=INT(SIMOPS!$D$3),IFERROR(UPPER(TRIM(INDEX(BASELINE!$A837:$ZZ837,CALC!$R$1)&amp;"")),"")&lt;&gt;"ENCERRADA"),1,0),0)</f>
        <v/>
      </c>
      <c r="B837">
        <f>B836+A837</f>
        <v/>
      </c>
    </row>
    <row r="838">
      <c r="A838">
        <f>IFERROR(IF(AND(INDEX(BASELINE!$A838:$ZZ838,CALC!$H$1)&lt;&gt;"",INT(IF(AND(CALC!$F$1&gt;0,N(INDEX(BASELINE!$A838:$ZZ838,CALC!$F$1))&gt;0),N(INDEX(BASELINE!$A838:$ZZ838,CALC!$F$1)),N(INDEX(BASELINE!$A838:$ZZ838,CALC!$P$1))))=INT(SIMOPS!$D$3),IFERROR(UPPER(TRIM(INDEX(BASELINE!$A838:$ZZ838,CALC!$R$1)&amp;"")),"")&lt;&gt;"ENCERRADA"),1,0),0)</f>
        <v/>
      </c>
      <c r="B838">
        <f>B837+A838</f>
        <v/>
      </c>
    </row>
    <row r="839">
      <c r="A839">
        <f>IFERROR(IF(AND(INDEX(BASELINE!$A839:$ZZ839,CALC!$H$1)&lt;&gt;"",INT(IF(AND(CALC!$F$1&gt;0,N(INDEX(BASELINE!$A839:$ZZ839,CALC!$F$1))&gt;0),N(INDEX(BASELINE!$A839:$ZZ839,CALC!$F$1)),N(INDEX(BASELINE!$A839:$ZZ839,CALC!$P$1))))=INT(SIMOPS!$D$3),IFERROR(UPPER(TRIM(INDEX(BASELINE!$A839:$ZZ839,CALC!$R$1)&amp;"")),"")&lt;&gt;"ENCERRADA"),1,0),0)</f>
        <v/>
      </c>
      <c r="B839">
        <f>B838+A839</f>
        <v/>
      </c>
    </row>
    <row r="840">
      <c r="A840">
        <f>IFERROR(IF(AND(INDEX(BASELINE!$A840:$ZZ840,CALC!$H$1)&lt;&gt;"",INT(IF(AND(CALC!$F$1&gt;0,N(INDEX(BASELINE!$A840:$ZZ840,CALC!$F$1))&gt;0),N(INDEX(BASELINE!$A840:$ZZ840,CALC!$F$1)),N(INDEX(BASELINE!$A840:$ZZ840,CALC!$P$1))))=INT(SIMOPS!$D$3),IFERROR(UPPER(TRIM(INDEX(BASELINE!$A840:$ZZ840,CALC!$R$1)&amp;"")),"")&lt;&gt;"ENCERRADA"),1,0),0)</f>
        <v/>
      </c>
      <c r="B840">
        <f>B839+A840</f>
        <v/>
      </c>
    </row>
    <row r="841">
      <c r="A841">
        <f>IFERROR(IF(AND(INDEX(BASELINE!$A841:$ZZ841,CALC!$H$1)&lt;&gt;"",INT(IF(AND(CALC!$F$1&gt;0,N(INDEX(BASELINE!$A841:$ZZ841,CALC!$F$1))&gt;0),N(INDEX(BASELINE!$A841:$ZZ841,CALC!$F$1)),N(INDEX(BASELINE!$A841:$ZZ841,CALC!$P$1))))=INT(SIMOPS!$D$3),IFERROR(UPPER(TRIM(INDEX(BASELINE!$A841:$ZZ841,CALC!$R$1)&amp;"")),"")&lt;&gt;"ENCERRADA"),1,0),0)</f>
        <v/>
      </c>
      <c r="B841">
        <f>B840+A841</f>
        <v/>
      </c>
    </row>
    <row r="842">
      <c r="A842">
        <f>IFERROR(IF(AND(INDEX(BASELINE!$A842:$ZZ842,CALC!$H$1)&lt;&gt;"",INT(IF(AND(CALC!$F$1&gt;0,N(INDEX(BASELINE!$A842:$ZZ842,CALC!$F$1))&gt;0),N(INDEX(BASELINE!$A842:$ZZ842,CALC!$F$1)),N(INDEX(BASELINE!$A842:$ZZ842,CALC!$P$1))))=INT(SIMOPS!$D$3),IFERROR(UPPER(TRIM(INDEX(BASELINE!$A842:$ZZ842,CALC!$R$1)&amp;"")),"")&lt;&gt;"ENCERRADA"),1,0),0)</f>
        <v/>
      </c>
      <c r="B842">
        <f>B841+A842</f>
        <v/>
      </c>
    </row>
    <row r="843">
      <c r="A843">
        <f>IFERROR(IF(AND(INDEX(BASELINE!$A843:$ZZ843,CALC!$H$1)&lt;&gt;"",INT(IF(AND(CALC!$F$1&gt;0,N(INDEX(BASELINE!$A843:$ZZ843,CALC!$F$1))&gt;0),N(INDEX(BASELINE!$A843:$ZZ843,CALC!$F$1)),N(INDEX(BASELINE!$A843:$ZZ843,CALC!$P$1))))=INT(SIMOPS!$D$3),IFERROR(UPPER(TRIM(INDEX(BASELINE!$A843:$ZZ843,CALC!$R$1)&amp;"")),"")&lt;&gt;"ENCERRADA"),1,0),0)</f>
        <v/>
      </c>
      <c r="B843">
        <f>B842+A843</f>
        <v/>
      </c>
    </row>
    <row r="844">
      <c r="A844">
        <f>IFERROR(IF(AND(INDEX(BASELINE!$A844:$ZZ844,CALC!$H$1)&lt;&gt;"",INT(IF(AND(CALC!$F$1&gt;0,N(INDEX(BASELINE!$A844:$ZZ844,CALC!$F$1))&gt;0),N(INDEX(BASELINE!$A844:$ZZ844,CALC!$F$1)),N(INDEX(BASELINE!$A844:$ZZ844,CALC!$P$1))))=INT(SIMOPS!$D$3),IFERROR(UPPER(TRIM(INDEX(BASELINE!$A844:$ZZ844,CALC!$R$1)&amp;"")),"")&lt;&gt;"ENCERRADA"),1,0),0)</f>
        <v/>
      </c>
      <c r="B844">
        <f>B843+A844</f>
        <v/>
      </c>
    </row>
    <row r="845">
      <c r="A845">
        <f>IFERROR(IF(AND(INDEX(BASELINE!$A845:$ZZ845,CALC!$H$1)&lt;&gt;"",INT(IF(AND(CALC!$F$1&gt;0,N(INDEX(BASELINE!$A845:$ZZ845,CALC!$F$1))&gt;0),N(INDEX(BASELINE!$A845:$ZZ845,CALC!$F$1)),N(INDEX(BASELINE!$A845:$ZZ845,CALC!$P$1))))=INT(SIMOPS!$D$3),IFERROR(UPPER(TRIM(INDEX(BASELINE!$A845:$ZZ845,CALC!$R$1)&amp;"")),"")&lt;&gt;"ENCERRADA"),1,0),0)</f>
        <v/>
      </c>
      <c r="B845">
        <f>B844+A845</f>
        <v/>
      </c>
    </row>
    <row r="846">
      <c r="A846">
        <f>IFERROR(IF(AND(INDEX(BASELINE!$A846:$ZZ846,CALC!$H$1)&lt;&gt;"",INT(IF(AND(CALC!$F$1&gt;0,N(INDEX(BASELINE!$A846:$ZZ846,CALC!$F$1))&gt;0),N(INDEX(BASELINE!$A846:$ZZ846,CALC!$F$1)),N(INDEX(BASELINE!$A846:$ZZ846,CALC!$P$1))))=INT(SIMOPS!$D$3),IFERROR(UPPER(TRIM(INDEX(BASELINE!$A846:$ZZ846,CALC!$R$1)&amp;"")),"")&lt;&gt;"ENCERRADA"),1,0),0)</f>
        <v/>
      </c>
      <c r="B846">
        <f>B845+A846</f>
        <v/>
      </c>
    </row>
    <row r="847">
      <c r="A847">
        <f>IFERROR(IF(AND(INDEX(BASELINE!$A847:$ZZ847,CALC!$H$1)&lt;&gt;"",INT(IF(AND(CALC!$F$1&gt;0,N(INDEX(BASELINE!$A847:$ZZ847,CALC!$F$1))&gt;0),N(INDEX(BASELINE!$A847:$ZZ847,CALC!$F$1)),N(INDEX(BASELINE!$A847:$ZZ847,CALC!$P$1))))=INT(SIMOPS!$D$3),IFERROR(UPPER(TRIM(INDEX(BASELINE!$A847:$ZZ847,CALC!$R$1)&amp;"")),"")&lt;&gt;"ENCERRADA"),1,0),0)</f>
        <v/>
      </c>
      <c r="B847">
        <f>B846+A847</f>
        <v/>
      </c>
    </row>
    <row r="848">
      <c r="A848">
        <f>IFERROR(IF(AND(INDEX(BASELINE!$A848:$ZZ848,CALC!$H$1)&lt;&gt;"",INT(IF(AND(CALC!$F$1&gt;0,N(INDEX(BASELINE!$A848:$ZZ848,CALC!$F$1))&gt;0),N(INDEX(BASELINE!$A848:$ZZ848,CALC!$F$1)),N(INDEX(BASELINE!$A848:$ZZ848,CALC!$P$1))))=INT(SIMOPS!$D$3),IFERROR(UPPER(TRIM(INDEX(BASELINE!$A848:$ZZ848,CALC!$R$1)&amp;"")),"")&lt;&gt;"ENCERRADA"),1,0),0)</f>
        <v/>
      </c>
      <c r="B848">
        <f>B847+A848</f>
        <v/>
      </c>
    </row>
    <row r="849">
      <c r="A849">
        <f>IFERROR(IF(AND(INDEX(BASELINE!$A849:$ZZ849,CALC!$H$1)&lt;&gt;"",INT(IF(AND(CALC!$F$1&gt;0,N(INDEX(BASELINE!$A849:$ZZ849,CALC!$F$1))&gt;0),N(INDEX(BASELINE!$A849:$ZZ849,CALC!$F$1)),N(INDEX(BASELINE!$A849:$ZZ849,CALC!$P$1))))=INT(SIMOPS!$D$3),IFERROR(UPPER(TRIM(INDEX(BASELINE!$A849:$ZZ849,CALC!$R$1)&amp;"")),"")&lt;&gt;"ENCERRADA"),1,0),0)</f>
        <v/>
      </c>
      <c r="B849">
        <f>B848+A849</f>
        <v/>
      </c>
    </row>
    <row r="850">
      <c r="A850">
        <f>IFERROR(IF(AND(INDEX(BASELINE!$A850:$ZZ850,CALC!$H$1)&lt;&gt;"",INT(IF(AND(CALC!$F$1&gt;0,N(INDEX(BASELINE!$A850:$ZZ850,CALC!$F$1))&gt;0),N(INDEX(BASELINE!$A850:$ZZ850,CALC!$F$1)),N(INDEX(BASELINE!$A850:$ZZ850,CALC!$P$1))))=INT(SIMOPS!$D$3),IFERROR(UPPER(TRIM(INDEX(BASELINE!$A850:$ZZ850,CALC!$R$1)&amp;"")),"")&lt;&gt;"ENCERRADA"),1,0),0)</f>
        <v/>
      </c>
      <c r="B850">
        <f>B849+A850</f>
        <v/>
      </c>
    </row>
    <row r="851">
      <c r="A851">
        <f>IFERROR(IF(AND(INDEX(BASELINE!$A851:$ZZ851,CALC!$H$1)&lt;&gt;"",INT(IF(AND(CALC!$F$1&gt;0,N(INDEX(BASELINE!$A851:$ZZ851,CALC!$F$1))&gt;0),N(INDEX(BASELINE!$A851:$ZZ851,CALC!$F$1)),N(INDEX(BASELINE!$A851:$ZZ851,CALC!$P$1))))=INT(SIMOPS!$D$3),IFERROR(UPPER(TRIM(INDEX(BASELINE!$A851:$ZZ851,CALC!$R$1)&amp;"")),"")&lt;&gt;"ENCERRADA"),1,0),0)</f>
        <v/>
      </c>
      <c r="B851">
        <f>B850+A851</f>
        <v/>
      </c>
    </row>
    <row r="852">
      <c r="A852">
        <f>IFERROR(IF(AND(INDEX(BASELINE!$A852:$ZZ852,CALC!$H$1)&lt;&gt;"",INT(IF(AND(CALC!$F$1&gt;0,N(INDEX(BASELINE!$A852:$ZZ852,CALC!$F$1))&gt;0),N(INDEX(BASELINE!$A852:$ZZ852,CALC!$F$1)),N(INDEX(BASELINE!$A852:$ZZ852,CALC!$P$1))))=INT(SIMOPS!$D$3),IFERROR(UPPER(TRIM(INDEX(BASELINE!$A852:$ZZ852,CALC!$R$1)&amp;"")),"")&lt;&gt;"ENCERRADA"),1,0),0)</f>
        <v/>
      </c>
      <c r="B852">
        <f>B851+A852</f>
        <v/>
      </c>
    </row>
    <row r="853">
      <c r="A853">
        <f>IFERROR(IF(AND(INDEX(BASELINE!$A853:$ZZ853,CALC!$H$1)&lt;&gt;"",INT(IF(AND(CALC!$F$1&gt;0,N(INDEX(BASELINE!$A853:$ZZ853,CALC!$F$1))&gt;0),N(INDEX(BASELINE!$A853:$ZZ853,CALC!$F$1)),N(INDEX(BASELINE!$A853:$ZZ853,CALC!$P$1))))=INT(SIMOPS!$D$3),IFERROR(UPPER(TRIM(INDEX(BASELINE!$A853:$ZZ853,CALC!$R$1)&amp;"")),"")&lt;&gt;"ENCERRADA"),1,0),0)</f>
        <v/>
      </c>
      <c r="B853">
        <f>B852+A853</f>
        <v/>
      </c>
    </row>
    <row r="854">
      <c r="A854">
        <f>IFERROR(IF(AND(INDEX(BASELINE!$A854:$ZZ854,CALC!$H$1)&lt;&gt;"",INT(IF(AND(CALC!$F$1&gt;0,N(INDEX(BASELINE!$A854:$ZZ854,CALC!$F$1))&gt;0),N(INDEX(BASELINE!$A854:$ZZ854,CALC!$F$1)),N(INDEX(BASELINE!$A854:$ZZ854,CALC!$P$1))))=INT(SIMOPS!$D$3),IFERROR(UPPER(TRIM(INDEX(BASELINE!$A854:$ZZ854,CALC!$R$1)&amp;"")),"")&lt;&gt;"ENCERRADA"),1,0),0)</f>
        <v/>
      </c>
      <c r="B854">
        <f>B853+A854</f>
        <v/>
      </c>
    </row>
    <row r="855">
      <c r="A855">
        <f>IFERROR(IF(AND(INDEX(BASELINE!$A855:$ZZ855,CALC!$H$1)&lt;&gt;"",INT(IF(AND(CALC!$F$1&gt;0,N(INDEX(BASELINE!$A855:$ZZ855,CALC!$F$1))&gt;0),N(INDEX(BASELINE!$A855:$ZZ855,CALC!$F$1)),N(INDEX(BASELINE!$A855:$ZZ855,CALC!$P$1))))=INT(SIMOPS!$D$3),IFERROR(UPPER(TRIM(INDEX(BASELINE!$A855:$ZZ855,CALC!$R$1)&amp;"")),"")&lt;&gt;"ENCERRADA"),1,0),0)</f>
        <v/>
      </c>
      <c r="B855">
        <f>B854+A855</f>
        <v/>
      </c>
    </row>
    <row r="856">
      <c r="A856">
        <f>IFERROR(IF(AND(INDEX(BASELINE!$A856:$ZZ856,CALC!$H$1)&lt;&gt;"",INT(IF(AND(CALC!$F$1&gt;0,N(INDEX(BASELINE!$A856:$ZZ856,CALC!$F$1))&gt;0),N(INDEX(BASELINE!$A856:$ZZ856,CALC!$F$1)),N(INDEX(BASELINE!$A856:$ZZ856,CALC!$P$1))))=INT(SIMOPS!$D$3),IFERROR(UPPER(TRIM(INDEX(BASELINE!$A856:$ZZ856,CALC!$R$1)&amp;"")),"")&lt;&gt;"ENCERRADA"),1,0),0)</f>
        <v/>
      </c>
      <c r="B856">
        <f>B855+A856</f>
        <v/>
      </c>
    </row>
    <row r="857">
      <c r="A857">
        <f>IFERROR(IF(AND(INDEX(BASELINE!$A857:$ZZ857,CALC!$H$1)&lt;&gt;"",INT(IF(AND(CALC!$F$1&gt;0,N(INDEX(BASELINE!$A857:$ZZ857,CALC!$F$1))&gt;0),N(INDEX(BASELINE!$A857:$ZZ857,CALC!$F$1)),N(INDEX(BASELINE!$A857:$ZZ857,CALC!$P$1))))=INT(SIMOPS!$D$3),IFERROR(UPPER(TRIM(INDEX(BASELINE!$A857:$ZZ857,CALC!$R$1)&amp;"")),"")&lt;&gt;"ENCERRADA"),1,0),0)</f>
        <v/>
      </c>
      <c r="B857">
        <f>B856+A857</f>
        <v/>
      </c>
    </row>
    <row r="858">
      <c r="A858">
        <f>IFERROR(IF(AND(INDEX(BASELINE!$A858:$ZZ858,CALC!$H$1)&lt;&gt;"",INT(IF(AND(CALC!$F$1&gt;0,N(INDEX(BASELINE!$A858:$ZZ858,CALC!$F$1))&gt;0),N(INDEX(BASELINE!$A858:$ZZ858,CALC!$F$1)),N(INDEX(BASELINE!$A858:$ZZ858,CALC!$P$1))))=INT(SIMOPS!$D$3),IFERROR(UPPER(TRIM(INDEX(BASELINE!$A858:$ZZ858,CALC!$R$1)&amp;"")),"")&lt;&gt;"ENCERRADA"),1,0),0)</f>
        <v/>
      </c>
      <c r="B858">
        <f>B857+A858</f>
        <v/>
      </c>
    </row>
    <row r="859">
      <c r="A859">
        <f>IFERROR(IF(AND(INDEX(BASELINE!$A859:$ZZ859,CALC!$H$1)&lt;&gt;"",INT(IF(AND(CALC!$F$1&gt;0,N(INDEX(BASELINE!$A859:$ZZ859,CALC!$F$1))&gt;0),N(INDEX(BASELINE!$A859:$ZZ859,CALC!$F$1)),N(INDEX(BASELINE!$A859:$ZZ859,CALC!$P$1))))=INT(SIMOPS!$D$3),IFERROR(UPPER(TRIM(INDEX(BASELINE!$A859:$ZZ859,CALC!$R$1)&amp;"")),"")&lt;&gt;"ENCERRADA"),1,0),0)</f>
        <v/>
      </c>
      <c r="B859">
        <f>B858+A859</f>
        <v/>
      </c>
    </row>
    <row r="860">
      <c r="A860">
        <f>IFERROR(IF(AND(INDEX(BASELINE!$A860:$ZZ860,CALC!$H$1)&lt;&gt;"",INT(IF(AND(CALC!$F$1&gt;0,N(INDEX(BASELINE!$A860:$ZZ860,CALC!$F$1))&gt;0),N(INDEX(BASELINE!$A860:$ZZ860,CALC!$F$1)),N(INDEX(BASELINE!$A860:$ZZ860,CALC!$P$1))))=INT(SIMOPS!$D$3),IFERROR(UPPER(TRIM(INDEX(BASELINE!$A860:$ZZ860,CALC!$R$1)&amp;"")),"")&lt;&gt;"ENCERRADA"),1,0),0)</f>
        <v/>
      </c>
      <c r="B860">
        <f>B859+A860</f>
        <v/>
      </c>
    </row>
    <row r="861">
      <c r="A861">
        <f>IFERROR(IF(AND(INDEX(BASELINE!$A861:$ZZ861,CALC!$H$1)&lt;&gt;"",INT(IF(AND(CALC!$F$1&gt;0,N(INDEX(BASELINE!$A861:$ZZ861,CALC!$F$1))&gt;0),N(INDEX(BASELINE!$A861:$ZZ861,CALC!$F$1)),N(INDEX(BASELINE!$A861:$ZZ861,CALC!$P$1))))=INT(SIMOPS!$D$3),IFERROR(UPPER(TRIM(INDEX(BASELINE!$A861:$ZZ861,CALC!$R$1)&amp;"")),"")&lt;&gt;"ENCERRADA"),1,0),0)</f>
        <v/>
      </c>
      <c r="B861">
        <f>B860+A861</f>
        <v/>
      </c>
    </row>
    <row r="862">
      <c r="A862">
        <f>IFERROR(IF(AND(INDEX(BASELINE!$A862:$ZZ862,CALC!$H$1)&lt;&gt;"",INT(IF(AND(CALC!$F$1&gt;0,N(INDEX(BASELINE!$A862:$ZZ862,CALC!$F$1))&gt;0),N(INDEX(BASELINE!$A862:$ZZ862,CALC!$F$1)),N(INDEX(BASELINE!$A862:$ZZ862,CALC!$P$1))))=INT(SIMOPS!$D$3),IFERROR(UPPER(TRIM(INDEX(BASELINE!$A862:$ZZ862,CALC!$R$1)&amp;"")),"")&lt;&gt;"ENCERRADA"),1,0),0)</f>
        <v/>
      </c>
      <c r="B862">
        <f>B861+A862</f>
        <v/>
      </c>
    </row>
    <row r="863">
      <c r="A863">
        <f>IFERROR(IF(AND(INDEX(BASELINE!$A863:$ZZ863,CALC!$H$1)&lt;&gt;"",INT(IF(AND(CALC!$F$1&gt;0,N(INDEX(BASELINE!$A863:$ZZ863,CALC!$F$1))&gt;0),N(INDEX(BASELINE!$A863:$ZZ863,CALC!$F$1)),N(INDEX(BASELINE!$A863:$ZZ863,CALC!$P$1))))=INT(SIMOPS!$D$3),IFERROR(UPPER(TRIM(INDEX(BASELINE!$A863:$ZZ863,CALC!$R$1)&amp;"")),"")&lt;&gt;"ENCERRADA"),1,0),0)</f>
        <v/>
      </c>
      <c r="B863">
        <f>B862+A863</f>
        <v/>
      </c>
    </row>
    <row r="864">
      <c r="A864">
        <f>IFERROR(IF(AND(INDEX(BASELINE!$A864:$ZZ864,CALC!$H$1)&lt;&gt;"",INT(IF(AND(CALC!$F$1&gt;0,N(INDEX(BASELINE!$A864:$ZZ864,CALC!$F$1))&gt;0),N(INDEX(BASELINE!$A864:$ZZ864,CALC!$F$1)),N(INDEX(BASELINE!$A864:$ZZ864,CALC!$P$1))))=INT(SIMOPS!$D$3),IFERROR(UPPER(TRIM(INDEX(BASELINE!$A864:$ZZ864,CALC!$R$1)&amp;"")),"")&lt;&gt;"ENCERRADA"),1,0),0)</f>
        <v/>
      </c>
      <c r="B864">
        <f>B863+A864</f>
        <v/>
      </c>
    </row>
    <row r="865">
      <c r="A865">
        <f>IFERROR(IF(AND(INDEX(BASELINE!$A865:$ZZ865,CALC!$H$1)&lt;&gt;"",INT(IF(AND(CALC!$F$1&gt;0,N(INDEX(BASELINE!$A865:$ZZ865,CALC!$F$1))&gt;0),N(INDEX(BASELINE!$A865:$ZZ865,CALC!$F$1)),N(INDEX(BASELINE!$A865:$ZZ865,CALC!$P$1))))=INT(SIMOPS!$D$3),IFERROR(UPPER(TRIM(INDEX(BASELINE!$A865:$ZZ865,CALC!$R$1)&amp;"")),"")&lt;&gt;"ENCERRADA"),1,0),0)</f>
        <v/>
      </c>
      <c r="B865">
        <f>B864+A865</f>
        <v/>
      </c>
    </row>
    <row r="866">
      <c r="A866">
        <f>IFERROR(IF(AND(INDEX(BASELINE!$A866:$ZZ866,CALC!$H$1)&lt;&gt;"",INT(IF(AND(CALC!$F$1&gt;0,N(INDEX(BASELINE!$A866:$ZZ866,CALC!$F$1))&gt;0),N(INDEX(BASELINE!$A866:$ZZ866,CALC!$F$1)),N(INDEX(BASELINE!$A866:$ZZ866,CALC!$P$1))))=INT(SIMOPS!$D$3),IFERROR(UPPER(TRIM(INDEX(BASELINE!$A866:$ZZ866,CALC!$R$1)&amp;"")),"")&lt;&gt;"ENCERRADA"),1,0),0)</f>
        <v/>
      </c>
      <c r="B866">
        <f>B865+A866</f>
        <v/>
      </c>
    </row>
    <row r="867">
      <c r="A867">
        <f>IFERROR(IF(AND(INDEX(BASELINE!$A867:$ZZ867,CALC!$H$1)&lt;&gt;"",INT(IF(AND(CALC!$F$1&gt;0,N(INDEX(BASELINE!$A867:$ZZ867,CALC!$F$1))&gt;0),N(INDEX(BASELINE!$A867:$ZZ867,CALC!$F$1)),N(INDEX(BASELINE!$A867:$ZZ867,CALC!$P$1))))=INT(SIMOPS!$D$3),IFERROR(UPPER(TRIM(INDEX(BASELINE!$A867:$ZZ867,CALC!$R$1)&amp;"")),"")&lt;&gt;"ENCERRADA"),1,0),0)</f>
        <v/>
      </c>
      <c r="B867">
        <f>B866+A867</f>
        <v/>
      </c>
    </row>
    <row r="868">
      <c r="A868">
        <f>IFERROR(IF(AND(INDEX(BASELINE!$A868:$ZZ868,CALC!$H$1)&lt;&gt;"",INT(IF(AND(CALC!$F$1&gt;0,N(INDEX(BASELINE!$A868:$ZZ868,CALC!$F$1))&gt;0),N(INDEX(BASELINE!$A868:$ZZ868,CALC!$F$1)),N(INDEX(BASELINE!$A868:$ZZ868,CALC!$P$1))))=INT(SIMOPS!$D$3),IFERROR(UPPER(TRIM(INDEX(BASELINE!$A868:$ZZ868,CALC!$R$1)&amp;"")),"")&lt;&gt;"ENCERRADA"),1,0),0)</f>
        <v/>
      </c>
      <c r="B868">
        <f>B867+A868</f>
        <v/>
      </c>
    </row>
    <row r="869">
      <c r="A869">
        <f>IFERROR(IF(AND(INDEX(BASELINE!$A869:$ZZ869,CALC!$H$1)&lt;&gt;"",INT(IF(AND(CALC!$F$1&gt;0,N(INDEX(BASELINE!$A869:$ZZ869,CALC!$F$1))&gt;0),N(INDEX(BASELINE!$A869:$ZZ869,CALC!$F$1)),N(INDEX(BASELINE!$A869:$ZZ869,CALC!$P$1))))=INT(SIMOPS!$D$3),IFERROR(UPPER(TRIM(INDEX(BASELINE!$A869:$ZZ869,CALC!$R$1)&amp;"")),"")&lt;&gt;"ENCERRADA"),1,0),0)</f>
        <v/>
      </c>
      <c r="B869">
        <f>B868+A869</f>
        <v/>
      </c>
    </row>
    <row r="870">
      <c r="A870">
        <f>IFERROR(IF(AND(INDEX(BASELINE!$A870:$ZZ870,CALC!$H$1)&lt;&gt;"",INT(IF(AND(CALC!$F$1&gt;0,N(INDEX(BASELINE!$A870:$ZZ870,CALC!$F$1))&gt;0),N(INDEX(BASELINE!$A870:$ZZ870,CALC!$F$1)),N(INDEX(BASELINE!$A870:$ZZ870,CALC!$P$1))))=INT(SIMOPS!$D$3),IFERROR(UPPER(TRIM(INDEX(BASELINE!$A870:$ZZ870,CALC!$R$1)&amp;"")),"")&lt;&gt;"ENCERRADA"),1,0),0)</f>
        <v/>
      </c>
      <c r="B870">
        <f>B869+A870</f>
        <v/>
      </c>
    </row>
    <row r="871">
      <c r="A871">
        <f>IFERROR(IF(AND(INDEX(BASELINE!$A871:$ZZ871,CALC!$H$1)&lt;&gt;"",INT(IF(AND(CALC!$F$1&gt;0,N(INDEX(BASELINE!$A871:$ZZ871,CALC!$F$1))&gt;0),N(INDEX(BASELINE!$A871:$ZZ871,CALC!$F$1)),N(INDEX(BASELINE!$A871:$ZZ871,CALC!$P$1))))=INT(SIMOPS!$D$3),IFERROR(UPPER(TRIM(INDEX(BASELINE!$A871:$ZZ871,CALC!$R$1)&amp;"")),"")&lt;&gt;"ENCERRADA"),1,0),0)</f>
        <v/>
      </c>
      <c r="B871">
        <f>B870+A871</f>
        <v/>
      </c>
    </row>
    <row r="872">
      <c r="A872">
        <f>IFERROR(IF(AND(INDEX(BASELINE!$A872:$ZZ872,CALC!$H$1)&lt;&gt;"",INT(IF(AND(CALC!$F$1&gt;0,N(INDEX(BASELINE!$A872:$ZZ872,CALC!$F$1))&gt;0),N(INDEX(BASELINE!$A872:$ZZ872,CALC!$F$1)),N(INDEX(BASELINE!$A872:$ZZ872,CALC!$P$1))))=INT(SIMOPS!$D$3),IFERROR(UPPER(TRIM(INDEX(BASELINE!$A872:$ZZ872,CALC!$R$1)&amp;"")),"")&lt;&gt;"ENCERRADA"),1,0),0)</f>
        <v/>
      </c>
      <c r="B872">
        <f>B871+A872</f>
        <v/>
      </c>
    </row>
    <row r="873">
      <c r="A873">
        <f>IFERROR(IF(AND(INDEX(BASELINE!$A873:$ZZ873,CALC!$H$1)&lt;&gt;"",INT(IF(AND(CALC!$F$1&gt;0,N(INDEX(BASELINE!$A873:$ZZ873,CALC!$F$1))&gt;0),N(INDEX(BASELINE!$A873:$ZZ873,CALC!$F$1)),N(INDEX(BASELINE!$A873:$ZZ873,CALC!$P$1))))=INT(SIMOPS!$D$3),IFERROR(UPPER(TRIM(INDEX(BASELINE!$A873:$ZZ873,CALC!$R$1)&amp;"")),"")&lt;&gt;"ENCERRADA"),1,0),0)</f>
        <v/>
      </c>
      <c r="B873">
        <f>B872+A873</f>
        <v/>
      </c>
    </row>
    <row r="874">
      <c r="A874">
        <f>IFERROR(IF(AND(INDEX(BASELINE!$A874:$ZZ874,CALC!$H$1)&lt;&gt;"",INT(IF(AND(CALC!$F$1&gt;0,N(INDEX(BASELINE!$A874:$ZZ874,CALC!$F$1))&gt;0),N(INDEX(BASELINE!$A874:$ZZ874,CALC!$F$1)),N(INDEX(BASELINE!$A874:$ZZ874,CALC!$P$1))))=INT(SIMOPS!$D$3),IFERROR(UPPER(TRIM(INDEX(BASELINE!$A874:$ZZ874,CALC!$R$1)&amp;"")),"")&lt;&gt;"ENCERRADA"),1,0),0)</f>
        <v/>
      </c>
      <c r="B874">
        <f>B873+A874</f>
        <v/>
      </c>
    </row>
    <row r="875">
      <c r="A875">
        <f>IFERROR(IF(AND(INDEX(BASELINE!$A875:$ZZ875,CALC!$H$1)&lt;&gt;"",INT(IF(AND(CALC!$F$1&gt;0,N(INDEX(BASELINE!$A875:$ZZ875,CALC!$F$1))&gt;0),N(INDEX(BASELINE!$A875:$ZZ875,CALC!$F$1)),N(INDEX(BASELINE!$A875:$ZZ875,CALC!$P$1))))=INT(SIMOPS!$D$3),IFERROR(UPPER(TRIM(INDEX(BASELINE!$A875:$ZZ875,CALC!$R$1)&amp;"")),"")&lt;&gt;"ENCERRADA"),1,0),0)</f>
        <v/>
      </c>
      <c r="B875">
        <f>B874+A875</f>
        <v/>
      </c>
    </row>
    <row r="876">
      <c r="A876">
        <f>IFERROR(IF(AND(INDEX(BASELINE!$A876:$ZZ876,CALC!$H$1)&lt;&gt;"",INT(IF(AND(CALC!$F$1&gt;0,N(INDEX(BASELINE!$A876:$ZZ876,CALC!$F$1))&gt;0),N(INDEX(BASELINE!$A876:$ZZ876,CALC!$F$1)),N(INDEX(BASELINE!$A876:$ZZ876,CALC!$P$1))))=INT(SIMOPS!$D$3),IFERROR(UPPER(TRIM(INDEX(BASELINE!$A876:$ZZ876,CALC!$R$1)&amp;"")),"")&lt;&gt;"ENCERRADA"),1,0),0)</f>
        <v/>
      </c>
      <c r="B876">
        <f>B875+A876</f>
        <v/>
      </c>
    </row>
    <row r="877">
      <c r="A877">
        <f>IFERROR(IF(AND(INDEX(BASELINE!$A877:$ZZ877,CALC!$H$1)&lt;&gt;"",INT(IF(AND(CALC!$F$1&gt;0,N(INDEX(BASELINE!$A877:$ZZ877,CALC!$F$1))&gt;0),N(INDEX(BASELINE!$A877:$ZZ877,CALC!$F$1)),N(INDEX(BASELINE!$A877:$ZZ877,CALC!$P$1))))=INT(SIMOPS!$D$3),IFERROR(UPPER(TRIM(INDEX(BASELINE!$A877:$ZZ877,CALC!$R$1)&amp;"")),"")&lt;&gt;"ENCERRADA"),1,0),0)</f>
        <v/>
      </c>
      <c r="B877">
        <f>B876+A877</f>
        <v/>
      </c>
    </row>
    <row r="878">
      <c r="A878">
        <f>IFERROR(IF(AND(INDEX(BASELINE!$A878:$ZZ878,CALC!$H$1)&lt;&gt;"",INT(IF(AND(CALC!$F$1&gt;0,N(INDEX(BASELINE!$A878:$ZZ878,CALC!$F$1))&gt;0),N(INDEX(BASELINE!$A878:$ZZ878,CALC!$F$1)),N(INDEX(BASELINE!$A878:$ZZ878,CALC!$P$1))))=INT(SIMOPS!$D$3),IFERROR(UPPER(TRIM(INDEX(BASELINE!$A878:$ZZ878,CALC!$R$1)&amp;"")),"")&lt;&gt;"ENCERRADA"),1,0),0)</f>
        <v/>
      </c>
      <c r="B878">
        <f>B877+A878</f>
        <v/>
      </c>
    </row>
    <row r="879">
      <c r="A879">
        <f>IFERROR(IF(AND(INDEX(BASELINE!$A879:$ZZ879,CALC!$H$1)&lt;&gt;"",INT(IF(AND(CALC!$F$1&gt;0,N(INDEX(BASELINE!$A879:$ZZ879,CALC!$F$1))&gt;0),N(INDEX(BASELINE!$A879:$ZZ879,CALC!$F$1)),N(INDEX(BASELINE!$A879:$ZZ879,CALC!$P$1))))=INT(SIMOPS!$D$3),IFERROR(UPPER(TRIM(INDEX(BASELINE!$A879:$ZZ879,CALC!$R$1)&amp;"")),"")&lt;&gt;"ENCERRADA"),1,0),0)</f>
        <v/>
      </c>
      <c r="B879">
        <f>B878+A879</f>
        <v/>
      </c>
    </row>
    <row r="880">
      <c r="A880">
        <f>IFERROR(IF(AND(INDEX(BASELINE!$A880:$ZZ880,CALC!$H$1)&lt;&gt;"",INT(IF(AND(CALC!$F$1&gt;0,N(INDEX(BASELINE!$A880:$ZZ880,CALC!$F$1))&gt;0),N(INDEX(BASELINE!$A880:$ZZ880,CALC!$F$1)),N(INDEX(BASELINE!$A880:$ZZ880,CALC!$P$1))))=INT(SIMOPS!$D$3),IFERROR(UPPER(TRIM(INDEX(BASELINE!$A880:$ZZ880,CALC!$R$1)&amp;"")),"")&lt;&gt;"ENCERRADA"),1,0),0)</f>
        <v/>
      </c>
      <c r="B880">
        <f>B879+A880</f>
        <v/>
      </c>
    </row>
    <row r="881">
      <c r="A881">
        <f>IFERROR(IF(AND(INDEX(BASELINE!$A881:$ZZ881,CALC!$H$1)&lt;&gt;"",INT(IF(AND(CALC!$F$1&gt;0,N(INDEX(BASELINE!$A881:$ZZ881,CALC!$F$1))&gt;0),N(INDEX(BASELINE!$A881:$ZZ881,CALC!$F$1)),N(INDEX(BASELINE!$A881:$ZZ881,CALC!$P$1))))=INT(SIMOPS!$D$3),IFERROR(UPPER(TRIM(INDEX(BASELINE!$A881:$ZZ881,CALC!$R$1)&amp;"")),"")&lt;&gt;"ENCERRADA"),1,0),0)</f>
        <v/>
      </c>
      <c r="B881">
        <f>B880+A881</f>
        <v/>
      </c>
    </row>
    <row r="882">
      <c r="A882">
        <f>IFERROR(IF(AND(INDEX(BASELINE!$A882:$ZZ882,CALC!$H$1)&lt;&gt;"",INT(IF(AND(CALC!$F$1&gt;0,N(INDEX(BASELINE!$A882:$ZZ882,CALC!$F$1))&gt;0),N(INDEX(BASELINE!$A882:$ZZ882,CALC!$F$1)),N(INDEX(BASELINE!$A882:$ZZ882,CALC!$P$1))))=INT(SIMOPS!$D$3),IFERROR(UPPER(TRIM(INDEX(BASELINE!$A882:$ZZ882,CALC!$R$1)&amp;"")),"")&lt;&gt;"ENCERRADA"),1,0),0)</f>
        <v/>
      </c>
      <c r="B882">
        <f>B881+A882</f>
        <v/>
      </c>
    </row>
    <row r="883">
      <c r="A883">
        <f>IFERROR(IF(AND(INDEX(BASELINE!$A883:$ZZ883,CALC!$H$1)&lt;&gt;"",INT(IF(AND(CALC!$F$1&gt;0,N(INDEX(BASELINE!$A883:$ZZ883,CALC!$F$1))&gt;0),N(INDEX(BASELINE!$A883:$ZZ883,CALC!$F$1)),N(INDEX(BASELINE!$A883:$ZZ883,CALC!$P$1))))=INT(SIMOPS!$D$3),IFERROR(UPPER(TRIM(INDEX(BASELINE!$A883:$ZZ883,CALC!$R$1)&amp;"")),"")&lt;&gt;"ENCERRADA"),1,0),0)</f>
        <v/>
      </c>
      <c r="B883">
        <f>B882+A883</f>
        <v/>
      </c>
    </row>
    <row r="884">
      <c r="A884">
        <f>IFERROR(IF(AND(INDEX(BASELINE!$A884:$ZZ884,CALC!$H$1)&lt;&gt;"",INT(IF(AND(CALC!$F$1&gt;0,N(INDEX(BASELINE!$A884:$ZZ884,CALC!$F$1))&gt;0),N(INDEX(BASELINE!$A884:$ZZ884,CALC!$F$1)),N(INDEX(BASELINE!$A884:$ZZ884,CALC!$P$1))))=INT(SIMOPS!$D$3),IFERROR(UPPER(TRIM(INDEX(BASELINE!$A884:$ZZ884,CALC!$R$1)&amp;"")),"")&lt;&gt;"ENCERRADA"),1,0),0)</f>
        <v/>
      </c>
      <c r="B884">
        <f>B883+A884</f>
        <v/>
      </c>
    </row>
    <row r="885">
      <c r="A885">
        <f>IFERROR(IF(AND(INDEX(BASELINE!$A885:$ZZ885,CALC!$H$1)&lt;&gt;"",INT(IF(AND(CALC!$F$1&gt;0,N(INDEX(BASELINE!$A885:$ZZ885,CALC!$F$1))&gt;0),N(INDEX(BASELINE!$A885:$ZZ885,CALC!$F$1)),N(INDEX(BASELINE!$A885:$ZZ885,CALC!$P$1))))=INT(SIMOPS!$D$3),IFERROR(UPPER(TRIM(INDEX(BASELINE!$A885:$ZZ885,CALC!$R$1)&amp;"")),"")&lt;&gt;"ENCERRADA"),1,0),0)</f>
        <v/>
      </c>
      <c r="B885">
        <f>B884+A885</f>
        <v/>
      </c>
    </row>
    <row r="886">
      <c r="A886">
        <f>IFERROR(IF(AND(INDEX(BASELINE!$A886:$ZZ886,CALC!$H$1)&lt;&gt;"",INT(IF(AND(CALC!$F$1&gt;0,N(INDEX(BASELINE!$A886:$ZZ886,CALC!$F$1))&gt;0),N(INDEX(BASELINE!$A886:$ZZ886,CALC!$F$1)),N(INDEX(BASELINE!$A886:$ZZ886,CALC!$P$1))))=INT(SIMOPS!$D$3),IFERROR(UPPER(TRIM(INDEX(BASELINE!$A886:$ZZ886,CALC!$R$1)&amp;"")),"")&lt;&gt;"ENCERRADA"),1,0),0)</f>
        <v/>
      </c>
      <c r="B886">
        <f>B885+A886</f>
        <v/>
      </c>
    </row>
    <row r="887">
      <c r="A887">
        <f>IFERROR(IF(AND(INDEX(BASELINE!$A887:$ZZ887,CALC!$H$1)&lt;&gt;"",INT(IF(AND(CALC!$F$1&gt;0,N(INDEX(BASELINE!$A887:$ZZ887,CALC!$F$1))&gt;0),N(INDEX(BASELINE!$A887:$ZZ887,CALC!$F$1)),N(INDEX(BASELINE!$A887:$ZZ887,CALC!$P$1))))=INT(SIMOPS!$D$3),IFERROR(UPPER(TRIM(INDEX(BASELINE!$A887:$ZZ887,CALC!$R$1)&amp;"")),"")&lt;&gt;"ENCERRADA"),1,0),0)</f>
        <v/>
      </c>
      <c r="B887">
        <f>B886+A887</f>
        <v/>
      </c>
    </row>
    <row r="888">
      <c r="A888">
        <f>IFERROR(IF(AND(INDEX(BASELINE!$A888:$ZZ888,CALC!$H$1)&lt;&gt;"",INT(IF(AND(CALC!$F$1&gt;0,N(INDEX(BASELINE!$A888:$ZZ888,CALC!$F$1))&gt;0),N(INDEX(BASELINE!$A888:$ZZ888,CALC!$F$1)),N(INDEX(BASELINE!$A888:$ZZ888,CALC!$P$1))))=INT(SIMOPS!$D$3),IFERROR(UPPER(TRIM(INDEX(BASELINE!$A888:$ZZ888,CALC!$R$1)&amp;"")),"")&lt;&gt;"ENCERRADA"),1,0),0)</f>
        <v/>
      </c>
      <c r="B888">
        <f>B887+A888</f>
        <v/>
      </c>
    </row>
    <row r="889">
      <c r="A889">
        <f>IFERROR(IF(AND(INDEX(BASELINE!$A889:$ZZ889,CALC!$H$1)&lt;&gt;"",INT(IF(AND(CALC!$F$1&gt;0,N(INDEX(BASELINE!$A889:$ZZ889,CALC!$F$1))&gt;0),N(INDEX(BASELINE!$A889:$ZZ889,CALC!$F$1)),N(INDEX(BASELINE!$A889:$ZZ889,CALC!$P$1))))=INT(SIMOPS!$D$3),IFERROR(UPPER(TRIM(INDEX(BASELINE!$A889:$ZZ889,CALC!$R$1)&amp;"")),"")&lt;&gt;"ENCERRADA"),1,0),0)</f>
        <v/>
      </c>
      <c r="B889">
        <f>B888+A889</f>
        <v/>
      </c>
    </row>
    <row r="890">
      <c r="A890">
        <f>IFERROR(IF(AND(INDEX(BASELINE!$A890:$ZZ890,CALC!$H$1)&lt;&gt;"",INT(IF(AND(CALC!$F$1&gt;0,N(INDEX(BASELINE!$A890:$ZZ890,CALC!$F$1))&gt;0),N(INDEX(BASELINE!$A890:$ZZ890,CALC!$F$1)),N(INDEX(BASELINE!$A890:$ZZ890,CALC!$P$1))))=INT(SIMOPS!$D$3),IFERROR(UPPER(TRIM(INDEX(BASELINE!$A890:$ZZ890,CALC!$R$1)&amp;"")),"")&lt;&gt;"ENCERRADA"),1,0),0)</f>
        <v/>
      </c>
      <c r="B890">
        <f>B889+A890</f>
        <v/>
      </c>
    </row>
    <row r="891">
      <c r="A891">
        <f>IFERROR(IF(AND(INDEX(BASELINE!$A891:$ZZ891,CALC!$H$1)&lt;&gt;"",INT(IF(AND(CALC!$F$1&gt;0,N(INDEX(BASELINE!$A891:$ZZ891,CALC!$F$1))&gt;0),N(INDEX(BASELINE!$A891:$ZZ891,CALC!$F$1)),N(INDEX(BASELINE!$A891:$ZZ891,CALC!$P$1))))=INT(SIMOPS!$D$3),IFERROR(UPPER(TRIM(INDEX(BASELINE!$A891:$ZZ891,CALC!$R$1)&amp;"")),"")&lt;&gt;"ENCERRADA"),1,0),0)</f>
        <v/>
      </c>
      <c r="B891">
        <f>B890+A891</f>
        <v/>
      </c>
    </row>
    <row r="892">
      <c r="A892">
        <f>IFERROR(IF(AND(INDEX(BASELINE!$A892:$ZZ892,CALC!$H$1)&lt;&gt;"",INT(IF(AND(CALC!$F$1&gt;0,N(INDEX(BASELINE!$A892:$ZZ892,CALC!$F$1))&gt;0),N(INDEX(BASELINE!$A892:$ZZ892,CALC!$F$1)),N(INDEX(BASELINE!$A892:$ZZ892,CALC!$P$1))))=INT(SIMOPS!$D$3),IFERROR(UPPER(TRIM(INDEX(BASELINE!$A892:$ZZ892,CALC!$R$1)&amp;"")),"")&lt;&gt;"ENCERRADA"),1,0),0)</f>
        <v/>
      </c>
      <c r="B892">
        <f>B891+A892</f>
        <v/>
      </c>
    </row>
    <row r="893">
      <c r="A893">
        <f>IFERROR(IF(AND(INDEX(BASELINE!$A893:$ZZ893,CALC!$H$1)&lt;&gt;"",INT(IF(AND(CALC!$F$1&gt;0,N(INDEX(BASELINE!$A893:$ZZ893,CALC!$F$1))&gt;0),N(INDEX(BASELINE!$A893:$ZZ893,CALC!$F$1)),N(INDEX(BASELINE!$A893:$ZZ893,CALC!$P$1))))=INT(SIMOPS!$D$3),IFERROR(UPPER(TRIM(INDEX(BASELINE!$A893:$ZZ893,CALC!$R$1)&amp;"")),"")&lt;&gt;"ENCERRADA"),1,0),0)</f>
        <v/>
      </c>
      <c r="B893">
        <f>B892+A893</f>
        <v/>
      </c>
    </row>
    <row r="894">
      <c r="A894">
        <f>IFERROR(IF(AND(INDEX(BASELINE!$A894:$ZZ894,CALC!$H$1)&lt;&gt;"",INT(IF(AND(CALC!$F$1&gt;0,N(INDEX(BASELINE!$A894:$ZZ894,CALC!$F$1))&gt;0),N(INDEX(BASELINE!$A894:$ZZ894,CALC!$F$1)),N(INDEX(BASELINE!$A894:$ZZ894,CALC!$P$1))))=INT(SIMOPS!$D$3),IFERROR(UPPER(TRIM(INDEX(BASELINE!$A894:$ZZ894,CALC!$R$1)&amp;"")),"")&lt;&gt;"ENCERRADA"),1,0),0)</f>
        <v/>
      </c>
      <c r="B894">
        <f>B893+A894</f>
        <v/>
      </c>
    </row>
    <row r="895">
      <c r="A895">
        <f>IFERROR(IF(AND(INDEX(BASELINE!$A895:$ZZ895,CALC!$H$1)&lt;&gt;"",INT(IF(AND(CALC!$F$1&gt;0,N(INDEX(BASELINE!$A895:$ZZ895,CALC!$F$1))&gt;0),N(INDEX(BASELINE!$A895:$ZZ895,CALC!$F$1)),N(INDEX(BASELINE!$A895:$ZZ895,CALC!$P$1))))=INT(SIMOPS!$D$3),IFERROR(UPPER(TRIM(INDEX(BASELINE!$A895:$ZZ895,CALC!$R$1)&amp;"")),"")&lt;&gt;"ENCERRADA"),1,0),0)</f>
        <v/>
      </c>
      <c r="B895">
        <f>B894+A895</f>
        <v/>
      </c>
    </row>
    <row r="896">
      <c r="A896">
        <f>IFERROR(IF(AND(INDEX(BASELINE!$A896:$ZZ896,CALC!$H$1)&lt;&gt;"",INT(IF(AND(CALC!$F$1&gt;0,N(INDEX(BASELINE!$A896:$ZZ896,CALC!$F$1))&gt;0),N(INDEX(BASELINE!$A896:$ZZ896,CALC!$F$1)),N(INDEX(BASELINE!$A896:$ZZ896,CALC!$P$1))))=INT(SIMOPS!$D$3),IFERROR(UPPER(TRIM(INDEX(BASELINE!$A896:$ZZ896,CALC!$R$1)&amp;"")),"")&lt;&gt;"ENCERRADA"),1,0),0)</f>
        <v/>
      </c>
      <c r="B896">
        <f>B895+A896</f>
        <v/>
      </c>
    </row>
    <row r="897">
      <c r="A897">
        <f>IFERROR(IF(AND(INDEX(BASELINE!$A897:$ZZ897,CALC!$H$1)&lt;&gt;"",INT(IF(AND(CALC!$F$1&gt;0,N(INDEX(BASELINE!$A897:$ZZ897,CALC!$F$1))&gt;0),N(INDEX(BASELINE!$A897:$ZZ897,CALC!$F$1)),N(INDEX(BASELINE!$A897:$ZZ897,CALC!$P$1))))=INT(SIMOPS!$D$3),IFERROR(UPPER(TRIM(INDEX(BASELINE!$A897:$ZZ897,CALC!$R$1)&amp;"")),"")&lt;&gt;"ENCERRADA"),1,0),0)</f>
        <v/>
      </c>
      <c r="B897">
        <f>B896+A897</f>
        <v/>
      </c>
    </row>
    <row r="898">
      <c r="A898">
        <f>IFERROR(IF(AND(INDEX(BASELINE!$A898:$ZZ898,CALC!$H$1)&lt;&gt;"",INT(IF(AND(CALC!$F$1&gt;0,N(INDEX(BASELINE!$A898:$ZZ898,CALC!$F$1))&gt;0),N(INDEX(BASELINE!$A898:$ZZ898,CALC!$F$1)),N(INDEX(BASELINE!$A898:$ZZ898,CALC!$P$1))))=INT(SIMOPS!$D$3),IFERROR(UPPER(TRIM(INDEX(BASELINE!$A898:$ZZ898,CALC!$R$1)&amp;"")),"")&lt;&gt;"ENCERRADA"),1,0),0)</f>
        <v/>
      </c>
      <c r="B898">
        <f>B897+A898</f>
        <v/>
      </c>
    </row>
    <row r="899">
      <c r="A899">
        <f>IFERROR(IF(AND(INDEX(BASELINE!$A899:$ZZ899,CALC!$H$1)&lt;&gt;"",INT(IF(AND(CALC!$F$1&gt;0,N(INDEX(BASELINE!$A899:$ZZ899,CALC!$F$1))&gt;0),N(INDEX(BASELINE!$A899:$ZZ899,CALC!$F$1)),N(INDEX(BASELINE!$A899:$ZZ899,CALC!$P$1))))=INT(SIMOPS!$D$3),IFERROR(UPPER(TRIM(INDEX(BASELINE!$A899:$ZZ899,CALC!$R$1)&amp;"")),"")&lt;&gt;"ENCERRADA"),1,0),0)</f>
        <v/>
      </c>
      <c r="B899">
        <f>B898+A899</f>
        <v/>
      </c>
    </row>
    <row r="900">
      <c r="A900">
        <f>IFERROR(IF(AND(INDEX(BASELINE!$A900:$ZZ900,CALC!$H$1)&lt;&gt;"",INT(IF(AND(CALC!$F$1&gt;0,N(INDEX(BASELINE!$A900:$ZZ900,CALC!$F$1))&gt;0),N(INDEX(BASELINE!$A900:$ZZ900,CALC!$F$1)),N(INDEX(BASELINE!$A900:$ZZ900,CALC!$P$1))))=INT(SIMOPS!$D$3),IFERROR(UPPER(TRIM(INDEX(BASELINE!$A900:$ZZ900,CALC!$R$1)&amp;"")),"")&lt;&gt;"ENCERRADA"),1,0),0)</f>
        <v/>
      </c>
      <c r="B900">
        <f>B899+A900</f>
        <v/>
      </c>
    </row>
    <row r="901">
      <c r="A901">
        <f>IFERROR(IF(AND(INDEX(BASELINE!$A901:$ZZ901,CALC!$H$1)&lt;&gt;"",INT(IF(AND(CALC!$F$1&gt;0,N(INDEX(BASELINE!$A901:$ZZ901,CALC!$F$1))&gt;0),N(INDEX(BASELINE!$A901:$ZZ901,CALC!$F$1)),N(INDEX(BASELINE!$A901:$ZZ901,CALC!$P$1))))=INT(SIMOPS!$D$3),IFERROR(UPPER(TRIM(INDEX(BASELINE!$A901:$ZZ901,CALC!$R$1)&amp;"")),"")&lt;&gt;"ENCERRADA"),1,0),0)</f>
        <v/>
      </c>
      <c r="B901">
        <f>B900+A901</f>
        <v/>
      </c>
    </row>
    <row r="902">
      <c r="A902">
        <f>IFERROR(IF(AND(INDEX(BASELINE!$A902:$ZZ902,CALC!$H$1)&lt;&gt;"",INT(IF(AND(CALC!$F$1&gt;0,N(INDEX(BASELINE!$A902:$ZZ902,CALC!$F$1))&gt;0),N(INDEX(BASELINE!$A902:$ZZ902,CALC!$F$1)),N(INDEX(BASELINE!$A902:$ZZ902,CALC!$P$1))))=INT(SIMOPS!$D$3),IFERROR(UPPER(TRIM(INDEX(BASELINE!$A902:$ZZ902,CALC!$R$1)&amp;"")),"")&lt;&gt;"ENCERRADA"),1,0),0)</f>
        <v/>
      </c>
      <c r="B902">
        <f>B901+A902</f>
        <v/>
      </c>
    </row>
    <row r="903">
      <c r="A903">
        <f>IFERROR(IF(AND(INDEX(BASELINE!$A903:$ZZ903,CALC!$H$1)&lt;&gt;"",INT(IF(AND(CALC!$F$1&gt;0,N(INDEX(BASELINE!$A903:$ZZ903,CALC!$F$1))&gt;0),N(INDEX(BASELINE!$A903:$ZZ903,CALC!$F$1)),N(INDEX(BASELINE!$A903:$ZZ903,CALC!$P$1))))=INT(SIMOPS!$D$3),IFERROR(UPPER(TRIM(INDEX(BASELINE!$A903:$ZZ903,CALC!$R$1)&amp;"")),"")&lt;&gt;"ENCERRADA"),1,0),0)</f>
        <v/>
      </c>
      <c r="B903">
        <f>B902+A903</f>
        <v/>
      </c>
    </row>
    <row r="904">
      <c r="A904">
        <f>IFERROR(IF(AND(INDEX(BASELINE!$A904:$ZZ904,CALC!$H$1)&lt;&gt;"",INT(IF(AND(CALC!$F$1&gt;0,N(INDEX(BASELINE!$A904:$ZZ904,CALC!$F$1))&gt;0),N(INDEX(BASELINE!$A904:$ZZ904,CALC!$F$1)),N(INDEX(BASELINE!$A904:$ZZ904,CALC!$P$1))))=INT(SIMOPS!$D$3),IFERROR(UPPER(TRIM(INDEX(BASELINE!$A904:$ZZ904,CALC!$R$1)&amp;"")),"")&lt;&gt;"ENCERRADA"),1,0),0)</f>
        <v/>
      </c>
      <c r="B904">
        <f>B903+A904</f>
        <v/>
      </c>
    </row>
    <row r="905">
      <c r="A905">
        <f>IFERROR(IF(AND(INDEX(BASELINE!$A905:$ZZ905,CALC!$H$1)&lt;&gt;"",INT(IF(AND(CALC!$F$1&gt;0,N(INDEX(BASELINE!$A905:$ZZ905,CALC!$F$1))&gt;0),N(INDEX(BASELINE!$A905:$ZZ905,CALC!$F$1)),N(INDEX(BASELINE!$A905:$ZZ905,CALC!$P$1))))=INT(SIMOPS!$D$3),IFERROR(UPPER(TRIM(INDEX(BASELINE!$A905:$ZZ905,CALC!$R$1)&amp;"")),"")&lt;&gt;"ENCERRADA"),1,0),0)</f>
        <v/>
      </c>
      <c r="B905">
        <f>B904+A905</f>
        <v/>
      </c>
    </row>
    <row r="906">
      <c r="A906">
        <f>IFERROR(IF(AND(INDEX(BASELINE!$A906:$ZZ906,CALC!$H$1)&lt;&gt;"",INT(IF(AND(CALC!$F$1&gt;0,N(INDEX(BASELINE!$A906:$ZZ906,CALC!$F$1))&gt;0),N(INDEX(BASELINE!$A906:$ZZ906,CALC!$F$1)),N(INDEX(BASELINE!$A906:$ZZ906,CALC!$P$1))))=INT(SIMOPS!$D$3),IFERROR(UPPER(TRIM(INDEX(BASELINE!$A906:$ZZ906,CALC!$R$1)&amp;"")),"")&lt;&gt;"ENCERRADA"),1,0),0)</f>
        <v/>
      </c>
      <c r="B906">
        <f>B905+A906</f>
        <v/>
      </c>
    </row>
    <row r="907">
      <c r="A907">
        <f>IFERROR(IF(AND(INDEX(BASELINE!$A907:$ZZ907,CALC!$H$1)&lt;&gt;"",INT(IF(AND(CALC!$F$1&gt;0,N(INDEX(BASELINE!$A907:$ZZ907,CALC!$F$1))&gt;0),N(INDEX(BASELINE!$A907:$ZZ907,CALC!$F$1)),N(INDEX(BASELINE!$A907:$ZZ907,CALC!$P$1))))=INT(SIMOPS!$D$3),IFERROR(UPPER(TRIM(INDEX(BASELINE!$A907:$ZZ907,CALC!$R$1)&amp;"")),"")&lt;&gt;"ENCERRADA"),1,0),0)</f>
        <v/>
      </c>
      <c r="B907">
        <f>B906+A907</f>
        <v/>
      </c>
    </row>
    <row r="908">
      <c r="A908">
        <f>IFERROR(IF(AND(INDEX(BASELINE!$A908:$ZZ908,CALC!$H$1)&lt;&gt;"",INT(IF(AND(CALC!$F$1&gt;0,N(INDEX(BASELINE!$A908:$ZZ908,CALC!$F$1))&gt;0),N(INDEX(BASELINE!$A908:$ZZ908,CALC!$F$1)),N(INDEX(BASELINE!$A908:$ZZ908,CALC!$P$1))))=INT(SIMOPS!$D$3),IFERROR(UPPER(TRIM(INDEX(BASELINE!$A908:$ZZ908,CALC!$R$1)&amp;"")),"")&lt;&gt;"ENCERRADA"),1,0),0)</f>
        <v/>
      </c>
      <c r="B908">
        <f>B907+A908</f>
        <v/>
      </c>
    </row>
    <row r="909">
      <c r="A909">
        <f>IFERROR(IF(AND(INDEX(BASELINE!$A909:$ZZ909,CALC!$H$1)&lt;&gt;"",INT(IF(AND(CALC!$F$1&gt;0,N(INDEX(BASELINE!$A909:$ZZ909,CALC!$F$1))&gt;0),N(INDEX(BASELINE!$A909:$ZZ909,CALC!$F$1)),N(INDEX(BASELINE!$A909:$ZZ909,CALC!$P$1))))=INT(SIMOPS!$D$3),IFERROR(UPPER(TRIM(INDEX(BASELINE!$A909:$ZZ909,CALC!$R$1)&amp;"")),"")&lt;&gt;"ENCERRADA"),1,0),0)</f>
        <v/>
      </c>
      <c r="B909">
        <f>B908+A909</f>
        <v/>
      </c>
    </row>
    <row r="910">
      <c r="A910">
        <f>IFERROR(IF(AND(INDEX(BASELINE!$A910:$ZZ910,CALC!$H$1)&lt;&gt;"",INT(IF(AND(CALC!$F$1&gt;0,N(INDEX(BASELINE!$A910:$ZZ910,CALC!$F$1))&gt;0),N(INDEX(BASELINE!$A910:$ZZ910,CALC!$F$1)),N(INDEX(BASELINE!$A910:$ZZ910,CALC!$P$1))))=INT(SIMOPS!$D$3),IFERROR(UPPER(TRIM(INDEX(BASELINE!$A910:$ZZ910,CALC!$R$1)&amp;"")),"")&lt;&gt;"ENCERRADA"),1,0),0)</f>
        <v/>
      </c>
      <c r="B910">
        <f>B909+A910</f>
        <v/>
      </c>
    </row>
    <row r="911">
      <c r="A911">
        <f>IFERROR(IF(AND(INDEX(BASELINE!$A911:$ZZ911,CALC!$H$1)&lt;&gt;"",INT(IF(AND(CALC!$F$1&gt;0,N(INDEX(BASELINE!$A911:$ZZ911,CALC!$F$1))&gt;0),N(INDEX(BASELINE!$A911:$ZZ911,CALC!$F$1)),N(INDEX(BASELINE!$A911:$ZZ911,CALC!$P$1))))=INT(SIMOPS!$D$3),IFERROR(UPPER(TRIM(INDEX(BASELINE!$A911:$ZZ911,CALC!$R$1)&amp;"")),"")&lt;&gt;"ENCERRADA"),1,0),0)</f>
        <v/>
      </c>
      <c r="B911">
        <f>B910+A911</f>
        <v/>
      </c>
    </row>
    <row r="912">
      <c r="A912">
        <f>IFERROR(IF(AND(INDEX(BASELINE!$A912:$ZZ912,CALC!$H$1)&lt;&gt;"",INT(IF(AND(CALC!$F$1&gt;0,N(INDEX(BASELINE!$A912:$ZZ912,CALC!$F$1))&gt;0),N(INDEX(BASELINE!$A912:$ZZ912,CALC!$F$1)),N(INDEX(BASELINE!$A912:$ZZ912,CALC!$P$1))))=INT(SIMOPS!$D$3),IFERROR(UPPER(TRIM(INDEX(BASELINE!$A912:$ZZ912,CALC!$R$1)&amp;"")),"")&lt;&gt;"ENCERRADA"),1,0),0)</f>
        <v/>
      </c>
      <c r="B912">
        <f>B911+A912</f>
        <v/>
      </c>
    </row>
    <row r="913">
      <c r="A913">
        <f>IFERROR(IF(AND(INDEX(BASELINE!$A913:$ZZ913,CALC!$H$1)&lt;&gt;"",INT(IF(AND(CALC!$F$1&gt;0,N(INDEX(BASELINE!$A913:$ZZ913,CALC!$F$1))&gt;0),N(INDEX(BASELINE!$A913:$ZZ913,CALC!$F$1)),N(INDEX(BASELINE!$A913:$ZZ913,CALC!$P$1))))=INT(SIMOPS!$D$3),IFERROR(UPPER(TRIM(INDEX(BASELINE!$A913:$ZZ913,CALC!$R$1)&amp;"")),"")&lt;&gt;"ENCERRADA"),1,0),0)</f>
        <v/>
      </c>
      <c r="B913">
        <f>B912+A913</f>
        <v/>
      </c>
    </row>
    <row r="914">
      <c r="A914">
        <f>IFERROR(IF(AND(INDEX(BASELINE!$A914:$ZZ914,CALC!$H$1)&lt;&gt;"",INT(IF(AND(CALC!$F$1&gt;0,N(INDEX(BASELINE!$A914:$ZZ914,CALC!$F$1))&gt;0),N(INDEX(BASELINE!$A914:$ZZ914,CALC!$F$1)),N(INDEX(BASELINE!$A914:$ZZ914,CALC!$P$1))))=INT(SIMOPS!$D$3),IFERROR(UPPER(TRIM(INDEX(BASELINE!$A914:$ZZ914,CALC!$R$1)&amp;"")),"")&lt;&gt;"ENCERRADA"),1,0),0)</f>
        <v/>
      </c>
      <c r="B914">
        <f>B913+A914</f>
        <v/>
      </c>
    </row>
    <row r="915">
      <c r="A915">
        <f>IFERROR(IF(AND(INDEX(BASELINE!$A915:$ZZ915,CALC!$H$1)&lt;&gt;"",INT(IF(AND(CALC!$F$1&gt;0,N(INDEX(BASELINE!$A915:$ZZ915,CALC!$F$1))&gt;0),N(INDEX(BASELINE!$A915:$ZZ915,CALC!$F$1)),N(INDEX(BASELINE!$A915:$ZZ915,CALC!$P$1))))=INT(SIMOPS!$D$3),IFERROR(UPPER(TRIM(INDEX(BASELINE!$A915:$ZZ915,CALC!$R$1)&amp;"")),"")&lt;&gt;"ENCERRADA"),1,0),0)</f>
        <v/>
      </c>
      <c r="B915">
        <f>B914+A915</f>
        <v/>
      </c>
    </row>
    <row r="916">
      <c r="A916">
        <f>IFERROR(IF(AND(INDEX(BASELINE!$A916:$ZZ916,CALC!$H$1)&lt;&gt;"",INT(IF(AND(CALC!$F$1&gt;0,N(INDEX(BASELINE!$A916:$ZZ916,CALC!$F$1))&gt;0),N(INDEX(BASELINE!$A916:$ZZ916,CALC!$F$1)),N(INDEX(BASELINE!$A916:$ZZ916,CALC!$P$1))))=INT(SIMOPS!$D$3),IFERROR(UPPER(TRIM(INDEX(BASELINE!$A916:$ZZ916,CALC!$R$1)&amp;"")),"")&lt;&gt;"ENCERRADA"),1,0),0)</f>
        <v/>
      </c>
      <c r="B916">
        <f>B915+A916</f>
        <v/>
      </c>
    </row>
    <row r="917">
      <c r="A917">
        <f>IFERROR(IF(AND(INDEX(BASELINE!$A917:$ZZ917,CALC!$H$1)&lt;&gt;"",INT(IF(AND(CALC!$F$1&gt;0,N(INDEX(BASELINE!$A917:$ZZ917,CALC!$F$1))&gt;0),N(INDEX(BASELINE!$A917:$ZZ917,CALC!$F$1)),N(INDEX(BASELINE!$A917:$ZZ917,CALC!$P$1))))=INT(SIMOPS!$D$3),IFERROR(UPPER(TRIM(INDEX(BASELINE!$A917:$ZZ917,CALC!$R$1)&amp;"")),"")&lt;&gt;"ENCERRADA"),1,0),0)</f>
        <v/>
      </c>
      <c r="B917">
        <f>B916+A917</f>
        <v/>
      </c>
    </row>
    <row r="918">
      <c r="A918">
        <f>IFERROR(IF(AND(INDEX(BASELINE!$A918:$ZZ918,CALC!$H$1)&lt;&gt;"",INT(IF(AND(CALC!$F$1&gt;0,N(INDEX(BASELINE!$A918:$ZZ918,CALC!$F$1))&gt;0),N(INDEX(BASELINE!$A918:$ZZ918,CALC!$F$1)),N(INDEX(BASELINE!$A918:$ZZ918,CALC!$P$1))))=INT(SIMOPS!$D$3),IFERROR(UPPER(TRIM(INDEX(BASELINE!$A918:$ZZ918,CALC!$R$1)&amp;"")),"")&lt;&gt;"ENCERRADA"),1,0),0)</f>
        <v/>
      </c>
      <c r="B918">
        <f>B917+A918</f>
        <v/>
      </c>
    </row>
    <row r="919">
      <c r="A919">
        <f>IFERROR(IF(AND(INDEX(BASELINE!$A919:$ZZ919,CALC!$H$1)&lt;&gt;"",INT(IF(AND(CALC!$F$1&gt;0,N(INDEX(BASELINE!$A919:$ZZ919,CALC!$F$1))&gt;0),N(INDEX(BASELINE!$A919:$ZZ919,CALC!$F$1)),N(INDEX(BASELINE!$A919:$ZZ919,CALC!$P$1))))=INT(SIMOPS!$D$3),IFERROR(UPPER(TRIM(INDEX(BASELINE!$A919:$ZZ919,CALC!$R$1)&amp;"")),"")&lt;&gt;"ENCERRADA"),1,0),0)</f>
        <v/>
      </c>
      <c r="B919">
        <f>B918+A919</f>
        <v/>
      </c>
    </row>
    <row r="920">
      <c r="A920">
        <f>IFERROR(IF(AND(INDEX(BASELINE!$A920:$ZZ920,CALC!$H$1)&lt;&gt;"",INT(IF(AND(CALC!$F$1&gt;0,N(INDEX(BASELINE!$A920:$ZZ920,CALC!$F$1))&gt;0),N(INDEX(BASELINE!$A920:$ZZ920,CALC!$F$1)),N(INDEX(BASELINE!$A920:$ZZ920,CALC!$P$1))))=INT(SIMOPS!$D$3),IFERROR(UPPER(TRIM(INDEX(BASELINE!$A920:$ZZ920,CALC!$R$1)&amp;"")),"")&lt;&gt;"ENCERRADA"),1,0),0)</f>
        <v/>
      </c>
      <c r="B920">
        <f>B919+A920</f>
        <v/>
      </c>
    </row>
    <row r="921">
      <c r="A921">
        <f>IFERROR(IF(AND(INDEX(BASELINE!$A921:$ZZ921,CALC!$H$1)&lt;&gt;"",INT(IF(AND(CALC!$F$1&gt;0,N(INDEX(BASELINE!$A921:$ZZ921,CALC!$F$1))&gt;0),N(INDEX(BASELINE!$A921:$ZZ921,CALC!$F$1)),N(INDEX(BASELINE!$A921:$ZZ921,CALC!$P$1))))=INT(SIMOPS!$D$3),IFERROR(UPPER(TRIM(INDEX(BASELINE!$A921:$ZZ921,CALC!$R$1)&amp;"")),"")&lt;&gt;"ENCERRADA"),1,0),0)</f>
        <v/>
      </c>
      <c r="B921">
        <f>B920+A921</f>
        <v/>
      </c>
    </row>
    <row r="922">
      <c r="A922">
        <f>IFERROR(IF(AND(INDEX(BASELINE!$A922:$ZZ922,CALC!$H$1)&lt;&gt;"",INT(IF(AND(CALC!$F$1&gt;0,N(INDEX(BASELINE!$A922:$ZZ922,CALC!$F$1))&gt;0),N(INDEX(BASELINE!$A922:$ZZ922,CALC!$F$1)),N(INDEX(BASELINE!$A922:$ZZ922,CALC!$P$1))))=INT(SIMOPS!$D$3),IFERROR(UPPER(TRIM(INDEX(BASELINE!$A922:$ZZ922,CALC!$R$1)&amp;"")),"")&lt;&gt;"ENCERRADA"),1,0),0)</f>
        <v/>
      </c>
      <c r="B922">
        <f>B921+A922</f>
        <v/>
      </c>
    </row>
    <row r="923">
      <c r="A923">
        <f>IFERROR(IF(AND(INDEX(BASELINE!$A923:$ZZ923,CALC!$H$1)&lt;&gt;"",INT(IF(AND(CALC!$F$1&gt;0,N(INDEX(BASELINE!$A923:$ZZ923,CALC!$F$1))&gt;0),N(INDEX(BASELINE!$A923:$ZZ923,CALC!$F$1)),N(INDEX(BASELINE!$A923:$ZZ923,CALC!$P$1))))=INT(SIMOPS!$D$3),IFERROR(UPPER(TRIM(INDEX(BASELINE!$A923:$ZZ923,CALC!$R$1)&amp;"")),"")&lt;&gt;"ENCERRADA"),1,0),0)</f>
        <v/>
      </c>
      <c r="B923">
        <f>B922+A923</f>
        <v/>
      </c>
    </row>
    <row r="924">
      <c r="A924">
        <f>IFERROR(IF(AND(INDEX(BASELINE!$A924:$ZZ924,CALC!$H$1)&lt;&gt;"",INT(IF(AND(CALC!$F$1&gt;0,N(INDEX(BASELINE!$A924:$ZZ924,CALC!$F$1))&gt;0),N(INDEX(BASELINE!$A924:$ZZ924,CALC!$F$1)),N(INDEX(BASELINE!$A924:$ZZ924,CALC!$P$1))))=INT(SIMOPS!$D$3),IFERROR(UPPER(TRIM(INDEX(BASELINE!$A924:$ZZ924,CALC!$R$1)&amp;"")),"")&lt;&gt;"ENCERRADA"),1,0),0)</f>
        <v/>
      </c>
      <c r="B924">
        <f>B923+A924</f>
        <v/>
      </c>
    </row>
    <row r="925">
      <c r="A925">
        <f>IFERROR(IF(AND(INDEX(BASELINE!$A925:$ZZ925,CALC!$H$1)&lt;&gt;"",INT(IF(AND(CALC!$F$1&gt;0,N(INDEX(BASELINE!$A925:$ZZ925,CALC!$F$1))&gt;0),N(INDEX(BASELINE!$A925:$ZZ925,CALC!$F$1)),N(INDEX(BASELINE!$A925:$ZZ925,CALC!$P$1))))=INT(SIMOPS!$D$3),IFERROR(UPPER(TRIM(INDEX(BASELINE!$A925:$ZZ925,CALC!$R$1)&amp;"")),"")&lt;&gt;"ENCERRADA"),1,0),0)</f>
        <v/>
      </c>
      <c r="B925">
        <f>B924+A925</f>
        <v/>
      </c>
    </row>
    <row r="926">
      <c r="A926">
        <f>IFERROR(IF(AND(INDEX(BASELINE!$A926:$ZZ926,CALC!$H$1)&lt;&gt;"",INT(IF(AND(CALC!$F$1&gt;0,N(INDEX(BASELINE!$A926:$ZZ926,CALC!$F$1))&gt;0),N(INDEX(BASELINE!$A926:$ZZ926,CALC!$F$1)),N(INDEX(BASELINE!$A926:$ZZ926,CALC!$P$1))))=INT(SIMOPS!$D$3),IFERROR(UPPER(TRIM(INDEX(BASELINE!$A926:$ZZ926,CALC!$R$1)&amp;"")),"")&lt;&gt;"ENCERRADA"),1,0),0)</f>
        <v/>
      </c>
      <c r="B926">
        <f>B925+A926</f>
        <v/>
      </c>
    </row>
    <row r="927">
      <c r="A927">
        <f>IFERROR(IF(AND(INDEX(BASELINE!$A927:$ZZ927,CALC!$H$1)&lt;&gt;"",INT(IF(AND(CALC!$F$1&gt;0,N(INDEX(BASELINE!$A927:$ZZ927,CALC!$F$1))&gt;0),N(INDEX(BASELINE!$A927:$ZZ927,CALC!$F$1)),N(INDEX(BASELINE!$A927:$ZZ927,CALC!$P$1))))=INT(SIMOPS!$D$3),IFERROR(UPPER(TRIM(INDEX(BASELINE!$A927:$ZZ927,CALC!$R$1)&amp;"")),"")&lt;&gt;"ENCERRADA"),1,0),0)</f>
        <v/>
      </c>
      <c r="B927">
        <f>B926+A927</f>
        <v/>
      </c>
    </row>
    <row r="928">
      <c r="A928">
        <f>IFERROR(IF(AND(INDEX(BASELINE!$A928:$ZZ928,CALC!$H$1)&lt;&gt;"",INT(IF(AND(CALC!$F$1&gt;0,N(INDEX(BASELINE!$A928:$ZZ928,CALC!$F$1))&gt;0),N(INDEX(BASELINE!$A928:$ZZ928,CALC!$F$1)),N(INDEX(BASELINE!$A928:$ZZ928,CALC!$P$1))))=INT(SIMOPS!$D$3),IFERROR(UPPER(TRIM(INDEX(BASELINE!$A928:$ZZ928,CALC!$R$1)&amp;"")),"")&lt;&gt;"ENCERRADA"),1,0),0)</f>
        <v/>
      </c>
      <c r="B928">
        <f>B927+A928</f>
        <v/>
      </c>
    </row>
    <row r="929">
      <c r="A929">
        <f>IFERROR(IF(AND(INDEX(BASELINE!$A929:$ZZ929,CALC!$H$1)&lt;&gt;"",INT(IF(AND(CALC!$F$1&gt;0,N(INDEX(BASELINE!$A929:$ZZ929,CALC!$F$1))&gt;0),N(INDEX(BASELINE!$A929:$ZZ929,CALC!$F$1)),N(INDEX(BASELINE!$A929:$ZZ929,CALC!$P$1))))=INT(SIMOPS!$D$3),IFERROR(UPPER(TRIM(INDEX(BASELINE!$A929:$ZZ929,CALC!$R$1)&amp;"")),"")&lt;&gt;"ENCERRADA"),1,0),0)</f>
        <v/>
      </c>
      <c r="B929">
        <f>B928+A929</f>
        <v/>
      </c>
    </row>
    <row r="930">
      <c r="A930">
        <f>IFERROR(IF(AND(INDEX(BASELINE!$A930:$ZZ930,CALC!$H$1)&lt;&gt;"",INT(IF(AND(CALC!$F$1&gt;0,N(INDEX(BASELINE!$A930:$ZZ930,CALC!$F$1))&gt;0),N(INDEX(BASELINE!$A930:$ZZ930,CALC!$F$1)),N(INDEX(BASELINE!$A930:$ZZ930,CALC!$P$1))))=INT(SIMOPS!$D$3),IFERROR(UPPER(TRIM(INDEX(BASELINE!$A930:$ZZ930,CALC!$R$1)&amp;"")),"")&lt;&gt;"ENCERRADA"),1,0),0)</f>
        <v/>
      </c>
      <c r="B930">
        <f>B929+A930</f>
        <v/>
      </c>
    </row>
    <row r="931">
      <c r="A931">
        <f>IFERROR(IF(AND(INDEX(BASELINE!$A931:$ZZ931,CALC!$H$1)&lt;&gt;"",INT(IF(AND(CALC!$F$1&gt;0,N(INDEX(BASELINE!$A931:$ZZ931,CALC!$F$1))&gt;0),N(INDEX(BASELINE!$A931:$ZZ931,CALC!$F$1)),N(INDEX(BASELINE!$A931:$ZZ931,CALC!$P$1))))=INT(SIMOPS!$D$3),IFERROR(UPPER(TRIM(INDEX(BASELINE!$A931:$ZZ931,CALC!$R$1)&amp;"")),"")&lt;&gt;"ENCERRADA"),1,0),0)</f>
        <v/>
      </c>
      <c r="B931">
        <f>B930+A931</f>
        <v/>
      </c>
    </row>
    <row r="932">
      <c r="A932">
        <f>IFERROR(IF(AND(INDEX(BASELINE!$A932:$ZZ932,CALC!$H$1)&lt;&gt;"",INT(IF(AND(CALC!$F$1&gt;0,N(INDEX(BASELINE!$A932:$ZZ932,CALC!$F$1))&gt;0),N(INDEX(BASELINE!$A932:$ZZ932,CALC!$F$1)),N(INDEX(BASELINE!$A932:$ZZ932,CALC!$P$1))))=INT(SIMOPS!$D$3),IFERROR(UPPER(TRIM(INDEX(BASELINE!$A932:$ZZ932,CALC!$R$1)&amp;"")),"")&lt;&gt;"ENCERRADA"),1,0),0)</f>
        <v/>
      </c>
      <c r="B932">
        <f>B931+A932</f>
        <v/>
      </c>
    </row>
    <row r="933">
      <c r="A933">
        <f>IFERROR(IF(AND(INDEX(BASELINE!$A933:$ZZ933,CALC!$H$1)&lt;&gt;"",INT(IF(AND(CALC!$F$1&gt;0,N(INDEX(BASELINE!$A933:$ZZ933,CALC!$F$1))&gt;0),N(INDEX(BASELINE!$A933:$ZZ933,CALC!$F$1)),N(INDEX(BASELINE!$A933:$ZZ933,CALC!$P$1))))=INT(SIMOPS!$D$3),IFERROR(UPPER(TRIM(INDEX(BASELINE!$A933:$ZZ933,CALC!$R$1)&amp;"")),"")&lt;&gt;"ENCERRADA"),1,0),0)</f>
        <v/>
      </c>
      <c r="B933">
        <f>B932+A933</f>
        <v/>
      </c>
    </row>
    <row r="934">
      <c r="A934">
        <f>IFERROR(IF(AND(INDEX(BASELINE!$A934:$ZZ934,CALC!$H$1)&lt;&gt;"",INT(IF(AND(CALC!$F$1&gt;0,N(INDEX(BASELINE!$A934:$ZZ934,CALC!$F$1))&gt;0),N(INDEX(BASELINE!$A934:$ZZ934,CALC!$F$1)),N(INDEX(BASELINE!$A934:$ZZ934,CALC!$P$1))))=INT(SIMOPS!$D$3),IFERROR(UPPER(TRIM(INDEX(BASELINE!$A934:$ZZ934,CALC!$R$1)&amp;"")),"")&lt;&gt;"ENCERRADA"),1,0),0)</f>
        <v/>
      </c>
      <c r="B934">
        <f>B933+A934</f>
        <v/>
      </c>
    </row>
    <row r="935">
      <c r="A935">
        <f>IFERROR(IF(AND(INDEX(BASELINE!$A935:$ZZ935,CALC!$H$1)&lt;&gt;"",INT(IF(AND(CALC!$F$1&gt;0,N(INDEX(BASELINE!$A935:$ZZ935,CALC!$F$1))&gt;0),N(INDEX(BASELINE!$A935:$ZZ935,CALC!$F$1)),N(INDEX(BASELINE!$A935:$ZZ935,CALC!$P$1))))=INT(SIMOPS!$D$3),IFERROR(UPPER(TRIM(INDEX(BASELINE!$A935:$ZZ935,CALC!$R$1)&amp;"")),"")&lt;&gt;"ENCERRADA"),1,0),0)</f>
        <v/>
      </c>
      <c r="B935">
        <f>B934+A935</f>
        <v/>
      </c>
    </row>
    <row r="936">
      <c r="A936">
        <f>IFERROR(IF(AND(INDEX(BASELINE!$A936:$ZZ936,CALC!$H$1)&lt;&gt;"",INT(IF(AND(CALC!$F$1&gt;0,N(INDEX(BASELINE!$A936:$ZZ936,CALC!$F$1))&gt;0),N(INDEX(BASELINE!$A936:$ZZ936,CALC!$F$1)),N(INDEX(BASELINE!$A936:$ZZ936,CALC!$P$1))))=INT(SIMOPS!$D$3),IFERROR(UPPER(TRIM(INDEX(BASELINE!$A936:$ZZ936,CALC!$R$1)&amp;"")),"")&lt;&gt;"ENCERRADA"),1,0),0)</f>
        <v/>
      </c>
      <c r="B936">
        <f>B935+A936</f>
        <v/>
      </c>
    </row>
    <row r="937">
      <c r="A937">
        <f>IFERROR(IF(AND(INDEX(BASELINE!$A937:$ZZ937,CALC!$H$1)&lt;&gt;"",INT(IF(AND(CALC!$F$1&gt;0,N(INDEX(BASELINE!$A937:$ZZ937,CALC!$F$1))&gt;0),N(INDEX(BASELINE!$A937:$ZZ937,CALC!$F$1)),N(INDEX(BASELINE!$A937:$ZZ937,CALC!$P$1))))=INT(SIMOPS!$D$3),IFERROR(UPPER(TRIM(INDEX(BASELINE!$A937:$ZZ937,CALC!$R$1)&amp;"")),"")&lt;&gt;"ENCERRADA"),1,0),0)</f>
        <v/>
      </c>
      <c r="B937">
        <f>B936+A937</f>
        <v/>
      </c>
    </row>
    <row r="938">
      <c r="A938">
        <f>IFERROR(IF(AND(INDEX(BASELINE!$A938:$ZZ938,CALC!$H$1)&lt;&gt;"",INT(IF(AND(CALC!$F$1&gt;0,N(INDEX(BASELINE!$A938:$ZZ938,CALC!$F$1))&gt;0),N(INDEX(BASELINE!$A938:$ZZ938,CALC!$F$1)),N(INDEX(BASELINE!$A938:$ZZ938,CALC!$P$1))))=INT(SIMOPS!$D$3),IFERROR(UPPER(TRIM(INDEX(BASELINE!$A938:$ZZ938,CALC!$R$1)&amp;"")),"")&lt;&gt;"ENCERRADA"),1,0),0)</f>
        <v/>
      </c>
      <c r="B938">
        <f>B937+A938</f>
        <v/>
      </c>
    </row>
    <row r="939">
      <c r="A939">
        <f>IFERROR(IF(AND(INDEX(BASELINE!$A939:$ZZ939,CALC!$H$1)&lt;&gt;"",INT(IF(AND(CALC!$F$1&gt;0,N(INDEX(BASELINE!$A939:$ZZ939,CALC!$F$1))&gt;0),N(INDEX(BASELINE!$A939:$ZZ939,CALC!$F$1)),N(INDEX(BASELINE!$A939:$ZZ939,CALC!$P$1))))=INT(SIMOPS!$D$3),IFERROR(UPPER(TRIM(INDEX(BASELINE!$A939:$ZZ939,CALC!$R$1)&amp;"")),"")&lt;&gt;"ENCERRADA"),1,0),0)</f>
        <v/>
      </c>
      <c r="B939">
        <f>B938+A939</f>
        <v/>
      </c>
    </row>
    <row r="940">
      <c r="A940">
        <f>IFERROR(IF(AND(INDEX(BASELINE!$A940:$ZZ940,CALC!$H$1)&lt;&gt;"",INT(IF(AND(CALC!$F$1&gt;0,N(INDEX(BASELINE!$A940:$ZZ940,CALC!$F$1))&gt;0),N(INDEX(BASELINE!$A940:$ZZ940,CALC!$F$1)),N(INDEX(BASELINE!$A940:$ZZ940,CALC!$P$1))))=INT(SIMOPS!$D$3),IFERROR(UPPER(TRIM(INDEX(BASELINE!$A940:$ZZ940,CALC!$R$1)&amp;"")),"")&lt;&gt;"ENCERRADA"),1,0),0)</f>
        <v/>
      </c>
      <c r="B940">
        <f>B939+A940</f>
        <v/>
      </c>
    </row>
    <row r="941">
      <c r="A941">
        <f>IFERROR(IF(AND(INDEX(BASELINE!$A941:$ZZ941,CALC!$H$1)&lt;&gt;"",INT(IF(AND(CALC!$F$1&gt;0,N(INDEX(BASELINE!$A941:$ZZ941,CALC!$F$1))&gt;0),N(INDEX(BASELINE!$A941:$ZZ941,CALC!$F$1)),N(INDEX(BASELINE!$A941:$ZZ941,CALC!$P$1))))=INT(SIMOPS!$D$3),IFERROR(UPPER(TRIM(INDEX(BASELINE!$A941:$ZZ941,CALC!$R$1)&amp;"")),"")&lt;&gt;"ENCERRADA"),1,0),0)</f>
        <v/>
      </c>
      <c r="B941">
        <f>B940+A941</f>
        <v/>
      </c>
    </row>
    <row r="942">
      <c r="A942">
        <f>IFERROR(IF(AND(INDEX(BASELINE!$A942:$ZZ942,CALC!$H$1)&lt;&gt;"",INT(IF(AND(CALC!$F$1&gt;0,N(INDEX(BASELINE!$A942:$ZZ942,CALC!$F$1))&gt;0),N(INDEX(BASELINE!$A942:$ZZ942,CALC!$F$1)),N(INDEX(BASELINE!$A942:$ZZ942,CALC!$P$1))))=INT(SIMOPS!$D$3),IFERROR(UPPER(TRIM(INDEX(BASELINE!$A942:$ZZ942,CALC!$R$1)&amp;"")),"")&lt;&gt;"ENCERRADA"),1,0),0)</f>
        <v/>
      </c>
      <c r="B942">
        <f>B941+A942</f>
        <v/>
      </c>
    </row>
    <row r="943">
      <c r="A943">
        <f>IFERROR(IF(AND(INDEX(BASELINE!$A943:$ZZ943,CALC!$H$1)&lt;&gt;"",INT(IF(AND(CALC!$F$1&gt;0,N(INDEX(BASELINE!$A943:$ZZ943,CALC!$F$1))&gt;0),N(INDEX(BASELINE!$A943:$ZZ943,CALC!$F$1)),N(INDEX(BASELINE!$A943:$ZZ943,CALC!$P$1))))=INT(SIMOPS!$D$3),IFERROR(UPPER(TRIM(INDEX(BASELINE!$A943:$ZZ943,CALC!$R$1)&amp;"")),"")&lt;&gt;"ENCERRADA"),1,0),0)</f>
        <v/>
      </c>
      <c r="B943">
        <f>B942+A943</f>
        <v/>
      </c>
    </row>
    <row r="944">
      <c r="A944">
        <f>IFERROR(IF(AND(INDEX(BASELINE!$A944:$ZZ944,CALC!$H$1)&lt;&gt;"",INT(IF(AND(CALC!$F$1&gt;0,N(INDEX(BASELINE!$A944:$ZZ944,CALC!$F$1))&gt;0),N(INDEX(BASELINE!$A944:$ZZ944,CALC!$F$1)),N(INDEX(BASELINE!$A944:$ZZ944,CALC!$P$1))))=INT(SIMOPS!$D$3),IFERROR(UPPER(TRIM(INDEX(BASELINE!$A944:$ZZ944,CALC!$R$1)&amp;"")),"")&lt;&gt;"ENCERRADA"),1,0),0)</f>
        <v/>
      </c>
      <c r="B944">
        <f>B943+A944</f>
        <v/>
      </c>
    </row>
    <row r="945">
      <c r="A945">
        <f>IFERROR(IF(AND(INDEX(BASELINE!$A945:$ZZ945,CALC!$H$1)&lt;&gt;"",INT(IF(AND(CALC!$F$1&gt;0,N(INDEX(BASELINE!$A945:$ZZ945,CALC!$F$1))&gt;0),N(INDEX(BASELINE!$A945:$ZZ945,CALC!$F$1)),N(INDEX(BASELINE!$A945:$ZZ945,CALC!$P$1))))=INT(SIMOPS!$D$3),IFERROR(UPPER(TRIM(INDEX(BASELINE!$A945:$ZZ945,CALC!$R$1)&amp;"")),"")&lt;&gt;"ENCERRADA"),1,0),0)</f>
        <v/>
      </c>
      <c r="B945">
        <f>B944+A945</f>
        <v/>
      </c>
    </row>
    <row r="946">
      <c r="A946">
        <f>IFERROR(IF(AND(INDEX(BASELINE!$A946:$ZZ946,CALC!$H$1)&lt;&gt;"",INT(IF(AND(CALC!$F$1&gt;0,N(INDEX(BASELINE!$A946:$ZZ946,CALC!$F$1))&gt;0),N(INDEX(BASELINE!$A946:$ZZ946,CALC!$F$1)),N(INDEX(BASELINE!$A946:$ZZ946,CALC!$P$1))))=INT(SIMOPS!$D$3),IFERROR(UPPER(TRIM(INDEX(BASELINE!$A946:$ZZ946,CALC!$R$1)&amp;"")),"")&lt;&gt;"ENCERRADA"),1,0),0)</f>
        <v/>
      </c>
      <c r="B946">
        <f>B945+A946</f>
        <v/>
      </c>
    </row>
    <row r="947">
      <c r="A947">
        <f>IFERROR(IF(AND(INDEX(BASELINE!$A947:$ZZ947,CALC!$H$1)&lt;&gt;"",INT(IF(AND(CALC!$F$1&gt;0,N(INDEX(BASELINE!$A947:$ZZ947,CALC!$F$1))&gt;0),N(INDEX(BASELINE!$A947:$ZZ947,CALC!$F$1)),N(INDEX(BASELINE!$A947:$ZZ947,CALC!$P$1))))=INT(SIMOPS!$D$3),IFERROR(UPPER(TRIM(INDEX(BASELINE!$A947:$ZZ947,CALC!$R$1)&amp;"")),"")&lt;&gt;"ENCERRADA"),1,0),0)</f>
        <v/>
      </c>
      <c r="B947">
        <f>B946+A947</f>
        <v/>
      </c>
    </row>
    <row r="948">
      <c r="A948">
        <f>IFERROR(IF(AND(INDEX(BASELINE!$A948:$ZZ948,CALC!$H$1)&lt;&gt;"",INT(IF(AND(CALC!$F$1&gt;0,N(INDEX(BASELINE!$A948:$ZZ948,CALC!$F$1))&gt;0),N(INDEX(BASELINE!$A948:$ZZ948,CALC!$F$1)),N(INDEX(BASELINE!$A948:$ZZ948,CALC!$P$1))))=INT(SIMOPS!$D$3),IFERROR(UPPER(TRIM(INDEX(BASELINE!$A948:$ZZ948,CALC!$R$1)&amp;"")),"")&lt;&gt;"ENCERRADA"),1,0),0)</f>
        <v/>
      </c>
      <c r="B948">
        <f>B947+A948</f>
        <v/>
      </c>
    </row>
    <row r="949">
      <c r="A949">
        <f>IFERROR(IF(AND(INDEX(BASELINE!$A949:$ZZ949,CALC!$H$1)&lt;&gt;"",INT(IF(AND(CALC!$F$1&gt;0,N(INDEX(BASELINE!$A949:$ZZ949,CALC!$F$1))&gt;0),N(INDEX(BASELINE!$A949:$ZZ949,CALC!$F$1)),N(INDEX(BASELINE!$A949:$ZZ949,CALC!$P$1))))=INT(SIMOPS!$D$3),IFERROR(UPPER(TRIM(INDEX(BASELINE!$A949:$ZZ949,CALC!$R$1)&amp;"")),"")&lt;&gt;"ENCERRADA"),1,0),0)</f>
        <v/>
      </c>
      <c r="B949">
        <f>B948+A949</f>
        <v/>
      </c>
    </row>
    <row r="950">
      <c r="A950">
        <f>IFERROR(IF(AND(INDEX(BASELINE!$A950:$ZZ950,CALC!$H$1)&lt;&gt;"",INT(IF(AND(CALC!$F$1&gt;0,N(INDEX(BASELINE!$A950:$ZZ950,CALC!$F$1))&gt;0),N(INDEX(BASELINE!$A950:$ZZ950,CALC!$F$1)),N(INDEX(BASELINE!$A950:$ZZ950,CALC!$P$1))))=INT(SIMOPS!$D$3),IFERROR(UPPER(TRIM(INDEX(BASELINE!$A950:$ZZ950,CALC!$R$1)&amp;"")),"")&lt;&gt;"ENCERRADA"),1,0),0)</f>
        <v/>
      </c>
      <c r="B950">
        <f>B949+A950</f>
        <v/>
      </c>
    </row>
    <row r="951">
      <c r="A951">
        <f>IFERROR(IF(AND(INDEX(BASELINE!$A951:$ZZ951,CALC!$H$1)&lt;&gt;"",INT(IF(AND(CALC!$F$1&gt;0,N(INDEX(BASELINE!$A951:$ZZ951,CALC!$F$1))&gt;0),N(INDEX(BASELINE!$A951:$ZZ951,CALC!$F$1)),N(INDEX(BASELINE!$A951:$ZZ951,CALC!$P$1))))=INT(SIMOPS!$D$3),IFERROR(UPPER(TRIM(INDEX(BASELINE!$A951:$ZZ951,CALC!$R$1)&amp;"")),"")&lt;&gt;"ENCERRADA"),1,0),0)</f>
        <v/>
      </c>
      <c r="B951">
        <f>B950+A951</f>
        <v/>
      </c>
    </row>
    <row r="952">
      <c r="A952">
        <f>IFERROR(IF(AND(INDEX(BASELINE!$A952:$ZZ952,CALC!$H$1)&lt;&gt;"",INT(IF(AND(CALC!$F$1&gt;0,N(INDEX(BASELINE!$A952:$ZZ952,CALC!$F$1))&gt;0),N(INDEX(BASELINE!$A952:$ZZ952,CALC!$F$1)),N(INDEX(BASELINE!$A952:$ZZ952,CALC!$P$1))))=INT(SIMOPS!$D$3),IFERROR(UPPER(TRIM(INDEX(BASELINE!$A952:$ZZ952,CALC!$R$1)&amp;"")),"")&lt;&gt;"ENCERRADA"),1,0),0)</f>
        <v/>
      </c>
      <c r="B952">
        <f>B951+A952</f>
        <v/>
      </c>
    </row>
    <row r="953">
      <c r="A953">
        <f>IFERROR(IF(AND(INDEX(BASELINE!$A953:$ZZ953,CALC!$H$1)&lt;&gt;"",INT(IF(AND(CALC!$F$1&gt;0,N(INDEX(BASELINE!$A953:$ZZ953,CALC!$F$1))&gt;0),N(INDEX(BASELINE!$A953:$ZZ953,CALC!$F$1)),N(INDEX(BASELINE!$A953:$ZZ953,CALC!$P$1))))=INT(SIMOPS!$D$3),IFERROR(UPPER(TRIM(INDEX(BASELINE!$A953:$ZZ953,CALC!$R$1)&amp;"")),"")&lt;&gt;"ENCERRADA"),1,0),0)</f>
        <v/>
      </c>
      <c r="B953">
        <f>B952+A953</f>
        <v/>
      </c>
    </row>
    <row r="954">
      <c r="A954">
        <f>IFERROR(IF(AND(INDEX(BASELINE!$A954:$ZZ954,CALC!$H$1)&lt;&gt;"",INT(IF(AND(CALC!$F$1&gt;0,N(INDEX(BASELINE!$A954:$ZZ954,CALC!$F$1))&gt;0),N(INDEX(BASELINE!$A954:$ZZ954,CALC!$F$1)),N(INDEX(BASELINE!$A954:$ZZ954,CALC!$P$1))))=INT(SIMOPS!$D$3),IFERROR(UPPER(TRIM(INDEX(BASELINE!$A954:$ZZ954,CALC!$R$1)&amp;"")),"")&lt;&gt;"ENCERRADA"),1,0),0)</f>
        <v/>
      </c>
      <c r="B954">
        <f>B953+A954</f>
        <v/>
      </c>
    </row>
    <row r="955">
      <c r="A955">
        <f>IFERROR(IF(AND(INDEX(BASELINE!$A955:$ZZ955,CALC!$H$1)&lt;&gt;"",INT(IF(AND(CALC!$F$1&gt;0,N(INDEX(BASELINE!$A955:$ZZ955,CALC!$F$1))&gt;0),N(INDEX(BASELINE!$A955:$ZZ955,CALC!$F$1)),N(INDEX(BASELINE!$A955:$ZZ955,CALC!$P$1))))=INT(SIMOPS!$D$3),IFERROR(UPPER(TRIM(INDEX(BASELINE!$A955:$ZZ955,CALC!$R$1)&amp;"")),"")&lt;&gt;"ENCERRADA"),1,0),0)</f>
        <v/>
      </c>
      <c r="B955">
        <f>B954+A955</f>
        <v/>
      </c>
    </row>
    <row r="956">
      <c r="A956">
        <f>IFERROR(IF(AND(INDEX(BASELINE!$A956:$ZZ956,CALC!$H$1)&lt;&gt;"",INT(IF(AND(CALC!$F$1&gt;0,N(INDEX(BASELINE!$A956:$ZZ956,CALC!$F$1))&gt;0),N(INDEX(BASELINE!$A956:$ZZ956,CALC!$F$1)),N(INDEX(BASELINE!$A956:$ZZ956,CALC!$P$1))))=INT(SIMOPS!$D$3),IFERROR(UPPER(TRIM(INDEX(BASELINE!$A956:$ZZ956,CALC!$R$1)&amp;"")),"")&lt;&gt;"ENCERRADA"),1,0),0)</f>
        <v/>
      </c>
      <c r="B956">
        <f>B955+A956</f>
        <v/>
      </c>
    </row>
    <row r="957">
      <c r="A957">
        <f>IFERROR(IF(AND(INDEX(BASELINE!$A957:$ZZ957,CALC!$H$1)&lt;&gt;"",INT(IF(AND(CALC!$F$1&gt;0,N(INDEX(BASELINE!$A957:$ZZ957,CALC!$F$1))&gt;0),N(INDEX(BASELINE!$A957:$ZZ957,CALC!$F$1)),N(INDEX(BASELINE!$A957:$ZZ957,CALC!$P$1))))=INT(SIMOPS!$D$3),IFERROR(UPPER(TRIM(INDEX(BASELINE!$A957:$ZZ957,CALC!$R$1)&amp;"")),"")&lt;&gt;"ENCERRADA"),1,0),0)</f>
        <v/>
      </c>
      <c r="B957">
        <f>B956+A957</f>
        <v/>
      </c>
    </row>
    <row r="958">
      <c r="A958">
        <f>IFERROR(IF(AND(INDEX(BASELINE!$A958:$ZZ958,CALC!$H$1)&lt;&gt;"",INT(IF(AND(CALC!$F$1&gt;0,N(INDEX(BASELINE!$A958:$ZZ958,CALC!$F$1))&gt;0),N(INDEX(BASELINE!$A958:$ZZ958,CALC!$F$1)),N(INDEX(BASELINE!$A958:$ZZ958,CALC!$P$1))))=INT(SIMOPS!$D$3),IFERROR(UPPER(TRIM(INDEX(BASELINE!$A958:$ZZ958,CALC!$R$1)&amp;"")),"")&lt;&gt;"ENCERRADA"),1,0),0)</f>
        <v/>
      </c>
      <c r="B958">
        <f>B957+A958</f>
        <v/>
      </c>
    </row>
    <row r="959">
      <c r="A959">
        <f>IFERROR(IF(AND(INDEX(BASELINE!$A959:$ZZ959,CALC!$H$1)&lt;&gt;"",INT(IF(AND(CALC!$F$1&gt;0,N(INDEX(BASELINE!$A959:$ZZ959,CALC!$F$1))&gt;0),N(INDEX(BASELINE!$A959:$ZZ959,CALC!$F$1)),N(INDEX(BASELINE!$A959:$ZZ959,CALC!$P$1))))=INT(SIMOPS!$D$3),IFERROR(UPPER(TRIM(INDEX(BASELINE!$A959:$ZZ959,CALC!$R$1)&amp;"")),"")&lt;&gt;"ENCERRADA"),1,0),0)</f>
        <v/>
      </c>
      <c r="B959">
        <f>B958+A959</f>
        <v/>
      </c>
    </row>
    <row r="960">
      <c r="A960">
        <f>IFERROR(IF(AND(INDEX(BASELINE!$A960:$ZZ960,CALC!$H$1)&lt;&gt;"",INT(IF(AND(CALC!$F$1&gt;0,N(INDEX(BASELINE!$A960:$ZZ960,CALC!$F$1))&gt;0),N(INDEX(BASELINE!$A960:$ZZ960,CALC!$F$1)),N(INDEX(BASELINE!$A960:$ZZ960,CALC!$P$1))))=INT(SIMOPS!$D$3),IFERROR(UPPER(TRIM(INDEX(BASELINE!$A960:$ZZ960,CALC!$R$1)&amp;"")),"")&lt;&gt;"ENCERRADA"),1,0),0)</f>
        <v/>
      </c>
      <c r="B960">
        <f>B959+A960</f>
        <v/>
      </c>
    </row>
    <row r="961">
      <c r="A961">
        <f>IFERROR(IF(AND(INDEX(BASELINE!$A961:$ZZ961,CALC!$H$1)&lt;&gt;"",INT(IF(AND(CALC!$F$1&gt;0,N(INDEX(BASELINE!$A961:$ZZ961,CALC!$F$1))&gt;0),N(INDEX(BASELINE!$A961:$ZZ961,CALC!$F$1)),N(INDEX(BASELINE!$A961:$ZZ961,CALC!$P$1))))=INT(SIMOPS!$D$3),IFERROR(UPPER(TRIM(INDEX(BASELINE!$A961:$ZZ961,CALC!$R$1)&amp;"")),"")&lt;&gt;"ENCERRADA"),1,0),0)</f>
        <v/>
      </c>
      <c r="B961">
        <f>B960+A961</f>
        <v/>
      </c>
    </row>
    <row r="962">
      <c r="A962">
        <f>IFERROR(IF(AND(INDEX(BASELINE!$A962:$ZZ962,CALC!$H$1)&lt;&gt;"",INT(IF(AND(CALC!$F$1&gt;0,N(INDEX(BASELINE!$A962:$ZZ962,CALC!$F$1))&gt;0),N(INDEX(BASELINE!$A962:$ZZ962,CALC!$F$1)),N(INDEX(BASELINE!$A962:$ZZ962,CALC!$P$1))))=INT(SIMOPS!$D$3),IFERROR(UPPER(TRIM(INDEX(BASELINE!$A962:$ZZ962,CALC!$R$1)&amp;"")),"")&lt;&gt;"ENCERRADA"),1,0),0)</f>
        <v/>
      </c>
      <c r="B962">
        <f>B961+A962</f>
        <v/>
      </c>
    </row>
    <row r="963">
      <c r="A963">
        <f>IFERROR(IF(AND(INDEX(BASELINE!$A963:$ZZ963,CALC!$H$1)&lt;&gt;"",INT(IF(AND(CALC!$F$1&gt;0,N(INDEX(BASELINE!$A963:$ZZ963,CALC!$F$1))&gt;0),N(INDEX(BASELINE!$A963:$ZZ963,CALC!$F$1)),N(INDEX(BASELINE!$A963:$ZZ963,CALC!$P$1))))=INT(SIMOPS!$D$3),IFERROR(UPPER(TRIM(INDEX(BASELINE!$A963:$ZZ963,CALC!$R$1)&amp;"")),"")&lt;&gt;"ENCERRADA"),1,0),0)</f>
        <v/>
      </c>
      <c r="B963">
        <f>B962+A963</f>
        <v/>
      </c>
    </row>
    <row r="964">
      <c r="A964">
        <f>IFERROR(IF(AND(INDEX(BASELINE!$A964:$ZZ964,CALC!$H$1)&lt;&gt;"",INT(IF(AND(CALC!$F$1&gt;0,N(INDEX(BASELINE!$A964:$ZZ964,CALC!$F$1))&gt;0),N(INDEX(BASELINE!$A964:$ZZ964,CALC!$F$1)),N(INDEX(BASELINE!$A964:$ZZ964,CALC!$P$1))))=INT(SIMOPS!$D$3),IFERROR(UPPER(TRIM(INDEX(BASELINE!$A964:$ZZ964,CALC!$R$1)&amp;"")),"")&lt;&gt;"ENCERRADA"),1,0),0)</f>
        <v/>
      </c>
      <c r="B964">
        <f>B963+A964</f>
        <v/>
      </c>
    </row>
    <row r="965">
      <c r="A965">
        <f>IFERROR(IF(AND(INDEX(BASELINE!$A965:$ZZ965,CALC!$H$1)&lt;&gt;"",INT(IF(AND(CALC!$F$1&gt;0,N(INDEX(BASELINE!$A965:$ZZ965,CALC!$F$1))&gt;0),N(INDEX(BASELINE!$A965:$ZZ965,CALC!$F$1)),N(INDEX(BASELINE!$A965:$ZZ965,CALC!$P$1))))=INT(SIMOPS!$D$3),IFERROR(UPPER(TRIM(INDEX(BASELINE!$A965:$ZZ965,CALC!$R$1)&amp;"")),"")&lt;&gt;"ENCERRADA"),1,0),0)</f>
        <v/>
      </c>
      <c r="B965">
        <f>B964+A965</f>
        <v/>
      </c>
    </row>
    <row r="966">
      <c r="A966">
        <f>IFERROR(IF(AND(INDEX(BASELINE!$A966:$ZZ966,CALC!$H$1)&lt;&gt;"",INT(IF(AND(CALC!$F$1&gt;0,N(INDEX(BASELINE!$A966:$ZZ966,CALC!$F$1))&gt;0),N(INDEX(BASELINE!$A966:$ZZ966,CALC!$F$1)),N(INDEX(BASELINE!$A966:$ZZ966,CALC!$P$1))))=INT(SIMOPS!$D$3),IFERROR(UPPER(TRIM(INDEX(BASELINE!$A966:$ZZ966,CALC!$R$1)&amp;"")),"")&lt;&gt;"ENCERRADA"),1,0),0)</f>
        <v/>
      </c>
      <c r="B966">
        <f>B965+A966</f>
        <v/>
      </c>
    </row>
    <row r="967">
      <c r="A967">
        <f>IFERROR(IF(AND(INDEX(BASELINE!$A967:$ZZ967,CALC!$H$1)&lt;&gt;"",INT(IF(AND(CALC!$F$1&gt;0,N(INDEX(BASELINE!$A967:$ZZ967,CALC!$F$1))&gt;0),N(INDEX(BASELINE!$A967:$ZZ967,CALC!$F$1)),N(INDEX(BASELINE!$A967:$ZZ967,CALC!$P$1))))=INT(SIMOPS!$D$3),IFERROR(UPPER(TRIM(INDEX(BASELINE!$A967:$ZZ967,CALC!$R$1)&amp;"")),"")&lt;&gt;"ENCERRADA"),1,0),0)</f>
        <v/>
      </c>
      <c r="B967">
        <f>B966+A967</f>
        <v/>
      </c>
    </row>
    <row r="968">
      <c r="A968">
        <f>IFERROR(IF(AND(INDEX(BASELINE!$A968:$ZZ968,CALC!$H$1)&lt;&gt;"",INT(IF(AND(CALC!$F$1&gt;0,N(INDEX(BASELINE!$A968:$ZZ968,CALC!$F$1))&gt;0),N(INDEX(BASELINE!$A968:$ZZ968,CALC!$F$1)),N(INDEX(BASELINE!$A968:$ZZ968,CALC!$P$1))))=INT(SIMOPS!$D$3),IFERROR(UPPER(TRIM(INDEX(BASELINE!$A968:$ZZ968,CALC!$R$1)&amp;"")),"")&lt;&gt;"ENCERRADA"),1,0),0)</f>
        <v/>
      </c>
      <c r="B968">
        <f>B967+A968</f>
        <v/>
      </c>
    </row>
    <row r="969">
      <c r="A969">
        <f>IFERROR(IF(AND(INDEX(BASELINE!$A969:$ZZ969,CALC!$H$1)&lt;&gt;"",INT(IF(AND(CALC!$F$1&gt;0,N(INDEX(BASELINE!$A969:$ZZ969,CALC!$F$1))&gt;0),N(INDEX(BASELINE!$A969:$ZZ969,CALC!$F$1)),N(INDEX(BASELINE!$A969:$ZZ969,CALC!$P$1))))=INT(SIMOPS!$D$3),IFERROR(UPPER(TRIM(INDEX(BASELINE!$A969:$ZZ969,CALC!$R$1)&amp;"")),"")&lt;&gt;"ENCERRADA"),1,0),0)</f>
        <v/>
      </c>
      <c r="B969">
        <f>B968+A969</f>
        <v/>
      </c>
    </row>
    <row r="970">
      <c r="A970">
        <f>IFERROR(IF(AND(INDEX(BASELINE!$A970:$ZZ970,CALC!$H$1)&lt;&gt;"",INT(IF(AND(CALC!$F$1&gt;0,N(INDEX(BASELINE!$A970:$ZZ970,CALC!$F$1))&gt;0),N(INDEX(BASELINE!$A970:$ZZ970,CALC!$F$1)),N(INDEX(BASELINE!$A970:$ZZ970,CALC!$P$1))))=INT(SIMOPS!$D$3),IFERROR(UPPER(TRIM(INDEX(BASELINE!$A970:$ZZ970,CALC!$R$1)&amp;"")),"")&lt;&gt;"ENCERRADA"),1,0),0)</f>
        <v/>
      </c>
      <c r="B970">
        <f>B969+A970</f>
        <v/>
      </c>
    </row>
    <row r="971">
      <c r="A971">
        <f>IFERROR(IF(AND(INDEX(BASELINE!$A971:$ZZ971,CALC!$H$1)&lt;&gt;"",INT(IF(AND(CALC!$F$1&gt;0,N(INDEX(BASELINE!$A971:$ZZ971,CALC!$F$1))&gt;0),N(INDEX(BASELINE!$A971:$ZZ971,CALC!$F$1)),N(INDEX(BASELINE!$A971:$ZZ971,CALC!$P$1))))=INT(SIMOPS!$D$3),IFERROR(UPPER(TRIM(INDEX(BASELINE!$A971:$ZZ971,CALC!$R$1)&amp;"")),"")&lt;&gt;"ENCERRADA"),1,0),0)</f>
        <v/>
      </c>
      <c r="B971">
        <f>B970+A971</f>
        <v/>
      </c>
    </row>
    <row r="972">
      <c r="A972">
        <f>IFERROR(IF(AND(INDEX(BASELINE!$A972:$ZZ972,CALC!$H$1)&lt;&gt;"",INT(IF(AND(CALC!$F$1&gt;0,N(INDEX(BASELINE!$A972:$ZZ972,CALC!$F$1))&gt;0),N(INDEX(BASELINE!$A972:$ZZ972,CALC!$F$1)),N(INDEX(BASELINE!$A972:$ZZ972,CALC!$P$1))))=INT(SIMOPS!$D$3),IFERROR(UPPER(TRIM(INDEX(BASELINE!$A972:$ZZ972,CALC!$R$1)&amp;"")),"")&lt;&gt;"ENCERRADA"),1,0),0)</f>
        <v/>
      </c>
      <c r="B972">
        <f>B971+A972</f>
        <v/>
      </c>
    </row>
    <row r="973">
      <c r="A973">
        <f>IFERROR(IF(AND(INDEX(BASELINE!$A973:$ZZ973,CALC!$H$1)&lt;&gt;"",INT(IF(AND(CALC!$F$1&gt;0,N(INDEX(BASELINE!$A973:$ZZ973,CALC!$F$1))&gt;0),N(INDEX(BASELINE!$A973:$ZZ973,CALC!$F$1)),N(INDEX(BASELINE!$A973:$ZZ973,CALC!$P$1))))=INT(SIMOPS!$D$3),IFERROR(UPPER(TRIM(INDEX(BASELINE!$A973:$ZZ973,CALC!$R$1)&amp;"")),"")&lt;&gt;"ENCERRADA"),1,0),0)</f>
        <v/>
      </c>
      <c r="B973">
        <f>B972+A973</f>
        <v/>
      </c>
    </row>
    <row r="974">
      <c r="A974">
        <f>IFERROR(IF(AND(INDEX(BASELINE!$A974:$ZZ974,CALC!$H$1)&lt;&gt;"",INT(IF(AND(CALC!$F$1&gt;0,N(INDEX(BASELINE!$A974:$ZZ974,CALC!$F$1))&gt;0),N(INDEX(BASELINE!$A974:$ZZ974,CALC!$F$1)),N(INDEX(BASELINE!$A974:$ZZ974,CALC!$P$1))))=INT(SIMOPS!$D$3),IFERROR(UPPER(TRIM(INDEX(BASELINE!$A974:$ZZ974,CALC!$R$1)&amp;"")),"")&lt;&gt;"ENCERRADA"),1,0),0)</f>
        <v/>
      </c>
      <c r="B974">
        <f>B973+A974</f>
        <v/>
      </c>
    </row>
    <row r="975">
      <c r="A975">
        <f>IFERROR(IF(AND(INDEX(BASELINE!$A975:$ZZ975,CALC!$H$1)&lt;&gt;"",INT(IF(AND(CALC!$F$1&gt;0,N(INDEX(BASELINE!$A975:$ZZ975,CALC!$F$1))&gt;0),N(INDEX(BASELINE!$A975:$ZZ975,CALC!$F$1)),N(INDEX(BASELINE!$A975:$ZZ975,CALC!$P$1))))=INT(SIMOPS!$D$3),IFERROR(UPPER(TRIM(INDEX(BASELINE!$A975:$ZZ975,CALC!$R$1)&amp;"")),"")&lt;&gt;"ENCERRADA"),1,0),0)</f>
        <v/>
      </c>
      <c r="B975">
        <f>B974+A975</f>
        <v/>
      </c>
    </row>
    <row r="976">
      <c r="A976">
        <f>IFERROR(IF(AND(INDEX(BASELINE!$A976:$ZZ976,CALC!$H$1)&lt;&gt;"",INT(IF(AND(CALC!$F$1&gt;0,N(INDEX(BASELINE!$A976:$ZZ976,CALC!$F$1))&gt;0),N(INDEX(BASELINE!$A976:$ZZ976,CALC!$F$1)),N(INDEX(BASELINE!$A976:$ZZ976,CALC!$P$1))))=INT(SIMOPS!$D$3),IFERROR(UPPER(TRIM(INDEX(BASELINE!$A976:$ZZ976,CALC!$R$1)&amp;"")),"")&lt;&gt;"ENCERRADA"),1,0),0)</f>
        <v/>
      </c>
      <c r="B976">
        <f>B975+A976</f>
        <v/>
      </c>
    </row>
    <row r="977">
      <c r="A977">
        <f>IFERROR(IF(AND(INDEX(BASELINE!$A977:$ZZ977,CALC!$H$1)&lt;&gt;"",INT(IF(AND(CALC!$F$1&gt;0,N(INDEX(BASELINE!$A977:$ZZ977,CALC!$F$1))&gt;0),N(INDEX(BASELINE!$A977:$ZZ977,CALC!$F$1)),N(INDEX(BASELINE!$A977:$ZZ977,CALC!$P$1))))=INT(SIMOPS!$D$3),IFERROR(UPPER(TRIM(INDEX(BASELINE!$A977:$ZZ977,CALC!$R$1)&amp;"")),"")&lt;&gt;"ENCERRADA"),1,0),0)</f>
        <v/>
      </c>
      <c r="B977">
        <f>B976+A977</f>
        <v/>
      </c>
    </row>
    <row r="978">
      <c r="A978">
        <f>IFERROR(IF(AND(INDEX(BASELINE!$A978:$ZZ978,CALC!$H$1)&lt;&gt;"",INT(IF(AND(CALC!$F$1&gt;0,N(INDEX(BASELINE!$A978:$ZZ978,CALC!$F$1))&gt;0),N(INDEX(BASELINE!$A978:$ZZ978,CALC!$F$1)),N(INDEX(BASELINE!$A978:$ZZ978,CALC!$P$1))))=INT(SIMOPS!$D$3),IFERROR(UPPER(TRIM(INDEX(BASELINE!$A978:$ZZ978,CALC!$R$1)&amp;"")),"")&lt;&gt;"ENCERRADA"),1,0),0)</f>
        <v/>
      </c>
      <c r="B978">
        <f>B977+A978</f>
        <v/>
      </c>
    </row>
    <row r="979">
      <c r="A979">
        <f>IFERROR(IF(AND(INDEX(BASELINE!$A979:$ZZ979,CALC!$H$1)&lt;&gt;"",INT(IF(AND(CALC!$F$1&gt;0,N(INDEX(BASELINE!$A979:$ZZ979,CALC!$F$1))&gt;0),N(INDEX(BASELINE!$A979:$ZZ979,CALC!$F$1)),N(INDEX(BASELINE!$A979:$ZZ979,CALC!$P$1))))=INT(SIMOPS!$D$3),IFERROR(UPPER(TRIM(INDEX(BASELINE!$A979:$ZZ979,CALC!$R$1)&amp;"")),"")&lt;&gt;"ENCERRADA"),1,0),0)</f>
        <v/>
      </c>
      <c r="B979">
        <f>B978+A979</f>
        <v/>
      </c>
    </row>
    <row r="980">
      <c r="A980">
        <f>IFERROR(IF(AND(INDEX(BASELINE!$A980:$ZZ980,CALC!$H$1)&lt;&gt;"",INT(IF(AND(CALC!$F$1&gt;0,N(INDEX(BASELINE!$A980:$ZZ980,CALC!$F$1))&gt;0),N(INDEX(BASELINE!$A980:$ZZ980,CALC!$F$1)),N(INDEX(BASELINE!$A980:$ZZ980,CALC!$P$1))))=INT(SIMOPS!$D$3),IFERROR(UPPER(TRIM(INDEX(BASELINE!$A980:$ZZ980,CALC!$R$1)&amp;"")),"")&lt;&gt;"ENCERRADA"),1,0),0)</f>
        <v/>
      </c>
      <c r="B980">
        <f>B979+A980</f>
        <v/>
      </c>
    </row>
    <row r="981">
      <c r="A981">
        <f>IFERROR(IF(AND(INDEX(BASELINE!$A981:$ZZ981,CALC!$H$1)&lt;&gt;"",INT(IF(AND(CALC!$F$1&gt;0,N(INDEX(BASELINE!$A981:$ZZ981,CALC!$F$1))&gt;0),N(INDEX(BASELINE!$A981:$ZZ981,CALC!$F$1)),N(INDEX(BASELINE!$A981:$ZZ981,CALC!$P$1))))=INT(SIMOPS!$D$3),IFERROR(UPPER(TRIM(INDEX(BASELINE!$A981:$ZZ981,CALC!$R$1)&amp;"")),"")&lt;&gt;"ENCERRADA"),1,0),0)</f>
        <v/>
      </c>
      <c r="B981">
        <f>B980+A981</f>
        <v/>
      </c>
    </row>
    <row r="982">
      <c r="A982">
        <f>IFERROR(IF(AND(INDEX(BASELINE!$A982:$ZZ982,CALC!$H$1)&lt;&gt;"",INT(IF(AND(CALC!$F$1&gt;0,N(INDEX(BASELINE!$A982:$ZZ982,CALC!$F$1))&gt;0),N(INDEX(BASELINE!$A982:$ZZ982,CALC!$F$1)),N(INDEX(BASELINE!$A982:$ZZ982,CALC!$P$1))))=INT(SIMOPS!$D$3),IFERROR(UPPER(TRIM(INDEX(BASELINE!$A982:$ZZ982,CALC!$R$1)&amp;"")),"")&lt;&gt;"ENCERRADA"),1,0),0)</f>
        <v/>
      </c>
      <c r="B982">
        <f>B981+A982</f>
        <v/>
      </c>
    </row>
    <row r="983">
      <c r="A983">
        <f>IFERROR(IF(AND(INDEX(BASELINE!$A983:$ZZ983,CALC!$H$1)&lt;&gt;"",INT(IF(AND(CALC!$F$1&gt;0,N(INDEX(BASELINE!$A983:$ZZ983,CALC!$F$1))&gt;0),N(INDEX(BASELINE!$A983:$ZZ983,CALC!$F$1)),N(INDEX(BASELINE!$A983:$ZZ983,CALC!$P$1))))=INT(SIMOPS!$D$3),IFERROR(UPPER(TRIM(INDEX(BASELINE!$A983:$ZZ983,CALC!$R$1)&amp;"")),"")&lt;&gt;"ENCERRADA"),1,0),0)</f>
        <v/>
      </c>
      <c r="B983">
        <f>B982+A983</f>
        <v/>
      </c>
    </row>
    <row r="984">
      <c r="A984">
        <f>IFERROR(IF(AND(INDEX(BASELINE!$A984:$ZZ984,CALC!$H$1)&lt;&gt;"",INT(IF(AND(CALC!$F$1&gt;0,N(INDEX(BASELINE!$A984:$ZZ984,CALC!$F$1))&gt;0),N(INDEX(BASELINE!$A984:$ZZ984,CALC!$F$1)),N(INDEX(BASELINE!$A984:$ZZ984,CALC!$P$1))))=INT(SIMOPS!$D$3),IFERROR(UPPER(TRIM(INDEX(BASELINE!$A984:$ZZ984,CALC!$R$1)&amp;"")),"")&lt;&gt;"ENCERRADA"),1,0),0)</f>
        <v/>
      </c>
      <c r="B984">
        <f>B983+A984</f>
        <v/>
      </c>
    </row>
    <row r="985">
      <c r="A985">
        <f>IFERROR(IF(AND(INDEX(BASELINE!$A985:$ZZ985,CALC!$H$1)&lt;&gt;"",INT(IF(AND(CALC!$F$1&gt;0,N(INDEX(BASELINE!$A985:$ZZ985,CALC!$F$1))&gt;0),N(INDEX(BASELINE!$A985:$ZZ985,CALC!$F$1)),N(INDEX(BASELINE!$A985:$ZZ985,CALC!$P$1))))=INT(SIMOPS!$D$3),IFERROR(UPPER(TRIM(INDEX(BASELINE!$A985:$ZZ985,CALC!$R$1)&amp;"")),"")&lt;&gt;"ENCERRADA"),1,0),0)</f>
        <v/>
      </c>
      <c r="B985">
        <f>B984+A985</f>
        <v/>
      </c>
    </row>
    <row r="986">
      <c r="A986">
        <f>IFERROR(IF(AND(INDEX(BASELINE!$A986:$ZZ986,CALC!$H$1)&lt;&gt;"",INT(IF(AND(CALC!$F$1&gt;0,N(INDEX(BASELINE!$A986:$ZZ986,CALC!$F$1))&gt;0),N(INDEX(BASELINE!$A986:$ZZ986,CALC!$F$1)),N(INDEX(BASELINE!$A986:$ZZ986,CALC!$P$1))))=INT(SIMOPS!$D$3),IFERROR(UPPER(TRIM(INDEX(BASELINE!$A986:$ZZ986,CALC!$R$1)&amp;"")),"")&lt;&gt;"ENCERRADA"),1,0),0)</f>
        <v/>
      </c>
      <c r="B986">
        <f>B985+A986</f>
        <v/>
      </c>
    </row>
    <row r="987">
      <c r="A987">
        <f>IFERROR(IF(AND(INDEX(BASELINE!$A987:$ZZ987,CALC!$H$1)&lt;&gt;"",INT(IF(AND(CALC!$F$1&gt;0,N(INDEX(BASELINE!$A987:$ZZ987,CALC!$F$1))&gt;0),N(INDEX(BASELINE!$A987:$ZZ987,CALC!$F$1)),N(INDEX(BASELINE!$A987:$ZZ987,CALC!$P$1))))=INT(SIMOPS!$D$3),IFERROR(UPPER(TRIM(INDEX(BASELINE!$A987:$ZZ987,CALC!$R$1)&amp;"")),"")&lt;&gt;"ENCERRADA"),1,0),0)</f>
        <v/>
      </c>
      <c r="B987">
        <f>B986+A987</f>
        <v/>
      </c>
    </row>
    <row r="988">
      <c r="A988">
        <f>IFERROR(IF(AND(INDEX(BASELINE!$A988:$ZZ988,CALC!$H$1)&lt;&gt;"",INT(IF(AND(CALC!$F$1&gt;0,N(INDEX(BASELINE!$A988:$ZZ988,CALC!$F$1))&gt;0),N(INDEX(BASELINE!$A988:$ZZ988,CALC!$F$1)),N(INDEX(BASELINE!$A988:$ZZ988,CALC!$P$1))))=INT(SIMOPS!$D$3),IFERROR(UPPER(TRIM(INDEX(BASELINE!$A988:$ZZ988,CALC!$R$1)&amp;"")),"")&lt;&gt;"ENCERRADA"),1,0),0)</f>
        <v/>
      </c>
      <c r="B988">
        <f>B987+A988</f>
        <v/>
      </c>
    </row>
    <row r="989">
      <c r="A989">
        <f>IFERROR(IF(AND(INDEX(BASELINE!$A989:$ZZ989,CALC!$H$1)&lt;&gt;"",INT(IF(AND(CALC!$F$1&gt;0,N(INDEX(BASELINE!$A989:$ZZ989,CALC!$F$1))&gt;0),N(INDEX(BASELINE!$A989:$ZZ989,CALC!$F$1)),N(INDEX(BASELINE!$A989:$ZZ989,CALC!$P$1))))=INT(SIMOPS!$D$3),IFERROR(UPPER(TRIM(INDEX(BASELINE!$A989:$ZZ989,CALC!$R$1)&amp;"")),"")&lt;&gt;"ENCERRADA"),1,0),0)</f>
        <v/>
      </c>
      <c r="B989">
        <f>B988+A989</f>
        <v/>
      </c>
    </row>
    <row r="990">
      <c r="A990">
        <f>IFERROR(IF(AND(INDEX(BASELINE!$A990:$ZZ990,CALC!$H$1)&lt;&gt;"",INT(IF(AND(CALC!$F$1&gt;0,N(INDEX(BASELINE!$A990:$ZZ990,CALC!$F$1))&gt;0),N(INDEX(BASELINE!$A990:$ZZ990,CALC!$F$1)),N(INDEX(BASELINE!$A990:$ZZ990,CALC!$P$1))))=INT(SIMOPS!$D$3),IFERROR(UPPER(TRIM(INDEX(BASELINE!$A990:$ZZ990,CALC!$R$1)&amp;"")),"")&lt;&gt;"ENCERRADA"),1,0),0)</f>
        <v/>
      </c>
      <c r="B990">
        <f>B989+A990</f>
        <v/>
      </c>
    </row>
    <row r="991">
      <c r="A991">
        <f>IFERROR(IF(AND(INDEX(BASELINE!$A991:$ZZ991,CALC!$H$1)&lt;&gt;"",INT(IF(AND(CALC!$F$1&gt;0,N(INDEX(BASELINE!$A991:$ZZ991,CALC!$F$1))&gt;0),N(INDEX(BASELINE!$A991:$ZZ991,CALC!$F$1)),N(INDEX(BASELINE!$A991:$ZZ991,CALC!$P$1))))=INT(SIMOPS!$D$3),IFERROR(UPPER(TRIM(INDEX(BASELINE!$A991:$ZZ991,CALC!$R$1)&amp;"")),"")&lt;&gt;"ENCERRADA"),1,0),0)</f>
        <v/>
      </c>
      <c r="B991">
        <f>B990+A991</f>
        <v/>
      </c>
    </row>
    <row r="992">
      <c r="A992">
        <f>IFERROR(IF(AND(INDEX(BASELINE!$A992:$ZZ992,CALC!$H$1)&lt;&gt;"",INT(IF(AND(CALC!$F$1&gt;0,N(INDEX(BASELINE!$A992:$ZZ992,CALC!$F$1))&gt;0),N(INDEX(BASELINE!$A992:$ZZ992,CALC!$F$1)),N(INDEX(BASELINE!$A992:$ZZ992,CALC!$P$1))))=INT(SIMOPS!$D$3),IFERROR(UPPER(TRIM(INDEX(BASELINE!$A992:$ZZ992,CALC!$R$1)&amp;"")),"")&lt;&gt;"ENCERRADA"),1,0),0)</f>
        <v/>
      </c>
      <c r="B992">
        <f>B991+A992</f>
        <v/>
      </c>
    </row>
    <row r="993">
      <c r="A993">
        <f>IFERROR(IF(AND(INDEX(BASELINE!$A993:$ZZ993,CALC!$H$1)&lt;&gt;"",INT(IF(AND(CALC!$F$1&gt;0,N(INDEX(BASELINE!$A993:$ZZ993,CALC!$F$1))&gt;0),N(INDEX(BASELINE!$A993:$ZZ993,CALC!$F$1)),N(INDEX(BASELINE!$A993:$ZZ993,CALC!$P$1))))=INT(SIMOPS!$D$3),IFERROR(UPPER(TRIM(INDEX(BASELINE!$A993:$ZZ993,CALC!$R$1)&amp;"")),"")&lt;&gt;"ENCERRADA"),1,0),0)</f>
        <v/>
      </c>
      <c r="B993">
        <f>B992+A993</f>
        <v/>
      </c>
    </row>
    <row r="994">
      <c r="A994">
        <f>IFERROR(IF(AND(INDEX(BASELINE!$A994:$ZZ994,CALC!$H$1)&lt;&gt;"",INT(IF(AND(CALC!$F$1&gt;0,N(INDEX(BASELINE!$A994:$ZZ994,CALC!$F$1))&gt;0),N(INDEX(BASELINE!$A994:$ZZ994,CALC!$F$1)),N(INDEX(BASELINE!$A994:$ZZ994,CALC!$P$1))))=INT(SIMOPS!$D$3),IFERROR(UPPER(TRIM(INDEX(BASELINE!$A994:$ZZ994,CALC!$R$1)&amp;"")),"")&lt;&gt;"ENCERRADA"),1,0),0)</f>
        <v/>
      </c>
      <c r="B994">
        <f>B993+A994</f>
        <v/>
      </c>
    </row>
    <row r="995">
      <c r="A995">
        <f>IFERROR(IF(AND(INDEX(BASELINE!$A995:$ZZ995,CALC!$H$1)&lt;&gt;"",INT(IF(AND(CALC!$F$1&gt;0,N(INDEX(BASELINE!$A995:$ZZ995,CALC!$F$1))&gt;0),N(INDEX(BASELINE!$A995:$ZZ995,CALC!$F$1)),N(INDEX(BASELINE!$A995:$ZZ995,CALC!$P$1))))=INT(SIMOPS!$D$3),IFERROR(UPPER(TRIM(INDEX(BASELINE!$A995:$ZZ995,CALC!$R$1)&amp;"")),"")&lt;&gt;"ENCERRADA"),1,0),0)</f>
        <v/>
      </c>
      <c r="B995">
        <f>B994+A995</f>
        <v/>
      </c>
    </row>
    <row r="996">
      <c r="A996">
        <f>IFERROR(IF(AND(INDEX(BASELINE!$A996:$ZZ996,CALC!$H$1)&lt;&gt;"",INT(IF(AND(CALC!$F$1&gt;0,N(INDEX(BASELINE!$A996:$ZZ996,CALC!$F$1))&gt;0),N(INDEX(BASELINE!$A996:$ZZ996,CALC!$F$1)),N(INDEX(BASELINE!$A996:$ZZ996,CALC!$P$1))))=INT(SIMOPS!$D$3),IFERROR(UPPER(TRIM(INDEX(BASELINE!$A996:$ZZ996,CALC!$R$1)&amp;"")),"")&lt;&gt;"ENCERRADA"),1,0),0)</f>
        <v/>
      </c>
      <c r="B996">
        <f>B995+A996</f>
        <v/>
      </c>
    </row>
    <row r="997">
      <c r="A997">
        <f>IFERROR(IF(AND(INDEX(BASELINE!$A997:$ZZ997,CALC!$H$1)&lt;&gt;"",INT(IF(AND(CALC!$F$1&gt;0,N(INDEX(BASELINE!$A997:$ZZ997,CALC!$F$1))&gt;0),N(INDEX(BASELINE!$A997:$ZZ997,CALC!$F$1)),N(INDEX(BASELINE!$A997:$ZZ997,CALC!$P$1))))=INT(SIMOPS!$D$3),IFERROR(UPPER(TRIM(INDEX(BASELINE!$A997:$ZZ997,CALC!$R$1)&amp;"")),"")&lt;&gt;"ENCERRADA"),1,0),0)</f>
        <v/>
      </c>
      <c r="B997">
        <f>B996+A997</f>
        <v/>
      </c>
    </row>
    <row r="998">
      <c r="A998">
        <f>IFERROR(IF(AND(INDEX(BASELINE!$A998:$ZZ998,CALC!$H$1)&lt;&gt;"",INT(IF(AND(CALC!$F$1&gt;0,N(INDEX(BASELINE!$A998:$ZZ998,CALC!$F$1))&gt;0),N(INDEX(BASELINE!$A998:$ZZ998,CALC!$F$1)),N(INDEX(BASELINE!$A998:$ZZ998,CALC!$P$1))))=INT(SIMOPS!$D$3),IFERROR(UPPER(TRIM(INDEX(BASELINE!$A998:$ZZ998,CALC!$R$1)&amp;"")),"")&lt;&gt;"ENCERRADA"),1,0),0)</f>
        <v/>
      </c>
      <c r="B998">
        <f>B997+A998</f>
        <v/>
      </c>
    </row>
    <row r="999">
      <c r="A999">
        <f>IFERROR(IF(AND(INDEX(BASELINE!$A999:$ZZ999,CALC!$H$1)&lt;&gt;"",INT(IF(AND(CALC!$F$1&gt;0,N(INDEX(BASELINE!$A999:$ZZ999,CALC!$F$1))&gt;0),N(INDEX(BASELINE!$A999:$ZZ999,CALC!$F$1)),N(INDEX(BASELINE!$A999:$ZZ999,CALC!$P$1))))=INT(SIMOPS!$D$3),IFERROR(UPPER(TRIM(INDEX(BASELINE!$A999:$ZZ999,CALC!$R$1)&amp;"")),"")&lt;&gt;"ENCERRADA"),1,0),0)</f>
        <v/>
      </c>
      <c r="B999">
        <f>B998+A999</f>
        <v/>
      </c>
    </row>
    <row r="1000">
      <c r="A1000">
        <f>IFERROR(IF(AND(INDEX(BASELINE!$A1000:$ZZ1000,CALC!$H$1)&lt;&gt;"",INT(IF(AND(CALC!$F$1&gt;0,N(INDEX(BASELINE!$A1000:$ZZ1000,CALC!$F$1))&gt;0),N(INDEX(BASELINE!$A1000:$ZZ1000,CALC!$F$1)),N(INDEX(BASELINE!$A1000:$ZZ1000,CALC!$P$1))))=INT(SIMOPS!$D$3),IFERROR(UPPER(TRIM(INDEX(BASELINE!$A1000:$ZZ1000,CALC!$R$1)&amp;"")),"")&lt;&gt;"ENCERRADA"),1,0),0)</f>
        <v/>
      </c>
      <c r="B1000">
        <f>B999+A1000</f>
        <v/>
      </c>
    </row>
    <row r="1001">
      <c r="A1001">
        <f>IFERROR(IF(AND(INDEX(BASELINE!$A1001:$ZZ1001,CALC!$H$1)&lt;&gt;"",INT(IF(AND(CALC!$F$1&gt;0,N(INDEX(BASELINE!$A1001:$ZZ1001,CALC!$F$1))&gt;0),N(INDEX(BASELINE!$A1001:$ZZ1001,CALC!$F$1)),N(INDEX(BASELINE!$A1001:$ZZ1001,CALC!$P$1))))=INT(SIMOPS!$D$3),IFERROR(UPPER(TRIM(INDEX(BASELINE!$A1001:$ZZ1001,CALC!$R$1)&amp;"")),"")&lt;&gt;"ENCERRADA"),1,0),0)</f>
        <v/>
      </c>
      <c r="B1001">
        <f>B1000+A1001</f>
        <v/>
      </c>
    </row>
    <row r="1002">
      <c r="A1002">
        <f>IFERROR(IF(AND(INDEX(BASELINE!$A1002:$ZZ1002,CALC!$H$1)&lt;&gt;"",INT(IF(AND(CALC!$F$1&gt;0,N(INDEX(BASELINE!$A1002:$ZZ1002,CALC!$F$1))&gt;0),N(INDEX(BASELINE!$A1002:$ZZ1002,CALC!$F$1)),N(INDEX(BASELINE!$A1002:$ZZ1002,CALC!$P$1))))=INT(SIMOPS!$D$3),IFERROR(UPPER(TRIM(INDEX(BASELINE!$A1002:$ZZ1002,CALC!$R$1)&amp;"")),"")&lt;&gt;"ENCERRADA"),1,0),0)</f>
        <v/>
      </c>
      <c r="B1002">
        <f>B1001+A1002</f>
        <v/>
      </c>
    </row>
    <row r="1003">
      <c r="A1003">
        <f>IFERROR(IF(AND(INDEX(BASELINE!$A1003:$ZZ1003,CALC!$H$1)&lt;&gt;"",INT(IF(AND(CALC!$F$1&gt;0,N(INDEX(BASELINE!$A1003:$ZZ1003,CALC!$F$1))&gt;0),N(INDEX(BASELINE!$A1003:$ZZ1003,CALC!$F$1)),N(INDEX(BASELINE!$A1003:$ZZ1003,CALC!$P$1))))=INT(SIMOPS!$D$3),IFERROR(UPPER(TRIM(INDEX(BASELINE!$A1003:$ZZ1003,CALC!$R$1)&amp;"")),"")&lt;&gt;"ENCERRADA"),1,0),0)</f>
        <v/>
      </c>
      <c r="B1003">
        <f>B1002+A1003</f>
        <v/>
      </c>
    </row>
    <row r="1004">
      <c r="A1004">
        <f>IFERROR(IF(AND(INDEX(BASELINE!$A1004:$ZZ1004,CALC!$H$1)&lt;&gt;"",INT(IF(AND(CALC!$F$1&gt;0,N(INDEX(BASELINE!$A1004:$ZZ1004,CALC!$F$1))&gt;0),N(INDEX(BASELINE!$A1004:$ZZ1004,CALC!$F$1)),N(INDEX(BASELINE!$A1004:$ZZ1004,CALC!$P$1))))=INT(SIMOPS!$D$3),IFERROR(UPPER(TRIM(INDEX(BASELINE!$A1004:$ZZ1004,CALC!$R$1)&amp;"")),"")&lt;&gt;"ENCERRADA"),1,0),0)</f>
        <v/>
      </c>
      <c r="B1004">
        <f>B1003+A1004</f>
        <v/>
      </c>
    </row>
    <row r="1005">
      <c r="A1005">
        <f>IFERROR(IF(AND(INDEX(BASELINE!$A1005:$ZZ1005,CALC!$H$1)&lt;&gt;"",INT(IF(AND(CALC!$F$1&gt;0,N(INDEX(BASELINE!$A1005:$ZZ1005,CALC!$F$1))&gt;0),N(INDEX(BASELINE!$A1005:$ZZ1005,CALC!$F$1)),N(INDEX(BASELINE!$A1005:$ZZ1005,CALC!$P$1))))=INT(SIMOPS!$D$3),IFERROR(UPPER(TRIM(INDEX(BASELINE!$A1005:$ZZ1005,CALC!$R$1)&amp;"")),"")&lt;&gt;"ENCERRADA"),1,0),0)</f>
        <v/>
      </c>
      <c r="B1005">
        <f>B1004+A1005</f>
        <v/>
      </c>
    </row>
    <row r="1006">
      <c r="A1006">
        <f>IFERROR(IF(AND(INDEX(BASELINE!$A1006:$ZZ1006,CALC!$H$1)&lt;&gt;"",INT(IF(AND(CALC!$F$1&gt;0,N(INDEX(BASELINE!$A1006:$ZZ1006,CALC!$F$1))&gt;0),N(INDEX(BASELINE!$A1006:$ZZ1006,CALC!$F$1)),N(INDEX(BASELINE!$A1006:$ZZ1006,CALC!$P$1))))=INT(SIMOPS!$D$3),IFERROR(UPPER(TRIM(INDEX(BASELINE!$A1006:$ZZ1006,CALC!$R$1)&amp;"")),"")&lt;&gt;"ENCERRADA"),1,0),0)</f>
        <v/>
      </c>
      <c r="B1006">
        <f>B1005+A1006</f>
        <v/>
      </c>
    </row>
    <row r="1007">
      <c r="A1007">
        <f>IFERROR(IF(AND(INDEX(BASELINE!$A1007:$ZZ1007,CALC!$H$1)&lt;&gt;"",INT(IF(AND(CALC!$F$1&gt;0,N(INDEX(BASELINE!$A1007:$ZZ1007,CALC!$F$1))&gt;0),N(INDEX(BASELINE!$A1007:$ZZ1007,CALC!$F$1)),N(INDEX(BASELINE!$A1007:$ZZ1007,CALC!$P$1))))=INT(SIMOPS!$D$3),IFERROR(UPPER(TRIM(INDEX(BASELINE!$A1007:$ZZ1007,CALC!$R$1)&amp;"")),"")&lt;&gt;"ENCERRADA"),1,0),0)</f>
        <v/>
      </c>
      <c r="B1007">
        <f>B1006+A1007</f>
        <v/>
      </c>
    </row>
    <row r="1008">
      <c r="A1008">
        <f>IFERROR(IF(AND(INDEX(BASELINE!$A1008:$ZZ1008,CALC!$H$1)&lt;&gt;"",INT(IF(AND(CALC!$F$1&gt;0,N(INDEX(BASELINE!$A1008:$ZZ1008,CALC!$F$1))&gt;0),N(INDEX(BASELINE!$A1008:$ZZ1008,CALC!$F$1)),N(INDEX(BASELINE!$A1008:$ZZ1008,CALC!$P$1))))=INT(SIMOPS!$D$3),IFERROR(UPPER(TRIM(INDEX(BASELINE!$A1008:$ZZ1008,CALC!$R$1)&amp;"")),"")&lt;&gt;"ENCERRADA"),1,0),0)</f>
        <v/>
      </c>
      <c r="B1008">
        <f>B1007+A1008</f>
        <v/>
      </c>
    </row>
    <row r="1009">
      <c r="A1009">
        <f>IFERROR(IF(AND(INDEX(BASELINE!$A1009:$ZZ1009,CALC!$H$1)&lt;&gt;"",INT(IF(AND(CALC!$F$1&gt;0,N(INDEX(BASELINE!$A1009:$ZZ1009,CALC!$F$1))&gt;0),N(INDEX(BASELINE!$A1009:$ZZ1009,CALC!$F$1)),N(INDEX(BASELINE!$A1009:$ZZ1009,CALC!$P$1))))=INT(SIMOPS!$D$3),IFERROR(UPPER(TRIM(INDEX(BASELINE!$A1009:$ZZ1009,CALC!$R$1)&amp;"")),"")&lt;&gt;"ENCERRADA"),1,0),0)</f>
        <v/>
      </c>
      <c r="B1009">
        <f>B1008+A1009</f>
        <v/>
      </c>
    </row>
    <row r="1010">
      <c r="A1010">
        <f>IFERROR(IF(AND(INDEX(BASELINE!$A1010:$ZZ1010,CALC!$H$1)&lt;&gt;"",INT(IF(AND(CALC!$F$1&gt;0,N(INDEX(BASELINE!$A1010:$ZZ1010,CALC!$F$1))&gt;0),N(INDEX(BASELINE!$A1010:$ZZ1010,CALC!$F$1)),N(INDEX(BASELINE!$A1010:$ZZ1010,CALC!$P$1))))=INT(SIMOPS!$D$3),IFERROR(UPPER(TRIM(INDEX(BASELINE!$A1010:$ZZ1010,CALC!$R$1)&amp;"")),"")&lt;&gt;"ENCERRADA"),1,0),0)</f>
        <v/>
      </c>
      <c r="B1010">
        <f>B1009+A1010</f>
        <v/>
      </c>
    </row>
    <row r="1011">
      <c r="A1011">
        <f>IFERROR(IF(AND(INDEX(BASELINE!$A1011:$ZZ1011,CALC!$H$1)&lt;&gt;"",INT(IF(AND(CALC!$F$1&gt;0,N(INDEX(BASELINE!$A1011:$ZZ1011,CALC!$F$1))&gt;0),N(INDEX(BASELINE!$A1011:$ZZ1011,CALC!$F$1)),N(INDEX(BASELINE!$A1011:$ZZ1011,CALC!$P$1))))=INT(SIMOPS!$D$3),IFERROR(UPPER(TRIM(INDEX(BASELINE!$A1011:$ZZ1011,CALC!$R$1)&amp;"")),"")&lt;&gt;"ENCERRADA"),1,0),0)</f>
        <v/>
      </c>
      <c r="B1011">
        <f>B1010+A1011</f>
        <v/>
      </c>
    </row>
    <row r="1012">
      <c r="A1012">
        <f>IFERROR(IF(AND(INDEX(BASELINE!$A1012:$ZZ1012,CALC!$H$1)&lt;&gt;"",INT(IF(AND(CALC!$F$1&gt;0,N(INDEX(BASELINE!$A1012:$ZZ1012,CALC!$F$1))&gt;0),N(INDEX(BASELINE!$A1012:$ZZ1012,CALC!$F$1)),N(INDEX(BASELINE!$A1012:$ZZ1012,CALC!$P$1))))=INT(SIMOPS!$D$3),IFERROR(UPPER(TRIM(INDEX(BASELINE!$A1012:$ZZ1012,CALC!$R$1)&amp;"")),"")&lt;&gt;"ENCERRADA"),1,0),0)</f>
        <v/>
      </c>
      <c r="B1012">
        <f>B1011+A1012</f>
        <v/>
      </c>
    </row>
    <row r="1013">
      <c r="A1013">
        <f>IFERROR(IF(AND(INDEX(BASELINE!$A1013:$ZZ1013,CALC!$H$1)&lt;&gt;"",INT(IF(AND(CALC!$F$1&gt;0,N(INDEX(BASELINE!$A1013:$ZZ1013,CALC!$F$1))&gt;0),N(INDEX(BASELINE!$A1013:$ZZ1013,CALC!$F$1)),N(INDEX(BASELINE!$A1013:$ZZ1013,CALC!$P$1))))=INT(SIMOPS!$D$3),IFERROR(UPPER(TRIM(INDEX(BASELINE!$A1013:$ZZ1013,CALC!$R$1)&amp;"")),"")&lt;&gt;"ENCERRADA"),1,0),0)</f>
        <v/>
      </c>
      <c r="B1013">
        <f>B1012+A1013</f>
        <v/>
      </c>
    </row>
    <row r="1014">
      <c r="A1014">
        <f>IFERROR(IF(AND(INDEX(BASELINE!$A1014:$ZZ1014,CALC!$H$1)&lt;&gt;"",INT(IF(AND(CALC!$F$1&gt;0,N(INDEX(BASELINE!$A1014:$ZZ1014,CALC!$F$1))&gt;0),N(INDEX(BASELINE!$A1014:$ZZ1014,CALC!$F$1)),N(INDEX(BASELINE!$A1014:$ZZ1014,CALC!$P$1))))=INT(SIMOPS!$D$3),IFERROR(UPPER(TRIM(INDEX(BASELINE!$A1014:$ZZ1014,CALC!$R$1)&amp;"")),"")&lt;&gt;"ENCERRADA"),1,0),0)</f>
        <v/>
      </c>
      <c r="B1014">
        <f>B1013+A1014</f>
        <v/>
      </c>
    </row>
    <row r="1015">
      <c r="A1015">
        <f>IFERROR(IF(AND(INDEX(BASELINE!$A1015:$ZZ1015,CALC!$H$1)&lt;&gt;"",INT(IF(AND(CALC!$F$1&gt;0,N(INDEX(BASELINE!$A1015:$ZZ1015,CALC!$F$1))&gt;0),N(INDEX(BASELINE!$A1015:$ZZ1015,CALC!$F$1)),N(INDEX(BASELINE!$A1015:$ZZ1015,CALC!$P$1))))=INT(SIMOPS!$D$3),IFERROR(UPPER(TRIM(INDEX(BASELINE!$A1015:$ZZ1015,CALC!$R$1)&amp;"")),"")&lt;&gt;"ENCERRADA"),1,0),0)</f>
        <v/>
      </c>
      <c r="B1015">
        <f>B1014+A1015</f>
        <v/>
      </c>
    </row>
    <row r="1016">
      <c r="A1016">
        <f>IFERROR(IF(AND(INDEX(BASELINE!$A1016:$ZZ1016,CALC!$H$1)&lt;&gt;"",INT(IF(AND(CALC!$F$1&gt;0,N(INDEX(BASELINE!$A1016:$ZZ1016,CALC!$F$1))&gt;0),N(INDEX(BASELINE!$A1016:$ZZ1016,CALC!$F$1)),N(INDEX(BASELINE!$A1016:$ZZ1016,CALC!$P$1))))=INT(SIMOPS!$D$3),IFERROR(UPPER(TRIM(INDEX(BASELINE!$A1016:$ZZ1016,CALC!$R$1)&amp;"")),"")&lt;&gt;"ENCERRADA"),1,0),0)</f>
        <v/>
      </c>
      <c r="B1016">
        <f>B1015+A1016</f>
        <v/>
      </c>
    </row>
    <row r="1017">
      <c r="A1017">
        <f>IFERROR(IF(AND(INDEX(BASELINE!$A1017:$ZZ1017,CALC!$H$1)&lt;&gt;"",INT(IF(AND(CALC!$F$1&gt;0,N(INDEX(BASELINE!$A1017:$ZZ1017,CALC!$F$1))&gt;0),N(INDEX(BASELINE!$A1017:$ZZ1017,CALC!$F$1)),N(INDEX(BASELINE!$A1017:$ZZ1017,CALC!$P$1))))=INT(SIMOPS!$D$3),IFERROR(UPPER(TRIM(INDEX(BASELINE!$A1017:$ZZ1017,CALC!$R$1)&amp;"")),"")&lt;&gt;"ENCERRADA"),1,0),0)</f>
        <v/>
      </c>
      <c r="B1017">
        <f>B1016+A1017</f>
        <v/>
      </c>
    </row>
    <row r="1018">
      <c r="A1018">
        <f>IFERROR(IF(AND(INDEX(BASELINE!$A1018:$ZZ1018,CALC!$H$1)&lt;&gt;"",INT(IF(AND(CALC!$F$1&gt;0,N(INDEX(BASELINE!$A1018:$ZZ1018,CALC!$F$1))&gt;0),N(INDEX(BASELINE!$A1018:$ZZ1018,CALC!$F$1)),N(INDEX(BASELINE!$A1018:$ZZ1018,CALC!$P$1))))=INT(SIMOPS!$D$3),IFERROR(UPPER(TRIM(INDEX(BASELINE!$A1018:$ZZ1018,CALC!$R$1)&amp;"")),"")&lt;&gt;"ENCERRADA"),1,0),0)</f>
        <v/>
      </c>
      <c r="B1018">
        <f>B1017+A1018</f>
        <v/>
      </c>
    </row>
    <row r="1019">
      <c r="A1019">
        <f>IFERROR(IF(AND(INDEX(BASELINE!$A1019:$ZZ1019,CALC!$H$1)&lt;&gt;"",INT(IF(AND(CALC!$F$1&gt;0,N(INDEX(BASELINE!$A1019:$ZZ1019,CALC!$F$1))&gt;0),N(INDEX(BASELINE!$A1019:$ZZ1019,CALC!$F$1)),N(INDEX(BASELINE!$A1019:$ZZ1019,CALC!$P$1))))=INT(SIMOPS!$D$3),IFERROR(UPPER(TRIM(INDEX(BASELINE!$A1019:$ZZ1019,CALC!$R$1)&amp;"")),"")&lt;&gt;"ENCERRADA"),1,0),0)</f>
        <v/>
      </c>
      <c r="B1019">
        <f>B1018+A1019</f>
        <v/>
      </c>
    </row>
    <row r="1020">
      <c r="A1020">
        <f>IFERROR(IF(AND(INDEX(BASELINE!$A1020:$ZZ1020,CALC!$H$1)&lt;&gt;"",INT(IF(AND(CALC!$F$1&gt;0,N(INDEX(BASELINE!$A1020:$ZZ1020,CALC!$F$1))&gt;0),N(INDEX(BASELINE!$A1020:$ZZ1020,CALC!$F$1)),N(INDEX(BASELINE!$A1020:$ZZ1020,CALC!$P$1))))=INT(SIMOPS!$D$3),IFERROR(UPPER(TRIM(INDEX(BASELINE!$A1020:$ZZ1020,CALC!$R$1)&amp;"")),"")&lt;&gt;"ENCERRADA"),1,0),0)</f>
        <v/>
      </c>
      <c r="B1020">
        <f>B1019+A1020</f>
        <v/>
      </c>
    </row>
    <row r="1021">
      <c r="A1021">
        <f>IFERROR(IF(AND(INDEX(BASELINE!$A1021:$ZZ1021,CALC!$H$1)&lt;&gt;"",INT(IF(AND(CALC!$F$1&gt;0,N(INDEX(BASELINE!$A1021:$ZZ1021,CALC!$F$1))&gt;0),N(INDEX(BASELINE!$A1021:$ZZ1021,CALC!$F$1)),N(INDEX(BASELINE!$A1021:$ZZ1021,CALC!$P$1))))=INT(SIMOPS!$D$3),IFERROR(UPPER(TRIM(INDEX(BASELINE!$A1021:$ZZ1021,CALC!$R$1)&amp;"")),"")&lt;&gt;"ENCERRADA"),1,0),0)</f>
        <v/>
      </c>
      <c r="B1021">
        <f>B1020+A1021</f>
        <v/>
      </c>
    </row>
    <row r="1022">
      <c r="A1022">
        <f>IFERROR(IF(AND(INDEX(BASELINE!$A1022:$ZZ1022,CALC!$H$1)&lt;&gt;"",INT(IF(AND(CALC!$F$1&gt;0,N(INDEX(BASELINE!$A1022:$ZZ1022,CALC!$F$1))&gt;0),N(INDEX(BASELINE!$A1022:$ZZ1022,CALC!$F$1)),N(INDEX(BASELINE!$A1022:$ZZ1022,CALC!$P$1))))=INT(SIMOPS!$D$3),IFERROR(UPPER(TRIM(INDEX(BASELINE!$A1022:$ZZ1022,CALC!$R$1)&amp;"")),"")&lt;&gt;"ENCERRADA"),1,0),0)</f>
        <v/>
      </c>
      <c r="B1022">
        <f>B1021+A1022</f>
        <v/>
      </c>
    </row>
    <row r="1023">
      <c r="A1023">
        <f>IFERROR(IF(AND(INDEX(BASELINE!$A1023:$ZZ1023,CALC!$H$1)&lt;&gt;"",INT(IF(AND(CALC!$F$1&gt;0,N(INDEX(BASELINE!$A1023:$ZZ1023,CALC!$F$1))&gt;0),N(INDEX(BASELINE!$A1023:$ZZ1023,CALC!$F$1)),N(INDEX(BASELINE!$A1023:$ZZ1023,CALC!$P$1))))=INT(SIMOPS!$D$3),IFERROR(UPPER(TRIM(INDEX(BASELINE!$A1023:$ZZ1023,CALC!$R$1)&amp;"")),"")&lt;&gt;"ENCERRADA"),1,0),0)</f>
        <v/>
      </c>
      <c r="B1023">
        <f>B1022+A1023</f>
        <v/>
      </c>
    </row>
    <row r="1024">
      <c r="A1024">
        <f>IFERROR(IF(AND(INDEX(BASELINE!$A1024:$ZZ1024,CALC!$H$1)&lt;&gt;"",INT(IF(AND(CALC!$F$1&gt;0,N(INDEX(BASELINE!$A1024:$ZZ1024,CALC!$F$1))&gt;0),N(INDEX(BASELINE!$A1024:$ZZ1024,CALC!$F$1)),N(INDEX(BASELINE!$A1024:$ZZ1024,CALC!$P$1))))=INT(SIMOPS!$D$3),IFERROR(UPPER(TRIM(INDEX(BASELINE!$A1024:$ZZ1024,CALC!$R$1)&amp;"")),"")&lt;&gt;"ENCERRADA"),1,0),0)</f>
        <v/>
      </c>
      <c r="B1024">
        <f>B1023+A1024</f>
        <v/>
      </c>
    </row>
    <row r="1025">
      <c r="A1025">
        <f>IFERROR(IF(AND(INDEX(BASELINE!$A1025:$ZZ1025,CALC!$H$1)&lt;&gt;"",INT(IF(AND(CALC!$F$1&gt;0,N(INDEX(BASELINE!$A1025:$ZZ1025,CALC!$F$1))&gt;0),N(INDEX(BASELINE!$A1025:$ZZ1025,CALC!$F$1)),N(INDEX(BASELINE!$A1025:$ZZ1025,CALC!$P$1))))=INT(SIMOPS!$D$3),IFERROR(UPPER(TRIM(INDEX(BASELINE!$A1025:$ZZ1025,CALC!$R$1)&amp;"")),"")&lt;&gt;"ENCERRADA"),1,0),0)</f>
        <v/>
      </c>
      <c r="B1025">
        <f>B1024+A1025</f>
        <v/>
      </c>
    </row>
    <row r="1026">
      <c r="A1026">
        <f>IFERROR(IF(AND(INDEX(BASELINE!$A1026:$ZZ1026,CALC!$H$1)&lt;&gt;"",INT(IF(AND(CALC!$F$1&gt;0,N(INDEX(BASELINE!$A1026:$ZZ1026,CALC!$F$1))&gt;0),N(INDEX(BASELINE!$A1026:$ZZ1026,CALC!$F$1)),N(INDEX(BASELINE!$A1026:$ZZ1026,CALC!$P$1))))=INT(SIMOPS!$D$3),IFERROR(UPPER(TRIM(INDEX(BASELINE!$A1026:$ZZ1026,CALC!$R$1)&amp;"")),"")&lt;&gt;"ENCERRADA"),1,0),0)</f>
        <v/>
      </c>
      <c r="B1026">
        <f>B1025+A1026</f>
        <v/>
      </c>
    </row>
    <row r="1027">
      <c r="A1027">
        <f>IFERROR(IF(AND(INDEX(BASELINE!$A1027:$ZZ1027,CALC!$H$1)&lt;&gt;"",INT(IF(AND(CALC!$F$1&gt;0,N(INDEX(BASELINE!$A1027:$ZZ1027,CALC!$F$1))&gt;0),N(INDEX(BASELINE!$A1027:$ZZ1027,CALC!$F$1)),N(INDEX(BASELINE!$A1027:$ZZ1027,CALC!$P$1))))=INT(SIMOPS!$D$3),IFERROR(UPPER(TRIM(INDEX(BASELINE!$A1027:$ZZ1027,CALC!$R$1)&amp;"")),"")&lt;&gt;"ENCERRADA"),1,0),0)</f>
        <v/>
      </c>
      <c r="B1027">
        <f>B1026+A1027</f>
        <v/>
      </c>
    </row>
    <row r="1028">
      <c r="A1028">
        <f>IFERROR(IF(AND(INDEX(BASELINE!$A1028:$ZZ1028,CALC!$H$1)&lt;&gt;"",INT(IF(AND(CALC!$F$1&gt;0,N(INDEX(BASELINE!$A1028:$ZZ1028,CALC!$F$1))&gt;0),N(INDEX(BASELINE!$A1028:$ZZ1028,CALC!$F$1)),N(INDEX(BASELINE!$A1028:$ZZ1028,CALC!$P$1))))=INT(SIMOPS!$D$3),IFERROR(UPPER(TRIM(INDEX(BASELINE!$A1028:$ZZ1028,CALC!$R$1)&amp;"")),"")&lt;&gt;"ENCERRADA"),1,0),0)</f>
        <v/>
      </c>
      <c r="B1028">
        <f>B1027+A1028</f>
        <v/>
      </c>
    </row>
    <row r="1029">
      <c r="A1029">
        <f>IFERROR(IF(AND(INDEX(BASELINE!$A1029:$ZZ1029,CALC!$H$1)&lt;&gt;"",INT(IF(AND(CALC!$F$1&gt;0,N(INDEX(BASELINE!$A1029:$ZZ1029,CALC!$F$1))&gt;0),N(INDEX(BASELINE!$A1029:$ZZ1029,CALC!$F$1)),N(INDEX(BASELINE!$A1029:$ZZ1029,CALC!$P$1))))=INT(SIMOPS!$D$3),IFERROR(UPPER(TRIM(INDEX(BASELINE!$A1029:$ZZ1029,CALC!$R$1)&amp;"")),"")&lt;&gt;"ENCERRADA"),1,0),0)</f>
        <v/>
      </c>
      <c r="B1029">
        <f>B1028+A1029</f>
        <v/>
      </c>
    </row>
    <row r="1030">
      <c r="A1030">
        <f>IFERROR(IF(AND(INDEX(BASELINE!$A1030:$ZZ1030,CALC!$H$1)&lt;&gt;"",INT(IF(AND(CALC!$F$1&gt;0,N(INDEX(BASELINE!$A1030:$ZZ1030,CALC!$F$1))&gt;0),N(INDEX(BASELINE!$A1030:$ZZ1030,CALC!$F$1)),N(INDEX(BASELINE!$A1030:$ZZ1030,CALC!$P$1))))=INT(SIMOPS!$D$3),IFERROR(UPPER(TRIM(INDEX(BASELINE!$A1030:$ZZ1030,CALC!$R$1)&amp;"")),"")&lt;&gt;"ENCERRADA"),1,0),0)</f>
        <v/>
      </c>
      <c r="B1030">
        <f>B1029+A1030</f>
        <v/>
      </c>
    </row>
    <row r="1031">
      <c r="A1031">
        <f>IFERROR(IF(AND(INDEX(BASELINE!$A1031:$ZZ1031,CALC!$H$1)&lt;&gt;"",INT(IF(AND(CALC!$F$1&gt;0,N(INDEX(BASELINE!$A1031:$ZZ1031,CALC!$F$1))&gt;0),N(INDEX(BASELINE!$A1031:$ZZ1031,CALC!$F$1)),N(INDEX(BASELINE!$A1031:$ZZ1031,CALC!$P$1))))=INT(SIMOPS!$D$3),IFERROR(UPPER(TRIM(INDEX(BASELINE!$A1031:$ZZ1031,CALC!$R$1)&amp;"")),"")&lt;&gt;"ENCERRADA"),1,0),0)</f>
        <v/>
      </c>
      <c r="B1031">
        <f>B1030+A1031</f>
        <v/>
      </c>
    </row>
    <row r="1032">
      <c r="A1032">
        <f>IFERROR(IF(AND(INDEX(BASELINE!$A1032:$ZZ1032,CALC!$H$1)&lt;&gt;"",INT(IF(AND(CALC!$F$1&gt;0,N(INDEX(BASELINE!$A1032:$ZZ1032,CALC!$F$1))&gt;0),N(INDEX(BASELINE!$A1032:$ZZ1032,CALC!$F$1)),N(INDEX(BASELINE!$A1032:$ZZ1032,CALC!$P$1))))=INT(SIMOPS!$D$3),IFERROR(UPPER(TRIM(INDEX(BASELINE!$A1032:$ZZ1032,CALC!$R$1)&amp;"")),"")&lt;&gt;"ENCERRADA"),1,0),0)</f>
        <v/>
      </c>
      <c r="B1032">
        <f>B1031+A1032</f>
        <v/>
      </c>
    </row>
    <row r="1033">
      <c r="A1033">
        <f>IFERROR(IF(AND(INDEX(BASELINE!$A1033:$ZZ1033,CALC!$H$1)&lt;&gt;"",INT(IF(AND(CALC!$F$1&gt;0,N(INDEX(BASELINE!$A1033:$ZZ1033,CALC!$F$1))&gt;0),N(INDEX(BASELINE!$A1033:$ZZ1033,CALC!$F$1)),N(INDEX(BASELINE!$A1033:$ZZ1033,CALC!$P$1))))=INT(SIMOPS!$D$3),IFERROR(UPPER(TRIM(INDEX(BASELINE!$A1033:$ZZ1033,CALC!$R$1)&amp;"")),"")&lt;&gt;"ENCERRADA"),1,0),0)</f>
        <v/>
      </c>
      <c r="B1033">
        <f>B1032+A1033</f>
        <v/>
      </c>
    </row>
    <row r="1034">
      <c r="A1034">
        <f>IFERROR(IF(AND(INDEX(BASELINE!$A1034:$ZZ1034,CALC!$H$1)&lt;&gt;"",INT(IF(AND(CALC!$F$1&gt;0,N(INDEX(BASELINE!$A1034:$ZZ1034,CALC!$F$1))&gt;0),N(INDEX(BASELINE!$A1034:$ZZ1034,CALC!$F$1)),N(INDEX(BASELINE!$A1034:$ZZ1034,CALC!$P$1))))=INT(SIMOPS!$D$3),IFERROR(UPPER(TRIM(INDEX(BASELINE!$A1034:$ZZ1034,CALC!$R$1)&amp;"")),"")&lt;&gt;"ENCERRADA"),1,0),0)</f>
        <v/>
      </c>
      <c r="B1034">
        <f>B1033+A1034</f>
        <v/>
      </c>
    </row>
    <row r="1035">
      <c r="A1035">
        <f>IFERROR(IF(AND(INDEX(BASELINE!$A1035:$ZZ1035,CALC!$H$1)&lt;&gt;"",INT(IF(AND(CALC!$F$1&gt;0,N(INDEX(BASELINE!$A1035:$ZZ1035,CALC!$F$1))&gt;0),N(INDEX(BASELINE!$A1035:$ZZ1035,CALC!$F$1)),N(INDEX(BASELINE!$A1035:$ZZ1035,CALC!$P$1))))=INT(SIMOPS!$D$3),IFERROR(UPPER(TRIM(INDEX(BASELINE!$A1035:$ZZ1035,CALC!$R$1)&amp;"")),"")&lt;&gt;"ENCERRADA"),1,0),0)</f>
        <v/>
      </c>
      <c r="B1035">
        <f>B1034+A1035</f>
        <v/>
      </c>
    </row>
    <row r="1036">
      <c r="A1036">
        <f>IFERROR(IF(AND(INDEX(BASELINE!$A1036:$ZZ1036,CALC!$H$1)&lt;&gt;"",INT(IF(AND(CALC!$F$1&gt;0,N(INDEX(BASELINE!$A1036:$ZZ1036,CALC!$F$1))&gt;0),N(INDEX(BASELINE!$A1036:$ZZ1036,CALC!$F$1)),N(INDEX(BASELINE!$A1036:$ZZ1036,CALC!$P$1))))=INT(SIMOPS!$D$3),IFERROR(UPPER(TRIM(INDEX(BASELINE!$A1036:$ZZ1036,CALC!$R$1)&amp;"")),"")&lt;&gt;"ENCERRADA"),1,0),0)</f>
        <v/>
      </c>
      <c r="B1036">
        <f>B1035+A1036</f>
        <v/>
      </c>
    </row>
    <row r="1037">
      <c r="A1037">
        <f>IFERROR(IF(AND(INDEX(BASELINE!$A1037:$ZZ1037,CALC!$H$1)&lt;&gt;"",INT(IF(AND(CALC!$F$1&gt;0,N(INDEX(BASELINE!$A1037:$ZZ1037,CALC!$F$1))&gt;0),N(INDEX(BASELINE!$A1037:$ZZ1037,CALC!$F$1)),N(INDEX(BASELINE!$A1037:$ZZ1037,CALC!$P$1))))=INT(SIMOPS!$D$3),IFERROR(UPPER(TRIM(INDEX(BASELINE!$A1037:$ZZ1037,CALC!$R$1)&amp;"")),"")&lt;&gt;"ENCERRADA"),1,0),0)</f>
        <v/>
      </c>
      <c r="B1037">
        <f>B1036+A1037</f>
        <v/>
      </c>
    </row>
    <row r="1038">
      <c r="A1038">
        <f>IFERROR(IF(AND(INDEX(BASELINE!$A1038:$ZZ1038,CALC!$H$1)&lt;&gt;"",INT(IF(AND(CALC!$F$1&gt;0,N(INDEX(BASELINE!$A1038:$ZZ1038,CALC!$F$1))&gt;0),N(INDEX(BASELINE!$A1038:$ZZ1038,CALC!$F$1)),N(INDEX(BASELINE!$A1038:$ZZ1038,CALC!$P$1))))=INT(SIMOPS!$D$3),IFERROR(UPPER(TRIM(INDEX(BASELINE!$A1038:$ZZ1038,CALC!$R$1)&amp;"")),"")&lt;&gt;"ENCERRADA"),1,0),0)</f>
        <v/>
      </c>
      <c r="B1038">
        <f>B1037+A1038</f>
        <v/>
      </c>
    </row>
    <row r="1039">
      <c r="A1039">
        <f>IFERROR(IF(AND(INDEX(BASELINE!$A1039:$ZZ1039,CALC!$H$1)&lt;&gt;"",INT(IF(AND(CALC!$F$1&gt;0,N(INDEX(BASELINE!$A1039:$ZZ1039,CALC!$F$1))&gt;0),N(INDEX(BASELINE!$A1039:$ZZ1039,CALC!$F$1)),N(INDEX(BASELINE!$A1039:$ZZ1039,CALC!$P$1))))=INT(SIMOPS!$D$3),IFERROR(UPPER(TRIM(INDEX(BASELINE!$A1039:$ZZ1039,CALC!$R$1)&amp;"")),"")&lt;&gt;"ENCERRADA"),1,0),0)</f>
        <v/>
      </c>
      <c r="B1039">
        <f>B1038+A1039</f>
        <v/>
      </c>
    </row>
    <row r="1040">
      <c r="A1040">
        <f>IFERROR(IF(AND(INDEX(BASELINE!$A1040:$ZZ1040,CALC!$H$1)&lt;&gt;"",INT(IF(AND(CALC!$F$1&gt;0,N(INDEX(BASELINE!$A1040:$ZZ1040,CALC!$F$1))&gt;0),N(INDEX(BASELINE!$A1040:$ZZ1040,CALC!$F$1)),N(INDEX(BASELINE!$A1040:$ZZ1040,CALC!$P$1))))=INT(SIMOPS!$D$3),IFERROR(UPPER(TRIM(INDEX(BASELINE!$A1040:$ZZ1040,CALC!$R$1)&amp;"")),"")&lt;&gt;"ENCERRADA"),1,0),0)</f>
        <v/>
      </c>
      <c r="B1040">
        <f>B1039+A1040</f>
        <v/>
      </c>
    </row>
    <row r="1041">
      <c r="A1041">
        <f>IFERROR(IF(AND(INDEX(BASELINE!$A1041:$ZZ1041,CALC!$H$1)&lt;&gt;"",INT(IF(AND(CALC!$F$1&gt;0,N(INDEX(BASELINE!$A1041:$ZZ1041,CALC!$F$1))&gt;0),N(INDEX(BASELINE!$A1041:$ZZ1041,CALC!$F$1)),N(INDEX(BASELINE!$A1041:$ZZ1041,CALC!$P$1))))=INT(SIMOPS!$D$3),IFERROR(UPPER(TRIM(INDEX(BASELINE!$A1041:$ZZ1041,CALC!$R$1)&amp;"")),"")&lt;&gt;"ENCERRADA"),1,0),0)</f>
        <v/>
      </c>
      <c r="B1041">
        <f>B1040+A1041</f>
        <v/>
      </c>
    </row>
    <row r="1042">
      <c r="A1042">
        <f>IFERROR(IF(AND(INDEX(BASELINE!$A1042:$ZZ1042,CALC!$H$1)&lt;&gt;"",INT(IF(AND(CALC!$F$1&gt;0,N(INDEX(BASELINE!$A1042:$ZZ1042,CALC!$F$1))&gt;0),N(INDEX(BASELINE!$A1042:$ZZ1042,CALC!$F$1)),N(INDEX(BASELINE!$A1042:$ZZ1042,CALC!$P$1))))=INT(SIMOPS!$D$3),IFERROR(UPPER(TRIM(INDEX(BASELINE!$A1042:$ZZ1042,CALC!$R$1)&amp;"")),"")&lt;&gt;"ENCERRADA"),1,0),0)</f>
        <v/>
      </c>
      <c r="B1042">
        <f>B1041+A1042</f>
        <v/>
      </c>
    </row>
    <row r="1043">
      <c r="A1043">
        <f>IFERROR(IF(AND(INDEX(BASELINE!$A1043:$ZZ1043,CALC!$H$1)&lt;&gt;"",INT(IF(AND(CALC!$F$1&gt;0,N(INDEX(BASELINE!$A1043:$ZZ1043,CALC!$F$1))&gt;0),N(INDEX(BASELINE!$A1043:$ZZ1043,CALC!$F$1)),N(INDEX(BASELINE!$A1043:$ZZ1043,CALC!$P$1))))=INT(SIMOPS!$D$3),IFERROR(UPPER(TRIM(INDEX(BASELINE!$A1043:$ZZ1043,CALC!$R$1)&amp;"")),"")&lt;&gt;"ENCERRADA"),1,0),0)</f>
        <v/>
      </c>
      <c r="B1043">
        <f>B1042+A1043</f>
        <v/>
      </c>
    </row>
    <row r="1044">
      <c r="A1044">
        <f>IFERROR(IF(AND(INDEX(BASELINE!$A1044:$ZZ1044,CALC!$H$1)&lt;&gt;"",INT(IF(AND(CALC!$F$1&gt;0,N(INDEX(BASELINE!$A1044:$ZZ1044,CALC!$F$1))&gt;0),N(INDEX(BASELINE!$A1044:$ZZ1044,CALC!$F$1)),N(INDEX(BASELINE!$A1044:$ZZ1044,CALC!$P$1))))=INT(SIMOPS!$D$3),IFERROR(UPPER(TRIM(INDEX(BASELINE!$A1044:$ZZ1044,CALC!$R$1)&amp;"")),"")&lt;&gt;"ENCERRADA"),1,0),0)</f>
        <v/>
      </c>
      <c r="B1044">
        <f>B1043+A1044</f>
        <v/>
      </c>
    </row>
    <row r="1045">
      <c r="A1045">
        <f>IFERROR(IF(AND(INDEX(BASELINE!$A1045:$ZZ1045,CALC!$H$1)&lt;&gt;"",INT(IF(AND(CALC!$F$1&gt;0,N(INDEX(BASELINE!$A1045:$ZZ1045,CALC!$F$1))&gt;0),N(INDEX(BASELINE!$A1045:$ZZ1045,CALC!$F$1)),N(INDEX(BASELINE!$A1045:$ZZ1045,CALC!$P$1))))=INT(SIMOPS!$D$3),IFERROR(UPPER(TRIM(INDEX(BASELINE!$A1045:$ZZ1045,CALC!$R$1)&amp;"")),"")&lt;&gt;"ENCERRADA"),1,0),0)</f>
        <v/>
      </c>
      <c r="B1045">
        <f>B1044+A1045</f>
        <v/>
      </c>
    </row>
    <row r="1046">
      <c r="A1046">
        <f>IFERROR(IF(AND(INDEX(BASELINE!$A1046:$ZZ1046,CALC!$H$1)&lt;&gt;"",INT(IF(AND(CALC!$F$1&gt;0,N(INDEX(BASELINE!$A1046:$ZZ1046,CALC!$F$1))&gt;0),N(INDEX(BASELINE!$A1046:$ZZ1046,CALC!$F$1)),N(INDEX(BASELINE!$A1046:$ZZ1046,CALC!$P$1))))=INT(SIMOPS!$D$3),IFERROR(UPPER(TRIM(INDEX(BASELINE!$A1046:$ZZ1046,CALC!$R$1)&amp;"")),"")&lt;&gt;"ENCERRADA"),1,0),0)</f>
        <v/>
      </c>
      <c r="B1046">
        <f>B1045+A1046</f>
        <v/>
      </c>
    </row>
    <row r="1047">
      <c r="A1047">
        <f>IFERROR(IF(AND(INDEX(BASELINE!$A1047:$ZZ1047,CALC!$H$1)&lt;&gt;"",INT(IF(AND(CALC!$F$1&gt;0,N(INDEX(BASELINE!$A1047:$ZZ1047,CALC!$F$1))&gt;0),N(INDEX(BASELINE!$A1047:$ZZ1047,CALC!$F$1)),N(INDEX(BASELINE!$A1047:$ZZ1047,CALC!$P$1))))=INT(SIMOPS!$D$3),IFERROR(UPPER(TRIM(INDEX(BASELINE!$A1047:$ZZ1047,CALC!$R$1)&amp;"")),"")&lt;&gt;"ENCERRADA"),1,0),0)</f>
        <v/>
      </c>
      <c r="B1047">
        <f>B1046+A1047</f>
        <v/>
      </c>
    </row>
    <row r="1048">
      <c r="A1048">
        <f>IFERROR(IF(AND(INDEX(BASELINE!$A1048:$ZZ1048,CALC!$H$1)&lt;&gt;"",INT(IF(AND(CALC!$F$1&gt;0,N(INDEX(BASELINE!$A1048:$ZZ1048,CALC!$F$1))&gt;0),N(INDEX(BASELINE!$A1048:$ZZ1048,CALC!$F$1)),N(INDEX(BASELINE!$A1048:$ZZ1048,CALC!$P$1))))=INT(SIMOPS!$D$3),IFERROR(UPPER(TRIM(INDEX(BASELINE!$A1048:$ZZ1048,CALC!$R$1)&amp;"")),"")&lt;&gt;"ENCERRADA"),1,0),0)</f>
        <v/>
      </c>
      <c r="B1048">
        <f>B1047+A1048</f>
        <v/>
      </c>
    </row>
    <row r="1049">
      <c r="A1049">
        <f>IFERROR(IF(AND(INDEX(BASELINE!$A1049:$ZZ1049,CALC!$H$1)&lt;&gt;"",INT(IF(AND(CALC!$F$1&gt;0,N(INDEX(BASELINE!$A1049:$ZZ1049,CALC!$F$1))&gt;0),N(INDEX(BASELINE!$A1049:$ZZ1049,CALC!$F$1)),N(INDEX(BASELINE!$A1049:$ZZ1049,CALC!$P$1))))=INT(SIMOPS!$D$3),IFERROR(UPPER(TRIM(INDEX(BASELINE!$A1049:$ZZ1049,CALC!$R$1)&amp;"")),"")&lt;&gt;"ENCERRADA"),1,0),0)</f>
        <v/>
      </c>
      <c r="B1049">
        <f>B1048+A1049</f>
        <v/>
      </c>
    </row>
    <row r="1050">
      <c r="A1050">
        <f>IFERROR(IF(AND(INDEX(BASELINE!$A1050:$ZZ1050,CALC!$H$1)&lt;&gt;"",INT(IF(AND(CALC!$F$1&gt;0,N(INDEX(BASELINE!$A1050:$ZZ1050,CALC!$F$1))&gt;0),N(INDEX(BASELINE!$A1050:$ZZ1050,CALC!$F$1)),N(INDEX(BASELINE!$A1050:$ZZ1050,CALC!$P$1))))=INT(SIMOPS!$D$3),IFERROR(UPPER(TRIM(INDEX(BASELINE!$A1050:$ZZ1050,CALC!$R$1)&amp;"")),"")&lt;&gt;"ENCERRADA"),1,0),0)</f>
        <v/>
      </c>
      <c r="B1050">
        <f>B1049+A1050</f>
        <v/>
      </c>
    </row>
    <row r="1051">
      <c r="A1051">
        <f>IFERROR(IF(AND(INDEX(BASELINE!$A1051:$ZZ1051,CALC!$H$1)&lt;&gt;"",INT(IF(AND(CALC!$F$1&gt;0,N(INDEX(BASELINE!$A1051:$ZZ1051,CALC!$F$1))&gt;0),N(INDEX(BASELINE!$A1051:$ZZ1051,CALC!$F$1)),N(INDEX(BASELINE!$A1051:$ZZ1051,CALC!$P$1))))=INT(SIMOPS!$D$3),IFERROR(UPPER(TRIM(INDEX(BASELINE!$A1051:$ZZ1051,CALC!$R$1)&amp;"")),"")&lt;&gt;"ENCERRADA"),1,0),0)</f>
        <v/>
      </c>
      <c r="B1051">
        <f>B1050+A1051</f>
        <v/>
      </c>
    </row>
    <row r="1052">
      <c r="A1052">
        <f>IFERROR(IF(AND(INDEX(BASELINE!$A1052:$ZZ1052,CALC!$H$1)&lt;&gt;"",INT(IF(AND(CALC!$F$1&gt;0,N(INDEX(BASELINE!$A1052:$ZZ1052,CALC!$F$1))&gt;0),N(INDEX(BASELINE!$A1052:$ZZ1052,CALC!$F$1)),N(INDEX(BASELINE!$A1052:$ZZ1052,CALC!$P$1))))=INT(SIMOPS!$D$3),IFERROR(UPPER(TRIM(INDEX(BASELINE!$A1052:$ZZ1052,CALC!$R$1)&amp;"")),"")&lt;&gt;"ENCERRADA"),1,0),0)</f>
        <v/>
      </c>
      <c r="B1052">
        <f>B1051+A1052</f>
        <v/>
      </c>
    </row>
    <row r="1053">
      <c r="A1053">
        <f>IFERROR(IF(AND(INDEX(BASELINE!$A1053:$ZZ1053,CALC!$H$1)&lt;&gt;"",INT(IF(AND(CALC!$F$1&gt;0,N(INDEX(BASELINE!$A1053:$ZZ1053,CALC!$F$1))&gt;0),N(INDEX(BASELINE!$A1053:$ZZ1053,CALC!$F$1)),N(INDEX(BASELINE!$A1053:$ZZ1053,CALC!$P$1))))=INT(SIMOPS!$D$3),IFERROR(UPPER(TRIM(INDEX(BASELINE!$A1053:$ZZ1053,CALC!$R$1)&amp;"")),"")&lt;&gt;"ENCERRADA"),1,0),0)</f>
        <v/>
      </c>
      <c r="B1053">
        <f>B1052+A1053</f>
        <v/>
      </c>
    </row>
    <row r="1054">
      <c r="A1054">
        <f>IFERROR(IF(AND(INDEX(BASELINE!$A1054:$ZZ1054,CALC!$H$1)&lt;&gt;"",INT(IF(AND(CALC!$F$1&gt;0,N(INDEX(BASELINE!$A1054:$ZZ1054,CALC!$F$1))&gt;0),N(INDEX(BASELINE!$A1054:$ZZ1054,CALC!$F$1)),N(INDEX(BASELINE!$A1054:$ZZ1054,CALC!$P$1))))=INT(SIMOPS!$D$3),IFERROR(UPPER(TRIM(INDEX(BASELINE!$A1054:$ZZ1054,CALC!$R$1)&amp;"")),"")&lt;&gt;"ENCERRADA"),1,0),0)</f>
        <v/>
      </c>
      <c r="B1054">
        <f>B1053+A1054</f>
        <v/>
      </c>
    </row>
    <row r="1055">
      <c r="A1055">
        <f>IFERROR(IF(AND(INDEX(BASELINE!$A1055:$ZZ1055,CALC!$H$1)&lt;&gt;"",INT(IF(AND(CALC!$F$1&gt;0,N(INDEX(BASELINE!$A1055:$ZZ1055,CALC!$F$1))&gt;0),N(INDEX(BASELINE!$A1055:$ZZ1055,CALC!$F$1)),N(INDEX(BASELINE!$A1055:$ZZ1055,CALC!$P$1))))=INT(SIMOPS!$D$3),IFERROR(UPPER(TRIM(INDEX(BASELINE!$A1055:$ZZ1055,CALC!$R$1)&amp;"")),"")&lt;&gt;"ENCERRADA"),1,0),0)</f>
        <v/>
      </c>
      <c r="B1055">
        <f>B1054+A1055</f>
        <v/>
      </c>
    </row>
    <row r="1056">
      <c r="A1056">
        <f>IFERROR(IF(AND(INDEX(BASELINE!$A1056:$ZZ1056,CALC!$H$1)&lt;&gt;"",INT(IF(AND(CALC!$F$1&gt;0,N(INDEX(BASELINE!$A1056:$ZZ1056,CALC!$F$1))&gt;0),N(INDEX(BASELINE!$A1056:$ZZ1056,CALC!$F$1)),N(INDEX(BASELINE!$A1056:$ZZ1056,CALC!$P$1))))=INT(SIMOPS!$D$3),IFERROR(UPPER(TRIM(INDEX(BASELINE!$A1056:$ZZ1056,CALC!$R$1)&amp;"")),"")&lt;&gt;"ENCERRADA"),1,0),0)</f>
        <v/>
      </c>
      <c r="B1056">
        <f>B1055+A1056</f>
        <v/>
      </c>
    </row>
    <row r="1057">
      <c r="A1057">
        <f>IFERROR(IF(AND(INDEX(BASELINE!$A1057:$ZZ1057,CALC!$H$1)&lt;&gt;"",INT(IF(AND(CALC!$F$1&gt;0,N(INDEX(BASELINE!$A1057:$ZZ1057,CALC!$F$1))&gt;0),N(INDEX(BASELINE!$A1057:$ZZ1057,CALC!$F$1)),N(INDEX(BASELINE!$A1057:$ZZ1057,CALC!$P$1))))=INT(SIMOPS!$D$3),IFERROR(UPPER(TRIM(INDEX(BASELINE!$A1057:$ZZ1057,CALC!$R$1)&amp;"")),"")&lt;&gt;"ENCERRADA"),1,0),0)</f>
        <v/>
      </c>
      <c r="B1057">
        <f>B1056+A1057</f>
        <v/>
      </c>
    </row>
    <row r="1058">
      <c r="A1058">
        <f>IFERROR(IF(AND(INDEX(BASELINE!$A1058:$ZZ1058,CALC!$H$1)&lt;&gt;"",INT(IF(AND(CALC!$F$1&gt;0,N(INDEX(BASELINE!$A1058:$ZZ1058,CALC!$F$1))&gt;0),N(INDEX(BASELINE!$A1058:$ZZ1058,CALC!$F$1)),N(INDEX(BASELINE!$A1058:$ZZ1058,CALC!$P$1))))=INT(SIMOPS!$D$3),IFERROR(UPPER(TRIM(INDEX(BASELINE!$A1058:$ZZ1058,CALC!$R$1)&amp;"")),"")&lt;&gt;"ENCERRADA"),1,0),0)</f>
        <v/>
      </c>
      <c r="B1058">
        <f>B1057+A1058</f>
        <v/>
      </c>
    </row>
    <row r="1059">
      <c r="A1059">
        <f>IFERROR(IF(AND(INDEX(BASELINE!$A1059:$ZZ1059,CALC!$H$1)&lt;&gt;"",INT(IF(AND(CALC!$F$1&gt;0,N(INDEX(BASELINE!$A1059:$ZZ1059,CALC!$F$1))&gt;0),N(INDEX(BASELINE!$A1059:$ZZ1059,CALC!$F$1)),N(INDEX(BASELINE!$A1059:$ZZ1059,CALC!$P$1))))=INT(SIMOPS!$D$3),IFERROR(UPPER(TRIM(INDEX(BASELINE!$A1059:$ZZ1059,CALC!$R$1)&amp;"")),"")&lt;&gt;"ENCERRADA"),1,0),0)</f>
        <v/>
      </c>
      <c r="B1059">
        <f>B1058+A1059</f>
        <v/>
      </c>
    </row>
    <row r="1060">
      <c r="A1060">
        <f>IFERROR(IF(AND(INDEX(BASELINE!$A1060:$ZZ1060,CALC!$H$1)&lt;&gt;"",INT(IF(AND(CALC!$F$1&gt;0,N(INDEX(BASELINE!$A1060:$ZZ1060,CALC!$F$1))&gt;0),N(INDEX(BASELINE!$A1060:$ZZ1060,CALC!$F$1)),N(INDEX(BASELINE!$A1060:$ZZ1060,CALC!$P$1))))=INT(SIMOPS!$D$3),IFERROR(UPPER(TRIM(INDEX(BASELINE!$A1060:$ZZ1060,CALC!$R$1)&amp;"")),"")&lt;&gt;"ENCERRADA"),1,0),0)</f>
        <v/>
      </c>
      <c r="B1060">
        <f>B1059+A1060</f>
        <v/>
      </c>
    </row>
    <row r="1061">
      <c r="A1061">
        <f>IFERROR(IF(AND(INDEX(BASELINE!$A1061:$ZZ1061,CALC!$H$1)&lt;&gt;"",INT(IF(AND(CALC!$F$1&gt;0,N(INDEX(BASELINE!$A1061:$ZZ1061,CALC!$F$1))&gt;0),N(INDEX(BASELINE!$A1061:$ZZ1061,CALC!$F$1)),N(INDEX(BASELINE!$A1061:$ZZ1061,CALC!$P$1))))=INT(SIMOPS!$D$3),IFERROR(UPPER(TRIM(INDEX(BASELINE!$A1061:$ZZ1061,CALC!$R$1)&amp;"")),"")&lt;&gt;"ENCERRADA"),1,0),0)</f>
        <v/>
      </c>
      <c r="B1061">
        <f>B1060+A1061</f>
        <v/>
      </c>
    </row>
    <row r="1062">
      <c r="A1062">
        <f>IFERROR(IF(AND(INDEX(BASELINE!$A1062:$ZZ1062,CALC!$H$1)&lt;&gt;"",INT(IF(AND(CALC!$F$1&gt;0,N(INDEX(BASELINE!$A1062:$ZZ1062,CALC!$F$1))&gt;0),N(INDEX(BASELINE!$A1062:$ZZ1062,CALC!$F$1)),N(INDEX(BASELINE!$A1062:$ZZ1062,CALC!$P$1))))=INT(SIMOPS!$D$3),IFERROR(UPPER(TRIM(INDEX(BASELINE!$A1062:$ZZ1062,CALC!$R$1)&amp;"")),"")&lt;&gt;"ENCERRADA"),1,0),0)</f>
        <v/>
      </c>
      <c r="B1062">
        <f>B1061+A1062</f>
        <v/>
      </c>
    </row>
    <row r="1063">
      <c r="A1063">
        <f>IFERROR(IF(AND(INDEX(BASELINE!$A1063:$ZZ1063,CALC!$H$1)&lt;&gt;"",INT(IF(AND(CALC!$F$1&gt;0,N(INDEX(BASELINE!$A1063:$ZZ1063,CALC!$F$1))&gt;0),N(INDEX(BASELINE!$A1063:$ZZ1063,CALC!$F$1)),N(INDEX(BASELINE!$A1063:$ZZ1063,CALC!$P$1))))=INT(SIMOPS!$D$3),IFERROR(UPPER(TRIM(INDEX(BASELINE!$A1063:$ZZ1063,CALC!$R$1)&amp;"")),"")&lt;&gt;"ENCERRADA"),1,0),0)</f>
        <v/>
      </c>
      <c r="B1063">
        <f>B1062+A1063</f>
        <v/>
      </c>
    </row>
    <row r="1064">
      <c r="A1064">
        <f>IFERROR(IF(AND(INDEX(BASELINE!$A1064:$ZZ1064,CALC!$H$1)&lt;&gt;"",INT(IF(AND(CALC!$F$1&gt;0,N(INDEX(BASELINE!$A1064:$ZZ1064,CALC!$F$1))&gt;0),N(INDEX(BASELINE!$A1064:$ZZ1064,CALC!$F$1)),N(INDEX(BASELINE!$A1064:$ZZ1064,CALC!$P$1))))=INT(SIMOPS!$D$3),IFERROR(UPPER(TRIM(INDEX(BASELINE!$A1064:$ZZ1064,CALC!$R$1)&amp;"")),"")&lt;&gt;"ENCERRADA"),1,0),0)</f>
        <v/>
      </c>
      <c r="B1064">
        <f>B1063+A1064</f>
        <v/>
      </c>
    </row>
    <row r="1065">
      <c r="A1065">
        <f>IFERROR(IF(AND(INDEX(BASELINE!$A1065:$ZZ1065,CALC!$H$1)&lt;&gt;"",INT(IF(AND(CALC!$F$1&gt;0,N(INDEX(BASELINE!$A1065:$ZZ1065,CALC!$F$1))&gt;0),N(INDEX(BASELINE!$A1065:$ZZ1065,CALC!$F$1)),N(INDEX(BASELINE!$A1065:$ZZ1065,CALC!$P$1))))=INT(SIMOPS!$D$3),IFERROR(UPPER(TRIM(INDEX(BASELINE!$A1065:$ZZ1065,CALC!$R$1)&amp;"")),"")&lt;&gt;"ENCERRADA"),1,0),0)</f>
        <v/>
      </c>
      <c r="B1065">
        <f>B1064+A1065</f>
        <v/>
      </c>
    </row>
    <row r="1066">
      <c r="A1066">
        <f>IFERROR(IF(AND(INDEX(BASELINE!$A1066:$ZZ1066,CALC!$H$1)&lt;&gt;"",INT(IF(AND(CALC!$F$1&gt;0,N(INDEX(BASELINE!$A1066:$ZZ1066,CALC!$F$1))&gt;0),N(INDEX(BASELINE!$A1066:$ZZ1066,CALC!$F$1)),N(INDEX(BASELINE!$A1066:$ZZ1066,CALC!$P$1))))=INT(SIMOPS!$D$3),IFERROR(UPPER(TRIM(INDEX(BASELINE!$A1066:$ZZ1066,CALC!$R$1)&amp;"")),"")&lt;&gt;"ENCERRADA"),1,0),0)</f>
        <v/>
      </c>
      <c r="B1066">
        <f>B1065+A1066</f>
        <v/>
      </c>
    </row>
    <row r="1067">
      <c r="A1067">
        <f>IFERROR(IF(AND(INDEX(BASELINE!$A1067:$ZZ1067,CALC!$H$1)&lt;&gt;"",INT(IF(AND(CALC!$F$1&gt;0,N(INDEX(BASELINE!$A1067:$ZZ1067,CALC!$F$1))&gt;0),N(INDEX(BASELINE!$A1067:$ZZ1067,CALC!$F$1)),N(INDEX(BASELINE!$A1067:$ZZ1067,CALC!$P$1))))=INT(SIMOPS!$D$3),IFERROR(UPPER(TRIM(INDEX(BASELINE!$A1067:$ZZ1067,CALC!$R$1)&amp;"")),"")&lt;&gt;"ENCERRADA"),1,0),0)</f>
        <v/>
      </c>
      <c r="B1067">
        <f>B1066+A1067</f>
        <v/>
      </c>
    </row>
    <row r="1068">
      <c r="A1068">
        <f>IFERROR(IF(AND(INDEX(BASELINE!$A1068:$ZZ1068,CALC!$H$1)&lt;&gt;"",INT(IF(AND(CALC!$F$1&gt;0,N(INDEX(BASELINE!$A1068:$ZZ1068,CALC!$F$1))&gt;0),N(INDEX(BASELINE!$A1068:$ZZ1068,CALC!$F$1)),N(INDEX(BASELINE!$A1068:$ZZ1068,CALC!$P$1))))=INT(SIMOPS!$D$3),IFERROR(UPPER(TRIM(INDEX(BASELINE!$A1068:$ZZ1068,CALC!$R$1)&amp;"")),"")&lt;&gt;"ENCERRADA"),1,0),0)</f>
        <v/>
      </c>
      <c r="B1068">
        <f>B1067+A1068</f>
        <v/>
      </c>
    </row>
    <row r="1069">
      <c r="A1069">
        <f>IFERROR(IF(AND(INDEX(BASELINE!$A1069:$ZZ1069,CALC!$H$1)&lt;&gt;"",INT(IF(AND(CALC!$F$1&gt;0,N(INDEX(BASELINE!$A1069:$ZZ1069,CALC!$F$1))&gt;0),N(INDEX(BASELINE!$A1069:$ZZ1069,CALC!$F$1)),N(INDEX(BASELINE!$A1069:$ZZ1069,CALC!$P$1))))=INT(SIMOPS!$D$3),IFERROR(UPPER(TRIM(INDEX(BASELINE!$A1069:$ZZ1069,CALC!$R$1)&amp;"")),"")&lt;&gt;"ENCERRADA"),1,0),0)</f>
        <v/>
      </c>
      <c r="B1069">
        <f>B1068+A1069</f>
        <v/>
      </c>
    </row>
    <row r="1070">
      <c r="A1070">
        <f>IFERROR(IF(AND(INDEX(BASELINE!$A1070:$ZZ1070,CALC!$H$1)&lt;&gt;"",INT(IF(AND(CALC!$F$1&gt;0,N(INDEX(BASELINE!$A1070:$ZZ1070,CALC!$F$1))&gt;0),N(INDEX(BASELINE!$A1070:$ZZ1070,CALC!$F$1)),N(INDEX(BASELINE!$A1070:$ZZ1070,CALC!$P$1))))=INT(SIMOPS!$D$3),IFERROR(UPPER(TRIM(INDEX(BASELINE!$A1070:$ZZ1070,CALC!$R$1)&amp;"")),"")&lt;&gt;"ENCERRADA"),1,0),0)</f>
        <v/>
      </c>
      <c r="B1070">
        <f>B1069+A1070</f>
        <v/>
      </c>
    </row>
    <row r="1071">
      <c r="A1071">
        <f>IFERROR(IF(AND(INDEX(BASELINE!$A1071:$ZZ1071,CALC!$H$1)&lt;&gt;"",INT(IF(AND(CALC!$F$1&gt;0,N(INDEX(BASELINE!$A1071:$ZZ1071,CALC!$F$1))&gt;0),N(INDEX(BASELINE!$A1071:$ZZ1071,CALC!$F$1)),N(INDEX(BASELINE!$A1071:$ZZ1071,CALC!$P$1))))=INT(SIMOPS!$D$3),IFERROR(UPPER(TRIM(INDEX(BASELINE!$A1071:$ZZ1071,CALC!$R$1)&amp;"")),"")&lt;&gt;"ENCERRADA"),1,0),0)</f>
        <v/>
      </c>
      <c r="B1071">
        <f>B1070+A1071</f>
        <v/>
      </c>
    </row>
    <row r="1072">
      <c r="A1072">
        <f>IFERROR(IF(AND(INDEX(BASELINE!$A1072:$ZZ1072,CALC!$H$1)&lt;&gt;"",INT(IF(AND(CALC!$F$1&gt;0,N(INDEX(BASELINE!$A1072:$ZZ1072,CALC!$F$1))&gt;0),N(INDEX(BASELINE!$A1072:$ZZ1072,CALC!$F$1)),N(INDEX(BASELINE!$A1072:$ZZ1072,CALC!$P$1))))=INT(SIMOPS!$D$3),IFERROR(UPPER(TRIM(INDEX(BASELINE!$A1072:$ZZ1072,CALC!$R$1)&amp;"")),"")&lt;&gt;"ENCERRADA"),1,0),0)</f>
        <v/>
      </c>
      <c r="B1072">
        <f>B1071+A1072</f>
        <v/>
      </c>
    </row>
    <row r="1073">
      <c r="A1073">
        <f>IFERROR(IF(AND(INDEX(BASELINE!$A1073:$ZZ1073,CALC!$H$1)&lt;&gt;"",INT(IF(AND(CALC!$F$1&gt;0,N(INDEX(BASELINE!$A1073:$ZZ1073,CALC!$F$1))&gt;0),N(INDEX(BASELINE!$A1073:$ZZ1073,CALC!$F$1)),N(INDEX(BASELINE!$A1073:$ZZ1073,CALC!$P$1))))=INT(SIMOPS!$D$3),IFERROR(UPPER(TRIM(INDEX(BASELINE!$A1073:$ZZ1073,CALC!$R$1)&amp;"")),"")&lt;&gt;"ENCERRADA"),1,0),0)</f>
        <v/>
      </c>
      <c r="B1073">
        <f>B1072+A1073</f>
        <v/>
      </c>
    </row>
    <row r="1074">
      <c r="A1074">
        <f>IFERROR(IF(AND(INDEX(BASELINE!$A1074:$ZZ1074,CALC!$H$1)&lt;&gt;"",INT(IF(AND(CALC!$F$1&gt;0,N(INDEX(BASELINE!$A1074:$ZZ1074,CALC!$F$1))&gt;0),N(INDEX(BASELINE!$A1074:$ZZ1074,CALC!$F$1)),N(INDEX(BASELINE!$A1074:$ZZ1074,CALC!$P$1))))=INT(SIMOPS!$D$3),IFERROR(UPPER(TRIM(INDEX(BASELINE!$A1074:$ZZ1074,CALC!$R$1)&amp;"")),"")&lt;&gt;"ENCERRADA"),1,0),0)</f>
        <v/>
      </c>
      <c r="B1074">
        <f>B1073+A1074</f>
        <v/>
      </c>
    </row>
    <row r="1075">
      <c r="A1075">
        <f>IFERROR(IF(AND(INDEX(BASELINE!$A1075:$ZZ1075,CALC!$H$1)&lt;&gt;"",INT(IF(AND(CALC!$F$1&gt;0,N(INDEX(BASELINE!$A1075:$ZZ1075,CALC!$F$1))&gt;0),N(INDEX(BASELINE!$A1075:$ZZ1075,CALC!$F$1)),N(INDEX(BASELINE!$A1075:$ZZ1075,CALC!$P$1))))=INT(SIMOPS!$D$3),IFERROR(UPPER(TRIM(INDEX(BASELINE!$A1075:$ZZ1075,CALC!$R$1)&amp;"")),"")&lt;&gt;"ENCERRADA"),1,0),0)</f>
        <v/>
      </c>
      <c r="B1075">
        <f>B1074+A1075</f>
        <v/>
      </c>
    </row>
    <row r="1076">
      <c r="A1076">
        <f>IFERROR(IF(AND(INDEX(BASELINE!$A1076:$ZZ1076,CALC!$H$1)&lt;&gt;"",INT(IF(AND(CALC!$F$1&gt;0,N(INDEX(BASELINE!$A1076:$ZZ1076,CALC!$F$1))&gt;0),N(INDEX(BASELINE!$A1076:$ZZ1076,CALC!$F$1)),N(INDEX(BASELINE!$A1076:$ZZ1076,CALC!$P$1))))=INT(SIMOPS!$D$3),IFERROR(UPPER(TRIM(INDEX(BASELINE!$A1076:$ZZ1076,CALC!$R$1)&amp;"")),"")&lt;&gt;"ENCERRADA"),1,0),0)</f>
        <v/>
      </c>
      <c r="B1076">
        <f>B1075+A1076</f>
        <v/>
      </c>
    </row>
    <row r="1077">
      <c r="A1077">
        <f>IFERROR(IF(AND(INDEX(BASELINE!$A1077:$ZZ1077,CALC!$H$1)&lt;&gt;"",INT(IF(AND(CALC!$F$1&gt;0,N(INDEX(BASELINE!$A1077:$ZZ1077,CALC!$F$1))&gt;0),N(INDEX(BASELINE!$A1077:$ZZ1077,CALC!$F$1)),N(INDEX(BASELINE!$A1077:$ZZ1077,CALC!$P$1))))=INT(SIMOPS!$D$3),IFERROR(UPPER(TRIM(INDEX(BASELINE!$A1077:$ZZ1077,CALC!$R$1)&amp;"")),"")&lt;&gt;"ENCERRADA"),1,0),0)</f>
        <v/>
      </c>
      <c r="B1077">
        <f>B1076+A1077</f>
        <v/>
      </c>
    </row>
    <row r="1078">
      <c r="A1078">
        <f>IFERROR(IF(AND(INDEX(BASELINE!$A1078:$ZZ1078,CALC!$H$1)&lt;&gt;"",INT(IF(AND(CALC!$F$1&gt;0,N(INDEX(BASELINE!$A1078:$ZZ1078,CALC!$F$1))&gt;0),N(INDEX(BASELINE!$A1078:$ZZ1078,CALC!$F$1)),N(INDEX(BASELINE!$A1078:$ZZ1078,CALC!$P$1))))=INT(SIMOPS!$D$3),IFERROR(UPPER(TRIM(INDEX(BASELINE!$A1078:$ZZ1078,CALC!$R$1)&amp;"")),"")&lt;&gt;"ENCERRADA"),1,0),0)</f>
        <v/>
      </c>
      <c r="B1078">
        <f>B1077+A1078</f>
        <v/>
      </c>
    </row>
    <row r="1079">
      <c r="A1079">
        <f>IFERROR(IF(AND(INDEX(BASELINE!$A1079:$ZZ1079,CALC!$H$1)&lt;&gt;"",INT(IF(AND(CALC!$F$1&gt;0,N(INDEX(BASELINE!$A1079:$ZZ1079,CALC!$F$1))&gt;0),N(INDEX(BASELINE!$A1079:$ZZ1079,CALC!$F$1)),N(INDEX(BASELINE!$A1079:$ZZ1079,CALC!$P$1))))=INT(SIMOPS!$D$3),IFERROR(UPPER(TRIM(INDEX(BASELINE!$A1079:$ZZ1079,CALC!$R$1)&amp;"")),"")&lt;&gt;"ENCERRADA"),1,0),0)</f>
        <v/>
      </c>
      <c r="B1079">
        <f>B1078+A1079</f>
        <v/>
      </c>
    </row>
    <row r="1080">
      <c r="A1080">
        <f>IFERROR(IF(AND(INDEX(BASELINE!$A1080:$ZZ1080,CALC!$H$1)&lt;&gt;"",INT(IF(AND(CALC!$F$1&gt;0,N(INDEX(BASELINE!$A1080:$ZZ1080,CALC!$F$1))&gt;0),N(INDEX(BASELINE!$A1080:$ZZ1080,CALC!$F$1)),N(INDEX(BASELINE!$A1080:$ZZ1080,CALC!$P$1))))=INT(SIMOPS!$D$3),IFERROR(UPPER(TRIM(INDEX(BASELINE!$A1080:$ZZ1080,CALC!$R$1)&amp;"")),"")&lt;&gt;"ENCERRADA"),1,0),0)</f>
        <v/>
      </c>
      <c r="B1080">
        <f>B1079+A1080</f>
        <v/>
      </c>
    </row>
    <row r="1081">
      <c r="A1081">
        <f>IFERROR(IF(AND(INDEX(BASELINE!$A1081:$ZZ1081,CALC!$H$1)&lt;&gt;"",INT(IF(AND(CALC!$F$1&gt;0,N(INDEX(BASELINE!$A1081:$ZZ1081,CALC!$F$1))&gt;0),N(INDEX(BASELINE!$A1081:$ZZ1081,CALC!$F$1)),N(INDEX(BASELINE!$A1081:$ZZ1081,CALC!$P$1))))=INT(SIMOPS!$D$3),IFERROR(UPPER(TRIM(INDEX(BASELINE!$A1081:$ZZ1081,CALC!$R$1)&amp;"")),"")&lt;&gt;"ENCERRADA"),1,0),0)</f>
        <v/>
      </c>
      <c r="B1081">
        <f>B1080+A1081</f>
        <v/>
      </c>
    </row>
    <row r="1082">
      <c r="A1082">
        <f>IFERROR(IF(AND(INDEX(BASELINE!$A1082:$ZZ1082,CALC!$H$1)&lt;&gt;"",INT(IF(AND(CALC!$F$1&gt;0,N(INDEX(BASELINE!$A1082:$ZZ1082,CALC!$F$1))&gt;0),N(INDEX(BASELINE!$A1082:$ZZ1082,CALC!$F$1)),N(INDEX(BASELINE!$A1082:$ZZ1082,CALC!$P$1))))=INT(SIMOPS!$D$3),IFERROR(UPPER(TRIM(INDEX(BASELINE!$A1082:$ZZ1082,CALC!$R$1)&amp;"")),"")&lt;&gt;"ENCERRADA"),1,0),0)</f>
        <v/>
      </c>
      <c r="B1082">
        <f>B1081+A1082</f>
        <v/>
      </c>
    </row>
    <row r="1083">
      <c r="A1083">
        <f>IFERROR(IF(AND(INDEX(BASELINE!$A1083:$ZZ1083,CALC!$H$1)&lt;&gt;"",INT(IF(AND(CALC!$F$1&gt;0,N(INDEX(BASELINE!$A1083:$ZZ1083,CALC!$F$1))&gt;0),N(INDEX(BASELINE!$A1083:$ZZ1083,CALC!$F$1)),N(INDEX(BASELINE!$A1083:$ZZ1083,CALC!$P$1))))=INT(SIMOPS!$D$3),IFERROR(UPPER(TRIM(INDEX(BASELINE!$A1083:$ZZ1083,CALC!$R$1)&amp;"")),"")&lt;&gt;"ENCERRADA"),1,0),0)</f>
        <v/>
      </c>
      <c r="B1083">
        <f>B1082+A1083</f>
        <v/>
      </c>
    </row>
    <row r="1084">
      <c r="A1084">
        <f>IFERROR(IF(AND(INDEX(BASELINE!$A1084:$ZZ1084,CALC!$H$1)&lt;&gt;"",INT(IF(AND(CALC!$F$1&gt;0,N(INDEX(BASELINE!$A1084:$ZZ1084,CALC!$F$1))&gt;0),N(INDEX(BASELINE!$A1084:$ZZ1084,CALC!$F$1)),N(INDEX(BASELINE!$A1084:$ZZ1084,CALC!$P$1))))=INT(SIMOPS!$D$3),IFERROR(UPPER(TRIM(INDEX(BASELINE!$A1084:$ZZ1084,CALC!$R$1)&amp;"")),"")&lt;&gt;"ENCERRADA"),1,0),0)</f>
        <v/>
      </c>
      <c r="B1084">
        <f>B1083+A1084</f>
        <v/>
      </c>
    </row>
    <row r="1085">
      <c r="A1085">
        <f>IFERROR(IF(AND(INDEX(BASELINE!$A1085:$ZZ1085,CALC!$H$1)&lt;&gt;"",INT(IF(AND(CALC!$F$1&gt;0,N(INDEX(BASELINE!$A1085:$ZZ1085,CALC!$F$1))&gt;0),N(INDEX(BASELINE!$A1085:$ZZ1085,CALC!$F$1)),N(INDEX(BASELINE!$A1085:$ZZ1085,CALC!$P$1))))=INT(SIMOPS!$D$3),IFERROR(UPPER(TRIM(INDEX(BASELINE!$A1085:$ZZ1085,CALC!$R$1)&amp;"")),"")&lt;&gt;"ENCERRADA"),1,0),0)</f>
        <v/>
      </c>
      <c r="B1085">
        <f>B1084+A1085</f>
        <v/>
      </c>
    </row>
    <row r="1086">
      <c r="A1086">
        <f>IFERROR(IF(AND(INDEX(BASELINE!$A1086:$ZZ1086,CALC!$H$1)&lt;&gt;"",INT(IF(AND(CALC!$F$1&gt;0,N(INDEX(BASELINE!$A1086:$ZZ1086,CALC!$F$1))&gt;0),N(INDEX(BASELINE!$A1086:$ZZ1086,CALC!$F$1)),N(INDEX(BASELINE!$A1086:$ZZ1086,CALC!$P$1))))=INT(SIMOPS!$D$3),IFERROR(UPPER(TRIM(INDEX(BASELINE!$A1086:$ZZ1086,CALC!$R$1)&amp;"")),"")&lt;&gt;"ENCERRADA"),1,0),0)</f>
        <v/>
      </c>
      <c r="B1086">
        <f>B1085+A1086</f>
        <v/>
      </c>
    </row>
    <row r="1087">
      <c r="A1087">
        <f>IFERROR(IF(AND(INDEX(BASELINE!$A1087:$ZZ1087,CALC!$H$1)&lt;&gt;"",INT(IF(AND(CALC!$F$1&gt;0,N(INDEX(BASELINE!$A1087:$ZZ1087,CALC!$F$1))&gt;0),N(INDEX(BASELINE!$A1087:$ZZ1087,CALC!$F$1)),N(INDEX(BASELINE!$A1087:$ZZ1087,CALC!$P$1))))=INT(SIMOPS!$D$3),IFERROR(UPPER(TRIM(INDEX(BASELINE!$A1087:$ZZ1087,CALC!$R$1)&amp;"")),"")&lt;&gt;"ENCERRADA"),1,0),0)</f>
        <v/>
      </c>
      <c r="B1087">
        <f>B1086+A1087</f>
        <v/>
      </c>
    </row>
    <row r="1088">
      <c r="A1088">
        <f>IFERROR(IF(AND(INDEX(BASELINE!$A1088:$ZZ1088,CALC!$H$1)&lt;&gt;"",INT(IF(AND(CALC!$F$1&gt;0,N(INDEX(BASELINE!$A1088:$ZZ1088,CALC!$F$1))&gt;0),N(INDEX(BASELINE!$A1088:$ZZ1088,CALC!$F$1)),N(INDEX(BASELINE!$A1088:$ZZ1088,CALC!$P$1))))=INT(SIMOPS!$D$3),IFERROR(UPPER(TRIM(INDEX(BASELINE!$A1088:$ZZ1088,CALC!$R$1)&amp;"")),"")&lt;&gt;"ENCERRADA"),1,0),0)</f>
        <v/>
      </c>
      <c r="B1088">
        <f>B1087+A1088</f>
        <v/>
      </c>
    </row>
    <row r="1089">
      <c r="A1089">
        <f>IFERROR(IF(AND(INDEX(BASELINE!$A1089:$ZZ1089,CALC!$H$1)&lt;&gt;"",INT(IF(AND(CALC!$F$1&gt;0,N(INDEX(BASELINE!$A1089:$ZZ1089,CALC!$F$1))&gt;0),N(INDEX(BASELINE!$A1089:$ZZ1089,CALC!$F$1)),N(INDEX(BASELINE!$A1089:$ZZ1089,CALC!$P$1))))=INT(SIMOPS!$D$3),IFERROR(UPPER(TRIM(INDEX(BASELINE!$A1089:$ZZ1089,CALC!$R$1)&amp;"")),"")&lt;&gt;"ENCERRADA"),1,0),0)</f>
        <v/>
      </c>
      <c r="B1089">
        <f>B1088+A1089</f>
        <v/>
      </c>
    </row>
    <row r="1090">
      <c r="A1090">
        <f>IFERROR(IF(AND(INDEX(BASELINE!$A1090:$ZZ1090,CALC!$H$1)&lt;&gt;"",INT(IF(AND(CALC!$F$1&gt;0,N(INDEX(BASELINE!$A1090:$ZZ1090,CALC!$F$1))&gt;0),N(INDEX(BASELINE!$A1090:$ZZ1090,CALC!$F$1)),N(INDEX(BASELINE!$A1090:$ZZ1090,CALC!$P$1))))=INT(SIMOPS!$D$3),IFERROR(UPPER(TRIM(INDEX(BASELINE!$A1090:$ZZ1090,CALC!$R$1)&amp;"")),"")&lt;&gt;"ENCERRADA"),1,0),0)</f>
        <v/>
      </c>
      <c r="B1090">
        <f>B1089+A1090</f>
        <v/>
      </c>
    </row>
    <row r="1091">
      <c r="A1091">
        <f>IFERROR(IF(AND(INDEX(BASELINE!$A1091:$ZZ1091,CALC!$H$1)&lt;&gt;"",INT(IF(AND(CALC!$F$1&gt;0,N(INDEX(BASELINE!$A1091:$ZZ1091,CALC!$F$1))&gt;0),N(INDEX(BASELINE!$A1091:$ZZ1091,CALC!$F$1)),N(INDEX(BASELINE!$A1091:$ZZ1091,CALC!$P$1))))=INT(SIMOPS!$D$3),IFERROR(UPPER(TRIM(INDEX(BASELINE!$A1091:$ZZ1091,CALC!$R$1)&amp;"")),"")&lt;&gt;"ENCERRADA"),1,0),0)</f>
        <v/>
      </c>
      <c r="B1091">
        <f>B1090+A1091</f>
        <v/>
      </c>
    </row>
    <row r="1092">
      <c r="A1092">
        <f>IFERROR(IF(AND(INDEX(BASELINE!$A1092:$ZZ1092,CALC!$H$1)&lt;&gt;"",INT(IF(AND(CALC!$F$1&gt;0,N(INDEX(BASELINE!$A1092:$ZZ1092,CALC!$F$1))&gt;0),N(INDEX(BASELINE!$A1092:$ZZ1092,CALC!$F$1)),N(INDEX(BASELINE!$A1092:$ZZ1092,CALC!$P$1))))=INT(SIMOPS!$D$3),IFERROR(UPPER(TRIM(INDEX(BASELINE!$A1092:$ZZ1092,CALC!$R$1)&amp;"")),"")&lt;&gt;"ENCERRADA"),1,0),0)</f>
        <v/>
      </c>
      <c r="B1092">
        <f>B1091+A1092</f>
        <v/>
      </c>
    </row>
    <row r="1093">
      <c r="A1093">
        <f>IFERROR(IF(AND(INDEX(BASELINE!$A1093:$ZZ1093,CALC!$H$1)&lt;&gt;"",INT(IF(AND(CALC!$F$1&gt;0,N(INDEX(BASELINE!$A1093:$ZZ1093,CALC!$F$1))&gt;0),N(INDEX(BASELINE!$A1093:$ZZ1093,CALC!$F$1)),N(INDEX(BASELINE!$A1093:$ZZ1093,CALC!$P$1))))=INT(SIMOPS!$D$3),IFERROR(UPPER(TRIM(INDEX(BASELINE!$A1093:$ZZ1093,CALC!$R$1)&amp;"")),"")&lt;&gt;"ENCERRADA"),1,0),0)</f>
        <v/>
      </c>
      <c r="B1093">
        <f>B1092+A1093</f>
        <v/>
      </c>
    </row>
    <row r="1094">
      <c r="A1094">
        <f>IFERROR(IF(AND(INDEX(BASELINE!$A1094:$ZZ1094,CALC!$H$1)&lt;&gt;"",INT(IF(AND(CALC!$F$1&gt;0,N(INDEX(BASELINE!$A1094:$ZZ1094,CALC!$F$1))&gt;0),N(INDEX(BASELINE!$A1094:$ZZ1094,CALC!$F$1)),N(INDEX(BASELINE!$A1094:$ZZ1094,CALC!$P$1))))=INT(SIMOPS!$D$3),IFERROR(UPPER(TRIM(INDEX(BASELINE!$A1094:$ZZ1094,CALC!$R$1)&amp;"")),"")&lt;&gt;"ENCERRADA"),1,0),0)</f>
        <v/>
      </c>
      <c r="B1094">
        <f>B1093+A1094</f>
        <v/>
      </c>
    </row>
    <row r="1095">
      <c r="A1095">
        <f>IFERROR(IF(AND(INDEX(BASELINE!$A1095:$ZZ1095,CALC!$H$1)&lt;&gt;"",INT(IF(AND(CALC!$F$1&gt;0,N(INDEX(BASELINE!$A1095:$ZZ1095,CALC!$F$1))&gt;0),N(INDEX(BASELINE!$A1095:$ZZ1095,CALC!$F$1)),N(INDEX(BASELINE!$A1095:$ZZ1095,CALC!$P$1))))=INT(SIMOPS!$D$3),IFERROR(UPPER(TRIM(INDEX(BASELINE!$A1095:$ZZ1095,CALC!$R$1)&amp;"")),"")&lt;&gt;"ENCERRADA"),1,0),0)</f>
        <v/>
      </c>
      <c r="B1095">
        <f>B1094+A1095</f>
        <v/>
      </c>
    </row>
    <row r="1096">
      <c r="A1096">
        <f>IFERROR(IF(AND(INDEX(BASELINE!$A1096:$ZZ1096,CALC!$H$1)&lt;&gt;"",INT(IF(AND(CALC!$F$1&gt;0,N(INDEX(BASELINE!$A1096:$ZZ1096,CALC!$F$1))&gt;0),N(INDEX(BASELINE!$A1096:$ZZ1096,CALC!$F$1)),N(INDEX(BASELINE!$A1096:$ZZ1096,CALC!$P$1))))=INT(SIMOPS!$D$3),IFERROR(UPPER(TRIM(INDEX(BASELINE!$A1096:$ZZ1096,CALC!$R$1)&amp;"")),"")&lt;&gt;"ENCERRADA"),1,0),0)</f>
        <v/>
      </c>
      <c r="B1096">
        <f>B1095+A1096</f>
        <v/>
      </c>
    </row>
    <row r="1097">
      <c r="A1097">
        <f>IFERROR(IF(AND(INDEX(BASELINE!$A1097:$ZZ1097,CALC!$H$1)&lt;&gt;"",INT(IF(AND(CALC!$F$1&gt;0,N(INDEX(BASELINE!$A1097:$ZZ1097,CALC!$F$1))&gt;0),N(INDEX(BASELINE!$A1097:$ZZ1097,CALC!$F$1)),N(INDEX(BASELINE!$A1097:$ZZ1097,CALC!$P$1))))=INT(SIMOPS!$D$3),IFERROR(UPPER(TRIM(INDEX(BASELINE!$A1097:$ZZ1097,CALC!$R$1)&amp;"")),"")&lt;&gt;"ENCERRADA"),1,0),0)</f>
        <v/>
      </c>
      <c r="B1097">
        <f>B1096+A1097</f>
        <v/>
      </c>
    </row>
    <row r="1098">
      <c r="A1098">
        <f>IFERROR(IF(AND(INDEX(BASELINE!$A1098:$ZZ1098,CALC!$H$1)&lt;&gt;"",INT(IF(AND(CALC!$F$1&gt;0,N(INDEX(BASELINE!$A1098:$ZZ1098,CALC!$F$1))&gt;0),N(INDEX(BASELINE!$A1098:$ZZ1098,CALC!$F$1)),N(INDEX(BASELINE!$A1098:$ZZ1098,CALC!$P$1))))=INT(SIMOPS!$D$3),IFERROR(UPPER(TRIM(INDEX(BASELINE!$A1098:$ZZ1098,CALC!$R$1)&amp;"")),"")&lt;&gt;"ENCERRADA"),1,0),0)</f>
        <v/>
      </c>
      <c r="B1098">
        <f>B1097+A1098</f>
        <v/>
      </c>
    </row>
    <row r="1099">
      <c r="A1099">
        <f>IFERROR(IF(AND(INDEX(BASELINE!$A1099:$ZZ1099,CALC!$H$1)&lt;&gt;"",INT(IF(AND(CALC!$F$1&gt;0,N(INDEX(BASELINE!$A1099:$ZZ1099,CALC!$F$1))&gt;0),N(INDEX(BASELINE!$A1099:$ZZ1099,CALC!$F$1)),N(INDEX(BASELINE!$A1099:$ZZ1099,CALC!$P$1))))=INT(SIMOPS!$D$3),IFERROR(UPPER(TRIM(INDEX(BASELINE!$A1099:$ZZ1099,CALC!$R$1)&amp;"")),"")&lt;&gt;"ENCERRADA"),1,0),0)</f>
        <v/>
      </c>
      <c r="B1099">
        <f>B1098+A1099</f>
        <v/>
      </c>
    </row>
    <row r="1100">
      <c r="A1100">
        <f>IFERROR(IF(AND(INDEX(BASELINE!$A1100:$ZZ1100,CALC!$H$1)&lt;&gt;"",INT(IF(AND(CALC!$F$1&gt;0,N(INDEX(BASELINE!$A1100:$ZZ1100,CALC!$F$1))&gt;0),N(INDEX(BASELINE!$A1100:$ZZ1100,CALC!$F$1)),N(INDEX(BASELINE!$A1100:$ZZ1100,CALC!$P$1))))=INT(SIMOPS!$D$3),IFERROR(UPPER(TRIM(INDEX(BASELINE!$A1100:$ZZ1100,CALC!$R$1)&amp;"")),"")&lt;&gt;"ENCERRADA"),1,0),0)</f>
        <v/>
      </c>
      <c r="B1100">
        <f>B1099+A1100</f>
        <v/>
      </c>
    </row>
    <row r="1101">
      <c r="A1101">
        <f>IFERROR(IF(AND(INDEX(BASELINE!$A1101:$ZZ1101,CALC!$H$1)&lt;&gt;"",INT(IF(AND(CALC!$F$1&gt;0,N(INDEX(BASELINE!$A1101:$ZZ1101,CALC!$F$1))&gt;0),N(INDEX(BASELINE!$A1101:$ZZ1101,CALC!$F$1)),N(INDEX(BASELINE!$A1101:$ZZ1101,CALC!$P$1))))=INT(SIMOPS!$D$3),IFERROR(UPPER(TRIM(INDEX(BASELINE!$A1101:$ZZ1101,CALC!$R$1)&amp;"")),"")&lt;&gt;"ENCERRADA"),1,0),0)</f>
        <v/>
      </c>
      <c r="B1101">
        <f>B1100+A1101</f>
        <v/>
      </c>
    </row>
    <row r="1102">
      <c r="A1102">
        <f>IFERROR(IF(AND(INDEX(BASELINE!$A1102:$ZZ1102,CALC!$H$1)&lt;&gt;"",INT(IF(AND(CALC!$F$1&gt;0,N(INDEX(BASELINE!$A1102:$ZZ1102,CALC!$F$1))&gt;0),N(INDEX(BASELINE!$A1102:$ZZ1102,CALC!$F$1)),N(INDEX(BASELINE!$A1102:$ZZ1102,CALC!$P$1))))=INT(SIMOPS!$D$3),IFERROR(UPPER(TRIM(INDEX(BASELINE!$A1102:$ZZ1102,CALC!$R$1)&amp;"")),"")&lt;&gt;"ENCERRADA"),1,0),0)</f>
        <v/>
      </c>
      <c r="B1102">
        <f>B1101+A1102</f>
        <v/>
      </c>
    </row>
    <row r="1103">
      <c r="A1103">
        <f>IFERROR(IF(AND(INDEX(BASELINE!$A1103:$ZZ1103,CALC!$H$1)&lt;&gt;"",INT(IF(AND(CALC!$F$1&gt;0,N(INDEX(BASELINE!$A1103:$ZZ1103,CALC!$F$1))&gt;0),N(INDEX(BASELINE!$A1103:$ZZ1103,CALC!$F$1)),N(INDEX(BASELINE!$A1103:$ZZ1103,CALC!$P$1))))=INT(SIMOPS!$D$3),IFERROR(UPPER(TRIM(INDEX(BASELINE!$A1103:$ZZ1103,CALC!$R$1)&amp;"")),"")&lt;&gt;"ENCERRADA"),1,0),0)</f>
        <v/>
      </c>
      <c r="B1103">
        <f>B1102+A1103</f>
        <v/>
      </c>
    </row>
    <row r="1104">
      <c r="A1104">
        <f>IFERROR(IF(AND(INDEX(BASELINE!$A1104:$ZZ1104,CALC!$H$1)&lt;&gt;"",INT(IF(AND(CALC!$F$1&gt;0,N(INDEX(BASELINE!$A1104:$ZZ1104,CALC!$F$1))&gt;0),N(INDEX(BASELINE!$A1104:$ZZ1104,CALC!$F$1)),N(INDEX(BASELINE!$A1104:$ZZ1104,CALC!$P$1))))=INT(SIMOPS!$D$3),IFERROR(UPPER(TRIM(INDEX(BASELINE!$A1104:$ZZ1104,CALC!$R$1)&amp;"")),"")&lt;&gt;"ENCERRADA"),1,0),0)</f>
        <v/>
      </c>
      <c r="B1104">
        <f>B1103+A1104</f>
        <v/>
      </c>
    </row>
    <row r="1105">
      <c r="A1105">
        <f>IFERROR(IF(AND(INDEX(BASELINE!$A1105:$ZZ1105,CALC!$H$1)&lt;&gt;"",INT(IF(AND(CALC!$F$1&gt;0,N(INDEX(BASELINE!$A1105:$ZZ1105,CALC!$F$1))&gt;0),N(INDEX(BASELINE!$A1105:$ZZ1105,CALC!$F$1)),N(INDEX(BASELINE!$A1105:$ZZ1105,CALC!$P$1))))=INT(SIMOPS!$D$3),IFERROR(UPPER(TRIM(INDEX(BASELINE!$A1105:$ZZ1105,CALC!$R$1)&amp;"")),"")&lt;&gt;"ENCERRADA"),1,0),0)</f>
        <v/>
      </c>
      <c r="B1105">
        <f>B1104+A1105</f>
        <v/>
      </c>
    </row>
    <row r="1106">
      <c r="A1106">
        <f>IFERROR(IF(AND(INDEX(BASELINE!$A1106:$ZZ1106,CALC!$H$1)&lt;&gt;"",INT(IF(AND(CALC!$F$1&gt;0,N(INDEX(BASELINE!$A1106:$ZZ1106,CALC!$F$1))&gt;0),N(INDEX(BASELINE!$A1106:$ZZ1106,CALC!$F$1)),N(INDEX(BASELINE!$A1106:$ZZ1106,CALC!$P$1))))=INT(SIMOPS!$D$3),IFERROR(UPPER(TRIM(INDEX(BASELINE!$A1106:$ZZ1106,CALC!$R$1)&amp;"")),"")&lt;&gt;"ENCERRADA"),1,0),0)</f>
        <v/>
      </c>
      <c r="B1106">
        <f>B1105+A1106</f>
        <v/>
      </c>
    </row>
    <row r="1107">
      <c r="A1107">
        <f>IFERROR(IF(AND(INDEX(BASELINE!$A1107:$ZZ1107,CALC!$H$1)&lt;&gt;"",INT(IF(AND(CALC!$F$1&gt;0,N(INDEX(BASELINE!$A1107:$ZZ1107,CALC!$F$1))&gt;0),N(INDEX(BASELINE!$A1107:$ZZ1107,CALC!$F$1)),N(INDEX(BASELINE!$A1107:$ZZ1107,CALC!$P$1))))=INT(SIMOPS!$D$3),IFERROR(UPPER(TRIM(INDEX(BASELINE!$A1107:$ZZ1107,CALC!$R$1)&amp;"")),"")&lt;&gt;"ENCERRADA"),1,0),0)</f>
        <v/>
      </c>
      <c r="B1107">
        <f>B1106+A1107</f>
        <v/>
      </c>
    </row>
    <row r="1108">
      <c r="A1108">
        <f>IFERROR(IF(AND(INDEX(BASELINE!$A1108:$ZZ1108,CALC!$H$1)&lt;&gt;"",INT(IF(AND(CALC!$F$1&gt;0,N(INDEX(BASELINE!$A1108:$ZZ1108,CALC!$F$1))&gt;0),N(INDEX(BASELINE!$A1108:$ZZ1108,CALC!$F$1)),N(INDEX(BASELINE!$A1108:$ZZ1108,CALC!$P$1))))=INT(SIMOPS!$D$3),IFERROR(UPPER(TRIM(INDEX(BASELINE!$A1108:$ZZ1108,CALC!$R$1)&amp;"")),"")&lt;&gt;"ENCERRADA"),1,0),0)</f>
        <v/>
      </c>
      <c r="B1108">
        <f>B1107+A1108</f>
        <v/>
      </c>
    </row>
    <row r="1109">
      <c r="A1109">
        <f>IFERROR(IF(AND(INDEX(BASELINE!$A1109:$ZZ1109,CALC!$H$1)&lt;&gt;"",INT(IF(AND(CALC!$F$1&gt;0,N(INDEX(BASELINE!$A1109:$ZZ1109,CALC!$F$1))&gt;0),N(INDEX(BASELINE!$A1109:$ZZ1109,CALC!$F$1)),N(INDEX(BASELINE!$A1109:$ZZ1109,CALC!$P$1))))=INT(SIMOPS!$D$3),IFERROR(UPPER(TRIM(INDEX(BASELINE!$A1109:$ZZ1109,CALC!$R$1)&amp;"")),"")&lt;&gt;"ENCERRADA"),1,0),0)</f>
        <v/>
      </c>
      <c r="B1109">
        <f>B1108+A1109</f>
        <v/>
      </c>
    </row>
    <row r="1110">
      <c r="A1110">
        <f>IFERROR(IF(AND(INDEX(BASELINE!$A1110:$ZZ1110,CALC!$H$1)&lt;&gt;"",INT(IF(AND(CALC!$F$1&gt;0,N(INDEX(BASELINE!$A1110:$ZZ1110,CALC!$F$1))&gt;0),N(INDEX(BASELINE!$A1110:$ZZ1110,CALC!$F$1)),N(INDEX(BASELINE!$A1110:$ZZ1110,CALC!$P$1))))=INT(SIMOPS!$D$3),IFERROR(UPPER(TRIM(INDEX(BASELINE!$A1110:$ZZ1110,CALC!$R$1)&amp;"")),"")&lt;&gt;"ENCERRADA"),1,0),0)</f>
        <v/>
      </c>
      <c r="B1110">
        <f>B1109+A1110</f>
        <v/>
      </c>
    </row>
    <row r="1111">
      <c r="A1111">
        <f>IFERROR(IF(AND(INDEX(BASELINE!$A1111:$ZZ1111,CALC!$H$1)&lt;&gt;"",INT(IF(AND(CALC!$F$1&gt;0,N(INDEX(BASELINE!$A1111:$ZZ1111,CALC!$F$1))&gt;0),N(INDEX(BASELINE!$A1111:$ZZ1111,CALC!$F$1)),N(INDEX(BASELINE!$A1111:$ZZ1111,CALC!$P$1))))=INT(SIMOPS!$D$3),IFERROR(UPPER(TRIM(INDEX(BASELINE!$A1111:$ZZ1111,CALC!$R$1)&amp;"")),"")&lt;&gt;"ENCERRADA"),1,0),0)</f>
        <v/>
      </c>
      <c r="B1111">
        <f>B1110+A1111</f>
        <v/>
      </c>
    </row>
    <row r="1112">
      <c r="A1112">
        <f>IFERROR(IF(AND(INDEX(BASELINE!$A1112:$ZZ1112,CALC!$H$1)&lt;&gt;"",INT(IF(AND(CALC!$F$1&gt;0,N(INDEX(BASELINE!$A1112:$ZZ1112,CALC!$F$1))&gt;0),N(INDEX(BASELINE!$A1112:$ZZ1112,CALC!$F$1)),N(INDEX(BASELINE!$A1112:$ZZ1112,CALC!$P$1))))=INT(SIMOPS!$D$3),IFERROR(UPPER(TRIM(INDEX(BASELINE!$A1112:$ZZ1112,CALC!$R$1)&amp;"")),"")&lt;&gt;"ENCERRADA"),1,0),0)</f>
        <v/>
      </c>
      <c r="B1112">
        <f>B1111+A1112</f>
        <v/>
      </c>
    </row>
    <row r="1113">
      <c r="A1113">
        <f>IFERROR(IF(AND(INDEX(BASELINE!$A1113:$ZZ1113,CALC!$H$1)&lt;&gt;"",INT(IF(AND(CALC!$F$1&gt;0,N(INDEX(BASELINE!$A1113:$ZZ1113,CALC!$F$1))&gt;0),N(INDEX(BASELINE!$A1113:$ZZ1113,CALC!$F$1)),N(INDEX(BASELINE!$A1113:$ZZ1113,CALC!$P$1))))=INT(SIMOPS!$D$3),IFERROR(UPPER(TRIM(INDEX(BASELINE!$A1113:$ZZ1113,CALC!$R$1)&amp;"")),"")&lt;&gt;"ENCERRADA"),1,0),0)</f>
        <v/>
      </c>
      <c r="B1113">
        <f>B1112+A1113</f>
        <v/>
      </c>
    </row>
    <row r="1114">
      <c r="A1114">
        <f>IFERROR(IF(AND(INDEX(BASELINE!$A1114:$ZZ1114,CALC!$H$1)&lt;&gt;"",INT(IF(AND(CALC!$F$1&gt;0,N(INDEX(BASELINE!$A1114:$ZZ1114,CALC!$F$1))&gt;0),N(INDEX(BASELINE!$A1114:$ZZ1114,CALC!$F$1)),N(INDEX(BASELINE!$A1114:$ZZ1114,CALC!$P$1))))=INT(SIMOPS!$D$3),IFERROR(UPPER(TRIM(INDEX(BASELINE!$A1114:$ZZ1114,CALC!$R$1)&amp;"")),"")&lt;&gt;"ENCERRADA"),1,0),0)</f>
        <v/>
      </c>
      <c r="B1114">
        <f>B1113+A1114</f>
        <v/>
      </c>
    </row>
    <row r="1115">
      <c r="A1115">
        <f>IFERROR(IF(AND(INDEX(BASELINE!$A1115:$ZZ1115,CALC!$H$1)&lt;&gt;"",INT(IF(AND(CALC!$F$1&gt;0,N(INDEX(BASELINE!$A1115:$ZZ1115,CALC!$F$1))&gt;0),N(INDEX(BASELINE!$A1115:$ZZ1115,CALC!$F$1)),N(INDEX(BASELINE!$A1115:$ZZ1115,CALC!$P$1))))=INT(SIMOPS!$D$3),IFERROR(UPPER(TRIM(INDEX(BASELINE!$A1115:$ZZ1115,CALC!$R$1)&amp;"")),"")&lt;&gt;"ENCERRADA"),1,0),0)</f>
        <v/>
      </c>
      <c r="B1115">
        <f>B1114+A1115</f>
        <v/>
      </c>
    </row>
    <row r="1116">
      <c r="A1116">
        <f>IFERROR(IF(AND(INDEX(BASELINE!$A1116:$ZZ1116,CALC!$H$1)&lt;&gt;"",INT(IF(AND(CALC!$F$1&gt;0,N(INDEX(BASELINE!$A1116:$ZZ1116,CALC!$F$1))&gt;0),N(INDEX(BASELINE!$A1116:$ZZ1116,CALC!$F$1)),N(INDEX(BASELINE!$A1116:$ZZ1116,CALC!$P$1))))=INT(SIMOPS!$D$3),IFERROR(UPPER(TRIM(INDEX(BASELINE!$A1116:$ZZ1116,CALC!$R$1)&amp;"")),"")&lt;&gt;"ENCERRADA"),1,0),0)</f>
        <v/>
      </c>
      <c r="B1116">
        <f>B1115+A1116</f>
        <v/>
      </c>
    </row>
    <row r="1117">
      <c r="A1117">
        <f>IFERROR(IF(AND(INDEX(BASELINE!$A1117:$ZZ1117,CALC!$H$1)&lt;&gt;"",INT(IF(AND(CALC!$F$1&gt;0,N(INDEX(BASELINE!$A1117:$ZZ1117,CALC!$F$1))&gt;0),N(INDEX(BASELINE!$A1117:$ZZ1117,CALC!$F$1)),N(INDEX(BASELINE!$A1117:$ZZ1117,CALC!$P$1))))=INT(SIMOPS!$D$3),IFERROR(UPPER(TRIM(INDEX(BASELINE!$A1117:$ZZ1117,CALC!$R$1)&amp;"")),"")&lt;&gt;"ENCERRADA"),1,0),0)</f>
        <v/>
      </c>
      <c r="B1117">
        <f>B1116+A1117</f>
        <v/>
      </c>
    </row>
    <row r="1118">
      <c r="A1118">
        <f>IFERROR(IF(AND(INDEX(BASELINE!$A1118:$ZZ1118,CALC!$H$1)&lt;&gt;"",INT(IF(AND(CALC!$F$1&gt;0,N(INDEX(BASELINE!$A1118:$ZZ1118,CALC!$F$1))&gt;0),N(INDEX(BASELINE!$A1118:$ZZ1118,CALC!$F$1)),N(INDEX(BASELINE!$A1118:$ZZ1118,CALC!$P$1))))=INT(SIMOPS!$D$3),IFERROR(UPPER(TRIM(INDEX(BASELINE!$A1118:$ZZ1118,CALC!$R$1)&amp;"")),"")&lt;&gt;"ENCERRADA"),1,0),0)</f>
        <v/>
      </c>
      <c r="B1118">
        <f>B1117+A1118</f>
        <v/>
      </c>
    </row>
    <row r="1119">
      <c r="A1119">
        <f>IFERROR(IF(AND(INDEX(BASELINE!$A1119:$ZZ1119,CALC!$H$1)&lt;&gt;"",INT(IF(AND(CALC!$F$1&gt;0,N(INDEX(BASELINE!$A1119:$ZZ1119,CALC!$F$1))&gt;0),N(INDEX(BASELINE!$A1119:$ZZ1119,CALC!$F$1)),N(INDEX(BASELINE!$A1119:$ZZ1119,CALC!$P$1))))=INT(SIMOPS!$D$3),IFERROR(UPPER(TRIM(INDEX(BASELINE!$A1119:$ZZ1119,CALC!$R$1)&amp;"")),"")&lt;&gt;"ENCERRADA"),1,0),0)</f>
        <v/>
      </c>
      <c r="B1119">
        <f>B1118+A1119</f>
        <v/>
      </c>
    </row>
    <row r="1120">
      <c r="A1120">
        <f>IFERROR(IF(AND(INDEX(BASELINE!$A1120:$ZZ1120,CALC!$H$1)&lt;&gt;"",INT(IF(AND(CALC!$F$1&gt;0,N(INDEX(BASELINE!$A1120:$ZZ1120,CALC!$F$1))&gt;0),N(INDEX(BASELINE!$A1120:$ZZ1120,CALC!$F$1)),N(INDEX(BASELINE!$A1120:$ZZ1120,CALC!$P$1))))=INT(SIMOPS!$D$3),IFERROR(UPPER(TRIM(INDEX(BASELINE!$A1120:$ZZ1120,CALC!$R$1)&amp;"")),"")&lt;&gt;"ENCERRADA"),1,0),0)</f>
        <v/>
      </c>
      <c r="B1120">
        <f>B1119+A1120</f>
        <v/>
      </c>
    </row>
    <row r="1121">
      <c r="A1121">
        <f>IFERROR(IF(AND(INDEX(BASELINE!$A1121:$ZZ1121,CALC!$H$1)&lt;&gt;"",INT(IF(AND(CALC!$F$1&gt;0,N(INDEX(BASELINE!$A1121:$ZZ1121,CALC!$F$1))&gt;0),N(INDEX(BASELINE!$A1121:$ZZ1121,CALC!$F$1)),N(INDEX(BASELINE!$A1121:$ZZ1121,CALC!$P$1))))=INT(SIMOPS!$D$3),IFERROR(UPPER(TRIM(INDEX(BASELINE!$A1121:$ZZ1121,CALC!$R$1)&amp;"")),"")&lt;&gt;"ENCERRADA"),1,0),0)</f>
        <v/>
      </c>
      <c r="B1121">
        <f>B1120+A1121</f>
        <v/>
      </c>
    </row>
    <row r="1122">
      <c r="A1122">
        <f>IFERROR(IF(AND(INDEX(BASELINE!$A1122:$ZZ1122,CALC!$H$1)&lt;&gt;"",INT(IF(AND(CALC!$F$1&gt;0,N(INDEX(BASELINE!$A1122:$ZZ1122,CALC!$F$1))&gt;0),N(INDEX(BASELINE!$A1122:$ZZ1122,CALC!$F$1)),N(INDEX(BASELINE!$A1122:$ZZ1122,CALC!$P$1))))=INT(SIMOPS!$D$3),IFERROR(UPPER(TRIM(INDEX(BASELINE!$A1122:$ZZ1122,CALC!$R$1)&amp;"")),"")&lt;&gt;"ENCERRADA"),1,0),0)</f>
        <v/>
      </c>
      <c r="B1122">
        <f>B1121+A1122</f>
        <v/>
      </c>
    </row>
    <row r="1123">
      <c r="A1123">
        <f>IFERROR(IF(AND(INDEX(BASELINE!$A1123:$ZZ1123,CALC!$H$1)&lt;&gt;"",INT(IF(AND(CALC!$F$1&gt;0,N(INDEX(BASELINE!$A1123:$ZZ1123,CALC!$F$1))&gt;0),N(INDEX(BASELINE!$A1123:$ZZ1123,CALC!$F$1)),N(INDEX(BASELINE!$A1123:$ZZ1123,CALC!$P$1))))=INT(SIMOPS!$D$3),IFERROR(UPPER(TRIM(INDEX(BASELINE!$A1123:$ZZ1123,CALC!$R$1)&amp;"")),"")&lt;&gt;"ENCERRADA"),1,0),0)</f>
        <v/>
      </c>
      <c r="B1123">
        <f>B1122+A1123</f>
        <v/>
      </c>
    </row>
    <row r="1124">
      <c r="A1124">
        <f>IFERROR(IF(AND(INDEX(BASELINE!$A1124:$ZZ1124,CALC!$H$1)&lt;&gt;"",INT(IF(AND(CALC!$F$1&gt;0,N(INDEX(BASELINE!$A1124:$ZZ1124,CALC!$F$1))&gt;0),N(INDEX(BASELINE!$A1124:$ZZ1124,CALC!$F$1)),N(INDEX(BASELINE!$A1124:$ZZ1124,CALC!$P$1))))=INT(SIMOPS!$D$3),IFERROR(UPPER(TRIM(INDEX(BASELINE!$A1124:$ZZ1124,CALC!$R$1)&amp;"")),"")&lt;&gt;"ENCERRADA"),1,0),0)</f>
        <v/>
      </c>
      <c r="B1124">
        <f>B1123+A1124</f>
        <v/>
      </c>
    </row>
    <row r="1125">
      <c r="A1125">
        <f>IFERROR(IF(AND(INDEX(BASELINE!$A1125:$ZZ1125,CALC!$H$1)&lt;&gt;"",INT(IF(AND(CALC!$F$1&gt;0,N(INDEX(BASELINE!$A1125:$ZZ1125,CALC!$F$1))&gt;0),N(INDEX(BASELINE!$A1125:$ZZ1125,CALC!$F$1)),N(INDEX(BASELINE!$A1125:$ZZ1125,CALC!$P$1))))=INT(SIMOPS!$D$3),IFERROR(UPPER(TRIM(INDEX(BASELINE!$A1125:$ZZ1125,CALC!$R$1)&amp;"")),"")&lt;&gt;"ENCERRADA"),1,0),0)</f>
        <v/>
      </c>
      <c r="B1125">
        <f>B1124+A1125</f>
        <v/>
      </c>
    </row>
    <row r="1126">
      <c r="A1126">
        <f>IFERROR(IF(AND(INDEX(BASELINE!$A1126:$ZZ1126,CALC!$H$1)&lt;&gt;"",INT(IF(AND(CALC!$F$1&gt;0,N(INDEX(BASELINE!$A1126:$ZZ1126,CALC!$F$1))&gt;0),N(INDEX(BASELINE!$A1126:$ZZ1126,CALC!$F$1)),N(INDEX(BASELINE!$A1126:$ZZ1126,CALC!$P$1))))=INT(SIMOPS!$D$3),IFERROR(UPPER(TRIM(INDEX(BASELINE!$A1126:$ZZ1126,CALC!$R$1)&amp;"")),"")&lt;&gt;"ENCERRADA"),1,0),0)</f>
        <v/>
      </c>
      <c r="B1126">
        <f>B1125+A1126</f>
        <v/>
      </c>
    </row>
    <row r="1127">
      <c r="A1127">
        <f>IFERROR(IF(AND(INDEX(BASELINE!$A1127:$ZZ1127,CALC!$H$1)&lt;&gt;"",INT(IF(AND(CALC!$F$1&gt;0,N(INDEX(BASELINE!$A1127:$ZZ1127,CALC!$F$1))&gt;0),N(INDEX(BASELINE!$A1127:$ZZ1127,CALC!$F$1)),N(INDEX(BASELINE!$A1127:$ZZ1127,CALC!$P$1))))=INT(SIMOPS!$D$3),IFERROR(UPPER(TRIM(INDEX(BASELINE!$A1127:$ZZ1127,CALC!$R$1)&amp;"")),"")&lt;&gt;"ENCERRADA"),1,0),0)</f>
        <v/>
      </c>
      <c r="B1127">
        <f>B1126+A1127</f>
        <v/>
      </c>
    </row>
    <row r="1128">
      <c r="A1128">
        <f>IFERROR(IF(AND(INDEX(BASELINE!$A1128:$ZZ1128,CALC!$H$1)&lt;&gt;"",INT(IF(AND(CALC!$F$1&gt;0,N(INDEX(BASELINE!$A1128:$ZZ1128,CALC!$F$1))&gt;0),N(INDEX(BASELINE!$A1128:$ZZ1128,CALC!$F$1)),N(INDEX(BASELINE!$A1128:$ZZ1128,CALC!$P$1))))=INT(SIMOPS!$D$3),IFERROR(UPPER(TRIM(INDEX(BASELINE!$A1128:$ZZ1128,CALC!$R$1)&amp;"")),"")&lt;&gt;"ENCERRADA"),1,0),0)</f>
        <v/>
      </c>
      <c r="B1128">
        <f>B1127+A1128</f>
        <v/>
      </c>
    </row>
    <row r="1129">
      <c r="A1129">
        <f>IFERROR(IF(AND(INDEX(BASELINE!$A1129:$ZZ1129,CALC!$H$1)&lt;&gt;"",INT(IF(AND(CALC!$F$1&gt;0,N(INDEX(BASELINE!$A1129:$ZZ1129,CALC!$F$1))&gt;0),N(INDEX(BASELINE!$A1129:$ZZ1129,CALC!$F$1)),N(INDEX(BASELINE!$A1129:$ZZ1129,CALC!$P$1))))=INT(SIMOPS!$D$3),IFERROR(UPPER(TRIM(INDEX(BASELINE!$A1129:$ZZ1129,CALC!$R$1)&amp;"")),"")&lt;&gt;"ENCERRADA"),1,0),0)</f>
        <v/>
      </c>
      <c r="B1129">
        <f>B1128+A1129</f>
        <v/>
      </c>
    </row>
    <row r="1130">
      <c r="A1130">
        <f>IFERROR(IF(AND(INDEX(BASELINE!$A1130:$ZZ1130,CALC!$H$1)&lt;&gt;"",INT(IF(AND(CALC!$F$1&gt;0,N(INDEX(BASELINE!$A1130:$ZZ1130,CALC!$F$1))&gt;0),N(INDEX(BASELINE!$A1130:$ZZ1130,CALC!$F$1)),N(INDEX(BASELINE!$A1130:$ZZ1130,CALC!$P$1))))=INT(SIMOPS!$D$3),IFERROR(UPPER(TRIM(INDEX(BASELINE!$A1130:$ZZ1130,CALC!$R$1)&amp;"")),"")&lt;&gt;"ENCERRADA"),1,0),0)</f>
        <v/>
      </c>
      <c r="B1130">
        <f>B1129+A1130</f>
        <v/>
      </c>
    </row>
    <row r="1131">
      <c r="A1131">
        <f>IFERROR(IF(AND(INDEX(BASELINE!$A1131:$ZZ1131,CALC!$H$1)&lt;&gt;"",INT(IF(AND(CALC!$F$1&gt;0,N(INDEX(BASELINE!$A1131:$ZZ1131,CALC!$F$1))&gt;0),N(INDEX(BASELINE!$A1131:$ZZ1131,CALC!$F$1)),N(INDEX(BASELINE!$A1131:$ZZ1131,CALC!$P$1))))=INT(SIMOPS!$D$3),IFERROR(UPPER(TRIM(INDEX(BASELINE!$A1131:$ZZ1131,CALC!$R$1)&amp;"")),"")&lt;&gt;"ENCERRADA"),1,0),0)</f>
        <v/>
      </c>
      <c r="B1131">
        <f>B1130+A1131</f>
        <v/>
      </c>
    </row>
    <row r="1132">
      <c r="A1132">
        <f>IFERROR(IF(AND(INDEX(BASELINE!$A1132:$ZZ1132,CALC!$H$1)&lt;&gt;"",INT(IF(AND(CALC!$F$1&gt;0,N(INDEX(BASELINE!$A1132:$ZZ1132,CALC!$F$1))&gt;0),N(INDEX(BASELINE!$A1132:$ZZ1132,CALC!$F$1)),N(INDEX(BASELINE!$A1132:$ZZ1132,CALC!$P$1))))=INT(SIMOPS!$D$3),IFERROR(UPPER(TRIM(INDEX(BASELINE!$A1132:$ZZ1132,CALC!$R$1)&amp;"")),"")&lt;&gt;"ENCERRADA"),1,0),0)</f>
        <v/>
      </c>
      <c r="B1132">
        <f>B1131+A1132</f>
        <v/>
      </c>
    </row>
    <row r="1133">
      <c r="A1133">
        <f>IFERROR(IF(AND(INDEX(BASELINE!$A1133:$ZZ1133,CALC!$H$1)&lt;&gt;"",INT(IF(AND(CALC!$F$1&gt;0,N(INDEX(BASELINE!$A1133:$ZZ1133,CALC!$F$1))&gt;0),N(INDEX(BASELINE!$A1133:$ZZ1133,CALC!$F$1)),N(INDEX(BASELINE!$A1133:$ZZ1133,CALC!$P$1))))=INT(SIMOPS!$D$3),IFERROR(UPPER(TRIM(INDEX(BASELINE!$A1133:$ZZ1133,CALC!$R$1)&amp;"")),"")&lt;&gt;"ENCERRADA"),1,0),0)</f>
        <v/>
      </c>
      <c r="B1133">
        <f>B1132+A1133</f>
        <v/>
      </c>
    </row>
    <row r="1134">
      <c r="A1134">
        <f>IFERROR(IF(AND(INDEX(BASELINE!$A1134:$ZZ1134,CALC!$H$1)&lt;&gt;"",INT(IF(AND(CALC!$F$1&gt;0,N(INDEX(BASELINE!$A1134:$ZZ1134,CALC!$F$1))&gt;0),N(INDEX(BASELINE!$A1134:$ZZ1134,CALC!$F$1)),N(INDEX(BASELINE!$A1134:$ZZ1134,CALC!$P$1))))=INT(SIMOPS!$D$3),IFERROR(UPPER(TRIM(INDEX(BASELINE!$A1134:$ZZ1134,CALC!$R$1)&amp;"")),"")&lt;&gt;"ENCERRADA"),1,0),0)</f>
        <v/>
      </c>
      <c r="B1134">
        <f>B1133+A1134</f>
        <v/>
      </c>
    </row>
    <row r="1135">
      <c r="A1135">
        <f>IFERROR(IF(AND(INDEX(BASELINE!$A1135:$ZZ1135,CALC!$H$1)&lt;&gt;"",INT(IF(AND(CALC!$F$1&gt;0,N(INDEX(BASELINE!$A1135:$ZZ1135,CALC!$F$1))&gt;0),N(INDEX(BASELINE!$A1135:$ZZ1135,CALC!$F$1)),N(INDEX(BASELINE!$A1135:$ZZ1135,CALC!$P$1))))=INT(SIMOPS!$D$3),IFERROR(UPPER(TRIM(INDEX(BASELINE!$A1135:$ZZ1135,CALC!$R$1)&amp;"")),"")&lt;&gt;"ENCERRADA"),1,0),0)</f>
        <v/>
      </c>
      <c r="B1135">
        <f>B1134+A1135</f>
        <v/>
      </c>
    </row>
    <row r="1136">
      <c r="A1136">
        <f>IFERROR(IF(AND(INDEX(BASELINE!$A1136:$ZZ1136,CALC!$H$1)&lt;&gt;"",INT(IF(AND(CALC!$F$1&gt;0,N(INDEX(BASELINE!$A1136:$ZZ1136,CALC!$F$1))&gt;0),N(INDEX(BASELINE!$A1136:$ZZ1136,CALC!$F$1)),N(INDEX(BASELINE!$A1136:$ZZ1136,CALC!$P$1))))=INT(SIMOPS!$D$3),IFERROR(UPPER(TRIM(INDEX(BASELINE!$A1136:$ZZ1136,CALC!$R$1)&amp;"")),"")&lt;&gt;"ENCERRADA"),1,0),0)</f>
        <v/>
      </c>
      <c r="B1136">
        <f>B1135+A1136</f>
        <v/>
      </c>
    </row>
    <row r="1137">
      <c r="A1137">
        <f>IFERROR(IF(AND(INDEX(BASELINE!$A1137:$ZZ1137,CALC!$H$1)&lt;&gt;"",INT(IF(AND(CALC!$F$1&gt;0,N(INDEX(BASELINE!$A1137:$ZZ1137,CALC!$F$1))&gt;0),N(INDEX(BASELINE!$A1137:$ZZ1137,CALC!$F$1)),N(INDEX(BASELINE!$A1137:$ZZ1137,CALC!$P$1))))=INT(SIMOPS!$D$3),IFERROR(UPPER(TRIM(INDEX(BASELINE!$A1137:$ZZ1137,CALC!$R$1)&amp;"")),"")&lt;&gt;"ENCERRADA"),1,0),0)</f>
        <v/>
      </c>
      <c r="B1137">
        <f>B1136+A1137</f>
        <v/>
      </c>
    </row>
    <row r="1138">
      <c r="A1138">
        <f>IFERROR(IF(AND(INDEX(BASELINE!$A1138:$ZZ1138,CALC!$H$1)&lt;&gt;"",INT(IF(AND(CALC!$F$1&gt;0,N(INDEX(BASELINE!$A1138:$ZZ1138,CALC!$F$1))&gt;0),N(INDEX(BASELINE!$A1138:$ZZ1138,CALC!$F$1)),N(INDEX(BASELINE!$A1138:$ZZ1138,CALC!$P$1))))=INT(SIMOPS!$D$3),IFERROR(UPPER(TRIM(INDEX(BASELINE!$A1138:$ZZ1138,CALC!$R$1)&amp;"")),"")&lt;&gt;"ENCERRADA"),1,0),0)</f>
        <v/>
      </c>
      <c r="B1138">
        <f>B1137+A1138</f>
        <v/>
      </c>
    </row>
    <row r="1139">
      <c r="A1139">
        <f>IFERROR(IF(AND(INDEX(BASELINE!$A1139:$ZZ1139,CALC!$H$1)&lt;&gt;"",INT(IF(AND(CALC!$F$1&gt;0,N(INDEX(BASELINE!$A1139:$ZZ1139,CALC!$F$1))&gt;0),N(INDEX(BASELINE!$A1139:$ZZ1139,CALC!$F$1)),N(INDEX(BASELINE!$A1139:$ZZ1139,CALC!$P$1))))=INT(SIMOPS!$D$3),IFERROR(UPPER(TRIM(INDEX(BASELINE!$A1139:$ZZ1139,CALC!$R$1)&amp;"")),"")&lt;&gt;"ENCERRADA"),1,0),0)</f>
        <v/>
      </c>
      <c r="B1139">
        <f>B1138+A1139</f>
        <v/>
      </c>
    </row>
    <row r="1140">
      <c r="A1140">
        <f>IFERROR(IF(AND(INDEX(BASELINE!$A1140:$ZZ1140,CALC!$H$1)&lt;&gt;"",INT(IF(AND(CALC!$F$1&gt;0,N(INDEX(BASELINE!$A1140:$ZZ1140,CALC!$F$1))&gt;0),N(INDEX(BASELINE!$A1140:$ZZ1140,CALC!$F$1)),N(INDEX(BASELINE!$A1140:$ZZ1140,CALC!$P$1))))=INT(SIMOPS!$D$3),IFERROR(UPPER(TRIM(INDEX(BASELINE!$A1140:$ZZ1140,CALC!$R$1)&amp;"")),"")&lt;&gt;"ENCERRADA"),1,0),0)</f>
        <v/>
      </c>
      <c r="B1140">
        <f>B1139+A1140</f>
        <v/>
      </c>
    </row>
    <row r="1141">
      <c r="A1141">
        <f>IFERROR(IF(AND(INDEX(BASELINE!$A1141:$ZZ1141,CALC!$H$1)&lt;&gt;"",INT(IF(AND(CALC!$F$1&gt;0,N(INDEX(BASELINE!$A1141:$ZZ1141,CALC!$F$1))&gt;0),N(INDEX(BASELINE!$A1141:$ZZ1141,CALC!$F$1)),N(INDEX(BASELINE!$A1141:$ZZ1141,CALC!$P$1))))=INT(SIMOPS!$D$3),IFERROR(UPPER(TRIM(INDEX(BASELINE!$A1141:$ZZ1141,CALC!$R$1)&amp;"")),"")&lt;&gt;"ENCERRADA"),1,0),0)</f>
        <v/>
      </c>
      <c r="B1141">
        <f>B1140+A1141</f>
        <v/>
      </c>
    </row>
    <row r="1142">
      <c r="A1142">
        <f>IFERROR(IF(AND(INDEX(BASELINE!$A1142:$ZZ1142,CALC!$H$1)&lt;&gt;"",INT(IF(AND(CALC!$F$1&gt;0,N(INDEX(BASELINE!$A1142:$ZZ1142,CALC!$F$1))&gt;0),N(INDEX(BASELINE!$A1142:$ZZ1142,CALC!$F$1)),N(INDEX(BASELINE!$A1142:$ZZ1142,CALC!$P$1))))=INT(SIMOPS!$D$3),IFERROR(UPPER(TRIM(INDEX(BASELINE!$A1142:$ZZ1142,CALC!$R$1)&amp;"")),"")&lt;&gt;"ENCERRADA"),1,0),0)</f>
        <v/>
      </c>
      <c r="B1142">
        <f>B1141+A1142</f>
        <v/>
      </c>
    </row>
    <row r="1143">
      <c r="A1143">
        <f>IFERROR(IF(AND(INDEX(BASELINE!$A1143:$ZZ1143,CALC!$H$1)&lt;&gt;"",INT(IF(AND(CALC!$F$1&gt;0,N(INDEX(BASELINE!$A1143:$ZZ1143,CALC!$F$1))&gt;0),N(INDEX(BASELINE!$A1143:$ZZ1143,CALC!$F$1)),N(INDEX(BASELINE!$A1143:$ZZ1143,CALC!$P$1))))=INT(SIMOPS!$D$3),IFERROR(UPPER(TRIM(INDEX(BASELINE!$A1143:$ZZ1143,CALC!$R$1)&amp;"")),"")&lt;&gt;"ENCERRADA"),1,0),0)</f>
        <v/>
      </c>
      <c r="B1143">
        <f>B1142+A1143</f>
        <v/>
      </c>
    </row>
    <row r="1144">
      <c r="A1144">
        <f>IFERROR(IF(AND(INDEX(BASELINE!$A1144:$ZZ1144,CALC!$H$1)&lt;&gt;"",INT(IF(AND(CALC!$F$1&gt;0,N(INDEX(BASELINE!$A1144:$ZZ1144,CALC!$F$1))&gt;0),N(INDEX(BASELINE!$A1144:$ZZ1144,CALC!$F$1)),N(INDEX(BASELINE!$A1144:$ZZ1144,CALC!$P$1))))=INT(SIMOPS!$D$3),IFERROR(UPPER(TRIM(INDEX(BASELINE!$A1144:$ZZ1144,CALC!$R$1)&amp;"")),"")&lt;&gt;"ENCERRADA"),1,0),0)</f>
        <v/>
      </c>
      <c r="B1144">
        <f>B1143+A1144</f>
        <v/>
      </c>
    </row>
    <row r="1145">
      <c r="A1145">
        <f>IFERROR(IF(AND(INDEX(BASELINE!$A1145:$ZZ1145,CALC!$H$1)&lt;&gt;"",INT(IF(AND(CALC!$F$1&gt;0,N(INDEX(BASELINE!$A1145:$ZZ1145,CALC!$F$1))&gt;0),N(INDEX(BASELINE!$A1145:$ZZ1145,CALC!$F$1)),N(INDEX(BASELINE!$A1145:$ZZ1145,CALC!$P$1))))=INT(SIMOPS!$D$3),IFERROR(UPPER(TRIM(INDEX(BASELINE!$A1145:$ZZ1145,CALC!$R$1)&amp;"")),"")&lt;&gt;"ENCERRADA"),1,0),0)</f>
        <v/>
      </c>
      <c r="B1145">
        <f>B1144+A1145</f>
        <v/>
      </c>
    </row>
    <row r="1146">
      <c r="A1146">
        <f>IFERROR(IF(AND(INDEX(BASELINE!$A1146:$ZZ1146,CALC!$H$1)&lt;&gt;"",INT(IF(AND(CALC!$F$1&gt;0,N(INDEX(BASELINE!$A1146:$ZZ1146,CALC!$F$1))&gt;0),N(INDEX(BASELINE!$A1146:$ZZ1146,CALC!$F$1)),N(INDEX(BASELINE!$A1146:$ZZ1146,CALC!$P$1))))=INT(SIMOPS!$D$3),IFERROR(UPPER(TRIM(INDEX(BASELINE!$A1146:$ZZ1146,CALC!$R$1)&amp;"")),"")&lt;&gt;"ENCERRADA"),1,0),0)</f>
        <v/>
      </c>
      <c r="B1146">
        <f>B1145+A1146</f>
        <v/>
      </c>
    </row>
    <row r="1147">
      <c r="A1147">
        <f>IFERROR(IF(AND(INDEX(BASELINE!$A1147:$ZZ1147,CALC!$H$1)&lt;&gt;"",INT(IF(AND(CALC!$F$1&gt;0,N(INDEX(BASELINE!$A1147:$ZZ1147,CALC!$F$1))&gt;0),N(INDEX(BASELINE!$A1147:$ZZ1147,CALC!$F$1)),N(INDEX(BASELINE!$A1147:$ZZ1147,CALC!$P$1))))=INT(SIMOPS!$D$3),IFERROR(UPPER(TRIM(INDEX(BASELINE!$A1147:$ZZ1147,CALC!$R$1)&amp;"")),"")&lt;&gt;"ENCERRADA"),1,0),0)</f>
        <v/>
      </c>
      <c r="B1147">
        <f>B1146+A1147</f>
        <v/>
      </c>
    </row>
    <row r="1148">
      <c r="A1148">
        <f>IFERROR(IF(AND(INDEX(BASELINE!$A1148:$ZZ1148,CALC!$H$1)&lt;&gt;"",INT(IF(AND(CALC!$F$1&gt;0,N(INDEX(BASELINE!$A1148:$ZZ1148,CALC!$F$1))&gt;0),N(INDEX(BASELINE!$A1148:$ZZ1148,CALC!$F$1)),N(INDEX(BASELINE!$A1148:$ZZ1148,CALC!$P$1))))=INT(SIMOPS!$D$3),IFERROR(UPPER(TRIM(INDEX(BASELINE!$A1148:$ZZ1148,CALC!$R$1)&amp;"")),"")&lt;&gt;"ENCERRADA"),1,0),0)</f>
        <v/>
      </c>
      <c r="B1148">
        <f>B1147+A1148</f>
        <v/>
      </c>
    </row>
    <row r="1149">
      <c r="A1149">
        <f>IFERROR(IF(AND(INDEX(BASELINE!$A1149:$ZZ1149,CALC!$H$1)&lt;&gt;"",INT(IF(AND(CALC!$F$1&gt;0,N(INDEX(BASELINE!$A1149:$ZZ1149,CALC!$F$1))&gt;0),N(INDEX(BASELINE!$A1149:$ZZ1149,CALC!$F$1)),N(INDEX(BASELINE!$A1149:$ZZ1149,CALC!$P$1))))=INT(SIMOPS!$D$3),IFERROR(UPPER(TRIM(INDEX(BASELINE!$A1149:$ZZ1149,CALC!$R$1)&amp;"")),"")&lt;&gt;"ENCERRADA"),1,0),0)</f>
        <v/>
      </c>
      <c r="B1149">
        <f>B1148+A1149</f>
        <v/>
      </c>
    </row>
    <row r="1150">
      <c r="A1150">
        <f>IFERROR(IF(AND(INDEX(BASELINE!$A1150:$ZZ1150,CALC!$H$1)&lt;&gt;"",INT(IF(AND(CALC!$F$1&gt;0,N(INDEX(BASELINE!$A1150:$ZZ1150,CALC!$F$1))&gt;0),N(INDEX(BASELINE!$A1150:$ZZ1150,CALC!$F$1)),N(INDEX(BASELINE!$A1150:$ZZ1150,CALC!$P$1))))=INT(SIMOPS!$D$3),IFERROR(UPPER(TRIM(INDEX(BASELINE!$A1150:$ZZ1150,CALC!$R$1)&amp;"")),"")&lt;&gt;"ENCERRADA"),1,0),0)</f>
        <v/>
      </c>
      <c r="B1150">
        <f>B1149+A1150</f>
        <v/>
      </c>
    </row>
    <row r="1151">
      <c r="A1151">
        <f>IFERROR(IF(AND(INDEX(BASELINE!$A1151:$ZZ1151,CALC!$H$1)&lt;&gt;"",INT(IF(AND(CALC!$F$1&gt;0,N(INDEX(BASELINE!$A1151:$ZZ1151,CALC!$F$1))&gt;0),N(INDEX(BASELINE!$A1151:$ZZ1151,CALC!$F$1)),N(INDEX(BASELINE!$A1151:$ZZ1151,CALC!$P$1))))=INT(SIMOPS!$D$3),IFERROR(UPPER(TRIM(INDEX(BASELINE!$A1151:$ZZ1151,CALC!$R$1)&amp;"")),"")&lt;&gt;"ENCERRADA"),1,0),0)</f>
        <v/>
      </c>
      <c r="B1151">
        <f>B1150+A1151</f>
        <v/>
      </c>
    </row>
    <row r="1152">
      <c r="A1152">
        <f>IFERROR(IF(AND(INDEX(BASELINE!$A1152:$ZZ1152,CALC!$H$1)&lt;&gt;"",INT(IF(AND(CALC!$F$1&gt;0,N(INDEX(BASELINE!$A1152:$ZZ1152,CALC!$F$1))&gt;0),N(INDEX(BASELINE!$A1152:$ZZ1152,CALC!$F$1)),N(INDEX(BASELINE!$A1152:$ZZ1152,CALC!$P$1))))=INT(SIMOPS!$D$3),IFERROR(UPPER(TRIM(INDEX(BASELINE!$A1152:$ZZ1152,CALC!$R$1)&amp;"")),"")&lt;&gt;"ENCERRADA"),1,0),0)</f>
        <v/>
      </c>
      <c r="B1152">
        <f>B1151+A1152</f>
        <v/>
      </c>
    </row>
    <row r="1153">
      <c r="A1153">
        <f>IFERROR(IF(AND(INDEX(BASELINE!$A1153:$ZZ1153,CALC!$H$1)&lt;&gt;"",INT(IF(AND(CALC!$F$1&gt;0,N(INDEX(BASELINE!$A1153:$ZZ1153,CALC!$F$1))&gt;0),N(INDEX(BASELINE!$A1153:$ZZ1153,CALC!$F$1)),N(INDEX(BASELINE!$A1153:$ZZ1153,CALC!$P$1))))=INT(SIMOPS!$D$3),IFERROR(UPPER(TRIM(INDEX(BASELINE!$A1153:$ZZ1153,CALC!$R$1)&amp;"")),"")&lt;&gt;"ENCERRADA"),1,0),0)</f>
        <v/>
      </c>
      <c r="B1153">
        <f>B1152+A1153</f>
        <v/>
      </c>
    </row>
    <row r="1154">
      <c r="A1154">
        <f>IFERROR(IF(AND(INDEX(BASELINE!$A1154:$ZZ1154,CALC!$H$1)&lt;&gt;"",INT(IF(AND(CALC!$F$1&gt;0,N(INDEX(BASELINE!$A1154:$ZZ1154,CALC!$F$1))&gt;0),N(INDEX(BASELINE!$A1154:$ZZ1154,CALC!$F$1)),N(INDEX(BASELINE!$A1154:$ZZ1154,CALC!$P$1))))=INT(SIMOPS!$D$3),IFERROR(UPPER(TRIM(INDEX(BASELINE!$A1154:$ZZ1154,CALC!$R$1)&amp;"")),"")&lt;&gt;"ENCERRADA"),1,0),0)</f>
        <v/>
      </c>
      <c r="B1154">
        <f>B1153+A1154</f>
        <v/>
      </c>
    </row>
    <row r="1155">
      <c r="A1155">
        <f>IFERROR(IF(AND(INDEX(BASELINE!$A1155:$ZZ1155,CALC!$H$1)&lt;&gt;"",INT(IF(AND(CALC!$F$1&gt;0,N(INDEX(BASELINE!$A1155:$ZZ1155,CALC!$F$1))&gt;0),N(INDEX(BASELINE!$A1155:$ZZ1155,CALC!$F$1)),N(INDEX(BASELINE!$A1155:$ZZ1155,CALC!$P$1))))=INT(SIMOPS!$D$3),IFERROR(UPPER(TRIM(INDEX(BASELINE!$A1155:$ZZ1155,CALC!$R$1)&amp;"")),"")&lt;&gt;"ENCERRADA"),1,0),0)</f>
        <v/>
      </c>
      <c r="B1155">
        <f>B1154+A1155</f>
        <v/>
      </c>
    </row>
    <row r="1156">
      <c r="A1156">
        <f>IFERROR(IF(AND(INDEX(BASELINE!$A1156:$ZZ1156,CALC!$H$1)&lt;&gt;"",INT(IF(AND(CALC!$F$1&gt;0,N(INDEX(BASELINE!$A1156:$ZZ1156,CALC!$F$1))&gt;0),N(INDEX(BASELINE!$A1156:$ZZ1156,CALC!$F$1)),N(INDEX(BASELINE!$A1156:$ZZ1156,CALC!$P$1))))=INT(SIMOPS!$D$3),IFERROR(UPPER(TRIM(INDEX(BASELINE!$A1156:$ZZ1156,CALC!$R$1)&amp;"")),"")&lt;&gt;"ENCERRADA"),1,0),0)</f>
        <v/>
      </c>
      <c r="B1156">
        <f>B1155+A1156</f>
        <v/>
      </c>
    </row>
    <row r="1157">
      <c r="A1157">
        <f>IFERROR(IF(AND(INDEX(BASELINE!$A1157:$ZZ1157,CALC!$H$1)&lt;&gt;"",INT(IF(AND(CALC!$F$1&gt;0,N(INDEX(BASELINE!$A1157:$ZZ1157,CALC!$F$1))&gt;0),N(INDEX(BASELINE!$A1157:$ZZ1157,CALC!$F$1)),N(INDEX(BASELINE!$A1157:$ZZ1157,CALC!$P$1))))=INT(SIMOPS!$D$3),IFERROR(UPPER(TRIM(INDEX(BASELINE!$A1157:$ZZ1157,CALC!$R$1)&amp;"")),"")&lt;&gt;"ENCERRADA"),1,0),0)</f>
        <v/>
      </c>
      <c r="B1157">
        <f>B1156+A1157</f>
        <v/>
      </c>
    </row>
    <row r="1158">
      <c r="A1158">
        <f>IFERROR(IF(AND(INDEX(BASELINE!$A1158:$ZZ1158,CALC!$H$1)&lt;&gt;"",INT(IF(AND(CALC!$F$1&gt;0,N(INDEX(BASELINE!$A1158:$ZZ1158,CALC!$F$1))&gt;0),N(INDEX(BASELINE!$A1158:$ZZ1158,CALC!$F$1)),N(INDEX(BASELINE!$A1158:$ZZ1158,CALC!$P$1))))=INT(SIMOPS!$D$3),IFERROR(UPPER(TRIM(INDEX(BASELINE!$A1158:$ZZ1158,CALC!$R$1)&amp;"")),"")&lt;&gt;"ENCERRADA"),1,0),0)</f>
        <v/>
      </c>
      <c r="B1158">
        <f>B1157+A1158</f>
        <v/>
      </c>
    </row>
    <row r="1159">
      <c r="A1159">
        <f>IFERROR(IF(AND(INDEX(BASELINE!$A1159:$ZZ1159,CALC!$H$1)&lt;&gt;"",INT(IF(AND(CALC!$F$1&gt;0,N(INDEX(BASELINE!$A1159:$ZZ1159,CALC!$F$1))&gt;0),N(INDEX(BASELINE!$A1159:$ZZ1159,CALC!$F$1)),N(INDEX(BASELINE!$A1159:$ZZ1159,CALC!$P$1))))=INT(SIMOPS!$D$3),IFERROR(UPPER(TRIM(INDEX(BASELINE!$A1159:$ZZ1159,CALC!$R$1)&amp;"")),"")&lt;&gt;"ENCERRADA"),1,0),0)</f>
        <v/>
      </c>
      <c r="B1159">
        <f>B1158+A1159</f>
        <v/>
      </c>
    </row>
    <row r="1160">
      <c r="A1160">
        <f>IFERROR(IF(AND(INDEX(BASELINE!$A1160:$ZZ1160,CALC!$H$1)&lt;&gt;"",INT(IF(AND(CALC!$F$1&gt;0,N(INDEX(BASELINE!$A1160:$ZZ1160,CALC!$F$1))&gt;0),N(INDEX(BASELINE!$A1160:$ZZ1160,CALC!$F$1)),N(INDEX(BASELINE!$A1160:$ZZ1160,CALC!$P$1))))=INT(SIMOPS!$D$3),IFERROR(UPPER(TRIM(INDEX(BASELINE!$A1160:$ZZ1160,CALC!$R$1)&amp;"")),"")&lt;&gt;"ENCERRADA"),1,0),0)</f>
        <v/>
      </c>
      <c r="B1160">
        <f>B1159+A1160</f>
        <v/>
      </c>
    </row>
    <row r="1161">
      <c r="A1161">
        <f>IFERROR(IF(AND(INDEX(BASELINE!$A1161:$ZZ1161,CALC!$H$1)&lt;&gt;"",INT(IF(AND(CALC!$F$1&gt;0,N(INDEX(BASELINE!$A1161:$ZZ1161,CALC!$F$1))&gt;0),N(INDEX(BASELINE!$A1161:$ZZ1161,CALC!$F$1)),N(INDEX(BASELINE!$A1161:$ZZ1161,CALC!$P$1))))=INT(SIMOPS!$D$3),IFERROR(UPPER(TRIM(INDEX(BASELINE!$A1161:$ZZ1161,CALC!$R$1)&amp;"")),"")&lt;&gt;"ENCERRADA"),1,0),0)</f>
        <v/>
      </c>
      <c r="B1161">
        <f>B1160+A1161</f>
        <v/>
      </c>
    </row>
    <row r="1162">
      <c r="A1162">
        <f>IFERROR(IF(AND(INDEX(BASELINE!$A1162:$ZZ1162,CALC!$H$1)&lt;&gt;"",INT(IF(AND(CALC!$F$1&gt;0,N(INDEX(BASELINE!$A1162:$ZZ1162,CALC!$F$1))&gt;0),N(INDEX(BASELINE!$A1162:$ZZ1162,CALC!$F$1)),N(INDEX(BASELINE!$A1162:$ZZ1162,CALC!$P$1))))=INT(SIMOPS!$D$3),IFERROR(UPPER(TRIM(INDEX(BASELINE!$A1162:$ZZ1162,CALC!$R$1)&amp;"")),"")&lt;&gt;"ENCERRADA"),1,0),0)</f>
        <v/>
      </c>
      <c r="B1162">
        <f>B1161+A1162</f>
        <v/>
      </c>
    </row>
    <row r="1163">
      <c r="A1163">
        <f>IFERROR(IF(AND(INDEX(BASELINE!$A1163:$ZZ1163,CALC!$H$1)&lt;&gt;"",INT(IF(AND(CALC!$F$1&gt;0,N(INDEX(BASELINE!$A1163:$ZZ1163,CALC!$F$1))&gt;0),N(INDEX(BASELINE!$A1163:$ZZ1163,CALC!$F$1)),N(INDEX(BASELINE!$A1163:$ZZ1163,CALC!$P$1))))=INT(SIMOPS!$D$3),IFERROR(UPPER(TRIM(INDEX(BASELINE!$A1163:$ZZ1163,CALC!$R$1)&amp;"")),"")&lt;&gt;"ENCERRADA"),1,0),0)</f>
        <v/>
      </c>
      <c r="B1163">
        <f>B1162+A1163</f>
        <v/>
      </c>
    </row>
    <row r="1164">
      <c r="A1164">
        <f>IFERROR(IF(AND(INDEX(BASELINE!$A1164:$ZZ1164,CALC!$H$1)&lt;&gt;"",INT(IF(AND(CALC!$F$1&gt;0,N(INDEX(BASELINE!$A1164:$ZZ1164,CALC!$F$1))&gt;0),N(INDEX(BASELINE!$A1164:$ZZ1164,CALC!$F$1)),N(INDEX(BASELINE!$A1164:$ZZ1164,CALC!$P$1))))=INT(SIMOPS!$D$3),IFERROR(UPPER(TRIM(INDEX(BASELINE!$A1164:$ZZ1164,CALC!$R$1)&amp;"")),"")&lt;&gt;"ENCERRADA"),1,0),0)</f>
        <v/>
      </c>
      <c r="B1164">
        <f>B1163+A1164</f>
        <v/>
      </c>
    </row>
    <row r="1165">
      <c r="A1165">
        <f>IFERROR(IF(AND(INDEX(BASELINE!$A1165:$ZZ1165,CALC!$H$1)&lt;&gt;"",INT(IF(AND(CALC!$F$1&gt;0,N(INDEX(BASELINE!$A1165:$ZZ1165,CALC!$F$1))&gt;0),N(INDEX(BASELINE!$A1165:$ZZ1165,CALC!$F$1)),N(INDEX(BASELINE!$A1165:$ZZ1165,CALC!$P$1))))=INT(SIMOPS!$D$3),IFERROR(UPPER(TRIM(INDEX(BASELINE!$A1165:$ZZ1165,CALC!$R$1)&amp;"")),"")&lt;&gt;"ENCERRADA"),1,0),0)</f>
        <v/>
      </c>
      <c r="B1165">
        <f>B1164+A1165</f>
        <v/>
      </c>
    </row>
    <row r="1166">
      <c r="A1166">
        <f>IFERROR(IF(AND(INDEX(BASELINE!$A1166:$ZZ1166,CALC!$H$1)&lt;&gt;"",INT(IF(AND(CALC!$F$1&gt;0,N(INDEX(BASELINE!$A1166:$ZZ1166,CALC!$F$1))&gt;0),N(INDEX(BASELINE!$A1166:$ZZ1166,CALC!$F$1)),N(INDEX(BASELINE!$A1166:$ZZ1166,CALC!$P$1))))=INT(SIMOPS!$D$3),IFERROR(UPPER(TRIM(INDEX(BASELINE!$A1166:$ZZ1166,CALC!$R$1)&amp;"")),"")&lt;&gt;"ENCERRADA"),1,0),0)</f>
        <v/>
      </c>
      <c r="B1166">
        <f>B1165+A1166</f>
        <v/>
      </c>
    </row>
    <row r="1167">
      <c r="A1167">
        <f>IFERROR(IF(AND(INDEX(BASELINE!$A1167:$ZZ1167,CALC!$H$1)&lt;&gt;"",INT(IF(AND(CALC!$F$1&gt;0,N(INDEX(BASELINE!$A1167:$ZZ1167,CALC!$F$1))&gt;0),N(INDEX(BASELINE!$A1167:$ZZ1167,CALC!$F$1)),N(INDEX(BASELINE!$A1167:$ZZ1167,CALC!$P$1))))=INT(SIMOPS!$D$3),IFERROR(UPPER(TRIM(INDEX(BASELINE!$A1167:$ZZ1167,CALC!$R$1)&amp;"")),"")&lt;&gt;"ENCERRADA"),1,0),0)</f>
        <v/>
      </c>
      <c r="B1167">
        <f>B1166+A1167</f>
        <v/>
      </c>
    </row>
    <row r="1168">
      <c r="A1168">
        <f>IFERROR(IF(AND(INDEX(BASELINE!$A1168:$ZZ1168,CALC!$H$1)&lt;&gt;"",INT(IF(AND(CALC!$F$1&gt;0,N(INDEX(BASELINE!$A1168:$ZZ1168,CALC!$F$1))&gt;0),N(INDEX(BASELINE!$A1168:$ZZ1168,CALC!$F$1)),N(INDEX(BASELINE!$A1168:$ZZ1168,CALC!$P$1))))=INT(SIMOPS!$D$3),IFERROR(UPPER(TRIM(INDEX(BASELINE!$A1168:$ZZ1168,CALC!$R$1)&amp;"")),"")&lt;&gt;"ENCERRADA"),1,0),0)</f>
        <v/>
      </c>
      <c r="B1168">
        <f>B1167+A1168</f>
        <v/>
      </c>
    </row>
    <row r="1169">
      <c r="A1169">
        <f>IFERROR(IF(AND(INDEX(BASELINE!$A1169:$ZZ1169,CALC!$H$1)&lt;&gt;"",INT(IF(AND(CALC!$F$1&gt;0,N(INDEX(BASELINE!$A1169:$ZZ1169,CALC!$F$1))&gt;0),N(INDEX(BASELINE!$A1169:$ZZ1169,CALC!$F$1)),N(INDEX(BASELINE!$A1169:$ZZ1169,CALC!$P$1))))=INT(SIMOPS!$D$3),IFERROR(UPPER(TRIM(INDEX(BASELINE!$A1169:$ZZ1169,CALC!$R$1)&amp;"")),"")&lt;&gt;"ENCERRADA"),1,0),0)</f>
        <v/>
      </c>
      <c r="B1169">
        <f>B1168+A1169</f>
        <v/>
      </c>
    </row>
    <row r="1170">
      <c r="A1170">
        <f>IFERROR(IF(AND(INDEX(BASELINE!$A1170:$ZZ1170,CALC!$H$1)&lt;&gt;"",INT(IF(AND(CALC!$F$1&gt;0,N(INDEX(BASELINE!$A1170:$ZZ1170,CALC!$F$1))&gt;0),N(INDEX(BASELINE!$A1170:$ZZ1170,CALC!$F$1)),N(INDEX(BASELINE!$A1170:$ZZ1170,CALC!$P$1))))=INT(SIMOPS!$D$3),IFERROR(UPPER(TRIM(INDEX(BASELINE!$A1170:$ZZ1170,CALC!$R$1)&amp;"")),"")&lt;&gt;"ENCERRADA"),1,0),0)</f>
        <v/>
      </c>
      <c r="B1170">
        <f>B1169+A1170</f>
        <v/>
      </c>
    </row>
    <row r="1171">
      <c r="A1171">
        <f>IFERROR(IF(AND(INDEX(BASELINE!$A1171:$ZZ1171,CALC!$H$1)&lt;&gt;"",INT(IF(AND(CALC!$F$1&gt;0,N(INDEX(BASELINE!$A1171:$ZZ1171,CALC!$F$1))&gt;0),N(INDEX(BASELINE!$A1171:$ZZ1171,CALC!$F$1)),N(INDEX(BASELINE!$A1171:$ZZ1171,CALC!$P$1))))=INT(SIMOPS!$D$3),IFERROR(UPPER(TRIM(INDEX(BASELINE!$A1171:$ZZ1171,CALC!$R$1)&amp;"")),"")&lt;&gt;"ENCERRADA"),1,0),0)</f>
        <v/>
      </c>
      <c r="B1171">
        <f>B1170+A1171</f>
        <v/>
      </c>
    </row>
    <row r="1172">
      <c r="A1172">
        <f>IFERROR(IF(AND(INDEX(BASELINE!$A1172:$ZZ1172,CALC!$H$1)&lt;&gt;"",INT(IF(AND(CALC!$F$1&gt;0,N(INDEX(BASELINE!$A1172:$ZZ1172,CALC!$F$1))&gt;0),N(INDEX(BASELINE!$A1172:$ZZ1172,CALC!$F$1)),N(INDEX(BASELINE!$A1172:$ZZ1172,CALC!$P$1))))=INT(SIMOPS!$D$3),IFERROR(UPPER(TRIM(INDEX(BASELINE!$A1172:$ZZ1172,CALC!$R$1)&amp;"")),"")&lt;&gt;"ENCERRADA"),1,0),0)</f>
        <v/>
      </c>
      <c r="B1172">
        <f>B1171+A1172</f>
        <v/>
      </c>
    </row>
    <row r="1173">
      <c r="A1173">
        <f>IFERROR(IF(AND(INDEX(BASELINE!$A1173:$ZZ1173,CALC!$H$1)&lt;&gt;"",INT(IF(AND(CALC!$F$1&gt;0,N(INDEX(BASELINE!$A1173:$ZZ1173,CALC!$F$1))&gt;0),N(INDEX(BASELINE!$A1173:$ZZ1173,CALC!$F$1)),N(INDEX(BASELINE!$A1173:$ZZ1173,CALC!$P$1))))=INT(SIMOPS!$D$3),IFERROR(UPPER(TRIM(INDEX(BASELINE!$A1173:$ZZ1173,CALC!$R$1)&amp;"")),"")&lt;&gt;"ENCERRADA"),1,0),0)</f>
        <v/>
      </c>
      <c r="B1173">
        <f>B1172+A1173</f>
        <v/>
      </c>
    </row>
    <row r="1174">
      <c r="A1174">
        <f>IFERROR(IF(AND(INDEX(BASELINE!$A1174:$ZZ1174,CALC!$H$1)&lt;&gt;"",INT(IF(AND(CALC!$F$1&gt;0,N(INDEX(BASELINE!$A1174:$ZZ1174,CALC!$F$1))&gt;0),N(INDEX(BASELINE!$A1174:$ZZ1174,CALC!$F$1)),N(INDEX(BASELINE!$A1174:$ZZ1174,CALC!$P$1))))=INT(SIMOPS!$D$3),IFERROR(UPPER(TRIM(INDEX(BASELINE!$A1174:$ZZ1174,CALC!$R$1)&amp;"")),"")&lt;&gt;"ENCERRADA"),1,0),0)</f>
        <v/>
      </c>
      <c r="B1174">
        <f>B1173+A1174</f>
        <v/>
      </c>
    </row>
    <row r="1175">
      <c r="A1175">
        <f>IFERROR(IF(AND(INDEX(BASELINE!$A1175:$ZZ1175,CALC!$H$1)&lt;&gt;"",INT(IF(AND(CALC!$F$1&gt;0,N(INDEX(BASELINE!$A1175:$ZZ1175,CALC!$F$1))&gt;0),N(INDEX(BASELINE!$A1175:$ZZ1175,CALC!$F$1)),N(INDEX(BASELINE!$A1175:$ZZ1175,CALC!$P$1))))=INT(SIMOPS!$D$3),IFERROR(UPPER(TRIM(INDEX(BASELINE!$A1175:$ZZ1175,CALC!$R$1)&amp;"")),"")&lt;&gt;"ENCERRADA"),1,0),0)</f>
        <v/>
      </c>
      <c r="B1175">
        <f>B1174+A1175</f>
        <v/>
      </c>
    </row>
    <row r="1176">
      <c r="A1176">
        <f>IFERROR(IF(AND(INDEX(BASELINE!$A1176:$ZZ1176,CALC!$H$1)&lt;&gt;"",INT(IF(AND(CALC!$F$1&gt;0,N(INDEX(BASELINE!$A1176:$ZZ1176,CALC!$F$1))&gt;0),N(INDEX(BASELINE!$A1176:$ZZ1176,CALC!$F$1)),N(INDEX(BASELINE!$A1176:$ZZ1176,CALC!$P$1))))=INT(SIMOPS!$D$3),IFERROR(UPPER(TRIM(INDEX(BASELINE!$A1176:$ZZ1176,CALC!$R$1)&amp;"")),"")&lt;&gt;"ENCERRADA"),1,0),0)</f>
        <v/>
      </c>
      <c r="B1176">
        <f>B1175+A1176</f>
        <v/>
      </c>
    </row>
    <row r="1177">
      <c r="A1177">
        <f>IFERROR(IF(AND(INDEX(BASELINE!$A1177:$ZZ1177,CALC!$H$1)&lt;&gt;"",INT(IF(AND(CALC!$F$1&gt;0,N(INDEX(BASELINE!$A1177:$ZZ1177,CALC!$F$1))&gt;0),N(INDEX(BASELINE!$A1177:$ZZ1177,CALC!$F$1)),N(INDEX(BASELINE!$A1177:$ZZ1177,CALC!$P$1))))=INT(SIMOPS!$D$3),IFERROR(UPPER(TRIM(INDEX(BASELINE!$A1177:$ZZ1177,CALC!$R$1)&amp;"")),"")&lt;&gt;"ENCERRADA"),1,0),0)</f>
        <v/>
      </c>
      <c r="B1177">
        <f>B1176+A1177</f>
        <v/>
      </c>
    </row>
    <row r="1178">
      <c r="A1178">
        <f>IFERROR(IF(AND(INDEX(BASELINE!$A1178:$ZZ1178,CALC!$H$1)&lt;&gt;"",INT(IF(AND(CALC!$F$1&gt;0,N(INDEX(BASELINE!$A1178:$ZZ1178,CALC!$F$1))&gt;0),N(INDEX(BASELINE!$A1178:$ZZ1178,CALC!$F$1)),N(INDEX(BASELINE!$A1178:$ZZ1178,CALC!$P$1))))=INT(SIMOPS!$D$3),IFERROR(UPPER(TRIM(INDEX(BASELINE!$A1178:$ZZ1178,CALC!$R$1)&amp;"")),"")&lt;&gt;"ENCERRADA"),1,0),0)</f>
        <v/>
      </c>
      <c r="B1178">
        <f>B1177+A1178</f>
        <v/>
      </c>
    </row>
    <row r="1179">
      <c r="A1179">
        <f>IFERROR(IF(AND(INDEX(BASELINE!$A1179:$ZZ1179,CALC!$H$1)&lt;&gt;"",INT(IF(AND(CALC!$F$1&gt;0,N(INDEX(BASELINE!$A1179:$ZZ1179,CALC!$F$1))&gt;0),N(INDEX(BASELINE!$A1179:$ZZ1179,CALC!$F$1)),N(INDEX(BASELINE!$A1179:$ZZ1179,CALC!$P$1))))=INT(SIMOPS!$D$3),IFERROR(UPPER(TRIM(INDEX(BASELINE!$A1179:$ZZ1179,CALC!$R$1)&amp;"")),"")&lt;&gt;"ENCERRADA"),1,0),0)</f>
        <v/>
      </c>
      <c r="B1179">
        <f>B1178+A1179</f>
        <v/>
      </c>
    </row>
    <row r="1180">
      <c r="A1180">
        <f>IFERROR(IF(AND(INDEX(BASELINE!$A1180:$ZZ1180,CALC!$H$1)&lt;&gt;"",INT(IF(AND(CALC!$F$1&gt;0,N(INDEX(BASELINE!$A1180:$ZZ1180,CALC!$F$1))&gt;0),N(INDEX(BASELINE!$A1180:$ZZ1180,CALC!$F$1)),N(INDEX(BASELINE!$A1180:$ZZ1180,CALC!$P$1))))=INT(SIMOPS!$D$3),IFERROR(UPPER(TRIM(INDEX(BASELINE!$A1180:$ZZ1180,CALC!$R$1)&amp;"")),"")&lt;&gt;"ENCERRADA"),1,0),0)</f>
        <v/>
      </c>
      <c r="B1180">
        <f>B1179+A1180</f>
        <v/>
      </c>
    </row>
    <row r="1181">
      <c r="A1181">
        <f>IFERROR(IF(AND(INDEX(BASELINE!$A1181:$ZZ1181,CALC!$H$1)&lt;&gt;"",INT(IF(AND(CALC!$F$1&gt;0,N(INDEX(BASELINE!$A1181:$ZZ1181,CALC!$F$1))&gt;0),N(INDEX(BASELINE!$A1181:$ZZ1181,CALC!$F$1)),N(INDEX(BASELINE!$A1181:$ZZ1181,CALC!$P$1))))=INT(SIMOPS!$D$3),IFERROR(UPPER(TRIM(INDEX(BASELINE!$A1181:$ZZ1181,CALC!$R$1)&amp;"")),"")&lt;&gt;"ENCERRADA"),1,0),0)</f>
        <v/>
      </c>
      <c r="B1181">
        <f>B1180+A1181</f>
        <v/>
      </c>
    </row>
    <row r="1182">
      <c r="A1182">
        <f>IFERROR(IF(AND(INDEX(BASELINE!$A1182:$ZZ1182,CALC!$H$1)&lt;&gt;"",INT(IF(AND(CALC!$F$1&gt;0,N(INDEX(BASELINE!$A1182:$ZZ1182,CALC!$F$1))&gt;0),N(INDEX(BASELINE!$A1182:$ZZ1182,CALC!$F$1)),N(INDEX(BASELINE!$A1182:$ZZ1182,CALC!$P$1))))=INT(SIMOPS!$D$3),IFERROR(UPPER(TRIM(INDEX(BASELINE!$A1182:$ZZ1182,CALC!$R$1)&amp;"")),"")&lt;&gt;"ENCERRADA"),1,0),0)</f>
        <v/>
      </c>
      <c r="B1182">
        <f>B1181+A1182</f>
        <v/>
      </c>
    </row>
    <row r="1183">
      <c r="A1183">
        <f>IFERROR(IF(AND(INDEX(BASELINE!$A1183:$ZZ1183,CALC!$H$1)&lt;&gt;"",INT(IF(AND(CALC!$F$1&gt;0,N(INDEX(BASELINE!$A1183:$ZZ1183,CALC!$F$1))&gt;0),N(INDEX(BASELINE!$A1183:$ZZ1183,CALC!$F$1)),N(INDEX(BASELINE!$A1183:$ZZ1183,CALC!$P$1))))=INT(SIMOPS!$D$3),IFERROR(UPPER(TRIM(INDEX(BASELINE!$A1183:$ZZ1183,CALC!$R$1)&amp;"")),"")&lt;&gt;"ENCERRADA"),1,0),0)</f>
        <v/>
      </c>
      <c r="B1183">
        <f>B1182+A1183</f>
        <v/>
      </c>
    </row>
    <row r="1184">
      <c r="A1184">
        <f>IFERROR(IF(AND(INDEX(BASELINE!$A1184:$ZZ1184,CALC!$H$1)&lt;&gt;"",INT(IF(AND(CALC!$F$1&gt;0,N(INDEX(BASELINE!$A1184:$ZZ1184,CALC!$F$1))&gt;0),N(INDEX(BASELINE!$A1184:$ZZ1184,CALC!$F$1)),N(INDEX(BASELINE!$A1184:$ZZ1184,CALC!$P$1))))=INT(SIMOPS!$D$3),IFERROR(UPPER(TRIM(INDEX(BASELINE!$A1184:$ZZ1184,CALC!$R$1)&amp;"")),"")&lt;&gt;"ENCERRADA"),1,0),0)</f>
        <v/>
      </c>
      <c r="B1184">
        <f>B1183+A1184</f>
        <v/>
      </c>
    </row>
    <row r="1185">
      <c r="A1185">
        <f>IFERROR(IF(AND(INDEX(BASELINE!$A1185:$ZZ1185,CALC!$H$1)&lt;&gt;"",INT(IF(AND(CALC!$F$1&gt;0,N(INDEX(BASELINE!$A1185:$ZZ1185,CALC!$F$1))&gt;0),N(INDEX(BASELINE!$A1185:$ZZ1185,CALC!$F$1)),N(INDEX(BASELINE!$A1185:$ZZ1185,CALC!$P$1))))=INT(SIMOPS!$D$3),IFERROR(UPPER(TRIM(INDEX(BASELINE!$A1185:$ZZ1185,CALC!$R$1)&amp;"")),"")&lt;&gt;"ENCERRADA"),1,0),0)</f>
        <v/>
      </c>
      <c r="B1185">
        <f>B1184+A1185</f>
        <v/>
      </c>
    </row>
    <row r="1186">
      <c r="A1186">
        <f>IFERROR(IF(AND(INDEX(BASELINE!$A1186:$ZZ1186,CALC!$H$1)&lt;&gt;"",INT(IF(AND(CALC!$F$1&gt;0,N(INDEX(BASELINE!$A1186:$ZZ1186,CALC!$F$1))&gt;0),N(INDEX(BASELINE!$A1186:$ZZ1186,CALC!$F$1)),N(INDEX(BASELINE!$A1186:$ZZ1186,CALC!$P$1))))=INT(SIMOPS!$D$3),IFERROR(UPPER(TRIM(INDEX(BASELINE!$A1186:$ZZ1186,CALC!$R$1)&amp;"")),"")&lt;&gt;"ENCERRADA"),1,0),0)</f>
        <v/>
      </c>
      <c r="B1186">
        <f>B1185+A1186</f>
        <v/>
      </c>
    </row>
    <row r="1187">
      <c r="A1187">
        <f>IFERROR(IF(AND(INDEX(BASELINE!$A1187:$ZZ1187,CALC!$H$1)&lt;&gt;"",INT(IF(AND(CALC!$F$1&gt;0,N(INDEX(BASELINE!$A1187:$ZZ1187,CALC!$F$1))&gt;0),N(INDEX(BASELINE!$A1187:$ZZ1187,CALC!$F$1)),N(INDEX(BASELINE!$A1187:$ZZ1187,CALC!$P$1))))=INT(SIMOPS!$D$3),IFERROR(UPPER(TRIM(INDEX(BASELINE!$A1187:$ZZ1187,CALC!$R$1)&amp;"")),"")&lt;&gt;"ENCERRADA"),1,0),0)</f>
        <v/>
      </c>
      <c r="B1187">
        <f>B1186+A1187</f>
        <v/>
      </c>
    </row>
    <row r="1188">
      <c r="A1188">
        <f>IFERROR(IF(AND(INDEX(BASELINE!$A1188:$ZZ1188,CALC!$H$1)&lt;&gt;"",INT(IF(AND(CALC!$F$1&gt;0,N(INDEX(BASELINE!$A1188:$ZZ1188,CALC!$F$1))&gt;0),N(INDEX(BASELINE!$A1188:$ZZ1188,CALC!$F$1)),N(INDEX(BASELINE!$A1188:$ZZ1188,CALC!$P$1))))=INT(SIMOPS!$D$3),IFERROR(UPPER(TRIM(INDEX(BASELINE!$A1188:$ZZ1188,CALC!$R$1)&amp;"")),"")&lt;&gt;"ENCERRADA"),1,0),0)</f>
        <v/>
      </c>
      <c r="B1188">
        <f>B1187+A1188</f>
        <v/>
      </c>
    </row>
    <row r="1189">
      <c r="A1189">
        <f>IFERROR(IF(AND(INDEX(BASELINE!$A1189:$ZZ1189,CALC!$H$1)&lt;&gt;"",INT(IF(AND(CALC!$F$1&gt;0,N(INDEX(BASELINE!$A1189:$ZZ1189,CALC!$F$1))&gt;0),N(INDEX(BASELINE!$A1189:$ZZ1189,CALC!$F$1)),N(INDEX(BASELINE!$A1189:$ZZ1189,CALC!$P$1))))=INT(SIMOPS!$D$3),IFERROR(UPPER(TRIM(INDEX(BASELINE!$A1189:$ZZ1189,CALC!$R$1)&amp;"")),"")&lt;&gt;"ENCERRADA"),1,0),0)</f>
        <v/>
      </c>
      <c r="B1189">
        <f>B1188+A1189</f>
        <v/>
      </c>
    </row>
    <row r="1190">
      <c r="A1190">
        <f>IFERROR(IF(AND(INDEX(BASELINE!$A1190:$ZZ1190,CALC!$H$1)&lt;&gt;"",INT(IF(AND(CALC!$F$1&gt;0,N(INDEX(BASELINE!$A1190:$ZZ1190,CALC!$F$1))&gt;0),N(INDEX(BASELINE!$A1190:$ZZ1190,CALC!$F$1)),N(INDEX(BASELINE!$A1190:$ZZ1190,CALC!$P$1))))=INT(SIMOPS!$D$3),IFERROR(UPPER(TRIM(INDEX(BASELINE!$A1190:$ZZ1190,CALC!$R$1)&amp;"")),"")&lt;&gt;"ENCERRADA"),1,0),0)</f>
        <v/>
      </c>
      <c r="B1190">
        <f>B1189+A1190</f>
        <v/>
      </c>
    </row>
    <row r="1191">
      <c r="A1191">
        <f>IFERROR(IF(AND(INDEX(BASELINE!$A1191:$ZZ1191,CALC!$H$1)&lt;&gt;"",INT(IF(AND(CALC!$F$1&gt;0,N(INDEX(BASELINE!$A1191:$ZZ1191,CALC!$F$1))&gt;0),N(INDEX(BASELINE!$A1191:$ZZ1191,CALC!$F$1)),N(INDEX(BASELINE!$A1191:$ZZ1191,CALC!$P$1))))=INT(SIMOPS!$D$3),IFERROR(UPPER(TRIM(INDEX(BASELINE!$A1191:$ZZ1191,CALC!$R$1)&amp;"")),"")&lt;&gt;"ENCERRADA"),1,0),0)</f>
        <v/>
      </c>
      <c r="B1191">
        <f>B1190+A1191</f>
        <v/>
      </c>
    </row>
    <row r="1192">
      <c r="A1192">
        <f>IFERROR(IF(AND(INDEX(BASELINE!$A1192:$ZZ1192,CALC!$H$1)&lt;&gt;"",INT(IF(AND(CALC!$F$1&gt;0,N(INDEX(BASELINE!$A1192:$ZZ1192,CALC!$F$1))&gt;0),N(INDEX(BASELINE!$A1192:$ZZ1192,CALC!$F$1)),N(INDEX(BASELINE!$A1192:$ZZ1192,CALC!$P$1))))=INT(SIMOPS!$D$3),IFERROR(UPPER(TRIM(INDEX(BASELINE!$A1192:$ZZ1192,CALC!$R$1)&amp;"")),"")&lt;&gt;"ENCERRADA"),1,0),0)</f>
        <v/>
      </c>
      <c r="B1192">
        <f>B1191+A1192</f>
        <v/>
      </c>
    </row>
    <row r="1193">
      <c r="A1193">
        <f>IFERROR(IF(AND(INDEX(BASELINE!$A1193:$ZZ1193,CALC!$H$1)&lt;&gt;"",INT(IF(AND(CALC!$F$1&gt;0,N(INDEX(BASELINE!$A1193:$ZZ1193,CALC!$F$1))&gt;0),N(INDEX(BASELINE!$A1193:$ZZ1193,CALC!$F$1)),N(INDEX(BASELINE!$A1193:$ZZ1193,CALC!$P$1))))=INT(SIMOPS!$D$3),IFERROR(UPPER(TRIM(INDEX(BASELINE!$A1193:$ZZ1193,CALC!$R$1)&amp;"")),"")&lt;&gt;"ENCERRADA"),1,0),0)</f>
        <v/>
      </c>
      <c r="B1193">
        <f>B1192+A1193</f>
        <v/>
      </c>
    </row>
    <row r="1194">
      <c r="A1194">
        <f>IFERROR(IF(AND(INDEX(BASELINE!$A1194:$ZZ1194,CALC!$H$1)&lt;&gt;"",INT(IF(AND(CALC!$F$1&gt;0,N(INDEX(BASELINE!$A1194:$ZZ1194,CALC!$F$1))&gt;0),N(INDEX(BASELINE!$A1194:$ZZ1194,CALC!$F$1)),N(INDEX(BASELINE!$A1194:$ZZ1194,CALC!$P$1))))=INT(SIMOPS!$D$3),IFERROR(UPPER(TRIM(INDEX(BASELINE!$A1194:$ZZ1194,CALC!$R$1)&amp;"")),"")&lt;&gt;"ENCERRADA"),1,0),0)</f>
        <v/>
      </c>
      <c r="B1194">
        <f>B1193+A1194</f>
        <v/>
      </c>
    </row>
    <row r="1195">
      <c r="A1195">
        <f>IFERROR(IF(AND(INDEX(BASELINE!$A1195:$ZZ1195,CALC!$H$1)&lt;&gt;"",INT(IF(AND(CALC!$F$1&gt;0,N(INDEX(BASELINE!$A1195:$ZZ1195,CALC!$F$1))&gt;0),N(INDEX(BASELINE!$A1195:$ZZ1195,CALC!$F$1)),N(INDEX(BASELINE!$A1195:$ZZ1195,CALC!$P$1))))=INT(SIMOPS!$D$3),IFERROR(UPPER(TRIM(INDEX(BASELINE!$A1195:$ZZ1195,CALC!$R$1)&amp;"")),"")&lt;&gt;"ENCERRADA"),1,0),0)</f>
        <v/>
      </c>
      <c r="B1195">
        <f>B1194+A1195</f>
        <v/>
      </c>
    </row>
    <row r="1196">
      <c r="A1196">
        <f>IFERROR(IF(AND(INDEX(BASELINE!$A1196:$ZZ1196,CALC!$H$1)&lt;&gt;"",INT(IF(AND(CALC!$F$1&gt;0,N(INDEX(BASELINE!$A1196:$ZZ1196,CALC!$F$1))&gt;0),N(INDEX(BASELINE!$A1196:$ZZ1196,CALC!$F$1)),N(INDEX(BASELINE!$A1196:$ZZ1196,CALC!$P$1))))=INT(SIMOPS!$D$3),IFERROR(UPPER(TRIM(INDEX(BASELINE!$A1196:$ZZ1196,CALC!$R$1)&amp;"")),"")&lt;&gt;"ENCERRADA"),1,0),0)</f>
        <v/>
      </c>
      <c r="B1196">
        <f>B1195+A1196</f>
        <v/>
      </c>
    </row>
    <row r="1197">
      <c r="A1197">
        <f>IFERROR(IF(AND(INDEX(BASELINE!$A1197:$ZZ1197,CALC!$H$1)&lt;&gt;"",INT(IF(AND(CALC!$F$1&gt;0,N(INDEX(BASELINE!$A1197:$ZZ1197,CALC!$F$1))&gt;0),N(INDEX(BASELINE!$A1197:$ZZ1197,CALC!$F$1)),N(INDEX(BASELINE!$A1197:$ZZ1197,CALC!$P$1))))=INT(SIMOPS!$D$3),IFERROR(UPPER(TRIM(INDEX(BASELINE!$A1197:$ZZ1197,CALC!$R$1)&amp;"")),"")&lt;&gt;"ENCERRADA"),1,0),0)</f>
        <v/>
      </c>
      <c r="B1197">
        <f>B1196+A1197</f>
        <v/>
      </c>
    </row>
    <row r="1198">
      <c r="A1198">
        <f>IFERROR(IF(AND(INDEX(BASELINE!$A1198:$ZZ1198,CALC!$H$1)&lt;&gt;"",INT(IF(AND(CALC!$F$1&gt;0,N(INDEX(BASELINE!$A1198:$ZZ1198,CALC!$F$1))&gt;0),N(INDEX(BASELINE!$A1198:$ZZ1198,CALC!$F$1)),N(INDEX(BASELINE!$A1198:$ZZ1198,CALC!$P$1))))=INT(SIMOPS!$D$3),IFERROR(UPPER(TRIM(INDEX(BASELINE!$A1198:$ZZ1198,CALC!$R$1)&amp;"")),"")&lt;&gt;"ENCERRADA"),1,0),0)</f>
        <v/>
      </c>
      <c r="B1198">
        <f>B1197+A1198</f>
        <v/>
      </c>
    </row>
    <row r="1199">
      <c r="A1199">
        <f>IFERROR(IF(AND(INDEX(BASELINE!$A1199:$ZZ1199,CALC!$H$1)&lt;&gt;"",INT(IF(AND(CALC!$F$1&gt;0,N(INDEX(BASELINE!$A1199:$ZZ1199,CALC!$F$1))&gt;0),N(INDEX(BASELINE!$A1199:$ZZ1199,CALC!$F$1)),N(INDEX(BASELINE!$A1199:$ZZ1199,CALC!$P$1))))=INT(SIMOPS!$D$3),IFERROR(UPPER(TRIM(INDEX(BASELINE!$A1199:$ZZ1199,CALC!$R$1)&amp;"")),"")&lt;&gt;"ENCERRADA"),1,0),0)</f>
        <v/>
      </c>
      <c r="B1199">
        <f>B1198+A1199</f>
        <v/>
      </c>
    </row>
    <row r="1200">
      <c r="A1200">
        <f>IFERROR(IF(AND(INDEX(BASELINE!$A1200:$ZZ1200,CALC!$H$1)&lt;&gt;"",INT(IF(AND(CALC!$F$1&gt;0,N(INDEX(BASELINE!$A1200:$ZZ1200,CALC!$F$1))&gt;0),N(INDEX(BASELINE!$A1200:$ZZ1200,CALC!$F$1)),N(INDEX(BASELINE!$A1200:$ZZ1200,CALC!$P$1))))=INT(SIMOPS!$D$3),IFERROR(UPPER(TRIM(INDEX(BASELINE!$A1200:$ZZ1200,CALC!$R$1)&amp;"")),"")&lt;&gt;"ENCERRADA"),1,0),0)</f>
        <v/>
      </c>
      <c r="B1200">
        <f>B1199+A1200</f>
        <v/>
      </c>
    </row>
    <row r="1201">
      <c r="A1201">
        <f>IFERROR(IF(AND(INDEX(BASELINE!$A1201:$ZZ1201,CALC!$H$1)&lt;&gt;"",INT(IF(AND(CALC!$F$1&gt;0,N(INDEX(BASELINE!$A1201:$ZZ1201,CALC!$F$1))&gt;0),N(INDEX(BASELINE!$A1201:$ZZ1201,CALC!$F$1)),N(INDEX(BASELINE!$A1201:$ZZ1201,CALC!$P$1))))=INT(SIMOPS!$D$3),IFERROR(UPPER(TRIM(INDEX(BASELINE!$A1201:$ZZ1201,CALC!$R$1)&amp;"")),"")&lt;&gt;"ENCERRADA"),1,0),0)</f>
        <v/>
      </c>
      <c r="B1201">
        <f>B1200+A1201</f>
        <v/>
      </c>
    </row>
    <row r="1202">
      <c r="A1202">
        <f>IFERROR(IF(AND(INDEX(BASELINE!$A1202:$ZZ1202,CALC!$H$1)&lt;&gt;"",INT(IF(AND(CALC!$F$1&gt;0,N(INDEX(BASELINE!$A1202:$ZZ1202,CALC!$F$1))&gt;0),N(INDEX(BASELINE!$A1202:$ZZ1202,CALC!$F$1)),N(INDEX(BASELINE!$A1202:$ZZ1202,CALC!$P$1))))=INT(SIMOPS!$D$3),IFERROR(UPPER(TRIM(INDEX(BASELINE!$A1202:$ZZ1202,CALC!$R$1)&amp;"")),"")&lt;&gt;"ENCERRADA"),1,0),0)</f>
        <v/>
      </c>
      <c r="B1202">
        <f>B1201+A1202</f>
        <v/>
      </c>
    </row>
    <row r="1203">
      <c r="A1203">
        <f>IFERROR(IF(AND(INDEX(BASELINE!$A1203:$ZZ1203,CALC!$H$1)&lt;&gt;"",INT(IF(AND(CALC!$F$1&gt;0,N(INDEX(BASELINE!$A1203:$ZZ1203,CALC!$F$1))&gt;0),N(INDEX(BASELINE!$A1203:$ZZ1203,CALC!$F$1)),N(INDEX(BASELINE!$A1203:$ZZ1203,CALC!$P$1))))=INT(SIMOPS!$D$3),IFERROR(UPPER(TRIM(INDEX(BASELINE!$A1203:$ZZ1203,CALC!$R$1)&amp;"")),"")&lt;&gt;"ENCERRADA"),1,0),0)</f>
        <v/>
      </c>
      <c r="B1203">
        <f>B1202+A1203</f>
        <v/>
      </c>
    </row>
    <row r="1204">
      <c r="A1204">
        <f>IFERROR(IF(AND(INDEX(BASELINE!$A1204:$ZZ1204,CALC!$H$1)&lt;&gt;"",INT(IF(AND(CALC!$F$1&gt;0,N(INDEX(BASELINE!$A1204:$ZZ1204,CALC!$F$1))&gt;0),N(INDEX(BASELINE!$A1204:$ZZ1204,CALC!$F$1)),N(INDEX(BASELINE!$A1204:$ZZ1204,CALC!$P$1))))=INT(SIMOPS!$D$3),IFERROR(UPPER(TRIM(INDEX(BASELINE!$A1204:$ZZ1204,CALC!$R$1)&amp;"")),"")&lt;&gt;"ENCERRADA"),1,0),0)</f>
        <v/>
      </c>
      <c r="B1204">
        <f>B1203+A1204</f>
        <v/>
      </c>
    </row>
    <row r="1205">
      <c r="A1205">
        <f>IFERROR(IF(AND(INDEX(BASELINE!$A1205:$ZZ1205,CALC!$H$1)&lt;&gt;"",INT(IF(AND(CALC!$F$1&gt;0,N(INDEX(BASELINE!$A1205:$ZZ1205,CALC!$F$1))&gt;0),N(INDEX(BASELINE!$A1205:$ZZ1205,CALC!$F$1)),N(INDEX(BASELINE!$A1205:$ZZ1205,CALC!$P$1))))=INT(SIMOPS!$D$3),IFERROR(UPPER(TRIM(INDEX(BASELINE!$A1205:$ZZ1205,CALC!$R$1)&amp;"")),"")&lt;&gt;"ENCERRADA"),1,0),0)</f>
        <v/>
      </c>
      <c r="B1205">
        <f>B1204+A1205</f>
        <v/>
      </c>
    </row>
    <row r="1206">
      <c r="A1206">
        <f>IFERROR(IF(AND(INDEX(BASELINE!$A1206:$ZZ1206,CALC!$H$1)&lt;&gt;"",INT(IF(AND(CALC!$F$1&gt;0,N(INDEX(BASELINE!$A1206:$ZZ1206,CALC!$F$1))&gt;0),N(INDEX(BASELINE!$A1206:$ZZ1206,CALC!$F$1)),N(INDEX(BASELINE!$A1206:$ZZ1206,CALC!$P$1))))=INT(SIMOPS!$D$3),IFERROR(UPPER(TRIM(INDEX(BASELINE!$A1206:$ZZ1206,CALC!$R$1)&amp;"")),"")&lt;&gt;"ENCERRADA"),1,0),0)</f>
        <v/>
      </c>
      <c r="B1206">
        <f>B1205+A1206</f>
        <v/>
      </c>
    </row>
    <row r="1207">
      <c r="A1207">
        <f>IFERROR(IF(AND(INDEX(BASELINE!$A1207:$ZZ1207,CALC!$H$1)&lt;&gt;"",INT(IF(AND(CALC!$F$1&gt;0,N(INDEX(BASELINE!$A1207:$ZZ1207,CALC!$F$1))&gt;0),N(INDEX(BASELINE!$A1207:$ZZ1207,CALC!$F$1)),N(INDEX(BASELINE!$A1207:$ZZ1207,CALC!$P$1))))=INT(SIMOPS!$D$3),IFERROR(UPPER(TRIM(INDEX(BASELINE!$A1207:$ZZ1207,CALC!$R$1)&amp;"")),"")&lt;&gt;"ENCERRADA"),1,0),0)</f>
        <v/>
      </c>
      <c r="B1207">
        <f>B1206+A1207</f>
        <v/>
      </c>
    </row>
    <row r="1208">
      <c r="A1208">
        <f>IFERROR(IF(AND(INDEX(BASELINE!$A1208:$ZZ1208,CALC!$H$1)&lt;&gt;"",INT(IF(AND(CALC!$F$1&gt;0,N(INDEX(BASELINE!$A1208:$ZZ1208,CALC!$F$1))&gt;0),N(INDEX(BASELINE!$A1208:$ZZ1208,CALC!$F$1)),N(INDEX(BASELINE!$A1208:$ZZ1208,CALC!$P$1))))=INT(SIMOPS!$D$3),IFERROR(UPPER(TRIM(INDEX(BASELINE!$A1208:$ZZ1208,CALC!$R$1)&amp;"")),"")&lt;&gt;"ENCERRADA"),1,0),0)</f>
        <v/>
      </c>
      <c r="B1208">
        <f>B1207+A1208</f>
        <v/>
      </c>
    </row>
    <row r="1209">
      <c r="A1209">
        <f>IFERROR(IF(AND(INDEX(BASELINE!$A1209:$ZZ1209,CALC!$H$1)&lt;&gt;"",INT(IF(AND(CALC!$F$1&gt;0,N(INDEX(BASELINE!$A1209:$ZZ1209,CALC!$F$1))&gt;0),N(INDEX(BASELINE!$A1209:$ZZ1209,CALC!$F$1)),N(INDEX(BASELINE!$A1209:$ZZ1209,CALC!$P$1))))=INT(SIMOPS!$D$3),IFERROR(UPPER(TRIM(INDEX(BASELINE!$A1209:$ZZ1209,CALC!$R$1)&amp;"")),"")&lt;&gt;"ENCERRADA"),1,0),0)</f>
        <v/>
      </c>
      <c r="B1209">
        <f>B1208+A1209</f>
        <v/>
      </c>
    </row>
    <row r="1210">
      <c r="A1210">
        <f>IFERROR(IF(AND(INDEX(BASELINE!$A1210:$ZZ1210,CALC!$H$1)&lt;&gt;"",INT(IF(AND(CALC!$F$1&gt;0,N(INDEX(BASELINE!$A1210:$ZZ1210,CALC!$F$1))&gt;0),N(INDEX(BASELINE!$A1210:$ZZ1210,CALC!$F$1)),N(INDEX(BASELINE!$A1210:$ZZ1210,CALC!$P$1))))=INT(SIMOPS!$D$3),IFERROR(UPPER(TRIM(INDEX(BASELINE!$A1210:$ZZ1210,CALC!$R$1)&amp;"")),"")&lt;&gt;"ENCERRADA"),1,0),0)</f>
        <v/>
      </c>
      <c r="B1210">
        <f>B1209+A1210</f>
        <v/>
      </c>
    </row>
    <row r="1211">
      <c r="A1211">
        <f>IFERROR(IF(AND(INDEX(BASELINE!$A1211:$ZZ1211,CALC!$H$1)&lt;&gt;"",INT(IF(AND(CALC!$F$1&gt;0,N(INDEX(BASELINE!$A1211:$ZZ1211,CALC!$F$1))&gt;0),N(INDEX(BASELINE!$A1211:$ZZ1211,CALC!$F$1)),N(INDEX(BASELINE!$A1211:$ZZ1211,CALC!$P$1))))=INT(SIMOPS!$D$3),IFERROR(UPPER(TRIM(INDEX(BASELINE!$A1211:$ZZ1211,CALC!$R$1)&amp;"")),"")&lt;&gt;"ENCERRADA"),1,0),0)</f>
        <v/>
      </c>
      <c r="B1211">
        <f>B1210+A1211</f>
        <v/>
      </c>
    </row>
    <row r="1212">
      <c r="A1212">
        <f>IFERROR(IF(AND(INDEX(BASELINE!$A1212:$ZZ1212,CALC!$H$1)&lt;&gt;"",INT(IF(AND(CALC!$F$1&gt;0,N(INDEX(BASELINE!$A1212:$ZZ1212,CALC!$F$1))&gt;0),N(INDEX(BASELINE!$A1212:$ZZ1212,CALC!$F$1)),N(INDEX(BASELINE!$A1212:$ZZ1212,CALC!$P$1))))=INT(SIMOPS!$D$3),IFERROR(UPPER(TRIM(INDEX(BASELINE!$A1212:$ZZ1212,CALC!$R$1)&amp;"")),"")&lt;&gt;"ENCERRADA"),1,0),0)</f>
        <v/>
      </c>
      <c r="B1212">
        <f>B1211+A1212</f>
        <v/>
      </c>
    </row>
    <row r="1213">
      <c r="A1213">
        <f>IFERROR(IF(AND(INDEX(BASELINE!$A1213:$ZZ1213,CALC!$H$1)&lt;&gt;"",INT(IF(AND(CALC!$F$1&gt;0,N(INDEX(BASELINE!$A1213:$ZZ1213,CALC!$F$1))&gt;0),N(INDEX(BASELINE!$A1213:$ZZ1213,CALC!$F$1)),N(INDEX(BASELINE!$A1213:$ZZ1213,CALC!$P$1))))=INT(SIMOPS!$D$3),IFERROR(UPPER(TRIM(INDEX(BASELINE!$A1213:$ZZ1213,CALC!$R$1)&amp;"")),"")&lt;&gt;"ENCERRADA"),1,0),0)</f>
        <v/>
      </c>
      <c r="B1213">
        <f>B1212+A1213</f>
        <v/>
      </c>
    </row>
    <row r="1214">
      <c r="A1214">
        <f>IFERROR(IF(AND(INDEX(BASELINE!$A1214:$ZZ1214,CALC!$H$1)&lt;&gt;"",INT(IF(AND(CALC!$F$1&gt;0,N(INDEX(BASELINE!$A1214:$ZZ1214,CALC!$F$1))&gt;0),N(INDEX(BASELINE!$A1214:$ZZ1214,CALC!$F$1)),N(INDEX(BASELINE!$A1214:$ZZ1214,CALC!$P$1))))=INT(SIMOPS!$D$3),IFERROR(UPPER(TRIM(INDEX(BASELINE!$A1214:$ZZ1214,CALC!$R$1)&amp;"")),"")&lt;&gt;"ENCERRADA"),1,0),0)</f>
        <v/>
      </c>
      <c r="B1214">
        <f>B1213+A1214</f>
        <v/>
      </c>
    </row>
    <row r="1215">
      <c r="A1215">
        <f>IFERROR(IF(AND(INDEX(BASELINE!$A1215:$ZZ1215,CALC!$H$1)&lt;&gt;"",INT(IF(AND(CALC!$F$1&gt;0,N(INDEX(BASELINE!$A1215:$ZZ1215,CALC!$F$1))&gt;0),N(INDEX(BASELINE!$A1215:$ZZ1215,CALC!$F$1)),N(INDEX(BASELINE!$A1215:$ZZ1215,CALC!$P$1))))=INT(SIMOPS!$D$3),IFERROR(UPPER(TRIM(INDEX(BASELINE!$A1215:$ZZ1215,CALC!$R$1)&amp;"")),"")&lt;&gt;"ENCERRADA"),1,0),0)</f>
        <v/>
      </c>
      <c r="B1215">
        <f>B1214+A1215</f>
        <v/>
      </c>
    </row>
    <row r="1216">
      <c r="A1216">
        <f>IFERROR(IF(AND(INDEX(BASELINE!$A1216:$ZZ1216,CALC!$H$1)&lt;&gt;"",INT(IF(AND(CALC!$F$1&gt;0,N(INDEX(BASELINE!$A1216:$ZZ1216,CALC!$F$1))&gt;0),N(INDEX(BASELINE!$A1216:$ZZ1216,CALC!$F$1)),N(INDEX(BASELINE!$A1216:$ZZ1216,CALC!$P$1))))=INT(SIMOPS!$D$3),IFERROR(UPPER(TRIM(INDEX(BASELINE!$A1216:$ZZ1216,CALC!$R$1)&amp;"")),"")&lt;&gt;"ENCERRADA"),1,0),0)</f>
        <v/>
      </c>
      <c r="B1216">
        <f>B1215+A1216</f>
        <v/>
      </c>
    </row>
    <row r="1217">
      <c r="A1217">
        <f>IFERROR(IF(AND(INDEX(BASELINE!$A1217:$ZZ1217,CALC!$H$1)&lt;&gt;"",INT(IF(AND(CALC!$F$1&gt;0,N(INDEX(BASELINE!$A1217:$ZZ1217,CALC!$F$1))&gt;0),N(INDEX(BASELINE!$A1217:$ZZ1217,CALC!$F$1)),N(INDEX(BASELINE!$A1217:$ZZ1217,CALC!$P$1))))=INT(SIMOPS!$D$3),IFERROR(UPPER(TRIM(INDEX(BASELINE!$A1217:$ZZ1217,CALC!$R$1)&amp;"")),"")&lt;&gt;"ENCERRADA"),1,0),0)</f>
        <v/>
      </c>
      <c r="B1217">
        <f>B1216+A1217</f>
        <v/>
      </c>
    </row>
    <row r="1218">
      <c r="A1218">
        <f>IFERROR(IF(AND(INDEX(BASELINE!$A1218:$ZZ1218,CALC!$H$1)&lt;&gt;"",INT(IF(AND(CALC!$F$1&gt;0,N(INDEX(BASELINE!$A1218:$ZZ1218,CALC!$F$1))&gt;0),N(INDEX(BASELINE!$A1218:$ZZ1218,CALC!$F$1)),N(INDEX(BASELINE!$A1218:$ZZ1218,CALC!$P$1))))=INT(SIMOPS!$D$3),IFERROR(UPPER(TRIM(INDEX(BASELINE!$A1218:$ZZ1218,CALC!$R$1)&amp;"")),"")&lt;&gt;"ENCERRADA"),1,0),0)</f>
        <v/>
      </c>
      <c r="B1218">
        <f>B1217+A1218</f>
        <v/>
      </c>
    </row>
    <row r="1219">
      <c r="A1219">
        <f>IFERROR(IF(AND(INDEX(BASELINE!$A1219:$ZZ1219,CALC!$H$1)&lt;&gt;"",INT(IF(AND(CALC!$F$1&gt;0,N(INDEX(BASELINE!$A1219:$ZZ1219,CALC!$F$1))&gt;0),N(INDEX(BASELINE!$A1219:$ZZ1219,CALC!$F$1)),N(INDEX(BASELINE!$A1219:$ZZ1219,CALC!$P$1))))=INT(SIMOPS!$D$3),IFERROR(UPPER(TRIM(INDEX(BASELINE!$A1219:$ZZ1219,CALC!$R$1)&amp;"")),"")&lt;&gt;"ENCERRADA"),1,0),0)</f>
        <v/>
      </c>
      <c r="B1219">
        <f>B1218+A1219</f>
        <v/>
      </c>
    </row>
    <row r="1220">
      <c r="A1220">
        <f>IFERROR(IF(AND(INDEX(BASELINE!$A1220:$ZZ1220,CALC!$H$1)&lt;&gt;"",INT(IF(AND(CALC!$F$1&gt;0,N(INDEX(BASELINE!$A1220:$ZZ1220,CALC!$F$1))&gt;0),N(INDEX(BASELINE!$A1220:$ZZ1220,CALC!$F$1)),N(INDEX(BASELINE!$A1220:$ZZ1220,CALC!$P$1))))=INT(SIMOPS!$D$3),IFERROR(UPPER(TRIM(INDEX(BASELINE!$A1220:$ZZ1220,CALC!$R$1)&amp;"")),"")&lt;&gt;"ENCERRADA"),1,0),0)</f>
        <v/>
      </c>
      <c r="B1220">
        <f>B1219+A1220</f>
        <v/>
      </c>
    </row>
    <row r="1221">
      <c r="A1221">
        <f>IFERROR(IF(AND(INDEX(BASELINE!$A1221:$ZZ1221,CALC!$H$1)&lt;&gt;"",INT(IF(AND(CALC!$F$1&gt;0,N(INDEX(BASELINE!$A1221:$ZZ1221,CALC!$F$1))&gt;0),N(INDEX(BASELINE!$A1221:$ZZ1221,CALC!$F$1)),N(INDEX(BASELINE!$A1221:$ZZ1221,CALC!$P$1))))=INT(SIMOPS!$D$3),IFERROR(UPPER(TRIM(INDEX(BASELINE!$A1221:$ZZ1221,CALC!$R$1)&amp;"")),"")&lt;&gt;"ENCERRADA"),1,0),0)</f>
        <v/>
      </c>
      <c r="B1221">
        <f>B1220+A1221</f>
        <v/>
      </c>
    </row>
    <row r="1222">
      <c r="A1222">
        <f>IFERROR(IF(AND(INDEX(BASELINE!$A1222:$ZZ1222,CALC!$H$1)&lt;&gt;"",INT(IF(AND(CALC!$F$1&gt;0,N(INDEX(BASELINE!$A1222:$ZZ1222,CALC!$F$1))&gt;0),N(INDEX(BASELINE!$A1222:$ZZ1222,CALC!$F$1)),N(INDEX(BASELINE!$A1222:$ZZ1222,CALC!$P$1))))=INT(SIMOPS!$D$3),IFERROR(UPPER(TRIM(INDEX(BASELINE!$A1222:$ZZ1222,CALC!$R$1)&amp;"")),"")&lt;&gt;"ENCERRADA"),1,0),0)</f>
        <v/>
      </c>
      <c r="B1222">
        <f>B1221+A1222</f>
        <v/>
      </c>
    </row>
    <row r="1223">
      <c r="A1223">
        <f>IFERROR(IF(AND(INDEX(BASELINE!$A1223:$ZZ1223,CALC!$H$1)&lt;&gt;"",INT(IF(AND(CALC!$F$1&gt;0,N(INDEX(BASELINE!$A1223:$ZZ1223,CALC!$F$1))&gt;0),N(INDEX(BASELINE!$A1223:$ZZ1223,CALC!$F$1)),N(INDEX(BASELINE!$A1223:$ZZ1223,CALC!$P$1))))=INT(SIMOPS!$D$3),IFERROR(UPPER(TRIM(INDEX(BASELINE!$A1223:$ZZ1223,CALC!$R$1)&amp;"")),"")&lt;&gt;"ENCERRADA"),1,0),0)</f>
        <v/>
      </c>
      <c r="B1223">
        <f>B1222+A1223</f>
        <v/>
      </c>
    </row>
    <row r="1224">
      <c r="A1224">
        <f>IFERROR(IF(AND(INDEX(BASELINE!$A1224:$ZZ1224,CALC!$H$1)&lt;&gt;"",INT(IF(AND(CALC!$F$1&gt;0,N(INDEX(BASELINE!$A1224:$ZZ1224,CALC!$F$1))&gt;0),N(INDEX(BASELINE!$A1224:$ZZ1224,CALC!$F$1)),N(INDEX(BASELINE!$A1224:$ZZ1224,CALC!$P$1))))=INT(SIMOPS!$D$3),IFERROR(UPPER(TRIM(INDEX(BASELINE!$A1224:$ZZ1224,CALC!$R$1)&amp;"")),"")&lt;&gt;"ENCERRADA"),1,0),0)</f>
        <v/>
      </c>
      <c r="B1224">
        <f>B1223+A1224</f>
        <v/>
      </c>
    </row>
    <row r="1225">
      <c r="A1225">
        <f>IFERROR(IF(AND(INDEX(BASELINE!$A1225:$ZZ1225,CALC!$H$1)&lt;&gt;"",INT(IF(AND(CALC!$F$1&gt;0,N(INDEX(BASELINE!$A1225:$ZZ1225,CALC!$F$1))&gt;0),N(INDEX(BASELINE!$A1225:$ZZ1225,CALC!$F$1)),N(INDEX(BASELINE!$A1225:$ZZ1225,CALC!$P$1))))=INT(SIMOPS!$D$3),IFERROR(UPPER(TRIM(INDEX(BASELINE!$A1225:$ZZ1225,CALC!$R$1)&amp;"")),"")&lt;&gt;"ENCERRADA"),1,0),0)</f>
        <v/>
      </c>
      <c r="B1225">
        <f>B1224+A1225</f>
        <v/>
      </c>
    </row>
    <row r="1226">
      <c r="A1226">
        <f>IFERROR(IF(AND(INDEX(BASELINE!$A1226:$ZZ1226,CALC!$H$1)&lt;&gt;"",INT(IF(AND(CALC!$F$1&gt;0,N(INDEX(BASELINE!$A1226:$ZZ1226,CALC!$F$1))&gt;0),N(INDEX(BASELINE!$A1226:$ZZ1226,CALC!$F$1)),N(INDEX(BASELINE!$A1226:$ZZ1226,CALC!$P$1))))=INT(SIMOPS!$D$3),IFERROR(UPPER(TRIM(INDEX(BASELINE!$A1226:$ZZ1226,CALC!$R$1)&amp;"")),"")&lt;&gt;"ENCERRADA"),1,0),0)</f>
        <v/>
      </c>
      <c r="B1226">
        <f>B1225+A1226</f>
        <v/>
      </c>
    </row>
    <row r="1227">
      <c r="A1227">
        <f>IFERROR(IF(AND(INDEX(BASELINE!$A1227:$ZZ1227,CALC!$H$1)&lt;&gt;"",INT(IF(AND(CALC!$F$1&gt;0,N(INDEX(BASELINE!$A1227:$ZZ1227,CALC!$F$1))&gt;0),N(INDEX(BASELINE!$A1227:$ZZ1227,CALC!$F$1)),N(INDEX(BASELINE!$A1227:$ZZ1227,CALC!$P$1))))=INT(SIMOPS!$D$3),IFERROR(UPPER(TRIM(INDEX(BASELINE!$A1227:$ZZ1227,CALC!$R$1)&amp;"")),"")&lt;&gt;"ENCERRADA"),1,0),0)</f>
        <v/>
      </c>
      <c r="B1227">
        <f>B1226+A1227</f>
        <v/>
      </c>
    </row>
    <row r="1228">
      <c r="A1228">
        <f>IFERROR(IF(AND(INDEX(BASELINE!$A1228:$ZZ1228,CALC!$H$1)&lt;&gt;"",INT(IF(AND(CALC!$F$1&gt;0,N(INDEX(BASELINE!$A1228:$ZZ1228,CALC!$F$1))&gt;0),N(INDEX(BASELINE!$A1228:$ZZ1228,CALC!$F$1)),N(INDEX(BASELINE!$A1228:$ZZ1228,CALC!$P$1))))=INT(SIMOPS!$D$3),IFERROR(UPPER(TRIM(INDEX(BASELINE!$A1228:$ZZ1228,CALC!$R$1)&amp;"")),"")&lt;&gt;"ENCERRADA"),1,0),0)</f>
        <v/>
      </c>
      <c r="B1228">
        <f>B1227+A1228</f>
        <v/>
      </c>
    </row>
    <row r="1229">
      <c r="A1229">
        <f>IFERROR(IF(AND(INDEX(BASELINE!$A1229:$ZZ1229,CALC!$H$1)&lt;&gt;"",INT(IF(AND(CALC!$F$1&gt;0,N(INDEX(BASELINE!$A1229:$ZZ1229,CALC!$F$1))&gt;0),N(INDEX(BASELINE!$A1229:$ZZ1229,CALC!$F$1)),N(INDEX(BASELINE!$A1229:$ZZ1229,CALC!$P$1))))=INT(SIMOPS!$D$3),IFERROR(UPPER(TRIM(INDEX(BASELINE!$A1229:$ZZ1229,CALC!$R$1)&amp;"")),"")&lt;&gt;"ENCERRADA"),1,0),0)</f>
        <v/>
      </c>
      <c r="B1229">
        <f>B1228+A1229</f>
        <v/>
      </c>
    </row>
    <row r="1230">
      <c r="A1230">
        <f>IFERROR(IF(AND(INDEX(BASELINE!$A1230:$ZZ1230,CALC!$H$1)&lt;&gt;"",INT(IF(AND(CALC!$F$1&gt;0,N(INDEX(BASELINE!$A1230:$ZZ1230,CALC!$F$1))&gt;0),N(INDEX(BASELINE!$A1230:$ZZ1230,CALC!$F$1)),N(INDEX(BASELINE!$A1230:$ZZ1230,CALC!$P$1))))=INT(SIMOPS!$D$3),IFERROR(UPPER(TRIM(INDEX(BASELINE!$A1230:$ZZ1230,CALC!$R$1)&amp;"")),"")&lt;&gt;"ENCERRADA"),1,0),0)</f>
        <v/>
      </c>
      <c r="B1230">
        <f>B1229+A1230</f>
        <v/>
      </c>
    </row>
    <row r="1231">
      <c r="A1231">
        <f>IFERROR(IF(AND(INDEX(BASELINE!$A1231:$ZZ1231,CALC!$H$1)&lt;&gt;"",INT(IF(AND(CALC!$F$1&gt;0,N(INDEX(BASELINE!$A1231:$ZZ1231,CALC!$F$1))&gt;0),N(INDEX(BASELINE!$A1231:$ZZ1231,CALC!$F$1)),N(INDEX(BASELINE!$A1231:$ZZ1231,CALC!$P$1))))=INT(SIMOPS!$D$3),IFERROR(UPPER(TRIM(INDEX(BASELINE!$A1231:$ZZ1231,CALC!$R$1)&amp;"")),"")&lt;&gt;"ENCERRADA"),1,0),0)</f>
        <v/>
      </c>
      <c r="B1231">
        <f>B1230+A1231</f>
        <v/>
      </c>
    </row>
    <row r="1232">
      <c r="A1232">
        <f>IFERROR(IF(AND(INDEX(BASELINE!$A1232:$ZZ1232,CALC!$H$1)&lt;&gt;"",INT(IF(AND(CALC!$F$1&gt;0,N(INDEX(BASELINE!$A1232:$ZZ1232,CALC!$F$1))&gt;0),N(INDEX(BASELINE!$A1232:$ZZ1232,CALC!$F$1)),N(INDEX(BASELINE!$A1232:$ZZ1232,CALC!$P$1))))=INT(SIMOPS!$D$3),IFERROR(UPPER(TRIM(INDEX(BASELINE!$A1232:$ZZ1232,CALC!$R$1)&amp;"")),"")&lt;&gt;"ENCERRADA"),1,0),0)</f>
        <v/>
      </c>
      <c r="B1232">
        <f>B1231+A1232</f>
        <v/>
      </c>
    </row>
    <row r="1233">
      <c r="A1233">
        <f>IFERROR(IF(AND(INDEX(BASELINE!$A1233:$ZZ1233,CALC!$H$1)&lt;&gt;"",INT(IF(AND(CALC!$F$1&gt;0,N(INDEX(BASELINE!$A1233:$ZZ1233,CALC!$F$1))&gt;0),N(INDEX(BASELINE!$A1233:$ZZ1233,CALC!$F$1)),N(INDEX(BASELINE!$A1233:$ZZ1233,CALC!$P$1))))=INT(SIMOPS!$D$3),IFERROR(UPPER(TRIM(INDEX(BASELINE!$A1233:$ZZ1233,CALC!$R$1)&amp;"")),"")&lt;&gt;"ENCERRADA"),1,0),0)</f>
        <v/>
      </c>
      <c r="B1233">
        <f>B1232+A1233</f>
        <v/>
      </c>
    </row>
    <row r="1234">
      <c r="A1234">
        <f>IFERROR(IF(AND(INDEX(BASELINE!$A1234:$ZZ1234,CALC!$H$1)&lt;&gt;"",INT(IF(AND(CALC!$F$1&gt;0,N(INDEX(BASELINE!$A1234:$ZZ1234,CALC!$F$1))&gt;0),N(INDEX(BASELINE!$A1234:$ZZ1234,CALC!$F$1)),N(INDEX(BASELINE!$A1234:$ZZ1234,CALC!$P$1))))=INT(SIMOPS!$D$3),IFERROR(UPPER(TRIM(INDEX(BASELINE!$A1234:$ZZ1234,CALC!$R$1)&amp;"")),"")&lt;&gt;"ENCERRADA"),1,0),0)</f>
        <v/>
      </c>
      <c r="B1234">
        <f>B1233+A1234</f>
        <v/>
      </c>
    </row>
    <row r="1235">
      <c r="A1235">
        <f>IFERROR(IF(AND(INDEX(BASELINE!$A1235:$ZZ1235,CALC!$H$1)&lt;&gt;"",INT(IF(AND(CALC!$F$1&gt;0,N(INDEX(BASELINE!$A1235:$ZZ1235,CALC!$F$1))&gt;0),N(INDEX(BASELINE!$A1235:$ZZ1235,CALC!$F$1)),N(INDEX(BASELINE!$A1235:$ZZ1235,CALC!$P$1))))=INT(SIMOPS!$D$3),IFERROR(UPPER(TRIM(INDEX(BASELINE!$A1235:$ZZ1235,CALC!$R$1)&amp;"")),"")&lt;&gt;"ENCERRADA"),1,0),0)</f>
        <v/>
      </c>
      <c r="B1235">
        <f>B1234+A1235</f>
        <v/>
      </c>
    </row>
    <row r="1236">
      <c r="A1236">
        <f>IFERROR(IF(AND(INDEX(BASELINE!$A1236:$ZZ1236,CALC!$H$1)&lt;&gt;"",INT(IF(AND(CALC!$F$1&gt;0,N(INDEX(BASELINE!$A1236:$ZZ1236,CALC!$F$1))&gt;0),N(INDEX(BASELINE!$A1236:$ZZ1236,CALC!$F$1)),N(INDEX(BASELINE!$A1236:$ZZ1236,CALC!$P$1))))=INT(SIMOPS!$D$3),IFERROR(UPPER(TRIM(INDEX(BASELINE!$A1236:$ZZ1236,CALC!$R$1)&amp;"")),"")&lt;&gt;"ENCERRADA"),1,0),0)</f>
        <v/>
      </c>
      <c r="B1236">
        <f>B1235+A1236</f>
        <v/>
      </c>
    </row>
    <row r="1237">
      <c r="A1237">
        <f>IFERROR(IF(AND(INDEX(BASELINE!$A1237:$ZZ1237,CALC!$H$1)&lt;&gt;"",INT(IF(AND(CALC!$F$1&gt;0,N(INDEX(BASELINE!$A1237:$ZZ1237,CALC!$F$1))&gt;0),N(INDEX(BASELINE!$A1237:$ZZ1237,CALC!$F$1)),N(INDEX(BASELINE!$A1237:$ZZ1237,CALC!$P$1))))=INT(SIMOPS!$D$3),IFERROR(UPPER(TRIM(INDEX(BASELINE!$A1237:$ZZ1237,CALC!$R$1)&amp;"")),"")&lt;&gt;"ENCERRADA"),1,0),0)</f>
        <v/>
      </c>
      <c r="B1237">
        <f>B1236+A1237</f>
        <v/>
      </c>
    </row>
    <row r="1238">
      <c r="A1238">
        <f>IFERROR(IF(AND(INDEX(BASELINE!$A1238:$ZZ1238,CALC!$H$1)&lt;&gt;"",INT(IF(AND(CALC!$F$1&gt;0,N(INDEX(BASELINE!$A1238:$ZZ1238,CALC!$F$1))&gt;0),N(INDEX(BASELINE!$A1238:$ZZ1238,CALC!$F$1)),N(INDEX(BASELINE!$A1238:$ZZ1238,CALC!$P$1))))=INT(SIMOPS!$D$3),IFERROR(UPPER(TRIM(INDEX(BASELINE!$A1238:$ZZ1238,CALC!$R$1)&amp;"")),"")&lt;&gt;"ENCERRADA"),1,0),0)</f>
        <v/>
      </c>
      <c r="B1238">
        <f>B1237+A1238</f>
        <v/>
      </c>
    </row>
    <row r="1239">
      <c r="A1239">
        <f>IFERROR(IF(AND(INDEX(BASELINE!$A1239:$ZZ1239,CALC!$H$1)&lt;&gt;"",INT(IF(AND(CALC!$F$1&gt;0,N(INDEX(BASELINE!$A1239:$ZZ1239,CALC!$F$1))&gt;0),N(INDEX(BASELINE!$A1239:$ZZ1239,CALC!$F$1)),N(INDEX(BASELINE!$A1239:$ZZ1239,CALC!$P$1))))=INT(SIMOPS!$D$3),IFERROR(UPPER(TRIM(INDEX(BASELINE!$A1239:$ZZ1239,CALC!$R$1)&amp;"")),"")&lt;&gt;"ENCERRADA"),1,0),0)</f>
        <v/>
      </c>
      <c r="B1239">
        <f>B1238+A1239</f>
        <v/>
      </c>
    </row>
    <row r="1240">
      <c r="A1240">
        <f>IFERROR(IF(AND(INDEX(BASELINE!$A1240:$ZZ1240,CALC!$H$1)&lt;&gt;"",INT(IF(AND(CALC!$F$1&gt;0,N(INDEX(BASELINE!$A1240:$ZZ1240,CALC!$F$1))&gt;0),N(INDEX(BASELINE!$A1240:$ZZ1240,CALC!$F$1)),N(INDEX(BASELINE!$A1240:$ZZ1240,CALC!$P$1))))=INT(SIMOPS!$D$3),IFERROR(UPPER(TRIM(INDEX(BASELINE!$A1240:$ZZ1240,CALC!$R$1)&amp;"")),"")&lt;&gt;"ENCERRADA"),1,0),0)</f>
        <v/>
      </c>
      <c r="B1240">
        <f>B1239+A1240</f>
        <v/>
      </c>
    </row>
    <row r="1241">
      <c r="A1241">
        <f>IFERROR(IF(AND(INDEX(BASELINE!$A1241:$ZZ1241,CALC!$H$1)&lt;&gt;"",INT(IF(AND(CALC!$F$1&gt;0,N(INDEX(BASELINE!$A1241:$ZZ1241,CALC!$F$1))&gt;0),N(INDEX(BASELINE!$A1241:$ZZ1241,CALC!$F$1)),N(INDEX(BASELINE!$A1241:$ZZ1241,CALC!$P$1))))=INT(SIMOPS!$D$3),IFERROR(UPPER(TRIM(INDEX(BASELINE!$A1241:$ZZ1241,CALC!$R$1)&amp;"")),"")&lt;&gt;"ENCERRADA"),1,0),0)</f>
        <v/>
      </c>
      <c r="B1241">
        <f>B1240+A1241</f>
        <v/>
      </c>
    </row>
    <row r="1242">
      <c r="A1242">
        <f>IFERROR(IF(AND(INDEX(BASELINE!$A1242:$ZZ1242,CALC!$H$1)&lt;&gt;"",INT(IF(AND(CALC!$F$1&gt;0,N(INDEX(BASELINE!$A1242:$ZZ1242,CALC!$F$1))&gt;0),N(INDEX(BASELINE!$A1242:$ZZ1242,CALC!$F$1)),N(INDEX(BASELINE!$A1242:$ZZ1242,CALC!$P$1))))=INT(SIMOPS!$D$3),IFERROR(UPPER(TRIM(INDEX(BASELINE!$A1242:$ZZ1242,CALC!$R$1)&amp;"")),"")&lt;&gt;"ENCERRADA"),1,0),0)</f>
        <v/>
      </c>
      <c r="B1242">
        <f>B1241+A1242</f>
        <v/>
      </c>
    </row>
    <row r="1243">
      <c r="A1243">
        <f>IFERROR(IF(AND(INDEX(BASELINE!$A1243:$ZZ1243,CALC!$H$1)&lt;&gt;"",INT(IF(AND(CALC!$F$1&gt;0,N(INDEX(BASELINE!$A1243:$ZZ1243,CALC!$F$1))&gt;0),N(INDEX(BASELINE!$A1243:$ZZ1243,CALC!$F$1)),N(INDEX(BASELINE!$A1243:$ZZ1243,CALC!$P$1))))=INT(SIMOPS!$D$3),IFERROR(UPPER(TRIM(INDEX(BASELINE!$A1243:$ZZ1243,CALC!$R$1)&amp;"")),"")&lt;&gt;"ENCERRADA"),1,0),0)</f>
        <v/>
      </c>
      <c r="B1243">
        <f>B1242+A1243</f>
        <v/>
      </c>
    </row>
    <row r="1244">
      <c r="A1244">
        <f>IFERROR(IF(AND(INDEX(BASELINE!$A1244:$ZZ1244,CALC!$H$1)&lt;&gt;"",INT(IF(AND(CALC!$F$1&gt;0,N(INDEX(BASELINE!$A1244:$ZZ1244,CALC!$F$1))&gt;0),N(INDEX(BASELINE!$A1244:$ZZ1244,CALC!$F$1)),N(INDEX(BASELINE!$A1244:$ZZ1244,CALC!$P$1))))=INT(SIMOPS!$D$3),IFERROR(UPPER(TRIM(INDEX(BASELINE!$A1244:$ZZ1244,CALC!$R$1)&amp;"")),"")&lt;&gt;"ENCERRADA"),1,0),0)</f>
        <v/>
      </c>
      <c r="B1244">
        <f>B1243+A1244</f>
        <v/>
      </c>
    </row>
    <row r="1245">
      <c r="A1245">
        <f>IFERROR(IF(AND(INDEX(BASELINE!$A1245:$ZZ1245,CALC!$H$1)&lt;&gt;"",INT(IF(AND(CALC!$F$1&gt;0,N(INDEX(BASELINE!$A1245:$ZZ1245,CALC!$F$1))&gt;0),N(INDEX(BASELINE!$A1245:$ZZ1245,CALC!$F$1)),N(INDEX(BASELINE!$A1245:$ZZ1245,CALC!$P$1))))=INT(SIMOPS!$D$3),IFERROR(UPPER(TRIM(INDEX(BASELINE!$A1245:$ZZ1245,CALC!$R$1)&amp;"")),"")&lt;&gt;"ENCERRADA"),1,0),0)</f>
        <v/>
      </c>
      <c r="B1245">
        <f>B1244+A1245</f>
        <v/>
      </c>
    </row>
    <row r="1246">
      <c r="A1246">
        <f>IFERROR(IF(AND(INDEX(BASELINE!$A1246:$ZZ1246,CALC!$H$1)&lt;&gt;"",INT(IF(AND(CALC!$F$1&gt;0,N(INDEX(BASELINE!$A1246:$ZZ1246,CALC!$F$1))&gt;0),N(INDEX(BASELINE!$A1246:$ZZ1246,CALC!$F$1)),N(INDEX(BASELINE!$A1246:$ZZ1246,CALC!$P$1))))=INT(SIMOPS!$D$3),IFERROR(UPPER(TRIM(INDEX(BASELINE!$A1246:$ZZ1246,CALC!$R$1)&amp;"")),"")&lt;&gt;"ENCERRADA"),1,0),0)</f>
        <v/>
      </c>
      <c r="B1246">
        <f>B1245+A1246</f>
        <v/>
      </c>
    </row>
    <row r="1247">
      <c r="A1247">
        <f>IFERROR(IF(AND(INDEX(BASELINE!$A1247:$ZZ1247,CALC!$H$1)&lt;&gt;"",INT(IF(AND(CALC!$F$1&gt;0,N(INDEX(BASELINE!$A1247:$ZZ1247,CALC!$F$1))&gt;0),N(INDEX(BASELINE!$A1247:$ZZ1247,CALC!$F$1)),N(INDEX(BASELINE!$A1247:$ZZ1247,CALC!$P$1))))=INT(SIMOPS!$D$3),IFERROR(UPPER(TRIM(INDEX(BASELINE!$A1247:$ZZ1247,CALC!$R$1)&amp;"")),"")&lt;&gt;"ENCERRADA"),1,0),0)</f>
        <v/>
      </c>
      <c r="B1247">
        <f>B1246+A1247</f>
        <v/>
      </c>
    </row>
    <row r="1248">
      <c r="A1248">
        <f>IFERROR(IF(AND(INDEX(BASELINE!$A1248:$ZZ1248,CALC!$H$1)&lt;&gt;"",INT(IF(AND(CALC!$F$1&gt;0,N(INDEX(BASELINE!$A1248:$ZZ1248,CALC!$F$1))&gt;0),N(INDEX(BASELINE!$A1248:$ZZ1248,CALC!$F$1)),N(INDEX(BASELINE!$A1248:$ZZ1248,CALC!$P$1))))=INT(SIMOPS!$D$3),IFERROR(UPPER(TRIM(INDEX(BASELINE!$A1248:$ZZ1248,CALC!$R$1)&amp;"")),"")&lt;&gt;"ENCERRADA"),1,0),0)</f>
        <v/>
      </c>
      <c r="B1248">
        <f>B1247+A1248</f>
        <v/>
      </c>
    </row>
    <row r="1249">
      <c r="A1249">
        <f>IFERROR(IF(AND(INDEX(BASELINE!$A1249:$ZZ1249,CALC!$H$1)&lt;&gt;"",INT(IF(AND(CALC!$F$1&gt;0,N(INDEX(BASELINE!$A1249:$ZZ1249,CALC!$F$1))&gt;0),N(INDEX(BASELINE!$A1249:$ZZ1249,CALC!$F$1)),N(INDEX(BASELINE!$A1249:$ZZ1249,CALC!$P$1))))=INT(SIMOPS!$D$3),IFERROR(UPPER(TRIM(INDEX(BASELINE!$A1249:$ZZ1249,CALC!$R$1)&amp;"")),"")&lt;&gt;"ENCERRADA"),1,0),0)</f>
        <v/>
      </c>
      <c r="B1249">
        <f>B1248+A1249</f>
        <v/>
      </c>
    </row>
    <row r="1250">
      <c r="A1250">
        <f>IFERROR(IF(AND(INDEX(BASELINE!$A1250:$ZZ1250,CALC!$H$1)&lt;&gt;"",INT(IF(AND(CALC!$F$1&gt;0,N(INDEX(BASELINE!$A1250:$ZZ1250,CALC!$F$1))&gt;0),N(INDEX(BASELINE!$A1250:$ZZ1250,CALC!$F$1)),N(INDEX(BASELINE!$A1250:$ZZ1250,CALC!$P$1))))=INT(SIMOPS!$D$3),IFERROR(UPPER(TRIM(INDEX(BASELINE!$A1250:$ZZ1250,CALC!$R$1)&amp;"")),"")&lt;&gt;"ENCERRADA"),1,0),0)</f>
        <v/>
      </c>
      <c r="B1250">
        <f>B1249+A1250</f>
        <v/>
      </c>
    </row>
    <row r="1251">
      <c r="A1251">
        <f>IFERROR(IF(AND(INDEX(BASELINE!$A1251:$ZZ1251,CALC!$H$1)&lt;&gt;"",INT(IF(AND(CALC!$F$1&gt;0,N(INDEX(BASELINE!$A1251:$ZZ1251,CALC!$F$1))&gt;0),N(INDEX(BASELINE!$A1251:$ZZ1251,CALC!$F$1)),N(INDEX(BASELINE!$A1251:$ZZ1251,CALC!$P$1))))=INT(SIMOPS!$D$3),IFERROR(UPPER(TRIM(INDEX(BASELINE!$A1251:$ZZ1251,CALC!$R$1)&amp;"")),"")&lt;&gt;"ENCERRADA"),1,0),0)</f>
        <v/>
      </c>
      <c r="B1251">
        <f>B1250+A1251</f>
        <v/>
      </c>
    </row>
    <row r="1252">
      <c r="A1252">
        <f>IFERROR(IF(AND(INDEX(BASELINE!$A1252:$ZZ1252,CALC!$H$1)&lt;&gt;"",INT(IF(AND(CALC!$F$1&gt;0,N(INDEX(BASELINE!$A1252:$ZZ1252,CALC!$F$1))&gt;0),N(INDEX(BASELINE!$A1252:$ZZ1252,CALC!$F$1)),N(INDEX(BASELINE!$A1252:$ZZ1252,CALC!$P$1))))=INT(SIMOPS!$D$3),IFERROR(UPPER(TRIM(INDEX(BASELINE!$A1252:$ZZ1252,CALC!$R$1)&amp;"")),"")&lt;&gt;"ENCERRADA"),1,0),0)</f>
        <v/>
      </c>
      <c r="B1252">
        <f>B1251+A1252</f>
        <v/>
      </c>
    </row>
    <row r="1253">
      <c r="A1253">
        <f>IFERROR(IF(AND(INDEX(BASELINE!$A1253:$ZZ1253,CALC!$H$1)&lt;&gt;"",INT(IF(AND(CALC!$F$1&gt;0,N(INDEX(BASELINE!$A1253:$ZZ1253,CALC!$F$1))&gt;0),N(INDEX(BASELINE!$A1253:$ZZ1253,CALC!$F$1)),N(INDEX(BASELINE!$A1253:$ZZ1253,CALC!$P$1))))=INT(SIMOPS!$D$3),IFERROR(UPPER(TRIM(INDEX(BASELINE!$A1253:$ZZ1253,CALC!$R$1)&amp;"")),"")&lt;&gt;"ENCERRADA"),1,0),0)</f>
        <v/>
      </c>
      <c r="B1253">
        <f>B1252+A1253</f>
        <v/>
      </c>
    </row>
    <row r="1254">
      <c r="A1254">
        <f>IFERROR(IF(AND(INDEX(BASELINE!$A1254:$ZZ1254,CALC!$H$1)&lt;&gt;"",INT(IF(AND(CALC!$F$1&gt;0,N(INDEX(BASELINE!$A1254:$ZZ1254,CALC!$F$1))&gt;0),N(INDEX(BASELINE!$A1254:$ZZ1254,CALC!$F$1)),N(INDEX(BASELINE!$A1254:$ZZ1254,CALC!$P$1))))=INT(SIMOPS!$D$3),IFERROR(UPPER(TRIM(INDEX(BASELINE!$A1254:$ZZ1254,CALC!$R$1)&amp;"")),"")&lt;&gt;"ENCERRADA"),1,0),0)</f>
        <v/>
      </c>
      <c r="B1254">
        <f>B1253+A1254</f>
        <v/>
      </c>
    </row>
    <row r="1255">
      <c r="A1255">
        <f>IFERROR(IF(AND(INDEX(BASELINE!$A1255:$ZZ1255,CALC!$H$1)&lt;&gt;"",INT(IF(AND(CALC!$F$1&gt;0,N(INDEX(BASELINE!$A1255:$ZZ1255,CALC!$F$1))&gt;0),N(INDEX(BASELINE!$A1255:$ZZ1255,CALC!$F$1)),N(INDEX(BASELINE!$A1255:$ZZ1255,CALC!$P$1))))=INT(SIMOPS!$D$3),IFERROR(UPPER(TRIM(INDEX(BASELINE!$A1255:$ZZ1255,CALC!$R$1)&amp;"")),"")&lt;&gt;"ENCERRADA"),1,0),0)</f>
        <v/>
      </c>
      <c r="B1255">
        <f>B1254+A1255</f>
        <v/>
      </c>
    </row>
    <row r="1256">
      <c r="A1256">
        <f>IFERROR(IF(AND(INDEX(BASELINE!$A1256:$ZZ1256,CALC!$H$1)&lt;&gt;"",INT(IF(AND(CALC!$F$1&gt;0,N(INDEX(BASELINE!$A1256:$ZZ1256,CALC!$F$1))&gt;0),N(INDEX(BASELINE!$A1256:$ZZ1256,CALC!$F$1)),N(INDEX(BASELINE!$A1256:$ZZ1256,CALC!$P$1))))=INT(SIMOPS!$D$3),IFERROR(UPPER(TRIM(INDEX(BASELINE!$A1256:$ZZ1256,CALC!$R$1)&amp;"")),"")&lt;&gt;"ENCERRADA"),1,0),0)</f>
        <v/>
      </c>
      <c r="B1256">
        <f>B1255+A1256</f>
        <v/>
      </c>
    </row>
    <row r="1257">
      <c r="A1257">
        <f>IFERROR(IF(AND(INDEX(BASELINE!$A1257:$ZZ1257,CALC!$H$1)&lt;&gt;"",INT(IF(AND(CALC!$F$1&gt;0,N(INDEX(BASELINE!$A1257:$ZZ1257,CALC!$F$1))&gt;0),N(INDEX(BASELINE!$A1257:$ZZ1257,CALC!$F$1)),N(INDEX(BASELINE!$A1257:$ZZ1257,CALC!$P$1))))=INT(SIMOPS!$D$3),IFERROR(UPPER(TRIM(INDEX(BASELINE!$A1257:$ZZ1257,CALC!$R$1)&amp;"")),"")&lt;&gt;"ENCERRADA"),1,0),0)</f>
        <v/>
      </c>
      <c r="B1257">
        <f>B1256+A1257</f>
        <v/>
      </c>
    </row>
    <row r="1258">
      <c r="A1258">
        <f>IFERROR(IF(AND(INDEX(BASELINE!$A1258:$ZZ1258,CALC!$H$1)&lt;&gt;"",INT(IF(AND(CALC!$F$1&gt;0,N(INDEX(BASELINE!$A1258:$ZZ1258,CALC!$F$1))&gt;0),N(INDEX(BASELINE!$A1258:$ZZ1258,CALC!$F$1)),N(INDEX(BASELINE!$A1258:$ZZ1258,CALC!$P$1))))=INT(SIMOPS!$D$3),IFERROR(UPPER(TRIM(INDEX(BASELINE!$A1258:$ZZ1258,CALC!$R$1)&amp;"")),"")&lt;&gt;"ENCERRADA"),1,0),0)</f>
        <v/>
      </c>
      <c r="B1258">
        <f>B1257+A1258</f>
        <v/>
      </c>
    </row>
    <row r="1259">
      <c r="A1259">
        <f>IFERROR(IF(AND(INDEX(BASELINE!$A1259:$ZZ1259,CALC!$H$1)&lt;&gt;"",INT(IF(AND(CALC!$F$1&gt;0,N(INDEX(BASELINE!$A1259:$ZZ1259,CALC!$F$1))&gt;0),N(INDEX(BASELINE!$A1259:$ZZ1259,CALC!$F$1)),N(INDEX(BASELINE!$A1259:$ZZ1259,CALC!$P$1))))=INT(SIMOPS!$D$3),IFERROR(UPPER(TRIM(INDEX(BASELINE!$A1259:$ZZ1259,CALC!$R$1)&amp;"")),"")&lt;&gt;"ENCERRADA"),1,0),0)</f>
        <v/>
      </c>
      <c r="B1259">
        <f>B1258+A1259</f>
        <v/>
      </c>
    </row>
    <row r="1260">
      <c r="A1260">
        <f>IFERROR(IF(AND(INDEX(BASELINE!$A1260:$ZZ1260,CALC!$H$1)&lt;&gt;"",INT(IF(AND(CALC!$F$1&gt;0,N(INDEX(BASELINE!$A1260:$ZZ1260,CALC!$F$1))&gt;0),N(INDEX(BASELINE!$A1260:$ZZ1260,CALC!$F$1)),N(INDEX(BASELINE!$A1260:$ZZ1260,CALC!$P$1))))=INT(SIMOPS!$D$3),IFERROR(UPPER(TRIM(INDEX(BASELINE!$A1260:$ZZ1260,CALC!$R$1)&amp;"")),"")&lt;&gt;"ENCERRADA"),1,0),0)</f>
        <v/>
      </c>
      <c r="B1260">
        <f>B1259+A1260</f>
        <v/>
      </c>
    </row>
    <row r="1261">
      <c r="A1261">
        <f>IFERROR(IF(AND(INDEX(BASELINE!$A1261:$ZZ1261,CALC!$H$1)&lt;&gt;"",INT(IF(AND(CALC!$F$1&gt;0,N(INDEX(BASELINE!$A1261:$ZZ1261,CALC!$F$1))&gt;0),N(INDEX(BASELINE!$A1261:$ZZ1261,CALC!$F$1)),N(INDEX(BASELINE!$A1261:$ZZ1261,CALC!$P$1))))=INT(SIMOPS!$D$3),IFERROR(UPPER(TRIM(INDEX(BASELINE!$A1261:$ZZ1261,CALC!$R$1)&amp;"")),"")&lt;&gt;"ENCERRADA"),1,0),0)</f>
        <v/>
      </c>
      <c r="B1261">
        <f>B1260+A1261</f>
        <v/>
      </c>
    </row>
    <row r="1262">
      <c r="A1262">
        <f>IFERROR(IF(AND(INDEX(BASELINE!$A1262:$ZZ1262,CALC!$H$1)&lt;&gt;"",INT(IF(AND(CALC!$F$1&gt;0,N(INDEX(BASELINE!$A1262:$ZZ1262,CALC!$F$1))&gt;0),N(INDEX(BASELINE!$A1262:$ZZ1262,CALC!$F$1)),N(INDEX(BASELINE!$A1262:$ZZ1262,CALC!$P$1))))=INT(SIMOPS!$D$3),IFERROR(UPPER(TRIM(INDEX(BASELINE!$A1262:$ZZ1262,CALC!$R$1)&amp;"")),"")&lt;&gt;"ENCERRADA"),1,0),0)</f>
        <v/>
      </c>
      <c r="B1262">
        <f>B1261+A1262</f>
        <v/>
      </c>
    </row>
    <row r="1263">
      <c r="A1263">
        <f>IFERROR(IF(AND(INDEX(BASELINE!$A1263:$ZZ1263,CALC!$H$1)&lt;&gt;"",INT(IF(AND(CALC!$F$1&gt;0,N(INDEX(BASELINE!$A1263:$ZZ1263,CALC!$F$1))&gt;0),N(INDEX(BASELINE!$A1263:$ZZ1263,CALC!$F$1)),N(INDEX(BASELINE!$A1263:$ZZ1263,CALC!$P$1))))=INT(SIMOPS!$D$3),IFERROR(UPPER(TRIM(INDEX(BASELINE!$A1263:$ZZ1263,CALC!$R$1)&amp;"")),"")&lt;&gt;"ENCERRADA"),1,0),0)</f>
        <v/>
      </c>
      <c r="B1263">
        <f>B1262+A1263</f>
        <v/>
      </c>
    </row>
    <row r="1264">
      <c r="A1264">
        <f>IFERROR(IF(AND(INDEX(BASELINE!$A1264:$ZZ1264,CALC!$H$1)&lt;&gt;"",INT(IF(AND(CALC!$F$1&gt;0,N(INDEX(BASELINE!$A1264:$ZZ1264,CALC!$F$1))&gt;0),N(INDEX(BASELINE!$A1264:$ZZ1264,CALC!$F$1)),N(INDEX(BASELINE!$A1264:$ZZ1264,CALC!$P$1))))=INT(SIMOPS!$D$3),IFERROR(UPPER(TRIM(INDEX(BASELINE!$A1264:$ZZ1264,CALC!$R$1)&amp;"")),"")&lt;&gt;"ENCERRADA"),1,0),0)</f>
        <v/>
      </c>
      <c r="B1264">
        <f>B1263+A1264</f>
        <v/>
      </c>
    </row>
    <row r="1265">
      <c r="A1265">
        <f>IFERROR(IF(AND(INDEX(BASELINE!$A1265:$ZZ1265,CALC!$H$1)&lt;&gt;"",INT(IF(AND(CALC!$F$1&gt;0,N(INDEX(BASELINE!$A1265:$ZZ1265,CALC!$F$1))&gt;0),N(INDEX(BASELINE!$A1265:$ZZ1265,CALC!$F$1)),N(INDEX(BASELINE!$A1265:$ZZ1265,CALC!$P$1))))=INT(SIMOPS!$D$3),IFERROR(UPPER(TRIM(INDEX(BASELINE!$A1265:$ZZ1265,CALC!$R$1)&amp;"")),"")&lt;&gt;"ENCERRADA"),1,0),0)</f>
        <v/>
      </c>
      <c r="B1265">
        <f>B1264+A1265</f>
        <v/>
      </c>
    </row>
    <row r="1266">
      <c r="A1266">
        <f>IFERROR(IF(AND(INDEX(BASELINE!$A1266:$ZZ1266,CALC!$H$1)&lt;&gt;"",INT(IF(AND(CALC!$F$1&gt;0,N(INDEX(BASELINE!$A1266:$ZZ1266,CALC!$F$1))&gt;0),N(INDEX(BASELINE!$A1266:$ZZ1266,CALC!$F$1)),N(INDEX(BASELINE!$A1266:$ZZ1266,CALC!$P$1))))=INT(SIMOPS!$D$3),IFERROR(UPPER(TRIM(INDEX(BASELINE!$A1266:$ZZ1266,CALC!$R$1)&amp;"")),"")&lt;&gt;"ENCERRADA"),1,0),0)</f>
        <v/>
      </c>
      <c r="B1266">
        <f>B1265+A1266</f>
        <v/>
      </c>
    </row>
    <row r="1267">
      <c r="A1267">
        <f>IFERROR(IF(AND(INDEX(BASELINE!$A1267:$ZZ1267,CALC!$H$1)&lt;&gt;"",INT(IF(AND(CALC!$F$1&gt;0,N(INDEX(BASELINE!$A1267:$ZZ1267,CALC!$F$1))&gt;0),N(INDEX(BASELINE!$A1267:$ZZ1267,CALC!$F$1)),N(INDEX(BASELINE!$A1267:$ZZ1267,CALC!$P$1))))=INT(SIMOPS!$D$3),IFERROR(UPPER(TRIM(INDEX(BASELINE!$A1267:$ZZ1267,CALC!$R$1)&amp;"")),"")&lt;&gt;"ENCERRADA"),1,0),0)</f>
        <v/>
      </c>
      <c r="B1267">
        <f>B1266+A1267</f>
        <v/>
      </c>
    </row>
    <row r="1268">
      <c r="A1268">
        <f>IFERROR(IF(AND(INDEX(BASELINE!$A1268:$ZZ1268,CALC!$H$1)&lt;&gt;"",INT(IF(AND(CALC!$F$1&gt;0,N(INDEX(BASELINE!$A1268:$ZZ1268,CALC!$F$1))&gt;0),N(INDEX(BASELINE!$A1268:$ZZ1268,CALC!$F$1)),N(INDEX(BASELINE!$A1268:$ZZ1268,CALC!$P$1))))=INT(SIMOPS!$D$3),IFERROR(UPPER(TRIM(INDEX(BASELINE!$A1268:$ZZ1268,CALC!$R$1)&amp;"")),"")&lt;&gt;"ENCERRADA"),1,0),0)</f>
        <v/>
      </c>
      <c r="B1268">
        <f>B1267+A1268</f>
        <v/>
      </c>
    </row>
    <row r="1269">
      <c r="A1269">
        <f>IFERROR(IF(AND(INDEX(BASELINE!$A1269:$ZZ1269,CALC!$H$1)&lt;&gt;"",INT(IF(AND(CALC!$F$1&gt;0,N(INDEX(BASELINE!$A1269:$ZZ1269,CALC!$F$1))&gt;0),N(INDEX(BASELINE!$A1269:$ZZ1269,CALC!$F$1)),N(INDEX(BASELINE!$A1269:$ZZ1269,CALC!$P$1))))=INT(SIMOPS!$D$3),IFERROR(UPPER(TRIM(INDEX(BASELINE!$A1269:$ZZ1269,CALC!$R$1)&amp;"")),"")&lt;&gt;"ENCERRADA"),1,0),0)</f>
        <v/>
      </c>
      <c r="B1269">
        <f>B1268+A1269</f>
        <v/>
      </c>
    </row>
    <row r="1270">
      <c r="A1270">
        <f>IFERROR(IF(AND(INDEX(BASELINE!$A1270:$ZZ1270,CALC!$H$1)&lt;&gt;"",INT(IF(AND(CALC!$F$1&gt;0,N(INDEX(BASELINE!$A1270:$ZZ1270,CALC!$F$1))&gt;0),N(INDEX(BASELINE!$A1270:$ZZ1270,CALC!$F$1)),N(INDEX(BASELINE!$A1270:$ZZ1270,CALC!$P$1))))=INT(SIMOPS!$D$3),IFERROR(UPPER(TRIM(INDEX(BASELINE!$A1270:$ZZ1270,CALC!$R$1)&amp;"")),"")&lt;&gt;"ENCERRADA"),1,0),0)</f>
        <v/>
      </c>
      <c r="B1270">
        <f>B1269+A1270</f>
        <v/>
      </c>
    </row>
    <row r="1271">
      <c r="A1271">
        <f>IFERROR(IF(AND(INDEX(BASELINE!$A1271:$ZZ1271,CALC!$H$1)&lt;&gt;"",INT(IF(AND(CALC!$F$1&gt;0,N(INDEX(BASELINE!$A1271:$ZZ1271,CALC!$F$1))&gt;0),N(INDEX(BASELINE!$A1271:$ZZ1271,CALC!$F$1)),N(INDEX(BASELINE!$A1271:$ZZ1271,CALC!$P$1))))=INT(SIMOPS!$D$3),IFERROR(UPPER(TRIM(INDEX(BASELINE!$A1271:$ZZ1271,CALC!$R$1)&amp;"")),"")&lt;&gt;"ENCERRADA"),1,0),0)</f>
        <v/>
      </c>
      <c r="B1271">
        <f>B1270+A1271</f>
        <v/>
      </c>
    </row>
    <row r="1272">
      <c r="A1272">
        <f>IFERROR(IF(AND(INDEX(BASELINE!$A1272:$ZZ1272,CALC!$H$1)&lt;&gt;"",INT(IF(AND(CALC!$F$1&gt;0,N(INDEX(BASELINE!$A1272:$ZZ1272,CALC!$F$1))&gt;0),N(INDEX(BASELINE!$A1272:$ZZ1272,CALC!$F$1)),N(INDEX(BASELINE!$A1272:$ZZ1272,CALC!$P$1))))=INT(SIMOPS!$D$3),IFERROR(UPPER(TRIM(INDEX(BASELINE!$A1272:$ZZ1272,CALC!$R$1)&amp;"")),"")&lt;&gt;"ENCERRADA"),1,0),0)</f>
        <v/>
      </c>
      <c r="B1272">
        <f>B1271+A1272</f>
        <v/>
      </c>
    </row>
    <row r="1273">
      <c r="A1273">
        <f>IFERROR(IF(AND(INDEX(BASELINE!$A1273:$ZZ1273,CALC!$H$1)&lt;&gt;"",INT(IF(AND(CALC!$F$1&gt;0,N(INDEX(BASELINE!$A1273:$ZZ1273,CALC!$F$1))&gt;0),N(INDEX(BASELINE!$A1273:$ZZ1273,CALC!$F$1)),N(INDEX(BASELINE!$A1273:$ZZ1273,CALC!$P$1))))=INT(SIMOPS!$D$3),IFERROR(UPPER(TRIM(INDEX(BASELINE!$A1273:$ZZ1273,CALC!$R$1)&amp;"")),"")&lt;&gt;"ENCERRADA"),1,0),0)</f>
        <v/>
      </c>
      <c r="B1273">
        <f>B1272+A1273</f>
        <v/>
      </c>
    </row>
    <row r="1274">
      <c r="A1274">
        <f>IFERROR(IF(AND(INDEX(BASELINE!$A1274:$ZZ1274,CALC!$H$1)&lt;&gt;"",INT(IF(AND(CALC!$F$1&gt;0,N(INDEX(BASELINE!$A1274:$ZZ1274,CALC!$F$1))&gt;0),N(INDEX(BASELINE!$A1274:$ZZ1274,CALC!$F$1)),N(INDEX(BASELINE!$A1274:$ZZ1274,CALC!$P$1))))=INT(SIMOPS!$D$3),IFERROR(UPPER(TRIM(INDEX(BASELINE!$A1274:$ZZ1274,CALC!$R$1)&amp;"")),"")&lt;&gt;"ENCERRADA"),1,0),0)</f>
        <v/>
      </c>
      <c r="B1274">
        <f>B1273+A1274</f>
        <v/>
      </c>
    </row>
    <row r="1275">
      <c r="A1275">
        <f>IFERROR(IF(AND(INDEX(BASELINE!$A1275:$ZZ1275,CALC!$H$1)&lt;&gt;"",INT(IF(AND(CALC!$F$1&gt;0,N(INDEX(BASELINE!$A1275:$ZZ1275,CALC!$F$1))&gt;0),N(INDEX(BASELINE!$A1275:$ZZ1275,CALC!$F$1)),N(INDEX(BASELINE!$A1275:$ZZ1275,CALC!$P$1))))=INT(SIMOPS!$D$3),IFERROR(UPPER(TRIM(INDEX(BASELINE!$A1275:$ZZ1275,CALC!$R$1)&amp;"")),"")&lt;&gt;"ENCERRADA"),1,0),0)</f>
        <v/>
      </c>
      <c r="B1275">
        <f>B1274+A1275</f>
        <v/>
      </c>
    </row>
    <row r="1276">
      <c r="A1276">
        <f>IFERROR(IF(AND(INDEX(BASELINE!$A1276:$ZZ1276,CALC!$H$1)&lt;&gt;"",INT(IF(AND(CALC!$F$1&gt;0,N(INDEX(BASELINE!$A1276:$ZZ1276,CALC!$F$1))&gt;0),N(INDEX(BASELINE!$A1276:$ZZ1276,CALC!$F$1)),N(INDEX(BASELINE!$A1276:$ZZ1276,CALC!$P$1))))=INT(SIMOPS!$D$3),IFERROR(UPPER(TRIM(INDEX(BASELINE!$A1276:$ZZ1276,CALC!$R$1)&amp;"")),"")&lt;&gt;"ENCERRADA"),1,0),0)</f>
        <v/>
      </c>
      <c r="B1276">
        <f>B1275+A1276</f>
        <v/>
      </c>
    </row>
    <row r="1277">
      <c r="A1277">
        <f>IFERROR(IF(AND(INDEX(BASELINE!$A1277:$ZZ1277,CALC!$H$1)&lt;&gt;"",INT(IF(AND(CALC!$F$1&gt;0,N(INDEX(BASELINE!$A1277:$ZZ1277,CALC!$F$1))&gt;0),N(INDEX(BASELINE!$A1277:$ZZ1277,CALC!$F$1)),N(INDEX(BASELINE!$A1277:$ZZ1277,CALC!$P$1))))=INT(SIMOPS!$D$3),IFERROR(UPPER(TRIM(INDEX(BASELINE!$A1277:$ZZ1277,CALC!$R$1)&amp;"")),"")&lt;&gt;"ENCERRADA"),1,0),0)</f>
        <v/>
      </c>
      <c r="B1277">
        <f>B1276+A1277</f>
        <v/>
      </c>
    </row>
    <row r="1278">
      <c r="A1278">
        <f>IFERROR(IF(AND(INDEX(BASELINE!$A1278:$ZZ1278,CALC!$H$1)&lt;&gt;"",INT(IF(AND(CALC!$F$1&gt;0,N(INDEX(BASELINE!$A1278:$ZZ1278,CALC!$F$1))&gt;0),N(INDEX(BASELINE!$A1278:$ZZ1278,CALC!$F$1)),N(INDEX(BASELINE!$A1278:$ZZ1278,CALC!$P$1))))=INT(SIMOPS!$D$3),IFERROR(UPPER(TRIM(INDEX(BASELINE!$A1278:$ZZ1278,CALC!$R$1)&amp;"")),"")&lt;&gt;"ENCERRADA"),1,0),0)</f>
        <v/>
      </c>
      <c r="B1278">
        <f>B1277+A1278</f>
        <v/>
      </c>
    </row>
    <row r="1279">
      <c r="A1279">
        <f>IFERROR(IF(AND(INDEX(BASELINE!$A1279:$ZZ1279,CALC!$H$1)&lt;&gt;"",INT(IF(AND(CALC!$F$1&gt;0,N(INDEX(BASELINE!$A1279:$ZZ1279,CALC!$F$1))&gt;0),N(INDEX(BASELINE!$A1279:$ZZ1279,CALC!$F$1)),N(INDEX(BASELINE!$A1279:$ZZ1279,CALC!$P$1))))=INT(SIMOPS!$D$3),IFERROR(UPPER(TRIM(INDEX(BASELINE!$A1279:$ZZ1279,CALC!$R$1)&amp;"")),"")&lt;&gt;"ENCERRADA"),1,0),0)</f>
        <v/>
      </c>
      <c r="B1279">
        <f>B1278+A1279</f>
        <v/>
      </c>
    </row>
    <row r="1280">
      <c r="A1280">
        <f>IFERROR(IF(AND(INDEX(BASELINE!$A1280:$ZZ1280,CALC!$H$1)&lt;&gt;"",INT(IF(AND(CALC!$F$1&gt;0,N(INDEX(BASELINE!$A1280:$ZZ1280,CALC!$F$1))&gt;0),N(INDEX(BASELINE!$A1280:$ZZ1280,CALC!$F$1)),N(INDEX(BASELINE!$A1280:$ZZ1280,CALC!$P$1))))=INT(SIMOPS!$D$3),IFERROR(UPPER(TRIM(INDEX(BASELINE!$A1280:$ZZ1280,CALC!$R$1)&amp;"")),"")&lt;&gt;"ENCERRADA"),1,0),0)</f>
        <v/>
      </c>
      <c r="B1280">
        <f>B1279+A1280</f>
        <v/>
      </c>
    </row>
    <row r="1281">
      <c r="A1281">
        <f>IFERROR(IF(AND(INDEX(BASELINE!$A1281:$ZZ1281,CALC!$H$1)&lt;&gt;"",INT(IF(AND(CALC!$F$1&gt;0,N(INDEX(BASELINE!$A1281:$ZZ1281,CALC!$F$1))&gt;0),N(INDEX(BASELINE!$A1281:$ZZ1281,CALC!$F$1)),N(INDEX(BASELINE!$A1281:$ZZ1281,CALC!$P$1))))=INT(SIMOPS!$D$3),IFERROR(UPPER(TRIM(INDEX(BASELINE!$A1281:$ZZ1281,CALC!$R$1)&amp;"")),"")&lt;&gt;"ENCERRADA"),1,0),0)</f>
        <v/>
      </c>
      <c r="B1281">
        <f>B1280+A1281</f>
        <v/>
      </c>
    </row>
    <row r="1282">
      <c r="A1282">
        <f>IFERROR(IF(AND(INDEX(BASELINE!$A1282:$ZZ1282,CALC!$H$1)&lt;&gt;"",INT(IF(AND(CALC!$F$1&gt;0,N(INDEX(BASELINE!$A1282:$ZZ1282,CALC!$F$1))&gt;0),N(INDEX(BASELINE!$A1282:$ZZ1282,CALC!$F$1)),N(INDEX(BASELINE!$A1282:$ZZ1282,CALC!$P$1))))=INT(SIMOPS!$D$3),IFERROR(UPPER(TRIM(INDEX(BASELINE!$A1282:$ZZ1282,CALC!$R$1)&amp;"")),"")&lt;&gt;"ENCERRADA"),1,0),0)</f>
        <v/>
      </c>
      <c r="B1282">
        <f>B1281+A1282</f>
        <v/>
      </c>
    </row>
    <row r="1283">
      <c r="A1283">
        <f>IFERROR(IF(AND(INDEX(BASELINE!$A1283:$ZZ1283,CALC!$H$1)&lt;&gt;"",INT(IF(AND(CALC!$F$1&gt;0,N(INDEX(BASELINE!$A1283:$ZZ1283,CALC!$F$1))&gt;0),N(INDEX(BASELINE!$A1283:$ZZ1283,CALC!$F$1)),N(INDEX(BASELINE!$A1283:$ZZ1283,CALC!$P$1))))=INT(SIMOPS!$D$3),IFERROR(UPPER(TRIM(INDEX(BASELINE!$A1283:$ZZ1283,CALC!$R$1)&amp;"")),"")&lt;&gt;"ENCERRADA"),1,0),0)</f>
        <v/>
      </c>
      <c r="B1283">
        <f>B1282+A1283</f>
        <v/>
      </c>
    </row>
    <row r="1284">
      <c r="A1284">
        <f>IFERROR(IF(AND(INDEX(BASELINE!$A1284:$ZZ1284,CALC!$H$1)&lt;&gt;"",INT(IF(AND(CALC!$F$1&gt;0,N(INDEX(BASELINE!$A1284:$ZZ1284,CALC!$F$1))&gt;0),N(INDEX(BASELINE!$A1284:$ZZ1284,CALC!$F$1)),N(INDEX(BASELINE!$A1284:$ZZ1284,CALC!$P$1))))=INT(SIMOPS!$D$3),IFERROR(UPPER(TRIM(INDEX(BASELINE!$A1284:$ZZ1284,CALC!$R$1)&amp;"")),"")&lt;&gt;"ENCERRADA"),1,0),0)</f>
        <v/>
      </c>
      <c r="B1284">
        <f>B1283+A1284</f>
        <v/>
      </c>
    </row>
    <row r="1285">
      <c r="A1285">
        <f>IFERROR(IF(AND(INDEX(BASELINE!$A1285:$ZZ1285,CALC!$H$1)&lt;&gt;"",INT(IF(AND(CALC!$F$1&gt;0,N(INDEX(BASELINE!$A1285:$ZZ1285,CALC!$F$1))&gt;0),N(INDEX(BASELINE!$A1285:$ZZ1285,CALC!$F$1)),N(INDEX(BASELINE!$A1285:$ZZ1285,CALC!$P$1))))=INT(SIMOPS!$D$3),IFERROR(UPPER(TRIM(INDEX(BASELINE!$A1285:$ZZ1285,CALC!$R$1)&amp;"")),"")&lt;&gt;"ENCERRADA"),1,0),0)</f>
        <v/>
      </c>
      <c r="B1285">
        <f>B1284+A1285</f>
        <v/>
      </c>
    </row>
    <row r="1286">
      <c r="A1286">
        <f>IFERROR(IF(AND(INDEX(BASELINE!$A1286:$ZZ1286,CALC!$H$1)&lt;&gt;"",INT(IF(AND(CALC!$F$1&gt;0,N(INDEX(BASELINE!$A1286:$ZZ1286,CALC!$F$1))&gt;0),N(INDEX(BASELINE!$A1286:$ZZ1286,CALC!$F$1)),N(INDEX(BASELINE!$A1286:$ZZ1286,CALC!$P$1))))=INT(SIMOPS!$D$3),IFERROR(UPPER(TRIM(INDEX(BASELINE!$A1286:$ZZ1286,CALC!$R$1)&amp;"")),"")&lt;&gt;"ENCERRADA"),1,0),0)</f>
        <v/>
      </c>
      <c r="B1286">
        <f>B1285+A1286</f>
        <v/>
      </c>
    </row>
    <row r="1287">
      <c r="A1287">
        <f>IFERROR(IF(AND(INDEX(BASELINE!$A1287:$ZZ1287,CALC!$H$1)&lt;&gt;"",INT(IF(AND(CALC!$F$1&gt;0,N(INDEX(BASELINE!$A1287:$ZZ1287,CALC!$F$1))&gt;0),N(INDEX(BASELINE!$A1287:$ZZ1287,CALC!$F$1)),N(INDEX(BASELINE!$A1287:$ZZ1287,CALC!$P$1))))=INT(SIMOPS!$D$3),IFERROR(UPPER(TRIM(INDEX(BASELINE!$A1287:$ZZ1287,CALC!$R$1)&amp;"")),"")&lt;&gt;"ENCERRADA"),1,0),0)</f>
        <v/>
      </c>
      <c r="B1287">
        <f>B1286+A1287</f>
        <v/>
      </c>
    </row>
    <row r="1288">
      <c r="A1288">
        <f>IFERROR(IF(AND(INDEX(BASELINE!$A1288:$ZZ1288,CALC!$H$1)&lt;&gt;"",INT(IF(AND(CALC!$F$1&gt;0,N(INDEX(BASELINE!$A1288:$ZZ1288,CALC!$F$1))&gt;0),N(INDEX(BASELINE!$A1288:$ZZ1288,CALC!$F$1)),N(INDEX(BASELINE!$A1288:$ZZ1288,CALC!$P$1))))=INT(SIMOPS!$D$3),IFERROR(UPPER(TRIM(INDEX(BASELINE!$A1288:$ZZ1288,CALC!$R$1)&amp;"")),"")&lt;&gt;"ENCERRADA"),1,0),0)</f>
        <v/>
      </c>
      <c r="B1288">
        <f>B1287+A1288</f>
        <v/>
      </c>
    </row>
    <row r="1289">
      <c r="A1289">
        <f>IFERROR(IF(AND(INDEX(BASELINE!$A1289:$ZZ1289,CALC!$H$1)&lt;&gt;"",INT(IF(AND(CALC!$F$1&gt;0,N(INDEX(BASELINE!$A1289:$ZZ1289,CALC!$F$1))&gt;0),N(INDEX(BASELINE!$A1289:$ZZ1289,CALC!$F$1)),N(INDEX(BASELINE!$A1289:$ZZ1289,CALC!$P$1))))=INT(SIMOPS!$D$3),IFERROR(UPPER(TRIM(INDEX(BASELINE!$A1289:$ZZ1289,CALC!$R$1)&amp;"")),"")&lt;&gt;"ENCERRADA"),1,0),0)</f>
        <v/>
      </c>
      <c r="B1289">
        <f>B1288+A1289</f>
        <v/>
      </c>
    </row>
    <row r="1290">
      <c r="A1290">
        <f>IFERROR(IF(AND(INDEX(BASELINE!$A1290:$ZZ1290,CALC!$H$1)&lt;&gt;"",INT(IF(AND(CALC!$F$1&gt;0,N(INDEX(BASELINE!$A1290:$ZZ1290,CALC!$F$1))&gt;0),N(INDEX(BASELINE!$A1290:$ZZ1290,CALC!$F$1)),N(INDEX(BASELINE!$A1290:$ZZ1290,CALC!$P$1))))=INT(SIMOPS!$D$3),IFERROR(UPPER(TRIM(INDEX(BASELINE!$A1290:$ZZ1290,CALC!$R$1)&amp;"")),"")&lt;&gt;"ENCERRADA"),1,0),0)</f>
        <v/>
      </c>
      <c r="B1290">
        <f>B1289+A1290</f>
        <v/>
      </c>
    </row>
    <row r="1291">
      <c r="A1291">
        <f>IFERROR(IF(AND(INDEX(BASELINE!$A1291:$ZZ1291,CALC!$H$1)&lt;&gt;"",INT(IF(AND(CALC!$F$1&gt;0,N(INDEX(BASELINE!$A1291:$ZZ1291,CALC!$F$1))&gt;0),N(INDEX(BASELINE!$A1291:$ZZ1291,CALC!$F$1)),N(INDEX(BASELINE!$A1291:$ZZ1291,CALC!$P$1))))=INT(SIMOPS!$D$3),IFERROR(UPPER(TRIM(INDEX(BASELINE!$A1291:$ZZ1291,CALC!$R$1)&amp;"")),"")&lt;&gt;"ENCERRADA"),1,0),0)</f>
        <v/>
      </c>
      <c r="B1291">
        <f>B1290+A1291</f>
        <v/>
      </c>
    </row>
    <row r="1292">
      <c r="A1292">
        <f>IFERROR(IF(AND(INDEX(BASELINE!$A1292:$ZZ1292,CALC!$H$1)&lt;&gt;"",INT(IF(AND(CALC!$F$1&gt;0,N(INDEX(BASELINE!$A1292:$ZZ1292,CALC!$F$1))&gt;0),N(INDEX(BASELINE!$A1292:$ZZ1292,CALC!$F$1)),N(INDEX(BASELINE!$A1292:$ZZ1292,CALC!$P$1))))=INT(SIMOPS!$D$3),IFERROR(UPPER(TRIM(INDEX(BASELINE!$A1292:$ZZ1292,CALC!$R$1)&amp;"")),"")&lt;&gt;"ENCERRADA"),1,0),0)</f>
        <v/>
      </c>
      <c r="B1292">
        <f>B1291+A1292</f>
        <v/>
      </c>
    </row>
    <row r="1293">
      <c r="A1293">
        <f>IFERROR(IF(AND(INDEX(BASELINE!$A1293:$ZZ1293,CALC!$H$1)&lt;&gt;"",INT(IF(AND(CALC!$F$1&gt;0,N(INDEX(BASELINE!$A1293:$ZZ1293,CALC!$F$1))&gt;0),N(INDEX(BASELINE!$A1293:$ZZ1293,CALC!$F$1)),N(INDEX(BASELINE!$A1293:$ZZ1293,CALC!$P$1))))=INT(SIMOPS!$D$3),IFERROR(UPPER(TRIM(INDEX(BASELINE!$A1293:$ZZ1293,CALC!$R$1)&amp;"")),"")&lt;&gt;"ENCERRADA"),1,0),0)</f>
        <v/>
      </c>
      <c r="B1293">
        <f>B1292+A1293</f>
        <v/>
      </c>
    </row>
    <row r="1294">
      <c r="A1294">
        <f>IFERROR(IF(AND(INDEX(BASELINE!$A1294:$ZZ1294,CALC!$H$1)&lt;&gt;"",INT(IF(AND(CALC!$F$1&gt;0,N(INDEX(BASELINE!$A1294:$ZZ1294,CALC!$F$1))&gt;0),N(INDEX(BASELINE!$A1294:$ZZ1294,CALC!$F$1)),N(INDEX(BASELINE!$A1294:$ZZ1294,CALC!$P$1))))=INT(SIMOPS!$D$3),IFERROR(UPPER(TRIM(INDEX(BASELINE!$A1294:$ZZ1294,CALC!$R$1)&amp;"")),"")&lt;&gt;"ENCERRADA"),1,0),0)</f>
        <v/>
      </c>
      <c r="B1294">
        <f>B1293+A1294</f>
        <v/>
      </c>
    </row>
    <row r="1295">
      <c r="A1295">
        <f>IFERROR(IF(AND(INDEX(BASELINE!$A1295:$ZZ1295,CALC!$H$1)&lt;&gt;"",INT(IF(AND(CALC!$F$1&gt;0,N(INDEX(BASELINE!$A1295:$ZZ1295,CALC!$F$1))&gt;0),N(INDEX(BASELINE!$A1295:$ZZ1295,CALC!$F$1)),N(INDEX(BASELINE!$A1295:$ZZ1295,CALC!$P$1))))=INT(SIMOPS!$D$3),IFERROR(UPPER(TRIM(INDEX(BASELINE!$A1295:$ZZ1295,CALC!$R$1)&amp;"")),"")&lt;&gt;"ENCERRADA"),1,0),0)</f>
        <v/>
      </c>
      <c r="B1295">
        <f>B1294+A1295</f>
        <v/>
      </c>
    </row>
    <row r="1296">
      <c r="A1296">
        <f>IFERROR(IF(AND(INDEX(BASELINE!$A1296:$ZZ1296,CALC!$H$1)&lt;&gt;"",INT(IF(AND(CALC!$F$1&gt;0,N(INDEX(BASELINE!$A1296:$ZZ1296,CALC!$F$1))&gt;0),N(INDEX(BASELINE!$A1296:$ZZ1296,CALC!$F$1)),N(INDEX(BASELINE!$A1296:$ZZ1296,CALC!$P$1))))=INT(SIMOPS!$D$3),IFERROR(UPPER(TRIM(INDEX(BASELINE!$A1296:$ZZ1296,CALC!$R$1)&amp;"")),"")&lt;&gt;"ENCERRADA"),1,0),0)</f>
        <v/>
      </c>
      <c r="B1296">
        <f>B1295+A1296</f>
        <v/>
      </c>
    </row>
    <row r="1297">
      <c r="A1297">
        <f>IFERROR(IF(AND(INDEX(BASELINE!$A1297:$ZZ1297,CALC!$H$1)&lt;&gt;"",INT(IF(AND(CALC!$F$1&gt;0,N(INDEX(BASELINE!$A1297:$ZZ1297,CALC!$F$1))&gt;0),N(INDEX(BASELINE!$A1297:$ZZ1297,CALC!$F$1)),N(INDEX(BASELINE!$A1297:$ZZ1297,CALC!$P$1))))=INT(SIMOPS!$D$3),IFERROR(UPPER(TRIM(INDEX(BASELINE!$A1297:$ZZ1297,CALC!$R$1)&amp;"")),"")&lt;&gt;"ENCERRADA"),1,0),0)</f>
        <v/>
      </c>
      <c r="B1297">
        <f>B1296+A1297</f>
        <v/>
      </c>
    </row>
    <row r="1298">
      <c r="A1298">
        <f>IFERROR(IF(AND(INDEX(BASELINE!$A1298:$ZZ1298,CALC!$H$1)&lt;&gt;"",INT(IF(AND(CALC!$F$1&gt;0,N(INDEX(BASELINE!$A1298:$ZZ1298,CALC!$F$1))&gt;0),N(INDEX(BASELINE!$A1298:$ZZ1298,CALC!$F$1)),N(INDEX(BASELINE!$A1298:$ZZ1298,CALC!$P$1))))=INT(SIMOPS!$D$3),IFERROR(UPPER(TRIM(INDEX(BASELINE!$A1298:$ZZ1298,CALC!$R$1)&amp;"")),"")&lt;&gt;"ENCERRADA"),1,0),0)</f>
        <v/>
      </c>
      <c r="B1298">
        <f>B1297+A1298</f>
        <v/>
      </c>
    </row>
    <row r="1299">
      <c r="A1299">
        <f>IFERROR(IF(AND(INDEX(BASELINE!$A1299:$ZZ1299,CALC!$H$1)&lt;&gt;"",INT(IF(AND(CALC!$F$1&gt;0,N(INDEX(BASELINE!$A1299:$ZZ1299,CALC!$F$1))&gt;0),N(INDEX(BASELINE!$A1299:$ZZ1299,CALC!$F$1)),N(INDEX(BASELINE!$A1299:$ZZ1299,CALC!$P$1))))=INT(SIMOPS!$D$3),IFERROR(UPPER(TRIM(INDEX(BASELINE!$A1299:$ZZ1299,CALC!$R$1)&amp;"")),"")&lt;&gt;"ENCERRADA"),1,0),0)</f>
        <v/>
      </c>
      <c r="B1299">
        <f>B1298+A1299</f>
        <v/>
      </c>
    </row>
    <row r="1300">
      <c r="A1300">
        <f>IFERROR(IF(AND(INDEX(BASELINE!$A1300:$ZZ1300,CALC!$H$1)&lt;&gt;"",INT(IF(AND(CALC!$F$1&gt;0,N(INDEX(BASELINE!$A1300:$ZZ1300,CALC!$F$1))&gt;0),N(INDEX(BASELINE!$A1300:$ZZ1300,CALC!$F$1)),N(INDEX(BASELINE!$A1300:$ZZ1300,CALC!$P$1))))=INT(SIMOPS!$D$3),IFERROR(UPPER(TRIM(INDEX(BASELINE!$A1300:$ZZ1300,CALC!$R$1)&amp;"")),"")&lt;&gt;"ENCERRADA"),1,0),0)</f>
        <v/>
      </c>
      <c r="B1300">
        <f>B1299+A1300</f>
        <v/>
      </c>
    </row>
    <row r="1301">
      <c r="A1301">
        <f>IFERROR(IF(AND(INDEX(BASELINE!$A1301:$ZZ1301,CALC!$H$1)&lt;&gt;"",INT(IF(AND(CALC!$F$1&gt;0,N(INDEX(BASELINE!$A1301:$ZZ1301,CALC!$F$1))&gt;0),N(INDEX(BASELINE!$A1301:$ZZ1301,CALC!$F$1)),N(INDEX(BASELINE!$A1301:$ZZ1301,CALC!$P$1))))=INT(SIMOPS!$D$3),IFERROR(UPPER(TRIM(INDEX(BASELINE!$A1301:$ZZ1301,CALC!$R$1)&amp;"")),"")&lt;&gt;"ENCERRADA"),1,0),0)</f>
        <v/>
      </c>
      <c r="B1301">
        <f>B1300+A1301</f>
        <v/>
      </c>
    </row>
    <row r="1302">
      <c r="A1302">
        <f>IFERROR(IF(AND(INDEX(BASELINE!$A1302:$ZZ1302,CALC!$H$1)&lt;&gt;"",INT(IF(AND(CALC!$F$1&gt;0,N(INDEX(BASELINE!$A1302:$ZZ1302,CALC!$F$1))&gt;0),N(INDEX(BASELINE!$A1302:$ZZ1302,CALC!$F$1)),N(INDEX(BASELINE!$A1302:$ZZ1302,CALC!$P$1))))=INT(SIMOPS!$D$3),IFERROR(UPPER(TRIM(INDEX(BASELINE!$A1302:$ZZ1302,CALC!$R$1)&amp;"")),"")&lt;&gt;"ENCERRADA"),1,0),0)</f>
        <v/>
      </c>
      <c r="B1302">
        <f>B1301+A1302</f>
        <v/>
      </c>
    </row>
    <row r="1303">
      <c r="A1303">
        <f>IFERROR(IF(AND(INDEX(BASELINE!$A1303:$ZZ1303,CALC!$H$1)&lt;&gt;"",INT(IF(AND(CALC!$F$1&gt;0,N(INDEX(BASELINE!$A1303:$ZZ1303,CALC!$F$1))&gt;0),N(INDEX(BASELINE!$A1303:$ZZ1303,CALC!$F$1)),N(INDEX(BASELINE!$A1303:$ZZ1303,CALC!$P$1))))=INT(SIMOPS!$D$3),IFERROR(UPPER(TRIM(INDEX(BASELINE!$A1303:$ZZ1303,CALC!$R$1)&amp;"")),"")&lt;&gt;"ENCERRADA"),1,0),0)</f>
        <v/>
      </c>
      <c r="B1303">
        <f>B1302+A1303</f>
        <v/>
      </c>
    </row>
    <row r="1304">
      <c r="A1304">
        <f>IFERROR(IF(AND(INDEX(BASELINE!$A1304:$ZZ1304,CALC!$H$1)&lt;&gt;"",INT(IF(AND(CALC!$F$1&gt;0,N(INDEX(BASELINE!$A1304:$ZZ1304,CALC!$F$1))&gt;0),N(INDEX(BASELINE!$A1304:$ZZ1304,CALC!$F$1)),N(INDEX(BASELINE!$A1304:$ZZ1304,CALC!$P$1))))=INT(SIMOPS!$D$3),IFERROR(UPPER(TRIM(INDEX(BASELINE!$A1304:$ZZ1304,CALC!$R$1)&amp;"")),"")&lt;&gt;"ENCERRADA"),1,0),0)</f>
        <v/>
      </c>
      <c r="B1304">
        <f>B1303+A1304</f>
        <v/>
      </c>
    </row>
    <row r="1305">
      <c r="A1305">
        <f>IFERROR(IF(AND(INDEX(BASELINE!$A1305:$ZZ1305,CALC!$H$1)&lt;&gt;"",INT(IF(AND(CALC!$F$1&gt;0,N(INDEX(BASELINE!$A1305:$ZZ1305,CALC!$F$1))&gt;0),N(INDEX(BASELINE!$A1305:$ZZ1305,CALC!$F$1)),N(INDEX(BASELINE!$A1305:$ZZ1305,CALC!$P$1))))=INT(SIMOPS!$D$3),IFERROR(UPPER(TRIM(INDEX(BASELINE!$A1305:$ZZ1305,CALC!$R$1)&amp;"")),"")&lt;&gt;"ENCERRADA"),1,0),0)</f>
        <v/>
      </c>
      <c r="B1305">
        <f>B1304+A1305</f>
        <v/>
      </c>
    </row>
    <row r="1306">
      <c r="A1306">
        <f>IFERROR(IF(AND(INDEX(BASELINE!$A1306:$ZZ1306,CALC!$H$1)&lt;&gt;"",INT(IF(AND(CALC!$F$1&gt;0,N(INDEX(BASELINE!$A1306:$ZZ1306,CALC!$F$1))&gt;0),N(INDEX(BASELINE!$A1306:$ZZ1306,CALC!$F$1)),N(INDEX(BASELINE!$A1306:$ZZ1306,CALC!$P$1))))=INT(SIMOPS!$D$3),IFERROR(UPPER(TRIM(INDEX(BASELINE!$A1306:$ZZ1306,CALC!$R$1)&amp;"")),"")&lt;&gt;"ENCERRADA"),1,0),0)</f>
        <v/>
      </c>
      <c r="B1306">
        <f>B1305+A1306</f>
        <v/>
      </c>
    </row>
    <row r="1307">
      <c r="A1307">
        <f>IFERROR(IF(AND(INDEX(BASELINE!$A1307:$ZZ1307,CALC!$H$1)&lt;&gt;"",INT(IF(AND(CALC!$F$1&gt;0,N(INDEX(BASELINE!$A1307:$ZZ1307,CALC!$F$1))&gt;0),N(INDEX(BASELINE!$A1307:$ZZ1307,CALC!$F$1)),N(INDEX(BASELINE!$A1307:$ZZ1307,CALC!$P$1))))=INT(SIMOPS!$D$3),IFERROR(UPPER(TRIM(INDEX(BASELINE!$A1307:$ZZ1307,CALC!$R$1)&amp;"")),"")&lt;&gt;"ENCERRADA"),1,0),0)</f>
        <v/>
      </c>
      <c r="B1307">
        <f>B1306+A1307</f>
        <v/>
      </c>
    </row>
    <row r="1308">
      <c r="A1308">
        <f>IFERROR(IF(AND(INDEX(BASELINE!$A1308:$ZZ1308,CALC!$H$1)&lt;&gt;"",INT(IF(AND(CALC!$F$1&gt;0,N(INDEX(BASELINE!$A1308:$ZZ1308,CALC!$F$1))&gt;0),N(INDEX(BASELINE!$A1308:$ZZ1308,CALC!$F$1)),N(INDEX(BASELINE!$A1308:$ZZ1308,CALC!$P$1))))=INT(SIMOPS!$D$3),IFERROR(UPPER(TRIM(INDEX(BASELINE!$A1308:$ZZ1308,CALC!$R$1)&amp;"")),"")&lt;&gt;"ENCERRADA"),1,0),0)</f>
        <v/>
      </c>
      <c r="B1308">
        <f>B1307+A1308</f>
        <v/>
      </c>
    </row>
    <row r="1309">
      <c r="A1309">
        <f>IFERROR(IF(AND(INDEX(BASELINE!$A1309:$ZZ1309,CALC!$H$1)&lt;&gt;"",INT(IF(AND(CALC!$F$1&gt;0,N(INDEX(BASELINE!$A1309:$ZZ1309,CALC!$F$1))&gt;0),N(INDEX(BASELINE!$A1309:$ZZ1309,CALC!$F$1)),N(INDEX(BASELINE!$A1309:$ZZ1309,CALC!$P$1))))=INT(SIMOPS!$D$3),IFERROR(UPPER(TRIM(INDEX(BASELINE!$A1309:$ZZ1309,CALC!$R$1)&amp;"")),"")&lt;&gt;"ENCERRADA"),1,0),0)</f>
        <v/>
      </c>
      <c r="B1309">
        <f>B1308+A1309</f>
        <v/>
      </c>
    </row>
    <row r="1310">
      <c r="A1310">
        <f>IFERROR(IF(AND(INDEX(BASELINE!$A1310:$ZZ1310,CALC!$H$1)&lt;&gt;"",INT(IF(AND(CALC!$F$1&gt;0,N(INDEX(BASELINE!$A1310:$ZZ1310,CALC!$F$1))&gt;0),N(INDEX(BASELINE!$A1310:$ZZ1310,CALC!$F$1)),N(INDEX(BASELINE!$A1310:$ZZ1310,CALC!$P$1))))=INT(SIMOPS!$D$3),IFERROR(UPPER(TRIM(INDEX(BASELINE!$A1310:$ZZ1310,CALC!$R$1)&amp;"")),"")&lt;&gt;"ENCERRADA"),1,0),0)</f>
        <v/>
      </c>
      <c r="B1310">
        <f>B1309+A1310</f>
        <v/>
      </c>
    </row>
    <row r="1311">
      <c r="A1311">
        <f>IFERROR(IF(AND(INDEX(BASELINE!$A1311:$ZZ1311,CALC!$H$1)&lt;&gt;"",INT(IF(AND(CALC!$F$1&gt;0,N(INDEX(BASELINE!$A1311:$ZZ1311,CALC!$F$1))&gt;0),N(INDEX(BASELINE!$A1311:$ZZ1311,CALC!$F$1)),N(INDEX(BASELINE!$A1311:$ZZ1311,CALC!$P$1))))=INT(SIMOPS!$D$3),IFERROR(UPPER(TRIM(INDEX(BASELINE!$A1311:$ZZ1311,CALC!$R$1)&amp;"")),"")&lt;&gt;"ENCERRADA"),1,0),0)</f>
        <v/>
      </c>
      <c r="B1311">
        <f>B1310+A1311</f>
        <v/>
      </c>
    </row>
    <row r="1312">
      <c r="A1312">
        <f>IFERROR(IF(AND(INDEX(BASELINE!$A1312:$ZZ1312,CALC!$H$1)&lt;&gt;"",INT(IF(AND(CALC!$F$1&gt;0,N(INDEX(BASELINE!$A1312:$ZZ1312,CALC!$F$1))&gt;0),N(INDEX(BASELINE!$A1312:$ZZ1312,CALC!$F$1)),N(INDEX(BASELINE!$A1312:$ZZ1312,CALC!$P$1))))=INT(SIMOPS!$D$3),IFERROR(UPPER(TRIM(INDEX(BASELINE!$A1312:$ZZ1312,CALC!$R$1)&amp;"")),"")&lt;&gt;"ENCERRADA"),1,0),0)</f>
        <v/>
      </c>
      <c r="B1312">
        <f>B1311+A1312</f>
        <v/>
      </c>
    </row>
    <row r="1313">
      <c r="A1313">
        <f>IFERROR(IF(AND(INDEX(BASELINE!$A1313:$ZZ1313,CALC!$H$1)&lt;&gt;"",INT(IF(AND(CALC!$F$1&gt;0,N(INDEX(BASELINE!$A1313:$ZZ1313,CALC!$F$1))&gt;0),N(INDEX(BASELINE!$A1313:$ZZ1313,CALC!$F$1)),N(INDEX(BASELINE!$A1313:$ZZ1313,CALC!$P$1))))=INT(SIMOPS!$D$3),IFERROR(UPPER(TRIM(INDEX(BASELINE!$A1313:$ZZ1313,CALC!$R$1)&amp;"")),"")&lt;&gt;"ENCERRADA"),1,0),0)</f>
        <v/>
      </c>
      <c r="B1313">
        <f>B1312+A1313</f>
        <v/>
      </c>
    </row>
    <row r="1314">
      <c r="A1314">
        <f>IFERROR(IF(AND(INDEX(BASELINE!$A1314:$ZZ1314,CALC!$H$1)&lt;&gt;"",INT(IF(AND(CALC!$F$1&gt;0,N(INDEX(BASELINE!$A1314:$ZZ1314,CALC!$F$1))&gt;0),N(INDEX(BASELINE!$A1314:$ZZ1314,CALC!$F$1)),N(INDEX(BASELINE!$A1314:$ZZ1314,CALC!$P$1))))=INT(SIMOPS!$D$3),IFERROR(UPPER(TRIM(INDEX(BASELINE!$A1314:$ZZ1314,CALC!$R$1)&amp;"")),"")&lt;&gt;"ENCERRADA"),1,0),0)</f>
        <v/>
      </c>
      <c r="B1314">
        <f>B1313+A1314</f>
        <v/>
      </c>
    </row>
    <row r="1315">
      <c r="A1315">
        <f>IFERROR(IF(AND(INDEX(BASELINE!$A1315:$ZZ1315,CALC!$H$1)&lt;&gt;"",INT(IF(AND(CALC!$F$1&gt;0,N(INDEX(BASELINE!$A1315:$ZZ1315,CALC!$F$1))&gt;0),N(INDEX(BASELINE!$A1315:$ZZ1315,CALC!$F$1)),N(INDEX(BASELINE!$A1315:$ZZ1315,CALC!$P$1))))=INT(SIMOPS!$D$3),IFERROR(UPPER(TRIM(INDEX(BASELINE!$A1315:$ZZ1315,CALC!$R$1)&amp;"")),"")&lt;&gt;"ENCERRADA"),1,0),0)</f>
        <v/>
      </c>
      <c r="B1315">
        <f>B1314+A1315</f>
        <v/>
      </c>
    </row>
    <row r="1316">
      <c r="A1316">
        <f>IFERROR(IF(AND(INDEX(BASELINE!$A1316:$ZZ1316,CALC!$H$1)&lt;&gt;"",INT(IF(AND(CALC!$F$1&gt;0,N(INDEX(BASELINE!$A1316:$ZZ1316,CALC!$F$1))&gt;0),N(INDEX(BASELINE!$A1316:$ZZ1316,CALC!$F$1)),N(INDEX(BASELINE!$A1316:$ZZ1316,CALC!$P$1))))=INT(SIMOPS!$D$3),IFERROR(UPPER(TRIM(INDEX(BASELINE!$A1316:$ZZ1316,CALC!$R$1)&amp;"")),"")&lt;&gt;"ENCERRADA"),1,0),0)</f>
        <v/>
      </c>
      <c r="B1316">
        <f>B1315+A1316</f>
        <v/>
      </c>
    </row>
    <row r="1317">
      <c r="A1317">
        <f>IFERROR(IF(AND(INDEX(BASELINE!$A1317:$ZZ1317,CALC!$H$1)&lt;&gt;"",INT(IF(AND(CALC!$F$1&gt;0,N(INDEX(BASELINE!$A1317:$ZZ1317,CALC!$F$1))&gt;0),N(INDEX(BASELINE!$A1317:$ZZ1317,CALC!$F$1)),N(INDEX(BASELINE!$A1317:$ZZ1317,CALC!$P$1))))=INT(SIMOPS!$D$3),IFERROR(UPPER(TRIM(INDEX(BASELINE!$A1317:$ZZ1317,CALC!$R$1)&amp;"")),"")&lt;&gt;"ENCERRADA"),1,0),0)</f>
        <v/>
      </c>
      <c r="B1317">
        <f>B1316+A1317</f>
        <v/>
      </c>
    </row>
    <row r="1318">
      <c r="A1318">
        <f>IFERROR(IF(AND(INDEX(BASELINE!$A1318:$ZZ1318,CALC!$H$1)&lt;&gt;"",INT(IF(AND(CALC!$F$1&gt;0,N(INDEX(BASELINE!$A1318:$ZZ1318,CALC!$F$1))&gt;0),N(INDEX(BASELINE!$A1318:$ZZ1318,CALC!$F$1)),N(INDEX(BASELINE!$A1318:$ZZ1318,CALC!$P$1))))=INT(SIMOPS!$D$3),IFERROR(UPPER(TRIM(INDEX(BASELINE!$A1318:$ZZ1318,CALC!$R$1)&amp;"")),"")&lt;&gt;"ENCERRADA"),1,0),0)</f>
        <v/>
      </c>
      <c r="B1318">
        <f>B1317+A1318</f>
        <v/>
      </c>
    </row>
    <row r="1319">
      <c r="A1319">
        <f>IFERROR(IF(AND(INDEX(BASELINE!$A1319:$ZZ1319,CALC!$H$1)&lt;&gt;"",INT(IF(AND(CALC!$F$1&gt;0,N(INDEX(BASELINE!$A1319:$ZZ1319,CALC!$F$1))&gt;0),N(INDEX(BASELINE!$A1319:$ZZ1319,CALC!$F$1)),N(INDEX(BASELINE!$A1319:$ZZ1319,CALC!$P$1))))=INT(SIMOPS!$D$3),IFERROR(UPPER(TRIM(INDEX(BASELINE!$A1319:$ZZ1319,CALC!$R$1)&amp;"")),"")&lt;&gt;"ENCERRADA"),1,0),0)</f>
        <v/>
      </c>
      <c r="B1319">
        <f>B1318+A1319</f>
        <v/>
      </c>
    </row>
    <row r="1320">
      <c r="A1320">
        <f>IFERROR(IF(AND(INDEX(BASELINE!$A1320:$ZZ1320,CALC!$H$1)&lt;&gt;"",INT(IF(AND(CALC!$F$1&gt;0,N(INDEX(BASELINE!$A1320:$ZZ1320,CALC!$F$1))&gt;0),N(INDEX(BASELINE!$A1320:$ZZ1320,CALC!$F$1)),N(INDEX(BASELINE!$A1320:$ZZ1320,CALC!$P$1))))=INT(SIMOPS!$D$3),IFERROR(UPPER(TRIM(INDEX(BASELINE!$A1320:$ZZ1320,CALC!$R$1)&amp;"")),"")&lt;&gt;"ENCERRADA"),1,0),0)</f>
        <v/>
      </c>
      <c r="B1320">
        <f>B1319+A1320</f>
        <v/>
      </c>
    </row>
    <row r="1321">
      <c r="A1321">
        <f>IFERROR(IF(AND(INDEX(BASELINE!$A1321:$ZZ1321,CALC!$H$1)&lt;&gt;"",INT(IF(AND(CALC!$F$1&gt;0,N(INDEX(BASELINE!$A1321:$ZZ1321,CALC!$F$1))&gt;0),N(INDEX(BASELINE!$A1321:$ZZ1321,CALC!$F$1)),N(INDEX(BASELINE!$A1321:$ZZ1321,CALC!$P$1))))=INT(SIMOPS!$D$3),IFERROR(UPPER(TRIM(INDEX(BASELINE!$A1321:$ZZ1321,CALC!$R$1)&amp;"")),"")&lt;&gt;"ENCERRADA"),1,0),0)</f>
        <v/>
      </c>
      <c r="B1321">
        <f>B1320+A1321</f>
        <v/>
      </c>
    </row>
    <row r="1322">
      <c r="A1322">
        <f>IFERROR(IF(AND(INDEX(BASELINE!$A1322:$ZZ1322,CALC!$H$1)&lt;&gt;"",INT(IF(AND(CALC!$F$1&gt;0,N(INDEX(BASELINE!$A1322:$ZZ1322,CALC!$F$1))&gt;0),N(INDEX(BASELINE!$A1322:$ZZ1322,CALC!$F$1)),N(INDEX(BASELINE!$A1322:$ZZ1322,CALC!$P$1))))=INT(SIMOPS!$D$3),IFERROR(UPPER(TRIM(INDEX(BASELINE!$A1322:$ZZ1322,CALC!$R$1)&amp;"")),"")&lt;&gt;"ENCERRADA"),1,0),0)</f>
        <v/>
      </c>
      <c r="B1322">
        <f>B1321+A1322</f>
        <v/>
      </c>
    </row>
    <row r="1323">
      <c r="A1323">
        <f>IFERROR(IF(AND(INDEX(BASELINE!$A1323:$ZZ1323,CALC!$H$1)&lt;&gt;"",INT(IF(AND(CALC!$F$1&gt;0,N(INDEX(BASELINE!$A1323:$ZZ1323,CALC!$F$1))&gt;0),N(INDEX(BASELINE!$A1323:$ZZ1323,CALC!$F$1)),N(INDEX(BASELINE!$A1323:$ZZ1323,CALC!$P$1))))=INT(SIMOPS!$D$3),IFERROR(UPPER(TRIM(INDEX(BASELINE!$A1323:$ZZ1323,CALC!$R$1)&amp;"")),"")&lt;&gt;"ENCERRADA"),1,0),0)</f>
        <v/>
      </c>
      <c r="B1323">
        <f>B1322+A1323</f>
        <v/>
      </c>
    </row>
    <row r="1324">
      <c r="A1324">
        <f>IFERROR(IF(AND(INDEX(BASELINE!$A1324:$ZZ1324,CALC!$H$1)&lt;&gt;"",INT(IF(AND(CALC!$F$1&gt;0,N(INDEX(BASELINE!$A1324:$ZZ1324,CALC!$F$1))&gt;0),N(INDEX(BASELINE!$A1324:$ZZ1324,CALC!$F$1)),N(INDEX(BASELINE!$A1324:$ZZ1324,CALC!$P$1))))=INT(SIMOPS!$D$3),IFERROR(UPPER(TRIM(INDEX(BASELINE!$A1324:$ZZ1324,CALC!$R$1)&amp;"")),"")&lt;&gt;"ENCERRADA"),1,0),0)</f>
        <v/>
      </c>
      <c r="B1324">
        <f>B1323+A1324</f>
        <v/>
      </c>
    </row>
    <row r="1325">
      <c r="A1325">
        <f>IFERROR(IF(AND(INDEX(BASELINE!$A1325:$ZZ1325,CALC!$H$1)&lt;&gt;"",INT(IF(AND(CALC!$F$1&gt;0,N(INDEX(BASELINE!$A1325:$ZZ1325,CALC!$F$1))&gt;0),N(INDEX(BASELINE!$A1325:$ZZ1325,CALC!$F$1)),N(INDEX(BASELINE!$A1325:$ZZ1325,CALC!$P$1))))=INT(SIMOPS!$D$3),IFERROR(UPPER(TRIM(INDEX(BASELINE!$A1325:$ZZ1325,CALC!$R$1)&amp;"")),"")&lt;&gt;"ENCERRADA"),1,0),0)</f>
        <v/>
      </c>
      <c r="B1325">
        <f>B1324+A1325</f>
        <v/>
      </c>
    </row>
    <row r="1326">
      <c r="A1326">
        <f>IFERROR(IF(AND(INDEX(BASELINE!$A1326:$ZZ1326,CALC!$H$1)&lt;&gt;"",INT(IF(AND(CALC!$F$1&gt;0,N(INDEX(BASELINE!$A1326:$ZZ1326,CALC!$F$1))&gt;0),N(INDEX(BASELINE!$A1326:$ZZ1326,CALC!$F$1)),N(INDEX(BASELINE!$A1326:$ZZ1326,CALC!$P$1))))=INT(SIMOPS!$D$3),IFERROR(UPPER(TRIM(INDEX(BASELINE!$A1326:$ZZ1326,CALC!$R$1)&amp;"")),"")&lt;&gt;"ENCERRADA"),1,0),0)</f>
        <v/>
      </c>
      <c r="B1326">
        <f>B1325+A1326</f>
        <v/>
      </c>
    </row>
    <row r="1327">
      <c r="A1327">
        <f>IFERROR(IF(AND(INDEX(BASELINE!$A1327:$ZZ1327,CALC!$H$1)&lt;&gt;"",INT(IF(AND(CALC!$F$1&gt;0,N(INDEX(BASELINE!$A1327:$ZZ1327,CALC!$F$1))&gt;0),N(INDEX(BASELINE!$A1327:$ZZ1327,CALC!$F$1)),N(INDEX(BASELINE!$A1327:$ZZ1327,CALC!$P$1))))=INT(SIMOPS!$D$3),IFERROR(UPPER(TRIM(INDEX(BASELINE!$A1327:$ZZ1327,CALC!$R$1)&amp;"")),"")&lt;&gt;"ENCERRADA"),1,0),0)</f>
        <v/>
      </c>
      <c r="B1327">
        <f>B1326+A1327</f>
        <v/>
      </c>
    </row>
    <row r="1328">
      <c r="A1328">
        <f>IFERROR(IF(AND(INDEX(BASELINE!$A1328:$ZZ1328,CALC!$H$1)&lt;&gt;"",INT(IF(AND(CALC!$F$1&gt;0,N(INDEX(BASELINE!$A1328:$ZZ1328,CALC!$F$1))&gt;0),N(INDEX(BASELINE!$A1328:$ZZ1328,CALC!$F$1)),N(INDEX(BASELINE!$A1328:$ZZ1328,CALC!$P$1))))=INT(SIMOPS!$D$3),IFERROR(UPPER(TRIM(INDEX(BASELINE!$A1328:$ZZ1328,CALC!$R$1)&amp;"")),"")&lt;&gt;"ENCERRADA"),1,0),0)</f>
        <v/>
      </c>
      <c r="B1328">
        <f>B1327+A1328</f>
        <v/>
      </c>
    </row>
    <row r="1329">
      <c r="A1329">
        <f>IFERROR(IF(AND(INDEX(BASELINE!$A1329:$ZZ1329,CALC!$H$1)&lt;&gt;"",INT(IF(AND(CALC!$F$1&gt;0,N(INDEX(BASELINE!$A1329:$ZZ1329,CALC!$F$1))&gt;0),N(INDEX(BASELINE!$A1329:$ZZ1329,CALC!$F$1)),N(INDEX(BASELINE!$A1329:$ZZ1329,CALC!$P$1))))=INT(SIMOPS!$D$3),IFERROR(UPPER(TRIM(INDEX(BASELINE!$A1329:$ZZ1329,CALC!$R$1)&amp;"")),"")&lt;&gt;"ENCERRADA"),1,0),0)</f>
        <v/>
      </c>
      <c r="B1329">
        <f>B1328+A1329</f>
        <v/>
      </c>
    </row>
    <row r="1330">
      <c r="A1330">
        <f>IFERROR(IF(AND(INDEX(BASELINE!$A1330:$ZZ1330,CALC!$H$1)&lt;&gt;"",INT(IF(AND(CALC!$F$1&gt;0,N(INDEX(BASELINE!$A1330:$ZZ1330,CALC!$F$1))&gt;0),N(INDEX(BASELINE!$A1330:$ZZ1330,CALC!$F$1)),N(INDEX(BASELINE!$A1330:$ZZ1330,CALC!$P$1))))=INT(SIMOPS!$D$3),IFERROR(UPPER(TRIM(INDEX(BASELINE!$A1330:$ZZ1330,CALC!$R$1)&amp;"")),"")&lt;&gt;"ENCERRADA"),1,0),0)</f>
        <v/>
      </c>
      <c r="B1330">
        <f>B1329+A1330</f>
        <v/>
      </c>
    </row>
    <row r="1331">
      <c r="A1331">
        <f>IFERROR(IF(AND(INDEX(BASELINE!$A1331:$ZZ1331,CALC!$H$1)&lt;&gt;"",INT(IF(AND(CALC!$F$1&gt;0,N(INDEX(BASELINE!$A1331:$ZZ1331,CALC!$F$1))&gt;0),N(INDEX(BASELINE!$A1331:$ZZ1331,CALC!$F$1)),N(INDEX(BASELINE!$A1331:$ZZ1331,CALC!$P$1))))=INT(SIMOPS!$D$3),IFERROR(UPPER(TRIM(INDEX(BASELINE!$A1331:$ZZ1331,CALC!$R$1)&amp;"")),"")&lt;&gt;"ENCERRADA"),1,0),0)</f>
        <v/>
      </c>
      <c r="B1331">
        <f>B1330+A1331</f>
        <v/>
      </c>
    </row>
    <row r="1332">
      <c r="A1332">
        <f>IFERROR(IF(AND(INDEX(BASELINE!$A1332:$ZZ1332,CALC!$H$1)&lt;&gt;"",INT(IF(AND(CALC!$F$1&gt;0,N(INDEX(BASELINE!$A1332:$ZZ1332,CALC!$F$1))&gt;0),N(INDEX(BASELINE!$A1332:$ZZ1332,CALC!$F$1)),N(INDEX(BASELINE!$A1332:$ZZ1332,CALC!$P$1))))=INT(SIMOPS!$D$3),IFERROR(UPPER(TRIM(INDEX(BASELINE!$A1332:$ZZ1332,CALC!$R$1)&amp;"")),"")&lt;&gt;"ENCERRADA"),1,0),0)</f>
        <v/>
      </c>
      <c r="B1332">
        <f>B1331+A1332</f>
        <v/>
      </c>
    </row>
    <row r="1333">
      <c r="A1333">
        <f>IFERROR(IF(AND(INDEX(BASELINE!$A1333:$ZZ1333,CALC!$H$1)&lt;&gt;"",INT(IF(AND(CALC!$F$1&gt;0,N(INDEX(BASELINE!$A1333:$ZZ1333,CALC!$F$1))&gt;0),N(INDEX(BASELINE!$A1333:$ZZ1333,CALC!$F$1)),N(INDEX(BASELINE!$A1333:$ZZ1333,CALC!$P$1))))=INT(SIMOPS!$D$3),IFERROR(UPPER(TRIM(INDEX(BASELINE!$A1333:$ZZ1333,CALC!$R$1)&amp;"")),"")&lt;&gt;"ENCERRADA"),1,0),0)</f>
        <v/>
      </c>
      <c r="B1333">
        <f>B1332+A1333</f>
        <v/>
      </c>
    </row>
    <row r="1334">
      <c r="A1334">
        <f>IFERROR(IF(AND(INDEX(BASELINE!$A1334:$ZZ1334,CALC!$H$1)&lt;&gt;"",INT(IF(AND(CALC!$F$1&gt;0,N(INDEX(BASELINE!$A1334:$ZZ1334,CALC!$F$1))&gt;0),N(INDEX(BASELINE!$A1334:$ZZ1334,CALC!$F$1)),N(INDEX(BASELINE!$A1334:$ZZ1334,CALC!$P$1))))=INT(SIMOPS!$D$3),IFERROR(UPPER(TRIM(INDEX(BASELINE!$A1334:$ZZ1334,CALC!$R$1)&amp;"")),"")&lt;&gt;"ENCERRADA"),1,0),0)</f>
        <v/>
      </c>
      <c r="B1334">
        <f>B1333+A1334</f>
        <v/>
      </c>
    </row>
    <row r="1335">
      <c r="A1335">
        <f>IFERROR(IF(AND(INDEX(BASELINE!$A1335:$ZZ1335,CALC!$H$1)&lt;&gt;"",INT(IF(AND(CALC!$F$1&gt;0,N(INDEX(BASELINE!$A1335:$ZZ1335,CALC!$F$1))&gt;0),N(INDEX(BASELINE!$A1335:$ZZ1335,CALC!$F$1)),N(INDEX(BASELINE!$A1335:$ZZ1335,CALC!$P$1))))=INT(SIMOPS!$D$3),IFERROR(UPPER(TRIM(INDEX(BASELINE!$A1335:$ZZ1335,CALC!$R$1)&amp;"")),"")&lt;&gt;"ENCERRADA"),1,0),0)</f>
        <v/>
      </c>
      <c r="B1335">
        <f>B1334+A1335</f>
        <v/>
      </c>
    </row>
    <row r="1336">
      <c r="A1336">
        <f>IFERROR(IF(AND(INDEX(BASELINE!$A1336:$ZZ1336,CALC!$H$1)&lt;&gt;"",INT(IF(AND(CALC!$F$1&gt;0,N(INDEX(BASELINE!$A1336:$ZZ1336,CALC!$F$1))&gt;0),N(INDEX(BASELINE!$A1336:$ZZ1336,CALC!$F$1)),N(INDEX(BASELINE!$A1336:$ZZ1336,CALC!$P$1))))=INT(SIMOPS!$D$3),IFERROR(UPPER(TRIM(INDEX(BASELINE!$A1336:$ZZ1336,CALC!$R$1)&amp;"")),"")&lt;&gt;"ENCERRADA"),1,0),0)</f>
        <v/>
      </c>
      <c r="B1336">
        <f>B1335+A1336</f>
        <v/>
      </c>
    </row>
    <row r="1337">
      <c r="A1337">
        <f>IFERROR(IF(AND(INDEX(BASELINE!$A1337:$ZZ1337,CALC!$H$1)&lt;&gt;"",INT(IF(AND(CALC!$F$1&gt;0,N(INDEX(BASELINE!$A1337:$ZZ1337,CALC!$F$1))&gt;0),N(INDEX(BASELINE!$A1337:$ZZ1337,CALC!$F$1)),N(INDEX(BASELINE!$A1337:$ZZ1337,CALC!$P$1))))=INT(SIMOPS!$D$3),IFERROR(UPPER(TRIM(INDEX(BASELINE!$A1337:$ZZ1337,CALC!$R$1)&amp;"")),"")&lt;&gt;"ENCERRADA"),1,0),0)</f>
        <v/>
      </c>
      <c r="B1337">
        <f>B1336+A1337</f>
        <v/>
      </c>
    </row>
    <row r="1338">
      <c r="A1338">
        <f>IFERROR(IF(AND(INDEX(BASELINE!$A1338:$ZZ1338,CALC!$H$1)&lt;&gt;"",INT(IF(AND(CALC!$F$1&gt;0,N(INDEX(BASELINE!$A1338:$ZZ1338,CALC!$F$1))&gt;0),N(INDEX(BASELINE!$A1338:$ZZ1338,CALC!$F$1)),N(INDEX(BASELINE!$A1338:$ZZ1338,CALC!$P$1))))=INT(SIMOPS!$D$3),IFERROR(UPPER(TRIM(INDEX(BASELINE!$A1338:$ZZ1338,CALC!$R$1)&amp;"")),"")&lt;&gt;"ENCERRADA"),1,0),0)</f>
        <v/>
      </c>
      <c r="B1338">
        <f>B1337+A1338</f>
        <v/>
      </c>
    </row>
    <row r="1339">
      <c r="A1339">
        <f>IFERROR(IF(AND(INDEX(BASELINE!$A1339:$ZZ1339,CALC!$H$1)&lt;&gt;"",INT(IF(AND(CALC!$F$1&gt;0,N(INDEX(BASELINE!$A1339:$ZZ1339,CALC!$F$1))&gt;0),N(INDEX(BASELINE!$A1339:$ZZ1339,CALC!$F$1)),N(INDEX(BASELINE!$A1339:$ZZ1339,CALC!$P$1))))=INT(SIMOPS!$D$3),IFERROR(UPPER(TRIM(INDEX(BASELINE!$A1339:$ZZ1339,CALC!$R$1)&amp;"")),"")&lt;&gt;"ENCERRADA"),1,0),0)</f>
        <v/>
      </c>
      <c r="B1339">
        <f>B1338+A1339</f>
        <v/>
      </c>
    </row>
    <row r="1340">
      <c r="A1340">
        <f>IFERROR(IF(AND(INDEX(BASELINE!$A1340:$ZZ1340,CALC!$H$1)&lt;&gt;"",INT(IF(AND(CALC!$F$1&gt;0,N(INDEX(BASELINE!$A1340:$ZZ1340,CALC!$F$1))&gt;0),N(INDEX(BASELINE!$A1340:$ZZ1340,CALC!$F$1)),N(INDEX(BASELINE!$A1340:$ZZ1340,CALC!$P$1))))=INT(SIMOPS!$D$3),IFERROR(UPPER(TRIM(INDEX(BASELINE!$A1340:$ZZ1340,CALC!$R$1)&amp;"")),"")&lt;&gt;"ENCERRADA"),1,0),0)</f>
        <v/>
      </c>
      <c r="B1340">
        <f>B1339+A1340</f>
        <v/>
      </c>
    </row>
    <row r="1341">
      <c r="A1341">
        <f>IFERROR(IF(AND(INDEX(BASELINE!$A1341:$ZZ1341,CALC!$H$1)&lt;&gt;"",INT(IF(AND(CALC!$F$1&gt;0,N(INDEX(BASELINE!$A1341:$ZZ1341,CALC!$F$1))&gt;0),N(INDEX(BASELINE!$A1341:$ZZ1341,CALC!$F$1)),N(INDEX(BASELINE!$A1341:$ZZ1341,CALC!$P$1))))=INT(SIMOPS!$D$3),IFERROR(UPPER(TRIM(INDEX(BASELINE!$A1341:$ZZ1341,CALC!$R$1)&amp;"")),"")&lt;&gt;"ENCERRADA"),1,0),0)</f>
        <v/>
      </c>
      <c r="B1341">
        <f>B1340+A1341</f>
        <v/>
      </c>
    </row>
    <row r="1342">
      <c r="A1342">
        <f>IFERROR(IF(AND(INDEX(BASELINE!$A1342:$ZZ1342,CALC!$H$1)&lt;&gt;"",INT(IF(AND(CALC!$F$1&gt;0,N(INDEX(BASELINE!$A1342:$ZZ1342,CALC!$F$1))&gt;0),N(INDEX(BASELINE!$A1342:$ZZ1342,CALC!$F$1)),N(INDEX(BASELINE!$A1342:$ZZ1342,CALC!$P$1))))=INT(SIMOPS!$D$3),IFERROR(UPPER(TRIM(INDEX(BASELINE!$A1342:$ZZ1342,CALC!$R$1)&amp;"")),"")&lt;&gt;"ENCERRADA"),1,0),0)</f>
        <v/>
      </c>
      <c r="B1342">
        <f>B1341+A1342</f>
        <v/>
      </c>
    </row>
    <row r="1343">
      <c r="A1343">
        <f>IFERROR(IF(AND(INDEX(BASELINE!$A1343:$ZZ1343,CALC!$H$1)&lt;&gt;"",INT(IF(AND(CALC!$F$1&gt;0,N(INDEX(BASELINE!$A1343:$ZZ1343,CALC!$F$1))&gt;0),N(INDEX(BASELINE!$A1343:$ZZ1343,CALC!$F$1)),N(INDEX(BASELINE!$A1343:$ZZ1343,CALC!$P$1))))=INT(SIMOPS!$D$3),IFERROR(UPPER(TRIM(INDEX(BASELINE!$A1343:$ZZ1343,CALC!$R$1)&amp;"")),"")&lt;&gt;"ENCERRADA"),1,0),0)</f>
        <v/>
      </c>
      <c r="B1343">
        <f>B1342+A1343</f>
        <v/>
      </c>
    </row>
    <row r="1344">
      <c r="A1344">
        <f>IFERROR(IF(AND(INDEX(BASELINE!$A1344:$ZZ1344,CALC!$H$1)&lt;&gt;"",INT(IF(AND(CALC!$F$1&gt;0,N(INDEX(BASELINE!$A1344:$ZZ1344,CALC!$F$1))&gt;0),N(INDEX(BASELINE!$A1344:$ZZ1344,CALC!$F$1)),N(INDEX(BASELINE!$A1344:$ZZ1344,CALC!$P$1))))=INT(SIMOPS!$D$3),IFERROR(UPPER(TRIM(INDEX(BASELINE!$A1344:$ZZ1344,CALC!$R$1)&amp;"")),"")&lt;&gt;"ENCERRADA"),1,0),0)</f>
        <v/>
      </c>
      <c r="B1344">
        <f>B1343+A1344</f>
        <v/>
      </c>
    </row>
    <row r="1345">
      <c r="A1345">
        <f>IFERROR(IF(AND(INDEX(BASELINE!$A1345:$ZZ1345,CALC!$H$1)&lt;&gt;"",INT(IF(AND(CALC!$F$1&gt;0,N(INDEX(BASELINE!$A1345:$ZZ1345,CALC!$F$1))&gt;0),N(INDEX(BASELINE!$A1345:$ZZ1345,CALC!$F$1)),N(INDEX(BASELINE!$A1345:$ZZ1345,CALC!$P$1))))=INT(SIMOPS!$D$3),IFERROR(UPPER(TRIM(INDEX(BASELINE!$A1345:$ZZ1345,CALC!$R$1)&amp;"")),"")&lt;&gt;"ENCERRADA"),1,0),0)</f>
        <v/>
      </c>
      <c r="B1345">
        <f>B1344+A1345</f>
        <v/>
      </c>
    </row>
    <row r="1346">
      <c r="A1346">
        <f>IFERROR(IF(AND(INDEX(BASELINE!$A1346:$ZZ1346,CALC!$H$1)&lt;&gt;"",INT(IF(AND(CALC!$F$1&gt;0,N(INDEX(BASELINE!$A1346:$ZZ1346,CALC!$F$1))&gt;0),N(INDEX(BASELINE!$A1346:$ZZ1346,CALC!$F$1)),N(INDEX(BASELINE!$A1346:$ZZ1346,CALC!$P$1))))=INT(SIMOPS!$D$3),IFERROR(UPPER(TRIM(INDEX(BASELINE!$A1346:$ZZ1346,CALC!$R$1)&amp;"")),"")&lt;&gt;"ENCERRADA"),1,0),0)</f>
        <v/>
      </c>
      <c r="B1346">
        <f>B1345+A1346</f>
        <v/>
      </c>
    </row>
    <row r="1347">
      <c r="A1347">
        <f>IFERROR(IF(AND(INDEX(BASELINE!$A1347:$ZZ1347,CALC!$H$1)&lt;&gt;"",INT(IF(AND(CALC!$F$1&gt;0,N(INDEX(BASELINE!$A1347:$ZZ1347,CALC!$F$1))&gt;0),N(INDEX(BASELINE!$A1347:$ZZ1347,CALC!$F$1)),N(INDEX(BASELINE!$A1347:$ZZ1347,CALC!$P$1))))=INT(SIMOPS!$D$3),IFERROR(UPPER(TRIM(INDEX(BASELINE!$A1347:$ZZ1347,CALC!$R$1)&amp;"")),"")&lt;&gt;"ENCERRADA"),1,0),0)</f>
        <v/>
      </c>
      <c r="B1347">
        <f>B1346+A1347</f>
        <v/>
      </c>
    </row>
    <row r="1348">
      <c r="A1348">
        <f>IFERROR(IF(AND(INDEX(BASELINE!$A1348:$ZZ1348,CALC!$H$1)&lt;&gt;"",INT(IF(AND(CALC!$F$1&gt;0,N(INDEX(BASELINE!$A1348:$ZZ1348,CALC!$F$1))&gt;0),N(INDEX(BASELINE!$A1348:$ZZ1348,CALC!$F$1)),N(INDEX(BASELINE!$A1348:$ZZ1348,CALC!$P$1))))=INT(SIMOPS!$D$3),IFERROR(UPPER(TRIM(INDEX(BASELINE!$A1348:$ZZ1348,CALC!$R$1)&amp;"")),"")&lt;&gt;"ENCERRADA"),1,0),0)</f>
        <v/>
      </c>
      <c r="B1348">
        <f>B1347+A1348</f>
        <v/>
      </c>
    </row>
    <row r="1349">
      <c r="A1349">
        <f>IFERROR(IF(AND(INDEX(BASELINE!$A1349:$ZZ1349,CALC!$H$1)&lt;&gt;"",INT(IF(AND(CALC!$F$1&gt;0,N(INDEX(BASELINE!$A1349:$ZZ1349,CALC!$F$1))&gt;0),N(INDEX(BASELINE!$A1349:$ZZ1349,CALC!$F$1)),N(INDEX(BASELINE!$A1349:$ZZ1349,CALC!$P$1))))=INT(SIMOPS!$D$3),IFERROR(UPPER(TRIM(INDEX(BASELINE!$A1349:$ZZ1349,CALC!$R$1)&amp;"")),"")&lt;&gt;"ENCERRADA"),1,0),0)</f>
        <v/>
      </c>
      <c r="B1349">
        <f>B1348+A1349</f>
        <v/>
      </c>
    </row>
    <row r="1350">
      <c r="A1350">
        <f>IFERROR(IF(AND(INDEX(BASELINE!$A1350:$ZZ1350,CALC!$H$1)&lt;&gt;"",INT(IF(AND(CALC!$F$1&gt;0,N(INDEX(BASELINE!$A1350:$ZZ1350,CALC!$F$1))&gt;0),N(INDEX(BASELINE!$A1350:$ZZ1350,CALC!$F$1)),N(INDEX(BASELINE!$A1350:$ZZ1350,CALC!$P$1))))=INT(SIMOPS!$D$3),IFERROR(UPPER(TRIM(INDEX(BASELINE!$A1350:$ZZ1350,CALC!$R$1)&amp;"")),"")&lt;&gt;"ENCERRADA"),1,0),0)</f>
        <v/>
      </c>
      <c r="B1350">
        <f>B1349+A1350</f>
        <v/>
      </c>
    </row>
    <row r="1351">
      <c r="A1351">
        <f>IFERROR(IF(AND(INDEX(BASELINE!$A1351:$ZZ1351,CALC!$H$1)&lt;&gt;"",INT(IF(AND(CALC!$F$1&gt;0,N(INDEX(BASELINE!$A1351:$ZZ1351,CALC!$F$1))&gt;0),N(INDEX(BASELINE!$A1351:$ZZ1351,CALC!$F$1)),N(INDEX(BASELINE!$A1351:$ZZ1351,CALC!$P$1))))=INT(SIMOPS!$D$3),IFERROR(UPPER(TRIM(INDEX(BASELINE!$A1351:$ZZ1351,CALC!$R$1)&amp;"")),"")&lt;&gt;"ENCERRADA"),1,0),0)</f>
        <v/>
      </c>
      <c r="B1351">
        <f>B1350+A1351</f>
        <v/>
      </c>
    </row>
    <row r="1352">
      <c r="A1352">
        <f>IFERROR(IF(AND(INDEX(BASELINE!$A1352:$ZZ1352,CALC!$H$1)&lt;&gt;"",INT(IF(AND(CALC!$F$1&gt;0,N(INDEX(BASELINE!$A1352:$ZZ1352,CALC!$F$1))&gt;0),N(INDEX(BASELINE!$A1352:$ZZ1352,CALC!$F$1)),N(INDEX(BASELINE!$A1352:$ZZ1352,CALC!$P$1))))=INT(SIMOPS!$D$3),IFERROR(UPPER(TRIM(INDEX(BASELINE!$A1352:$ZZ1352,CALC!$R$1)&amp;"")),"")&lt;&gt;"ENCERRADA"),1,0),0)</f>
        <v/>
      </c>
      <c r="B1352">
        <f>B1351+A1352</f>
        <v/>
      </c>
    </row>
    <row r="1353">
      <c r="A1353">
        <f>IFERROR(IF(AND(INDEX(BASELINE!$A1353:$ZZ1353,CALC!$H$1)&lt;&gt;"",INT(IF(AND(CALC!$F$1&gt;0,N(INDEX(BASELINE!$A1353:$ZZ1353,CALC!$F$1))&gt;0),N(INDEX(BASELINE!$A1353:$ZZ1353,CALC!$F$1)),N(INDEX(BASELINE!$A1353:$ZZ1353,CALC!$P$1))))=INT(SIMOPS!$D$3),IFERROR(UPPER(TRIM(INDEX(BASELINE!$A1353:$ZZ1353,CALC!$R$1)&amp;"")),"")&lt;&gt;"ENCERRADA"),1,0),0)</f>
        <v/>
      </c>
      <c r="B1353">
        <f>B1352+A1353</f>
        <v/>
      </c>
    </row>
    <row r="1354">
      <c r="A1354">
        <f>IFERROR(IF(AND(INDEX(BASELINE!$A1354:$ZZ1354,CALC!$H$1)&lt;&gt;"",INT(IF(AND(CALC!$F$1&gt;0,N(INDEX(BASELINE!$A1354:$ZZ1354,CALC!$F$1))&gt;0),N(INDEX(BASELINE!$A1354:$ZZ1354,CALC!$F$1)),N(INDEX(BASELINE!$A1354:$ZZ1354,CALC!$P$1))))=INT(SIMOPS!$D$3),IFERROR(UPPER(TRIM(INDEX(BASELINE!$A1354:$ZZ1354,CALC!$R$1)&amp;"")),"")&lt;&gt;"ENCERRADA"),1,0),0)</f>
        <v/>
      </c>
      <c r="B1354">
        <f>B1353+A1354</f>
        <v/>
      </c>
    </row>
    <row r="1355">
      <c r="A1355">
        <f>IFERROR(IF(AND(INDEX(BASELINE!$A1355:$ZZ1355,CALC!$H$1)&lt;&gt;"",INT(IF(AND(CALC!$F$1&gt;0,N(INDEX(BASELINE!$A1355:$ZZ1355,CALC!$F$1))&gt;0),N(INDEX(BASELINE!$A1355:$ZZ1355,CALC!$F$1)),N(INDEX(BASELINE!$A1355:$ZZ1355,CALC!$P$1))))=INT(SIMOPS!$D$3),IFERROR(UPPER(TRIM(INDEX(BASELINE!$A1355:$ZZ1355,CALC!$R$1)&amp;"")),"")&lt;&gt;"ENCERRADA"),1,0),0)</f>
        <v/>
      </c>
      <c r="B1355">
        <f>B1354+A1355</f>
        <v/>
      </c>
    </row>
    <row r="1356">
      <c r="A1356">
        <f>IFERROR(IF(AND(INDEX(BASELINE!$A1356:$ZZ1356,CALC!$H$1)&lt;&gt;"",INT(IF(AND(CALC!$F$1&gt;0,N(INDEX(BASELINE!$A1356:$ZZ1356,CALC!$F$1))&gt;0),N(INDEX(BASELINE!$A1356:$ZZ1356,CALC!$F$1)),N(INDEX(BASELINE!$A1356:$ZZ1356,CALC!$P$1))))=INT(SIMOPS!$D$3),IFERROR(UPPER(TRIM(INDEX(BASELINE!$A1356:$ZZ1356,CALC!$R$1)&amp;"")),"")&lt;&gt;"ENCERRADA"),1,0),0)</f>
        <v/>
      </c>
      <c r="B1356">
        <f>B1355+A1356</f>
        <v/>
      </c>
    </row>
    <row r="1357">
      <c r="A1357">
        <f>IFERROR(IF(AND(INDEX(BASELINE!$A1357:$ZZ1357,CALC!$H$1)&lt;&gt;"",INT(IF(AND(CALC!$F$1&gt;0,N(INDEX(BASELINE!$A1357:$ZZ1357,CALC!$F$1))&gt;0),N(INDEX(BASELINE!$A1357:$ZZ1357,CALC!$F$1)),N(INDEX(BASELINE!$A1357:$ZZ1357,CALC!$P$1))))=INT(SIMOPS!$D$3),IFERROR(UPPER(TRIM(INDEX(BASELINE!$A1357:$ZZ1357,CALC!$R$1)&amp;"")),"")&lt;&gt;"ENCERRADA"),1,0),0)</f>
        <v/>
      </c>
      <c r="B1357">
        <f>B1356+A1357</f>
        <v/>
      </c>
    </row>
    <row r="1358">
      <c r="A1358">
        <f>IFERROR(IF(AND(INDEX(BASELINE!$A1358:$ZZ1358,CALC!$H$1)&lt;&gt;"",INT(IF(AND(CALC!$F$1&gt;0,N(INDEX(BASELINE!$A1358:$ZZ1358,CALC!$F$1))&gt;0),N(INDEX(BASELINE!$A1358:$ZZ1358,CALC!$F$1)),N(INDEX(BASELINE!$A1358:$ZZ1358,CALC!$P$1))))=INT(SIMOPS!$D$3),IFERROR(UPPER(TRIM(INDEX(BASELINE!$A1358:$ZZ1358,CALC!$R$1)&amp;"")),"")&lt;&gt;"ENCERRADA"),1,0),0)</f>
        <v/>
      </c>
      <c r="B1358">
        <f>B1357+A1358</f>
        <v/>
      </c>
    </row>
    <row r="1359">
      <c r="A1359">
        <f>IFERROR(IF(AND(INDEX(BASELINE!$A1359:$ZZ1359,CALC!$H$1)&lt;&gt;"",INT(IF(AND(CALC!$F$1&gt;0,N(INDEX(BASELINE!$A1359:$ZZ1359,CALC!$F$1))&gt;0),N(INDEX(BASELINE!$A1359:$ZZ1359,CALC!$F$1)),N(INDEX(BASELINE!$A1359:$ZZ1359,CALC!$P$1))))=INT(SIMOPS!$D$3),IFERROR(UPPER(TRIM(INDEX(BASELINE!$A1359:$ZZ1359,CALC!$R$1)&amp;"")),"")&lt;&gt;"ENCERRADA"),1,0),0)</f>
        <v/>
      </c>
      <c r="B1359">
        <f>B1358+A1359</f>
        <v/>
      </c>
    </row>
    <row r="1360">
      <c r="A1360">
        <f>IFERROR(IF(AND(INDEX(BASELINE!$A1360:$ZZ1360,CALC!$H$1)&lt;&gt;"",INT(IF(AND(CALC!$F$1&gt;0,N(INDEX(BASELINE!$A1360:$ZZ1360,CALC!$F$1))&gt;0),N(INDEX(BASELINE!$A1360:$ZZ1360,CALC!$F$1)),N(INDEX(BASELINE!$A1360:$ZZ1360,CALC!$P$1))))=INT(SIMOPS!$D$3),IFERROR(UPPER(TRIM(INDEX(BASELINE!$A1360:$ZZ1360,CALC!$R$1)&amp;"")),"")&lt;&gt;"ENCERRADA"),1,0),0)</f>
        <v/>
      </c>
      <c r="B1360">
        <f>B1359+A1360</f>
        <v/>
      </c>
    </row>
    <row r="1361">
      <c r="A1361">
        <f>IFERROR(IF(AND(INDEX(BASELINE!$A1361:$ZZ1361,CALC!$H$1)&lt;&gt;"",INT(IF(AND(CALC!$F$1&gt;0,N(INDEX(BASELINE!$A1361:$ZZ1361,CALC!$F$1))&gt;0),N(INDEX(BASELINE!$A1361:$ZZ1361,CALC!$F$1)),N(INDEX(BASELINE!$A1361:$ZZ1361,CALC!$P$1))))=INT(SIMOPS!$D$3),IFERROR(UPPER(TRIM(INDEX(BASELINE!$A1361:$ZZ1361,CALC!$R$1)&amp;"")),"")&lt;&gt;"ENCERRADA"),1,0),0)</f>
        <v/>
      </c>
      <c r="B1361">
        <f>B1360+A1361</f>
        <v/>
      </c>
    </row>
    <row r="1362">
      <c r="A1362">
        <f>IFERROR(IF(AND(INDEX(BASELINE!$A1362:$ZZ1362,CALC!$H$1)&lt;&gt;"",INT(IF(AND(CALC!$F$1&gt;0,N(INDEX(BASELINE!$A1362:$ZZ1362,CALC!$F$1))&gt;0),N(INDEX(BASELINE!$A1362:$ZZ1362,CALC!$F$1)),N(INDEX(BASELINE!$A1362:$ZZ1362,CALC!$P$1))))=INT(SIMOPS!$D$3),IFERROR(UPPER(TRIM(INDEX(BASELINE!$A1362:$ZZ1362,CALC!$R$1)&amp;"")),"")&lt;&gt;"ENCERRADA"),1,0),0)</f>
        <v/>
      </c>
      <c r="B1362">
        <f>B1361+A1362</f>
        <v/>
      </c>
    </row>
    <row r="1363">
      <c r="A1363">
        <f>IFERROR(IF(AND(INDEX(BASELINE!$A1363:$ZZ1363,CALC!$H$1)&lt;&gt;"",INT(IF(AND(CALC!$F$1&gt;0,N(INDEX(BASELINE!$A1363:$ZZ1363,CALC!$F$1))&gt;0),N(INDEX(BASELINE!$A1363:$ZZ1363,CALC!$F$1)),N(INDEX(BASELINE!$A1363:$ZZ1363,CALC!$P$1))))=INT(SIMOPS!$D$3),IFERROR(UPPER(TRIM(INDEX(BASELINE!$A1363:$ZZ1363,CALC!$R$1)&amp;"")),"")&lt;&gt;"ENCERRADA"),1,0),0)</f>
        <v/>
      </c>
      <c r="B1363">
        <f>B1362+A1363</f>
        <v/>
      </c>
    </row>
    <row r="1364">
      <c r="A1364">
        <f>IFERROR(IF(AND(INDEX(BASELINE!$A1364:$ZZ1364,CALC!$H$1)&lt;&gt;"",INT(IF(AND(CALC!$F$1&gt;0,N(INDEX(BASELINE!$A1364:$ZZ1364,CALC!$F$1))&gt;0),N(INDEX(BASELINE!$A1364:$ZZ1364,CALC!$F$1)),N(INDEX(BASELINE!$A1364:$ZZ1364,CALC!$P$1))))=INT(SIMOPS!$D$3),IFERROR(UPPER(TRIM(INDEX(BASELINE!$A1364:$ZZ1364,CALC!$R$1)&amp;"")),"")&lt;&gt;"ENCERRADA"),1,0),0)</f>
        <v/>
      </c>
      <c r="B1364">
        <f>B1363+A1364</f>
        <v/>
      </c>
    </row>
    <row r="1365">
      <c r="A1365">
        <f>IFERROR(IF(AND(INDEX(BASELINE!$A1365:$ZZ1365,CALC!$H$1)&lt;&gt;"",INT(IF(AND(CALC!$F$1&gt;0,N(INDEX(BASELINE!$A1365:$ZZ1365,CALC!$F$1))&gt;0),N(INDEX(BASELINE!$A1365:$ZZ1365,CALC!$F$1)),N(INDEX(BASELINE!$A1365:$ZZ1365,CALC!$P$1))))=INT(SIMOPS!$D$3),IFERROR(UPPER(TRIM(INDEX(BASELINE!$A1365:$ZZ1365,CALC!$R$1)&amp;"")),"")&lt;&gt;"ENCERRADA"),1,0),0)</f>
        <v/>
      </c>
      <c r="B1365">
        <f>B1364+A1365</f>
        <v/>
      </c>
    </row>
    <row r="1366">
      <c r="A1366">
        <f>IFERROR(IF(AND(INDEX(BASELINE!$A1366:$ZZ1366,CALC!$H$1)&lt;&gt;"",INT(IF(AND(CALC!$F$1&gt;0,N(INDEX(BASELINE!$A1366:$ZZ1366,CALC!$F$1))&gt;0),N(INDEX(BASELINE!$A1366:$ZZ1366,CALC!$F$1)),N(INDEX(BASELINE!$A1366:$ZZ1366,CALC!$P$1))))=INT(SIMOPS!$D$3),IFERROR(UPPER(TRIM(INDEX(BASELINE!$A1366:$ZZ1366,CALC!$R$1)&amp;"")),"")&lt;&gt;"ENCERRADA"),1,0),0)</f>
        <v/>
      </c>
      <c r="B1366">
        <f>B1365+A1366</f>
        <v/>
      </c>
    </row>
    <row r="1367">
      <c r="A1367">
        <f>IFERROR(IF(AND(INDEX(BASELINE!$A1367:$ZZ1367,CALC!$H$1)&lt;&gt;"",INT(IF(AND(CALC!$F$1&gt;0,N(INDEX(BASELINE!$A1367:$ZZ1367,CALC!$F$1))&gt;0),N(INDEX(BASELINE!$A1367:$ZZ1367,CALC!$F$1)),N(INDEX(BASELINE!$A1367:$ZZ1367,CALC!$P$1))))=INT(SIMOPS!$D$3),IFERROR(UPPER(TRIM(INDEX(BASELINE!$A1367:$ZZ1367,CALC!$R$1)&amp;"")),"")&lt;&gt;"ENCERRADA"),1,0),0)</f>
        <v/>
      </c>
      <c r="B1367">
        <f>B1366+A1367</f>
        <v/>
      </c>
    </row>
    <row r="1368">
      <c r="A1368">
        <f>IFERROR(IF(AND(INDEX(BASELINE!$A1368:$ZZ1368,CALC!$H$1)&lt;&gt;"",INT(IF(AND(CALC!$F$1&gt;0,N(INDEX(BASELINE!$A1368:$ZZ1368,CALC!$F$1))&gt;0),N(INDEX(BASELINE!$A1368:$ZZ1368,CALC!$F$1)),N(INDEX(BASELINE!$A1368:$ZZ1368,CALC!$P$1))))=INT(SIMOPS!$D$3),IFERROR(UPPER(TRIM(INDEX(BASELINE!$A1368:$ZZ1368,CALC!$R$1)&amp;"")),"")&lt;&gt;"ENCERRADA"),1,0),0)</f>
        <v/>
      </c>
      <c r="B1368">
        <f>B1367+A1368</f>
        <v/>
      </c>
    </row>
    <row r="1369">
      <c r="A1369">
        <f>IFERROR(IF(AND(INDEX(BASELINE!$A1369:$ZZ1369,CALC!$H$1)&lt;&gt;"",INT(IF(AND(CALC!$F$1&gt;0,N(INDEX(BASELINE!$A1369:$ZZ1369,CALC!$F$1))&gt;0),N(INDEX(BASELINE!$A1369:$ZZ1369,CALC!$F$1)),N(INDEX(BASELINE!$A1369:$ZZ1369,CALC!$P$1))))=INT(SIMOPS!$D$3),IFERROR(UPPER(TRIM(INDEX(BASELINE!$A1369:$ZZ1369,CALC!$R$1)&amp;"")),"")&lt;&gt;"ENCERRADA"),1,0),0)</f>
        <v/>
      </c>
      <c r="B1369">
        <f>B1368+A1369</f>
        <v/>
      </c>
    </row>
    <row r="1370">
      <c r="A1370">
        <f>IFERROR(IF(AND(INDEX(BASELINE!$A1370:$ZZ1370,CALC!$H$1)&lt;&gt;"",INT(IF(AND(CALC!$F$1&gt;0,N(INDEX(BASELINE!$A1370:$ZZ1370,CALC!$F$1))&gt;0),N(INDEX(BASELINE!$A1370:$ZZ1370,CALC!$F$1)),N(INDEX(BASELINE!$A1370:$ZZ1370,CALC!$P$1))))=INT(SIMOPS!$D$3),IFERROR(UPPER(TRIM(INDEX(BASELINE!$A1370:$ZZ1370,CALC!$R$1)&amp;"")),"")&lt;&gt;"ENCERRADA"),1,0),0)</f>
        <v/>
      </c>
      <c r="B1370">
        <f>B1369+A1370</f>
        <v/>
      </c>
    </row>
    <row r="1371">
      <c r="A1371">
        <f>IFERROR(IF(AND(INDEX(BASELINE!$A1371:$ZZ1371,CALC!$H$1)&lt;&gt;"",INT(IF(AND(CALC!$F$1&gt;0,N(INDEX(BASELINE!$A1371:$ZZ1371,CALC!$F$1))&gt;0),N(INDEX(BASELINE!$A1371:$ZZ1371,CALC!$F$1)),N(INDEX(BASELINE!$A1371:$ZZ1371,CALC!$P$1))))=INT(SIMOPS!$D$3),IFERROR(UPPER(TRIM(INDEX(BASELINE!$A1371:$ZZ1371,CALC!$R$1)&amp;"")),"")&lt;&gt;"ENCERRADA"),1,0),0)</f>
        <v/>
      </c>
      <c r="B1371">
        <f>B1370+A1371</f>
        <v/>
      </c>
    </row>
    <row r="1372">
      <c r="A1372">
        <f>IFERROR(IF(AND(INDEX(BASELINE!$A1372:$ZZ1372,CALC!$H$1)&lt;&gt;"",INT(IF(AND(CALC!$F$1&gt;0,N(INDEX(BASELINE!$A1372:$ZZ1372,CALC!$F$1))&gt;0),N(INDEX(BASELINE!$A1372:$ZZ1372,CALC!$F$1)),N(INDEX(BASELINE!$A1372:$ZZ1372,CALC!$P$1))))=INT(SIMOPS!$D$3),IFERROR(UPPER(TRIM(INDEX(BASELINE!$A1372:$ZZ1372,CALC!$R$1)&amp;"")),"")&lt;&gt;"ENCERRADA"),1,0),0)</f>
        <v/>
      </c>
      <c r="B1372">
        <f>B1371+A1372</f>
        <v/>
      </c>
    </row>
    <row r="1373">
      <c r="A1373">
        <f>IFERROR(IF(AND(INDEX(BASELINE!$A1373:$ZZ1373,CALC!$H$1)&lt;&gt;"",INT(IF(AND(CALC!$F$1&gt;0,N(INDEX(BASELINE!$A1373:$ZZ1373,CALC!$F$1))&gt;0),N(INDEX(BASELINE!$A1373:$ZZ1373,CALC!$F$1)),N(INDEX(BASELINE!$A1373:$ZZ1373,CALC!$P$1))))=INT(SIMOPS!$D$3),IFERROR(UPPER(TRIM(INDEX(BASELINE!$A1373:$ZZ1373,CALC!$R$1)&amp;"")),"")&lt;&gt;"ENCERRADA"),1,0),0)</f>
        <v/>
      </c>
      <c r="B1373">
        <f>B1372+A1373</f>
        <v/>
      </c>
    </row>
    <row r="1374">
      <c r="A1374">
        <f>IFERROR(IF(AND(INDEX(BASELINE!$A1374:$ZZ1374,CALC!$H$1)&lt;&gt;"",INT(IF(AND(CALC!$F$1&gt;0,N(INDEX(BASELINE!$A1374:$ZZ1374,CALC!$F$1))&gt;0),N(INDEX(BASELINE!$A1374:$ZZ1374,CALC!$F$1)),N(INDEX(BASELINE!$A1374:$ZZ1374,CALC!$P$1))))=INT(SIMOPS!$D$3),IFERROR(UPPER(TRIM(INDEX(BASELINE!$A1374:$ZZ1374,CALC!$R$1)&amp;"")),"")&lt;&gt;"ENCERRADA"),1,0),0)</f>
        <v/>
      </c>
      <c r="B1374">
        <f>B1373+A1374</f>
        <v/>
      </c>
    </row>
    <row r="1375">
      <c r="A1375">
        <f>IFERROR(IF(AND(INDEX(BASELINE!$A1375:$ZZ1375,CALC!$H$1)&lt;&gt;"",INT(IF(AND(CALC!$F$1&gt;0,N(INDEX(BASELINE!$A1375:$ZZ1375,CALC!$F$1))&gt;0),N(INDEX(BASELINE!$A1375:$ZZ1375,CALC!$F$1)),N(INDEX(BASELINE!$A1375:$ZZ1375,CALC!$P$1))))=INT(SIMOPS!$D$3),IFERROR(UPPER(TRIM(INDEX(BASELINE!$A1375:$ZZ1375,CALC!$R$1)&amp;"")),"")&lt;&gt;"ENCERRADA"),1,0),0)</f>
        <v/>
      </c>
      <c r="B1375">
        <f>B1374+A1375</f>
        <v/>
      </c>
    </row>
    <row r="1376">
      <c r="A1376">
        <f>IFERROR(IF(AND(INDEX(BASELINE!$A1376:$ZZ1376,CALC!$H$1)&lt;&gt;"",INT(IF(AND(CALC!$F$1&gt;0,N(INDEX(BASELINE!$A1376:$ZZ1376,CALC!$F$1))&gt;0),N(INDEX(BASELINE!$A1376:$ZZ1376,CALC!$F$1)),N(INDEX(BASELINE!$A1376:$ZZ1376,CALC!$P$1))))=INT(SIMOPS!$D$3),IFERROR(UPPER(TRIM(INDEX(BASELINE!$A1376:$ZZ1376,CALC!$R$1)&amp;"")),"")&lt;&gt;"ENCERRADA"),1,0),0)</f>
        <v/>
      </c>
      <c r="B1376">
        <f>B1375+A1376</f>
        <v/>
      </c>
    </row>
    <row r="1377">
      <c r="A1377">
        <f>IFERROR(IF(AND(INDEX(BASELINE!$A1377:$ZZ1377,CALC!$H$1)&lt;&gt;"",INT(IF(AND(CALC!$F$1&gt;0,N(INDEX(BASELINE!$A1377:$ZZ1377,CALC!$F$1))&gt;0),N(INDEX(BASELINE!$A1377:$ZZ1377,CALC!$F$1)),N(INDEX(BASELINE!$A1377:$ZZ1377,CALC!$P$1))))=INT(SIMOPS!$D$3),IFERROR(UPPER(TRIM(INDEX(BASELINE!$A1377:$ZZ1377,CALC!$R$1)&amp;"")),"")&lt;&gt;"ENCERRADA"),1,0),0)</f>
        <v/>
      </c>
      <c r="B1377">
        <f>B1376+A1377</f>
        <v/>
      </c>
    </row>
    <row r="1378">
      <c r="A1378">
        <f>IFERROR(IF(AND(INDEX(BASELINE!$A1378:$ZZ1378,CALC!$H$1)&lt;&gt;"",INT(IF(AND(CALC!$F$1&gt;0,N(INDEX(BASELINE!$A1378:$ZZ1378,CALC!$F$1))&gt;0),N(INDEX(BASELINE!$A1378:$ZZ1378,CALC!$F$1)),N(INDEX(BASELINE!$A1378:$ZZ1378,CALC!$P$1))))=INT(SIMOPS!$D$3),IFERROR(UPPER(TRIM(INDEX(BASELINE!$A1378:$ZZ1378,CALC!$R$1)&amp;"")),"")&lt;&gt;"ENCERRADA"),1,0),0)</f>
        <v/>
      </c>
      <c r="B1378">
        <f>B1377+A1378</f>
        <v/>
      </c>
    </row>
    <row r="1379">
      <c r="A1379">
        <f>IFERROR(IF(AND(INDEX(BASELINE!$A1379:$ZZ1379,CALC!$H$1)&lt;&gt;"",INT(IF(AND(CALC!$F$1&gt;0,N(INDEX(BASELINE!$A1379:$ZZ1379,CALC!$F$1))&gt;0),N(INDEX(BASELINE!$A1379:$ZZ1379,CALC!$F$1)),N(INDEX(BASELINE!$A1379:$ZZ1379,CALC!$P$1))))=INT(SIMOPS!$D$3),IFERROR(UPPER(TRIM(INDEX(BASELINE!$A1379:$ZZ1379,CALC!$R$1)&amp;"")),"")&lt;&gt;"ENCERRADA"),1,0),0)</f>
        <v/>
      </c>
      <c r="B1379">
        <f>B1378+A1379</f>
        <v/>
      </c>
    </row>
    <row r="1380">
      <c r="A1380">
        <f>IFERROR(IF(AND(INDEX(BASELINE!$A1380:$ZZ1380,CALC!$H$1)&lt;&gt;"",INT(IF(AND(CALC!$F$1&gt;0,N(INDEX(BASELINE!$A1380:$ZZ1380,CALC!$F$1))&gt;0),N(INDEX(BASELINE!$A1380:$ZZ1380,CALC!$F$1)),N(INDEX(BASELINE!$A1380:$ZZ1380,CALC!$P$1))))=INT(SIMOPS!$D$3),IFERROR(UPPER(TRIM(INDEX(BASELINE!$A1380:$ZZ1380,CALC!$R$1)&amp;"")),"")&lt;&gt;"ENCERRADA"),1,0),0)</f>
        <v/>
      </c>
      <c r="B1380">
        <f>B1379+A1380</f>
        <v/>
      </c>
    </row>
    <row r="1381">
      <c r="A1381">
        <f>IFERROR(IF(AND(INDEX(BASELINE!$A1381:$ZZ1381,CALC!$H$1)&lt;&gt;"",INT(IF(AND(CALC!$F$1&gt;0,N(INDEX(BASELINE!$A1381:$ZZ1381,CALC!$F$1))&gt;0),N(INDEX(BASELINE!$A1381:$ZZ1381,CALC!$F$1)),N(INDEX(BASELINE!$A1381:$ZZ1381,CALC!$P$1))))=INT(SIMOPS!$D$3),IFERROR(UPPER(TRIM(INDEX(BASELINE!$A1381:$ZZ1381,CALC!$R$1)&amp;"")),"")&lt;&gt;"ENCERRADA"),1,0),0)</f>
        <v/>
      </c>
      <c r="B1381">
        <f>B1380+A1381</f>
        <v/>
      </c>
    </row>
    <row r="1382">
      <c r="A1382">
        <f>IFERROR(IF(AND(INDEX(BASELINE!$A1382:$ZZ1382,CALC!$H$1)&lt;&gt;"",INT(IF(AND(CALC!$F$1&gt;0,N(INDEX(BASELINE!$A1382:$ZZ1382,CALC!$F$1))&gt;0),N(INDEX(BASELINE!$A1382:$ZZ1382,CALC!$F$1)),N(INDEX(BASELINE!$A1382:$ZZ1382,CALC!$P$1))))=INT(SIMOPS!$D$3),IFERROR(UPPER(TRIM(INDEX(BASELINE!$A1382:$ZZ1382,CALC!$R$1)&amp;"")),"")&lt;&gt;"ENCERRADA"),1,0),0)</f>
        <v/>
      </c>
      <c r="B1382">
        <f>B1381+A1382</f>
        <v/>
      </c>
    </row>
    <row r="1383">
      <c r="A1383">
        <f>IFERROR(IF(AND(INDEX(BASELINE!$A1383:$ZZ1383,CALC!$H$1)&lt;&gt;"",INT(IF(AND(CALC!$F$1&gt;0,N(INDEX(BASELINE!$A1383:$ZZ1383,CALC!$F$1))&gt;0),N(INDEX(BASELINE!$A1383:$ZZ1383,CALC!$F$1)),N(INDEX(BASELINE!$A1383:$ZZ1383,CALC!$P$1))))=INT(SIMOPS!$D$3),IFERROR(UPPER(TRIM(INDEX(BASELINE!$A1383:$ZZ1383,CALC!$R$1)&amp;"")),"")&lt;&gt;"ENCERRADA"),1,0),0)</f>
        <v/>
      </c>
      <c r="B1383">
        <f>B1382+A1383</f>
        <v/>
      </c>
    </row>
    <row r="1384">
      <c r="A1384">
        <f>IFERROR(IF(AND(INDEX(BASELINE!$A1384:$ZZ1384,CALC!$H$1)&lt;&gt;"",INT(IF(AND(CALC!$F$1&gt;0,N(INDEX(BASELINE!$A1384:$ZZ1384,CALC!$F$1))&gt;0),N(INDEX(BASELINE!$A1384:$ZZ1384,CALC!$F$1)),N(INDEX(BASELINE!$A1384:$ZZ1384,CALC!$P$1))))=INT(SIMOPS!$D$3),IFERROR(UPPER(TRIM(INDEX(BASELINE!$A1384:$ZZ1384,CALC!$R$1)&amp;"")),"")&lt;&gt;"ENCERRADA"),1,0),0)</f>
        <v/>
      </c>
      <c r="B1384">
        <f>B1383+A1384</f>
        <v/>
      </c>
    </row>
    <row r="1385">
      <c r="A1385">
        <f>IFERROR(IF(AND(INDEX(BASELINE!$A1385:$ZZ1385,CALC!$H$1)&lt;&gt;"",INT(IF(AND(CALC!$F$1&gt;0,N(INDEX(BASELINE!$A1385:$ZZ1385,CALC!$F$1))&gt;0),N(INDEX(BASELINE!$A1385:$ZZ1385,CALC!$F$1)),N(INDEX(BASELINE!$A1385:$ZZ1385,CALC!$P$1))))=INT(SIMOPS!$D$3),IFERROR(UPPER(TRIM(INDEX(BASELINE!$A1385:$ZZ1385,CALC!$R$1)&amp;"")),"")&lt;&gt;"ENCERRADA"),1,0),0)</f>
        <v/>
      </c>
      <c r="B1385">
        <f>B1384+A1385</f>
        <v/>
      </c>
    </row>
    <row r="1386">
      <c r="A1386">
        <f>IFERROR(IF(AND(INDEX(BASELINE!$A1386:$ZZ1386,CALC!$H$1)&lt;&gt;"",INT(IF(AND(CALC!$F$1&gt;0,N(INDEX(BASELINE!$A1386:$ZZ1386,CALC!$F$1))&gt;0),N(INDEX(BASELINE!$A1386:$ZZ1386,CALC!$F$1)),N(INDEX(BASELINE!$A1386:$ZZ1386,CALC!$P$1))))=INT(SIMOPS!$D$3),IFERROR(UPPER(TRIM(INDEX(BASELINE!$A1386:$ZZ1386,CALC!$R$1)&amp;"")),"")&lt;&gt;"ENCERRADA"),1,0),0)</f>
        <v/>
      </c>
      <c r="B1386">
        <f>B1385+A1386</f>
        <v/>
      </c>
    </row>
    <row r="1387">
      <c r="A1387">
        <f>IFERROR(IF(AND(INDEX(BASELINE!$A1387:$ZZ1387,CALC!$H$1)&lt;&gt;"",INT(IF(AND(CALC!$F$1&gt;0,N(INDEX(BASELINE!$A1387:$ZZ1387,CALC!$F$1))&gt;0),N(INDEX(BASELINE!$A1387:$ZZ1387,CALC!$F$1)),N(INDEX(BASELINE!$A1387:$ZZ1387,CALC!$P$1))))=INT(SIMOPS!$D$3),IFERROR(UPPER(TRIM(INDEX(BASELINE!$A1387:$ZZ1387,CALC!$R$1)&amp;"")),"")&lt;&gt;"ENCERRADA"),1,0),0)</f>
        <v/>
      </c>
      <c r="B1387">
        <f>B1386+A1387</f>
        <v/>
      </c>
    </row>
    <row r="1388">
      <c r="A1388">
        <f>IFERROR(IF(AND(INDEX(BASELINE!$A1388:$ZZ1388,CALC!$H$1)&lt;&gt;"",INT(IF(AND(CALC!$F$1&gt;0,N(INDEX(BASELINE!$A1388:$ZZ1388,CALC!$F$1))&gt;0),N(INDEX(BASELINE!$A1388:$ZZ1388,CALC!$F$1)),N(INDEX(BASELINE!$A1388:$ZZ1388,CALC!$P$1))))=INT(SIMOPS!$D$3),IFERROR(UPPER(TRIM(INDEX(BASELINE!$A1388:$ZZ1388,CALC!$R$1)&amp;"")),"")&lt;&gt;"ENCERRADA"),1,0),0)</f>
        <v/>
      </c>
      <c r="B1388">
        <f>B1387+A1388</f>
        <v/>
      </c>
    </row>
    <row r="1389">
      <c r="A1389">
        <f>IFERROR(IF(AND(INDEX(BASELINE!$A1389:$ZZ1389,CALC!$H$1)&lt;&gt;"",INT(IF(AND(CALC!$F$1&gt;0,N(INDEX(BASELINE!$A1389:$ZZ1389,CALC!$F$1))&gt;0),N(INDEX(BASELINE!$A1389:$ZZ1389,CALC!$F$1)),N(INDEX(BASELINE!$A1389:$ZZ1389,CALC!$P$1))))=INT(SIMOPS!$D$3),IFERROR(UPPER(TRIM(INDEX(BASELINE!$A1389:$ZZ1389,CALC!$R$1)&amp;"")),"")&lt;&gt;"ENCERRADA"),1,0),0)</f>
        <v/>
      </c>
      <c r="B1389">
        <f>B1388+A1389</f>
        <v/>
      </c>
    </row>
    <row r="1390">
      <c r="A1390">
        <f>IFERROR(IF(AND(INDEX(BASELINE!$A1390:$ZZ1390,CALC!$H$1)&lt;&gt;"",INT(IF(AND(CALC!$F$1&gt;0,N(INDEX(BASELINE!$A1390:$ZZ1390,CALC!$F$1))&gt;0),N(INDEX(BASELINE!$A1390:$ZZ1390,CALC!$F$1)),N(INDEX(BASELINE!$A1390:$ZZ1390,CALC!$P$1))))=INT(SIMOPS!$D$3),IFERROR(UPPER(TRIM(INDEX(BASELINE!$A1390:$ZZ1390,CALC!$R$1)&amp;"")),"")&lt;&gt;"ENCERRADA"),1,0),0)</f>
        <v/>
      </c>
      <c r="B1390">
        <f>B1389+A1390</f>
        <v/>
      </c>
    </row>
    <row r="1391">
      <c r="A1391">
        <f>IFERROR(IF(AND(INDEX(BASELINE!$A1391:$ZZ1391,CALC!$H$1)&lt;&gt;"",INT(IF(AND(CALC!$F$1&gt;0,N(INDEX(BASELINE!$A1391:$ZZ1391,CALC!$F$1))&gt;0),N(INDEX(BASELINE!$A1391:$ZZ1391,CALC!$F$1)),N(INDEX(BASELINE!$A1391:$ZZ1391,CALC!$P$1))))=INT(SIMOPS!$D$3),IFERROR(UPPER(TRIM(INDEX(BASELINE!$A1391:$ZZ1391,CALC!$R$1)&amp;"")),"")&lt;&gt;"ENCERRADA"),1,0),0)</f>
        <v/>
      </c>
      <c r="B1391">
        <f>B1390+A1391</f>
        <v/>
      </c>
    </row>
    <row r="1392">
      <c r="A1392">
        <f>IFERROR(IF(AND(INDEX(BASELINE!$A1392:$ZZ1392,CALC!$H$1)&lt;&gt;"",INT(IF(AND(CALC!$F$1&gt;0,N(INDEX(BASELINE!$A1392:$ZZ1392,CALC!$F$1))&gt;0),N(INDEX(BASELINE!$A1392:$ZZ1392,CALC!$F$1)),N(INDEX(BASELINE!$A1392:$ZZ1392,CALC!$P$1))))=INT(SIMOPS!$D$3),IFERROR(UPPER(TRIM(INDEX(BASELINE!$A1392:$ZZ1392,CALC!$R$1)&amp;"")),"")&lt;&gt;"ENCERRADA"),1,0),0)</f>
        <v/>
      </c>
      <c r="B1392">
        <f>B1391+A1392</f>
        <v/>
      </c>
    </row>
    <row r="1393">
      <c r="A1393">
        <f>IFERROR(IF(AND(INDEX(BASELINE!$A1393:$ZZ1393,CALC!$H$1)&lt;&gt;"",INT(IF(AND(CALC!$F$1&gt;0,N(INDEX(BASELINE!$A1393:$ZZ1393,CALC!$F$1))&gt;0),N(INDEX(BASELINE!$A1393:$ZZ1393,CALC!$F$1)),N(INDEX(BASELINE!$A1393:$ZZ1393,CALC!$P$1))))=INT(SIMOPS!$D$3),IFERROR(UPPER(TRIM(INDEX(BASELINE!$A1393:$ZZ1393,CALC!$R$1)&amp;"")),"")&lt;&gt;"ENCERRADA"),1,0),0)</f>
        <v/>
      </c>
      <c r="B1393">
        <f>B1392+A1393</f>
        <v/>
      </c>
    </row>
    <row r="1394">
      <c r="A1394">
        <f>IFERROR(IF(AND(INDEX(BASELINE!$A1394:$ZZ1394,CALC!$H$1)&lt;&gt;"",INT(IF(AND(CALC!$F$1&gt;0,N(INDEX(BASELINE!$A1394:$ZZ1394,CALC!$F$1))&gt;0),N(INDEX(BASELINE!$A1394:$ZZ1394,CALC!$F$1)),N(INDEX(BASELINE!$A1394:$ZZ1394,CALC!$P$1))))=INT(SIMOPS!$D$3),IFERROR(UPPER(TRIM(INDEX(BASELINE!$A1394:$ZZ1394,CALC!$R$1)&amp;"")),"")&lt;&gt;"ENCERRADA"),1,0),0)</f>
        <v/>
      </c>
      <c r="B1394">
        <f>B1393+A1394</f>
        <v/>
      </c>
    </row>
    <row r="1395">
      <c r="A1395">
        <f>IFERROR(IF(AND(INDEX(BASELINE!$A1395:$ZZ1395,CALC!$H$1)&lt;&gt;"",INT(IF(AND(CALC!$F$1&gt;0,N(INDEX(BASELINE!$A1395:$ZZ1395,CALC!$F$1))&gt;0),N(INDEX(BASELINE!$A1395:$ZZ1395,CALC!$F$1)),N(INDEX(BASELINE!$A1395:$ZZ1395,CALC!$P$1))))=INT(SIMOPS!$D$3),IFERROR(UPPER(TRIM(INDEX(BASELINE!$A1395:$ZZ1395,CALC!$R$1)&amp;"")),"")&lt;&gt;"ENCERRADA"),1,0),0)</f>
        <v/>
      </c>
      <c r="B1395">
        <f>B1394+A1395</f>
        <v/>
      </c>
    </row>
    <row r="1396">
      <c r="A1396">
        <f>IFERROR(IF(AND(INDEX(BASELINE!$A1396:$ZZ1396,CALC!$H$1)&lt;&gt;"",INT(IF(AND(CALC!$F$1&gt;0,N(INDEX(BASELINE!$A1396:$ZZ1396,CALC!$F$1))&gt;0),N(INDEX(BASELINE!$A1396:$ZZ1396,CALC!$F$1)),N(INDEX(BASELINE!$A1396:$ZZ1396,CALC!$P$1))))=INT(SIMOPS!$D$3),IFERROR(UPPER(TRIM(INDEX(BASELINE!$A1396:$ZZ1396,CALC!$R$1)&amp;"")),"")&lt;&gt;"ENCERRADA"),1,0),0)</f>
        <v/>
      </c>
      <c r="B1396">
        <f>B1395+A1396</f>
        <v/>
      </c>
    </row>
    <row r="1397">
      <c r="A1397">
        <f>IFERROR(IF(AND(INDEX(BASELINE!$A1397:$ZZ1397,CALC!$H$1)&lt;&gt;"",INT(IF(AND(CALC!$F$1&gt;0,N(INDEX(BASELINE!$A1397:$ZZ1397,CALC!$F$1))&gt;0),N(INDEX(BASELINE!$A1397:$ZZ1397,CALC!$F$1)),N(INDEX(BASELINE!$A1397:$ZZ1397,CALC!$P$1))))=INT(SIMOPS!$D$3),IFERROR(UPPER(TRIM(INDEX(BASELINE!$A1397:$ZZ1397,CALC!$R$1)&amp;"")),"")&lt;&gt;"ENCERRADA"),1,0),0)</f>
        <v/>
      </c>
      <c r="B1397">
        <f>B1396+A1397</f>
        <v/>
      </c>
    </row>
    <row r="1398">
      <c r="A1398">
        <f>IFERROR(IF(AND(INDEX(BASELINE!$A1398:$ZZ1398,CALC!$H$1)&lt;&gt;"",INT(IF(AND(CALC!$F$1&gt;0,N(INDEX(BASELINE!$A1398:$ZZ1398,CALC!$F$1))&gt;0),N(INDEX(BASELINE!$A1398:$ZZ1398,CALC!$F$1)),N(INDEX(BASELINE!$A1398:$ZZ1398,CALC!$P$1))))=INT(SIMOPS!$D$3),IFERROR(UPPER(TRIM(INDEX(BASELINE!$A1398:$ZZ1398,CALC!$R$1)&amp;"")),"")&lt;&gt;"ENCERRADA"),1,0),0)</f>
        <v/>
      </c>
      <c r="B1398">
        <f>B1397+A1398</f>
        <v/>
      </c>
    </row>
    <row r="1399">
      <c r="A1399">
        <f>IFERROR(IF(AND(INDEX(BASELINE!$A1399:$ZZ1399,CALC!$H$1)&lt;&gt;"",INT(IF(AND(CALC!$F$1&gt;0,N(INDEX(BASELINE!$A1399:$ZZ1399,CALC!$F$1))&gt;0),N(INDEX(BASELINE!$A1399:$ZZ1399,CALC!$F$1)),N(INDEX(BASELINE!$A1399:$ZZ1399,CALC!$P$1))))=INT(SIMOPS!$D$3),IFERROR(UPPER(TRIM(INDEX(BASELINE!$A1399:$ZZ1399,CALC!$R$1)&amp;"")),"")&lt;&gt;"ENCERRADA"),1,0),0)</f>
        <v/>
      </c>
      <c r="B1399">
        <f>B1398+A1399</f>
        <v/>
      </c>
    </row>
    <row r="1400">
      <c r="A1400">
        <f>IFERROR(IF(AND(INDEX(BASELINE!$A1400:$ZZ1400,CALC!$H$1)&lt;&gt;"",INT(IF(AND(CALC!$F$1&gt;0,N(INDEX(BASELINE!$A1400:$ZZ1400,CALC!$F$1))&gt;0),N(INDEX(BASELINE!$A1400:$ZZ1400,CALC!$F$1)),N(INDEX(BASELINE!$A1400:$ZZ1400,CALC!$P$1))))=INT(SIMOPS!$D$3),IFERROR(UPPER(TRIM(INDEX(BASELINE!$A1400:$ZZ1400,CALC!$R$1)&amp;"")),"")&lt;&gt;"ENCERRADA"),1,0),0)</f>
        <v/>
      </c>
      <c r="B1400">
        <f>B1399+A1400</f>
        <v/>
      </c>
    </row>
    <row r="1401">
      <c r="A1401">
        <f>IFERROR(IF(AND(INDEX(BASELINE!$A1401:$ZZ1401,CALC!$H$1)&lt;&gt;"",INT(IF(AND(CALC!$F$1&gt;0,N(INDEX(BASELINE!$A1401:$ZZ1401,CALC!$F$1))&gt;0),N(INDEX(BASELINE!$A1401:$ZZ1401,CALC!$F$1)),N(INDEX(BASELINE!$A1401:$ZZ1401,CALC!$P$1))))=INT(SIMOPS!$D$3),IFERROR(UPPER(TRIM(INDEX(BASELINE!$A1401:$ZZ1401,CALC!$R$1)&amp;"")),"")&lt;&gt;"ENCERRADA"),1,0),0)</f>
        <v/>
      </c>
      <c r="B1401">
        <f>B1400+A1401</f>
        <v/>
      </c>
    </row>
    <row r="1402">
      <c r="A1402">
        <f>IFERROR(IF(AND(INDEX(BASELINE!$A1402:$ZZ1402,CALC!$H$1)&lt;&gt;"",INT(IF(AND(CALC!$F$1&gt;0,N(INDEX(BASELINE!$A1402:$ZZ1402,CALC!$F$1))&gt;0),N(INDEX(BASELINE!$A1402:$ZZ1402,CALC!$F$1)),N(INDEX(BASELINE!$A1402:$ZZ1402,CALC!$P$1))))=INT(SIMOPS!$D$3),IFERROR(UPPER(TRIM(INDEX(BASELINE!$A1402:$ZZ1402,CALC!$R$1)&amp;"")),"")&lt;&gt;"ENCERRADA"),1,0),0)</f>
        <v/>
      </c>
      <c r="B1402">
        <f>B1401+A1402</f>
        <v/>
      </c>
    </row>
    <row r="1403">
      <c r="A1403">
        <f>IFERROR(IF(AND(INDEX(BASELINE!$A1403:$ZZ1403,CALC!$H$1)&lt;&gt;"",INT(IF(AND(CALC!$F$1&gt;0,N(INDEX(BASELINE!$A1403:$ZZ1403,CALC!$F$1))&gt;0),N(INDEX(BASELINE!$A1403:$ZZ1403,CALC!$F$1)),N(INDEX(BASELINE!$A1403:$ZZ1403,CALC!$P$1))))=INT(SIMOPS!$D$3),IFERROR(UPPER(TRIM(INDEX(BASELINE!$A1403:$ZZ1403,CALC!$R$1)&amp;"")),"")&lt;&gt;"ENCERRADA"),1,0),0)</f>
        <v/>
      </c>
      <c r="B1403">
        <f>B1402+A1403</f>
        <v/>
      </c>
    </row>
    <row r="1404">
      <c r="A1404">
        <f>IFERROR(IF(AND(INDEX(BASELINE!$A1404:$ZZ1404,CALC!$H$1)&lt;&gt;"",INT(IF(AND(CALC!$F$1&gt;0,N(INDEX(BASELINE!$A1404:$ZZ1404,CALC!$F$1))&gt;0),N(INDEX(BASELINE!$A1404:$ZZ1404,CALC!$F$1)),N(INDEX(BASELINE!$A1404:$ZZ1404,CALC!$P$1))))=INT(SIMOPS!$D$3),IFERROR(UPPER(TRIM(INDEX(BASELINE!$A1404:$ZZ1404,CALC!$R$1)&amp;"")),"")&lt;&gt;"ENCERRADA"),1,0),0)</f>
        <v/>
      </c>
      <c r="B1404">
        <f>B1403+A1404</f>
        <v/>
      </c>
    </row>
    <row r="1405">
      <c r="A1405">
        <f>IFERROR(IF(AND(INDEX(BASELINE!$A1405:$ZZ1405,CALC!$H$1)&lt;&gt;"",INT(IF(AND(CALC!$F$1&gt;0,N(INDEX(BASELINE!$A1405:$ZZ1405,CALC!$F$1))&gt;0),N(INDEX(BASELINE!$A1405:$ZZ1405,CALC!$F$1)),N(INDEX(BASELINE!$A1405:$ZZ1405,CALC!$P$1))))=INT(SIMOPS!$D$3),IFERROR(UPPER(TRIM(INDEX(BASELINE!$A1405:$ZZ1405,CALC!$R$1)&amp;"")),"")&lt;&gt;"ENCERRADA"),1,0),0)</f>
        <v/>
      </c>
      <c r="B1405">
        <f>B1404+A1405</f>
        <v/>
      </c>
    </row>
    <row r="1406">
      <c r="A1406">
        <f>IFERROR(IF(AND(INDEX(BASELINE!$A1406:$ZZ1406,CALC!$H$1)&lt;&gt;"",INT(IF(AND(CALC!$F$1&gt;0,N(INDEX(BASELINE!$A1406:$ZZ1406,CALC!$F$1))&gt;0),N(INDEX(BASELINE!$A1406:$ZZ1406,CALC!$F$1)),N(INDEX(BASELINE!$A1406:$ZZ1406,CALC!$P$1))))=INT(SIMOPS!$D$3),IFERROR(UPPER(TRIM(INDEX(BASELINE!$A1406:$ZZ1406,CALC!$R$1)&amp;"")),"")&lt;&gt;"ENCERRADA"),1,0),0)</f>
        <v/>
      </c>
      <c r="B1406">
        <f>B1405+A1406</f>
        <v/>
      </c>
    </row>
    <row r="1407">
      <c r="A1407">
        <f>IFERROR(IF(AND(INDEX(BASELINE!$A1407:$ZZ1407,CALC!$H$1)&lt;&gt;"",INT(IF(AND(CALC!$F$1&gt;0,N(INDEX(BASELINE!$A1407:$ZZ1407,CALC!$F$1))&gt;0),N(INDEX(BASELINE!$A1407:$ZZ1407,CALC!$F$1)),N(INDEX(BASELINE!$A1407:$ZZ1407,CALC!$P$1))))=INT(SIMOPS!$D$3),IFERROR(UPPER(TRIM(INDEX(BASELINE!$A1407:$ZZ1407,CALC!$R$1)&amp;"")),"")&lt;&gt;"ENCERRADA"),1,0),0)</f>
        <v/>
      </c>
      <c r="B1407">
        <f>B1406+A1407</f>
        <v/>
      </c>
    </row>
    <row r="1408">
      <c r="A1408">
        <f>IFERROR(IF(AND(INDEX(BASELINE!$A1408:$ZZ1408,CALC!$H$1)&lt;&gt;"",INT(IF(AND(CALC!$F$1&gt;0,N(INDEX(BASELINE!$A1408:$ZZ1408,CALC!$F$1))&gt;0),N(INDEX(BASELINE!$A1408:$ZZ1408,CALC!$F$1)),N(INDEX(BASELINE!$A1408:$ZZ1408,CALC!$P$1))))=INT(SIMOPS!$D$3),IFERROR(UPPER(TRIM(INDEX(BASELINE!$A1408:$ZZ1408,CALC!$R$1)&amp;"")),"")&lt;&gt;"ENCERRADA"),1,0),0)</f>
        <v/>
      </c>
      <c r="B1408">
        <f>B1407+A1408</f>
        <v/>
      </c>
    </row>
    <row r="1409">
      <c r="A1409">
        <f>IFERROR(IF(AND(INDEX(BASELINE!$A1409:$ZZ1409,CALC!$H$1)&lt;&gt;"",INT(IF(AND(CALC!$F$1&gt;0,N(INDEX(BASELINE!$A1409:$ZZ1409,CALC!$F$1))&gt;0),N(INDEX(BASELINE!$A1409:$ZZ1409,CALC!$F$1)),N(INDEX(BASELINE!$A1409:$ZZ1409,CALC!$P$1))))=INT(SIMOPS!$D$3),IFERROR(UPPER(TRIM(INDEX(BASELINE!$A1409:$ZZ1409,CALC!$R$1)&amp;"")),"")&lt;&gt;"ENCERRADA"),1,0),0)</f>
        <v/>
      </c>
      <c r="B1409">
        <f>B1408+A1409</f>
        <v/>
      </c>
    </row>
    <row r="1410">
      <c r="A1410">
        <f>IFERROR(IF(AND(INDEX(BASELINE!$A1410:$ZZ1410,CALC!$H$1)&lt;&gt;"",INT(IF(AND(CALC!$F$1&gt;0,N(INDEX(BASELINE!$A1410:$ZZ1410,CALC!$F$1))&gt;0),N(INDEX(BASELINE!$A1410:$ZZ1410,CALC!$F$1)),N(INDEX(BASELINE!$A1410:$ZZ1410,CALC!$P$1))))=INT(SIMOPS!$D$3),IFERROR(UPPER(TRIM(INDEX(BASELINE!$A1410:$ZZ1410,CALC!$R$1)&amp;"")),"")&lt;&gt;"ENCERRADA"),1,0),0)</f>
        <v/>
      </c>
      <c r="B1410">
        <f>B1409+A1410</f>
        <v/>
      </c>
    </row>
    <row r="1411">
      <c r="A1411">
        <f>IFERROR(IF(AND(INDEX(BASELINE!$A1411:$ZZ1411,CALC!$H$1)&lt;&gt;"",INT(IF(AND(CALC!$F$1&gt;0,N(INDEX(BASELINE!$A1411:$ZZ1411,CALC!$F$1))&gt;0),N(INDEX(BASELINE!$A1411:$ZZ1411,CALC!$F$1)),N(INDEX(BASELINE!$A1411:$ZZ1411,CALC!$P$1))))=INT(SIMOPS!$D$3),IFERROR(UPPER(TRIM(INDEX(BASELINE!$A1411:$ZZ1411,CALC!$R$1)&amp;"")),"")&lt;&gt;"ENCERRADA"),1,0),0)</f>
        <v/>
      </c>
      <c r="B1411">
        <f>B1410+A1411</f>
        <v/>
      </c>
    </row>
    <row r="1412">
      <c r="A1412">
        <f>IFERROR(IF(AND(INDEX(BASELINE!$A1412:$ZZ1412,CALC!$H$1)&lt;&gt;"",INT(IF(AND(CALC!$F$1&gt;0,N(INDEX(BASELINE!$A1412:$ZZ1412,CALC!$F$1))&gt;0),N(INDEX(BASELINE!$A1412:$ZZ1412,CALC!$F$1)),N(INDEX(BASELINE!$A1412:$ZZ1412,CALC!$P$1))))=INT(SIMOPS!$D$3),IFERROR(UPPER(TRIM(INDEX(BASELINE!$A1412:$ZZ1412,CALC!$R$1)&amp;"")),"")&lt;&gt;"ENCERRADA"),1,0),0)</f>
        <v/>
      </c>
      <c r="B1412">
        <f>B1411+A1412</f>
        <v/>
      </c>
    </row>
    <row r="1413">
      <c r="A1413">
        <f>IFERROR(IF(AND(INDEX(BASELINE!$A1413:$ZZ1413,CALC!$H$1)&lt;&gt;"",INT(IF(AND(CALC!$F$1&gt;0,N(INDEX(BASELINE!$A1413:$ZZ1413,CALC!$F$1))&gt;0),N(INDEX(BASELINE!$A1413:$ZZ1413,CALC!$F$1)),N(INDEX(BASELINE!$A1413:$ZZ1413,CALC!$P$1))))=INT(SIMOPS!$D$3),IFERROR(UPPER(TRIM(INDEX(BASELINE!$A1413:$ZZ1413,CALC!$R$1)&amp;"")),"")&lt;&gt;"ENCERRADA"),1,0),0)</f>
        <v/>
      </c>
      <c r="B1413">
        <f>B1412+A1413</f>
        <v/>
      </c>
    </row>
    <row r="1414">
      <c r="A1414">
        <f>IFERROR(IF(AND(INDEX(BASELINE!$A1414:$ZZ1414,CALC!$H$1)&lt;&gt;"",INT(IF(AND(CALC!$F$1&gt;0,N(INDEX(BASELINE!$A1414:$ZZ1414,CALC!$F$1))&gt;0),N(INDEX(BASELINE!$A1414:$ZZ1414,CALC!$F$1)),N(INDEX(BASELINE!$A1414:$ZZ1414,CALC!$P$1))))=INT(SIMOPS!$D$3),IFERROR(UPPER(TRIM(INDEX(BASELINE!$A1414:$ZZ1414,CALC!$R$1)&amp;"")),"")&lt;&gt;"ENCERRADA"),1,0),0)</f>
        <v/>
      </c>
      <c r="B1414">
        <f>B1413+A1414</f>
        <v/>
      </c>
    </row>
    <row r="1415">
      <c r="A1415">
        <f>IFERROR(IF(AND(INDEX(BASELINE!$A1415:$ZZ1415,CALC!$H$1)&lt;&gt;"",INT(IF(AND(CALC!$F$1&gt;0,N(INDEX(BASELINE!$A1415:$ZZ1415,CALC!$F$1))&gt;0),N(INDEX(BASELINE!$A1415:$ZZ1415,CALC!$F$1)),N(INDEX(BASELINE!$A1415:$ZZ1415,CALC!$P$1))))=INT(SIMOPS!$D$3),IFERROR(UPPER(TRIM(INDEX(BASELINE!$A1415:$ZZ1415,CALC!$R$1)&amp;"")),"")&lt;&gt;"ENCERRADA"),1,0),0)</f>
        <v/>
      </c>
      <c r="B1415">
        <f>B1414+A1415</f>
        <v/>
      </c>
    </row>
    <row r="1416">
      <c r="A1416">
        <f>IFERROR(IF(AND(INDEX(BASELINE!$A1416:$ZZ1416,CALC!$H$1)&lt;&gt;"",INT(IF(AND(CALC!$F$1&gt;0,N(INDEX(BASELINE!$A1416:$ZZ1416,CALC!$F$1))&gt;0),N(INDEX(BASELINE!$A1416:$ZZ1416,CALC!$F$1)),N(INDEX(BASELINE!$A1416:$ZZ1416,CALC!$P$1))))=INT(SIMOPS!$D$3),IFERROR(UPPER(TRIM(INDEX(BASELINE!$A1416:$ZZ1416,CALC!$R$1)&amp;"")),"")&lt;&gt;"ENCERRADA"),1,0),0)</f>
        <v/>
      </c>
      <c r="B1416">
        <f>B1415+A1416</f>
        <v/>
      </c>
    </row>
    <row r="1417">
      <c r="A1417">
        <f>IFERROR(IF(AND(INDEX(BASELINE!$A1417:$ZZ1417,CALC!$H$1)&lt;&gt;"",INT(IF(AND(CALC!$F$1&gt;0,N(INDEX(BASELINE!$A1417:$ZZ1417,CALC!$F$1))&gt;0),N(INDEX(BASELINE!$A1417:$ZZ1417,CALC!$F$1)),N(INDEX(BASELINE!$A1417:$ZZ1417,CALC!$P$1))))=INT(SIMOPS!$D$3),IFERROR(UPPER(TRIM(INDEX(BASELINE!$A1417:$ZZ1417,CALC!$R$1)&amp;"")),"")&lt;&gt;"ENCERRADA"),1,0),0)</f>
        <v/>
      </c>
      <c r="B1417">
        <f>B1416+A1417</f>
        <v/>
      </c>
    </row>
    <row r="1418">
      <c r="A1418">
        <f>IFERROR(IF(AND(INDEX(BASELINE!$A1418:$ZZ1418,CALC!$H$1)&lt;&gt;"",INT(IF(AND(CALC!$F$1&gt;0,N(INDEX(BASELINE!$A1418:$ZZ1418,CALC!$F$1))&gt;0),N(INDEX(BASELINE!$A1418:$ZZ1418,CALC!$F$1)),N(INDEX(BASELINE!$A1418:$ZZ1418,CALC!$P$1))))=INT(SIMOPS!$D$3),IFERROR(UPPER(TRIM(INDEX(BASELINE!$A1418:$ZZ1418,CALC!$R$1)&amp;"")),"")&lt;&gt;"ENCERRADA"),1,0),0)</f>
        <v/>
      </c>
      <c r="B1418">
        <f>B1417+A1418</f>
        <v/>
      </c>
    </row>
    <row r="1419">
      <c r="A1419">
        <f>IFERROR(IF(AND(INDEX(BASELINE!$A1419:$ZZ1419,CALC!$H$1)&lt;&gt;"",INT(IF(AND(CALC!$F$1&gt;0,N(INDEX(BASELINE!$A1419:$ZZ1419,CALC!$F$1))&gt;0),N(INDEX(BASELINE!$A1419:$ZZ1419,CALC!$F$1)),N(INDEX(BASELINE!$A1419:$ZZ1419,CALC!$P$1))))=INT(SIMOPS!$D$3),IFERROR(UPPER(TRIM(INDEX(BASELINE!$A1419:$ZZ1419,CALC!$R$1)&amp;"")),"")&lt;&gt;"ENCERRADA"),1,0),0)</f>
        <v/>
      </c>
      <c r="B1419">
        <f>B1418+A1419</f>
        <v/>
      </c>
    </row>
    <row r="1420">
      <c r="A1420">
        <f>IFERROR(IF(AND(INDEX(BASELINE!$A1420:$ZZ1420,CALC!$H$1)&lt;&gt;"",INT(IF(AND(CALC!$F$1&gt;0,N(INDEX(BASELINE!$A1420:$ZZ1420,CALC!$F$1))&gt;0),N(INDEX(BASELINE!$A1420:$ZZ1420,CALC!$F$1)),N(INDEX(BASELINE!$A1420:$ZZ1420,CALC!$P$1))))=INT(SIMOPS!$D$3),IFERROR(UPPER(TRIM(INDEX(BASELINE!$A1420:$ZZ1420,CALC!$R$1)&amp;"")),"")&lt;&gt;"ENCERRADA"),1,0),0)</f>
        <v/>
      </c>
      <c r="B1420">
        <f>B1419+A1420</f>
        <v/>
      </c>
    </row>
    <row r="1421">
      <c r="A1421">
        <f>IFERROR(IF(AND(INDEX(BASELINE!$A1421:$ZZ1421,CALC!$H$1)&lt;&gt;"",INT(IF(AND(CALC!$F$1&gt;0,N(INDEX(BASELINE!$A1421:$ZZ1421,CALC!$F$1))&gt;0),N(INDEX(BASELINE!$A1421:$ZZ1421,CALC!$F$1)),N(INDEX(BASELINE!$A1421:$ZZ1421,CALC!$P$1))))=INT(SIMOPS!$D$3),IFERROR(UPPER(TRIM(INDEX(BASELINE!$A1421:$ZZ1421,CALC!$R$1)&amp;"")),"")&lt;&gt;"ENCERRADA"),1,0),0)</f>
        <v/>
      </c>
      <c r="B1421">
        <f>B1420+A1421</f>
        <v/>
      </c>
    </row>
    <row r="1422">
      <c r="A1422">
        <f>IFERROR(IF(AND(INDEX(BASELINE!$A1422:$ZZ1422,CALC!$H$1)&lt;&gt;"",INT(IF(AND(CALC!$F$1&gt;0,N(INDEX(BASELINE!$A1422:$ZZ1422,CALC!$F$1))&gt;0),N(INDEX(BASELINE!$A1422:$ZZ1422,CALC!$F$1)),N(INDEX(BASELINE!$A1422:$ZZ1422,CALC!$P$1))))=INT(SIMOPS!$D$3),IFERROR(UPPER(TRIM(INDEX(BASELINE!$A1422:$ZZ1422,CALC!$R$1)&amp;"")),"")&lt;&gt;"ENCERRADA"),1,0),0)</f>
        <v/>
      </c>
      <c r="B1422">
        <f>B1421+A1422</f>
        <v/>
      </c>
    </row>
    <row r="1423">
      <c r="A1423">
        <f>IFERROR(IF(AND(INDEX(BASELINE!$A1423:$ZZ1423,CALC!$H$1)&lt;&gt;"",INT(IF(AND(CALC!$F$1&gt;0,N(INDEX(BASELINE!$A1423:$ZZ1423,CALC!$F$1))&gt;0),N(INDEX(BASELINE!$A1423:$ZZ1423,CALC!$F$1)),N(INDEX(BASELINE!$A1423:$ZZ1423,CALC!$P$1))))=INT(SIMOPS!$D$3),IFERROR(UPPER(TRIM(INDEX(BASELINE!$A1423:$ZZ1423,CALC!$R$1)&amp;"")),"")&lt;&gt;"ENCERRADA"),1,0),0)</f>
        <v/>
      </c>
      <c r="B1423">
        <f>B1422+A1423</f>
        <v/>
      </c>
    </row>
    <row r="1424">
      <c r="A1424">
        <f>IFERROR(IF(AND(INDEX(BASELINE!$A1424:$ZZ1424,CALC!$H$1)&lt;&gt;"",INT(IF(AND(CALC!$F$1&gt;0,N(INDEX(BASELINE!$A1424:$ZZ1424,CALC!$F$1))&gt;0),N(INDEX(BASELINE!$A1424:$ZZ1424,CALC!$F$1)),N(INDEX(BASELINE!$A1424:$ZZ1424,CALC!$P$1))))=INT(SIMOPS!$D$3),IFERROR(UPPER(TRIM(INDEX(BASELINE!$A1424:$ZZ1424,CALC!$R$1)&amp;"")),"")&lt;&gt;"ENCERRADA"),1,0),0)</f>
        <v/>
      </c>
      <c r="B1424">
        <f>B1423+A1424</f>
        <v/>
      </c>
    </row>
    <row r="1425">
      <c r="A1425">
        <f>IFERROR(IF(AND(INDEX(BASELINE!$A1425:$ZZ1425,CALC!$H$1)&lt;&gt;"",INT(IF(AND(CALC!$F$1&gt;0,N(INDEX(BASELINE!$A1425:$ZZ1425,CALC!$F$1))&gt;0),N(INDEX(BASELINE!$A1425:$ZZ1425,CALC!$F$1)),N(INDEX(BASELINE!$A1425:$ZZ1425,CALC!$P$1))))=INT(SIMOPS!$D$3),IFERROR(UPPER(TRIM(INDEX(BASELINE!$A1425:$ZZ1425,CALC!$R$1)&amp;"")),"")&lt;&gt;"ENCERRADA"),1,0),0)</f>
        <v/>
      </c>
      <c r="B1425">
        <f>B1424+A1425</f>
        <v/>
      </c>
    </row>
    <row r="1426">
      <c r="A1426">
        <f>IFERROR(IF(AND(INDEX(BASELINE!$A1426:$ZZ1426,CALC!$H$1)&lt;&gt;"",INT(IF(AND(CALC!$F$1&gt;0,N(INDEX(BASELINE!$A1426:$ZZ1426,CALC!$F$1))&gt;0),N(INDEX(BASELINE!$A1426:$ZZ1426,CALC!$F$1)),N(INDEX(BASELINE!$A1426:$ZZ1426,CALC!$P$1))))=INT(SIMOPS!$D$3),IFERROR(UPPER(TRIM(INDEX(BASELINE!$A1426:$ZZ1426,CALC!$R$1)&amp;"")),"")&lt;&gt;"ENCERRADA"),1,0),0)</f>
        <v/>
      </c>
      <c r="B1426">
        <f>B1425+A1426</f>
        <v/>
      </c>
    </row>
    <row r="1427">
      <c r="A1427">
        <f>IFERROR(IF(AND(INDEX(BASELINE!$A1427:$ZZ1427,CALC!$H$1)&lt;&gt;"",INT(IF(AND(CALC!$F$1&gt;0,N(INDEX(BASELINE!$A1427:$ZZ1427,CALC!$F$1))&gt;0),N(INDEX(BASELINE!$A1427:$ZZ1427,CALC!$F$1)),N(INDEX(BASELINE!$A1427:$ZZ1427,CALC!$P$1))))=INT(SIMOPS!$D$3),IFERROR(UPPER(TRIM(INDEX(BASELINE!$A1427:$ZZ1427,CALC!$R$1)&amp;"")),"")&lt;&gt;"ENCERRADA"),1,0),0)</f>
        <v/>
      </c>
      <c r="B1427">
        <f>B1426+A1427</f>
        <v/>
      </c>
    </row>
    <row r="1428">
      <c r="A1428">
        <f>IFERROR(IF(AND(INDEX(BASELINE!$A1428:$ZZ1428,CALC!$H$1)&lt;&gt;"",INT(IF(AND(CALC!$F$1&gt;0,N(INDEX(BASELINE!$A1428:$ZZ1428,CALC!$F$1))&gt;0),N(INDEX(BASELINE!$A1428:$ZZ1428,CALC!$F$1)),N(INDEX(BASELINE!$A1428:$ZZ1428,CALC!$P$1))))=INT(SIMOPS!$D$3),IFERROR(UPPER(TRIM(INDEX(BASELINE!$A1428:$ZZ1428,CALC!$R$1)&amp;"")),"")&lt;&gt;"ENCERRADA"),1,0),0)</f>
        <v/>
      </c>
      <c r="B1428">
        <f>B1427+A1428</f>
        <v/>
      </c>
    </row>
    <row r="1429">
      <c r="A1429">
        <f>IFERROR(IF(AND(INDEX(BASELINE!$A1429:$ZZ1429,CALC!$H$1)&lt;&gt;"",INT(IF(AND(CALC!$F$1&gt;0,N(INDEX(BASELINE!$A1429:$ZZ1429,CALC!$F$1))&gt;0),N(INDEX(BASELINE!$A1429:$ZZ1429,CALC!$F$1)),N(INDEX(BASELINE!$A1429:$ZZ1429,CALC!$P$1))))=INT(SIMOPS!$D$3),IFERROR(UPPER(TRIM(INDEX(BASELINE!$A1429:$ZZ1429,CALC!$R$1)&amp;"")),"")&lt;&gt;"ENCERRADA"),1,0),0)</f>
        <v/>
      </c>
      <c r="B1429">
        <f>B1428+A1429</f>
        <v/>
      </c>
    </row>
    <row r="1430">
      <c r="A1430">
        <f>IFERROR(IF(AND(INDEX(BASELINE!$A1430:$ZZ1430,CALC!$H$1)&lt;&gt;"",INT(IF(AND(CALC!$F$1&gt;0,N(INDEX(BASELINE!$A1430:$ZZ1430,CALC!$F$1))&gt;0),N(INDEX(BASELINE!$A1430:$ZZ1430,CALC!$F$1)),N(INDEX(BASELINE!$A1430:$ZZ1430,CALC!$P$1))))=INT(SIMOPS!$D$3),IFERROR(UPPER(TRIM(INDEX(BASELINE!$A1430:$ZZ1430,CALC!$R$1)&amp;"")),"")&lt;&gt;"ENCERRADA"),1,0),0)</f>
        <v/>
      </c>
      <c r="B1430">
        <f>B1429+A1430</f>
        <v/>
      </c>
    </row>
    <row r="1431">
      <c r="A1431">
        <f>IFERROR(IF(AND(INDEX(BASELINE!$A1431:$ZZ1431,CALC!$H$1)&lt;&gt;"",INT(IF(AND(CALC!$F$1&gt;0,N(INDEX(BASELINE!$A1431:$ZZ1431,CALC!$F$1))&gt;0),N(INDEX(BASELINE!$A1431:$ZZ1431,CALC!$F$1)),N(INDEX(BASELINE!$A1431:$ZZ1431,CALC!$P$1))))=INT(SIMOPS!$D$3),IFERROR(UPPER(TRIM(INDEX(BASELINE!$A1431:$ZZ1431,CALC!$R$1)&amp;"")),"")&lt;&gt;"ENCERRADA"),1,0),0)</f>
        <v/>
      </c>
      <c r="B1431">
        <f>B1430+A1431</f>
        <v/>
      </c>
    </row>
    <row r="1432">
      <c r="A1432">
        <f>IFERROR(IF(AND(INDEX(BASELINE!$A1432:$ZZ1432,CALC!$H$1)&lt;&gt;"",INT(IF(AND(CALC!$F$1&gt;0,N(INDEX(BASELINE!$A1432:$ZZ1432,CALC!$F$1))&gt;0),N(INDEX(BASELINE!$A1432:$ZZ1432,CALC!$F$1)),N(INDEX(BASELINE!$A1432:$ZZ1432,CALC!$P$1))))=INT(SIMOPS!$D$3),IFERROR(UPPER(TRIM(INDEX(BASELINE!$A1432:$ZZ1432,CALC!$R$1)&amp;"")),"")&lt;&gt;"ENCERRADA"),1,0),0)</f>
        <v/>
      </c>
      <c r="B1432">
        <f>B1431+A1432</f>
        <v/>
      </c>
    </row>
    <row r="1433">
      <c r="A1433">
        <f>IFERROR(IF(AND(INDEX(BASELINE!$A1433:$ZZ1433,CALC!$H$1)&lt;&gt;"",INT(IF(AND(CALC!$F$1&gt;0,N(INDEX(BASELINE!$A1433:$ZZ1433,CALC!$F$1))&gt;0),N(INDEX(BASELINE!$A1433:$ZZ1433,CALC!$F$1)),N(INDEX(BASELINE!$A1433:$ZZ1433,CALC!$P$1))))=INT(SIMOPS!$D$3),IFERROR(UPPER(TRIM(INDEX(BASELINE!$A1433:$ZZ1433,CALC!$R$1)&amp;"")),"")&lt;&gt;"ENCERRADA"),1,0),0)</f>
        <v/>
      </c>
      <c r="B1433">
        <f>B1432+A1433</f>
        <v/>
      </c>
    </row>
    <row r="1434">
      <c r="A1434">
        <f>IFERROR(IF(AND(INDEX(BASELINE!$A1434:$ZZ1434,CALC!$H$1)&lt;&gt;"",INT(IF(AND(CALC!$F$1&gt;0,N(INDEX(BASELINE!$A1434:$ZZ1434,CALC!$F$1))&gt;0),N(INDEX(BASELINE!$A1434:$ZZ1434,CALC!$F$1)),N(INDEX(BASELINE!$A1434:$ZZ1434,CALC!$P$1))))=INT(SIMOPS!$D$3),IFERROR(UPPER(TRIM(INDEX(BASELINE!$A1434:$ZZ1434,CALC!$R$1)&amp;"")),"")&lt;&gt;"ENCERRADA"),1,0),0)</f>
        <v/>
      </c>
      <c r="B1434">
        <f>B1433+A1434</f>
        <v/>
      </c>
    </row>
    <row r="1435">
      <c r="A1435">
        <f>IFERROR(IF(AND(INDEX(BASELINE!$A1435:$ZZ1435,CALC!$H$1)&lt;&gt;"",INT(IF(AND(CALC!$F$1&gt;0,N(INDEX(BASELINE!$A1435:$ZZ1435,CALC!$F$1))&gt;0),N(INDEX(BASELINE!$A1435:$ZZ1435,CALC!$F$1)),N(INDEX(BASELINE!$A1435:$ZZ1435,CALC!$P$1))))=INT(SIMOPS!$D$3),IFERROR(UPPER(TRIM(INDEX(BASELINE!$A1435:$ZZ1435,CALC!$R$1)&amp;"")),"")&lt;&gt;"ENCERRADA"),1,0),0)</f>
        <v/>
      </c>
      <c r="B1435">
        <f>B1434+A1435</f>
        <v/>
      </c>
    </row>
    <row r="1436">
      <c r="A1436">
        <f>IFERROR(IF(AND(INDEX(BASELINE!$A1436:$ZZ1436,CALC!$H$1)&lt;&gt;"",INT(IF(AND(CALC!$F$1&gt;0,N(INDEX(BASELINE!$A1436:$ZZ1436,CALC!$F$1))&gt;0),N(INDEX(BASELINE!$A1436:$ZZ1436,CALC!$F$1)),N(INDEX(BASELINE!$A1436:$ZZ1436,CALC!$P$1))))=INT(SIMOPS!$D$3),IFERROR(UPPER(TRIM(INDEX(BASELINE!$A1436:$ZZ1436,CALC!$R$1)&amp;"")),"")&lt;&gt;"ENCERRADA"),1,0),0)</f>
        <v/>
      </c>
      <c r="B1436">
        <f>B1435+A1436</f>
        <v/>
      </c>
    </row>
    <row r="1437">
      <c r="A1437">
        <f>IFERROR(IF(AND(INDEX(BASELINE!$A1437:$ZZ1437,CALC!$H$1)&lt;&gt;"",INT(IF(AND(CALC!$F$1&gt;0,N(INDEX(BASELINE!$A1437:$ZZ1437,CALC!$F$1))&gt;0),N(INDEX(BASELINE!$A1437:$ZZ1437,CALC!$F$1)),N(INDEX(BASELINE!$A1437:$ZZ1437,CALC!$P$1))))=INT(SIMOPS!$D$3),IFERROR(UPPER(TRIM(INDEX(BASELINE!$A1437:$ZZ1437,CALC!$R$1)&amp;"")),"")&lt;&gt;"ENCERRADA"),1,0),0)</f>
        <v/>
      </c>
      <c r="B1437">
        <f>B1436+A1437</f>
        <v/>
      </c>
    </row>
    <row r="1438">
      <c r="A1438">
        <f>IFERROR(IF(AND(INDEX(BASELINE!$A1438:$ZZ1438,CALC!$H$1)&lt;&gt;"",INT(IF(AND(CALC!$F$1&gt;0,N(INDEX(BASELINE!$A1438:$ZZ1438,CALC!$F$1))&gt;0),N(INDEX(BASELINE!$A1438:$ZZ1438,CALC!$F$1)),N(INDEX(BASELINE!$A1438:$ZZ1438,CALC!$P$1))))=INT(SIMOPS!$D$3),IFERROR(UPPER(TRIM(INDEX(BASELINE!$A1438:$ZZ1438,CALC!$R$1)&amp;"")),"")&lt;&gt;"ENCERRADA"),1,0),0)</f>
        <v/>
      </c>
      <c r="B1438">
        <f>B1437+A1438</f>
        <v/>
      </c>
    </row>
    <row r="1439">
      <c r="A1439">
        <f>IFERROR(IF(AND(INDEX(BASELINE!$A1439:$ZZ1439,CALC!$H$1)&lt;&gt;"",INT(IF(AND(CALC!$F$1&gt;0,N(INDEX(BASELINE!$A1439:$ZZ1439,CALC!$F$1))&gt;0),N(INDEX(BASELINE!$A1439:$ZZ1439,CALC!$F$1)),N(INDEX(BASELINE!$A1439:$ZZ1439,CALC!$P$1))))=INT(SIMOPS!$D$3),IFERROR(UPPER(TRIM(INDEX(BASELINE!$A1439:$ZZ1439,CALC!$R$1)&amp;"")),"")&lt;&gt;"ENCERRADA"),1,0),0)</f>
        <v/>
      </c>
      <c r="B1439">
        <f>B1438+A1439</f>
        <v/>
      </c>
    </row>
    <row r="1440">
      <c r="A1440">
        <f>IFERROR(IF(AND(INDEX(BASELINE!$A1440:$ZZ1440,CALC!$H$1)&lt;&gt;"",INT(IF(AND(CALC!$F$1&gt;0,N(INDEX(BASELINE!$A1440:$ZZ1440,CALC!$F$1))&gt;0),N(INDEX(BASELINE!$A1440:$ZZ1440,CALC!$F$1)),N(INDEX(BASELINE!$A1440:$ZZ1440,CALC!$P$1))))=INT(SIMOPS!$D$3),IFERROR(UPPER(TRIM(INDEX(BASELINE!$A1440:$ZZ1440,CALC!$R$1)&amp;"")),"")&lt;&gt;"ENCERRADA"),1,0),0)</f>
        <v/>
      </c>
      <c r="B1440">
        <f>B1439+A1440</f>
        <v/>
      </c>
    </row>
    <row r="1441">
      <c r="A1441">
        <f>IFERROR(IF(AND(INDEX(BASELINE!$A1441:$ZZ1441,CALC!$H$1)&lt;&gt;"",INT(IF(AND(CALC!$F$1&gt;0,N(INDEX(BASELINE!$A1441:$ZZ1441,CALC!$F$1))&gt;0),N(INDEX(BASELINE!$A1441:$ZZ1441,CALC!$F$1)),N(INDEX(BASELINE!$A1441:$ZZ1441,CALC!$P$1))))=INT(SIMOPS!$D$3),IFERROR(UPPER(TRIM(INDEX(BASELINE!$A1441:$ZZ1441,CALC!$R$1)&amp;"")),"")&lt;&gt;"ENCERRADA"),1,0),0)</f>
        <v/>
      </c>
      <c r="B1441">
        <f>B1440+A1441</f>
        <v/>
      </c>
    </row>
    <row r="1442">
      <c r="A1442">
        <f>IFERROR(IF(AND(INDEX(BASELINE!$A1442:$ZZ1442,CALC!$H$1)&lt;&gt;"",INT(IF(AND(CALC!$F$1&gt;0,N(INDEX(BASELINE!$A1442:$ZZ1442,CALC!$F$1))&gt;0),N(INDEX(BASELINE!$A1442:$ZZ1442,CALC!$F$1)),N(INDEX(BASELINE!$A1442:$ZZ1442,CALC!$P$1))))=INT(SIMOPS!$D$3),IFERROR(UPPER(TRIM(INDEX(BASELINE!$A1442:$ZZ1442,CALC!$R$1)&amp;"")),"")&lt;&gt;"ENCERRADA"),1,0),0)</f>
        <v/>
      </c>
      <c r="B1442">
        <f>B1441+A1442</f>
        <v/>
      </c>
    </row>
    <row r="1443">
      <c r="A1443">
        <f>IFERROR(IF(AND(INDEX(BASELINE!$A1443:$ZZ1443,CALC!$H$1)&lt;&gt;"",INT(IF(AND(CALC!$F$1&gt;0,N(INDEX(BASELINE!$A1443:$ZZ1443,CALC!$F$1))&gt;0),N(INDEX(BASELINE!$A1443:$ZZ1443,CALC!$F$1)),N(INDEX(BASELINE!$A1443:$ZZ1443,CALC!$P$1))))=INT(SIMOPS!$D$3),IFERROR(UPPER(TRIM(INDEX(BASELINE!$A1443:$ZZ1443,CALC!$R$1)&amp;"")),"")&lt;&gt;"ENCERRADA"),1,0),0)</f>
        <v/>
      </c>
      <c r="B1443">
        <f>B1442+A1443</f>
        <v/>
      </c>
    </row>
    <row r="1444">
      <c r="A1444">
        <f>IFERROR(IF(AND(INDEX(BASELINE!$A1444:$ZZ1444,CALC!$H$1)&lt;&gt;"",INT(IF(AND(CALC!$F$1&gt;0,N(INDEX(BASELINE!$A1444:$ZZ1444,CALC!$F$1))&gt;0),N(INDEX(BASELINE!$A1444:$ZZ1444,CALC!$F$1)),N(INDEX(BASELINE!$A1444:$ZZ1444,CALC!$P$1))))=INT(SIMOPS!$D$3),IFERROR(UPPER(TRIM(INDEX(BASELINE!$A1444:$ZZ1444,CALC!$R$1)&amp;"")),"")&lt;&gt;"ENCERRADA"),1,0),0)</f>
        <v/>
      </c>
      <c r="B1444">
        <f>B1443+A1444</f>
        <v/>
      </c>
    </row>
    <row r="1445">
      <c r="A1445">
        <f>IFERROR(IF(AND(INDEX(BASELINE!$A1445:$ZZ1445,CALC!$H$1)&lt;&gt;"",INT(IF(AND(CALC!$F$1&gt;0,N(INDEX(BASELINE!$A1445:$ZZ1445,CALC!$F$1))&gt;0),N(INDEX(BASELINE!$A1445:$ZZ1445,CALC!$F$1)),N(INDEX(BASELINE!$A1445:$ZZ1445,CALC!$P$1))))=INT(SIMOPS!$D$3),IFERROR(UPPER(TRIM(INDEX(BASELINE!$A1445:$ZZ1445,CALC!$R$1)&amp;"")),"")&lt;&gt;"ENCERRADA"),1,0),0)</f>
        <v/>
      </c>
      <c r="B1445">
        <f>B1444+A1445</f>
        <v/>
      </c>
    </row>
    <row r="1446">
      <c r="A1446">
        <f>IFERROR(IF(AND(INDEX(BASELINE!$A1446:$ZZ1446,CALC!$H$1)&lt;&gt;"",INT(IF(AND(CALC!$F$1&gt;0,N(INDEX(BASELINE!$A1446:$ZZ1446,CALC!$F$1))&gt;0),N(INDEX(BASELINE!$A1446:$ZZ1446,CALC!$F$1)),N(INDEX(BASELINE!$A1446:$ZZ1446,CALC!$P$1))))=INT(SIMOPS!$D$3),IFERROR(UPPER(TRIM(INDEX(BASELINE!$A1446:$ZZ1446,CALC!$R$1)&amp;"")),"")&lt;&gt;"ENCERRADA"),1,0),0)</f>
        <v/>
      </c>
      <c r="B1446">
        <f>B1445+A1446</f>
        <v/>
      </c>
    </row>
    <row r="1447">
      <c r="A1447">
        <f>IFERROR(IF(AND(INDEX(BASELINE!$A1447:$ZZ1447,CALC!$H$1)&lt;&gt;"",INT(IF(AND(CALC!$F$1&gt;0,N(INDEX(BASELINE!$A1447:$ZZ1447,CALC!$F$1))&gt;0),N(INDEX(BASELINE!$A1447:$ZZ1447,CALC!$F$1)),N(INDEX(BASELINE!$A1447:$ZZ1447,CALC!$P$1))))=INT(SIMOPS!$D$3),IFERROR(UPPER(TRIM(INDEX(BASELINE!$A1447:$ZZ1447,CALC!$R$1)&amp;"")),"")&lt;&gt;"ENCERRADA"),1,0),0)</f>
        <v/>
      </c>
      <c r="B1447">
        <f>B1446+A1447</f>
        <v/>
      </c>
    </row>
    <row r="1448">
      <c r="A1448">
        <f>IFERROR(IF(AND(INDEX(BASELINE!$A1448:$ZZ1448,CALC!$H$1)&lt;&gt;"",INT(IF(AND(CALC!$F$1&gt;0,N(INDEX(BASELINE!$A1448:$ZZ1448,CALC!$F$1))&gt;0),N(INDEX(BASELINE!$A1448:$ZZ1448,CALC!$F$1)),N(INDEX(BASELINE!$A1448:$ZZ1448,CALC!$P$1))))=INT(SIMOPS!$D$3),IFERROR(UPPER(TRIM(INDEX(BASELINE!$A1448:$ZZ1448,CALC!$R$1)&amp;"")),"")&lt;&gt;"ENCERRADA"),1,0),0)</f>
        <v/>
      </c>
      <c r="B1448">
        <f>B1447+A1448</f>
        <v/>
      </c>
    </row>
    <row r="1449">
      <c r="A1449">
        <f>IFERROR(IF(AND(INDEX(BASELINE!$A1449:$ZZ1449,CALC!$H$1)&lt;&gt;"",INT(IF(AND(CALC!$F$1&gt;0,N(INDEX(BASELINE!$A1449:$ZZ1449,CALC!$F$1))&gt;0),N(INDEX(BASELINE!$A1449:$ZZ1449,CALC!$F$1)),N(INDEX(BASELINE!$A1449:$ZZ1449,CALC!$P$1))))=INT(SIMOPS!$D$3),IFERROR(UPPER(TRIM(INDEX(BASELINE!$A1449:$ZZ1449,CALC!$R$1)&amp;"")),"")&lt;&gt;"ENCERRADA"),1,0),0)</f>
        <v/>
      </c>
      <c r="B1449">
        <f>B1448+A1449</f>
        <v/>
      </c>
    </row>
    <row r="1450">
      <c r="A1450">
        <f>IFERROR(IF(AND(INDEX(BASELINE!$A1450:$ZZ1450,CALC!$H$1)&lt;&gt;"",INT(IF(AND(CALC!$F$1&gt;0,N(INDEX(BASELINE!$A1450:$ZZ1450,CALC!$F$1))&gt;0),N(INDEX(BASELINE!$A1450:$ZZ1450,CALC!$F$1)),N(INDEX(BASELINE!$A1450:$ZZ1450,CALC!$P$1))))=INT(SIMOPS!$D$3),IFERROR(UPPER(TRIM(INDEX(BASELINE!$A1450:$ZZ1450,CALC!$R$1)&amp;"")),"")&lt;&gt;"ENCERRADA"),1,0),0)</f>
        <v/>
      </c>
      <c r="B1450">
        <f>B1449+A1450</f>
        <v/>
      </c>
    </row>
    <row r="1451">
      <c r="A1451">
        <f>IFERROR(IF(AND(INDEX(BASELINE!$A1451:$ZZ1451,CALC!$H$1)&lt;&gt;"",INT(IF(AND(CALC!$F$1&gt;0,N(INDEX(BASELINE!$A1451:$ZZ1451,CALC!$F$1))&gt;0),N(INDEX(BASELINE!$A1451:$ZZ1451,CALC!$F$1)),N(INDEX(BASELINE!$A1451:$ZZ1451,CALC!$P$1))))=INT(SIMOPS!$D$3),IFERROR(UPPER(TRIM(INDEX(BASELINE!$A1451:$ZZ1451,CALC!$R$1)&amp;"")),"")&lt;&gt;"ENCERRADA"),1,0),0)</f>
        <v/>
      </c>
      <c r="B1451">
        <f>B1450+A1451</f>
        <v/>
      </c>
    </row>
    <row r="1452">
      <c r="A1452">
        <f>IFERROR(IF(AND(INDEX(BASELINE!$A1452:$ZZ1452,CALC!$H$1)&lt;&gt;"",INT(IF(AND(CALC!$F$1&gt;0,N(INDEX(BASELINE!$A1452:$ZZ1452,CALC!$F$1))&gt;0),N(INDEX(BASELINE!$A1452:$ZZ1452,CALC!$F$1)),N(INDEX(BASELINE!$A1452:$ZZ1452,CALC!$P$1))))=INT(SIMOPS!$D$3),IFERROR(UPPER(TRIM(INDEX(BASELINE!$A1452:$ZZ1452,CALC!$R$1)&amp;"")),"")&lt;&gt;"ENCERRADA"),1,0),0)</f>
        <v/>
      </c>
      <c r="B1452">
        <f>B1451+A1452</f>
        <v/>
      </c>
    </row>
    <row r="1453">
      <c r="A1453">
        <f>IFERROR(IF(AND(INDEX(BASELINE!$A1453:$ZZ1453,CALC!$H$1)&lt;&gt;"",INT(IF(AND(CALC!$F$1&gt;0,N(INDEX(BASELINE!$A1453:$ZZ1453,CALC!$F$1))&gt;0),N(INDEX(BASELINE!$A1453:$ZZ1453,CALC!$F$1)),N(INDEX(BASELINE!$A1453:$ZZ1453,CALC!$P$1))))=INT(SIMOPS!$D$3),IFERROR(UPPER(TRIM(INDEX(BASELINE!$A1453:$ZZ1453,CALC!$R$1)&amp;"")),"")&lt;&gt;"ENCERRADA"),1,0),0)</f>
        <v/>
      </c>
      <c r="B1453">
        <f>B1452+A1453</f>
        <v/>
      </c>
    </row>
    <row r="1454">
      <c r="A1454">
        <f>IFERROR(IF(AND(INDEX(BASELINE!$A1454:$ZZ1454,CALC!$H$1)&lt;&gt;"",INT(IF(AND(CALC!$F$1&gt;0,N(INDEX(BASELINE!$A1454:$ZZ1454,CALC!$F$1))&gt;0),N(INDEX(BASELINE!$A1454:$ZZ1454,CALC!$F$1)),N(INDEX(BASELINE!$A1454:$ZZ1454,CALC!$P$1))))=INT(SIMOPS!$D$3),IFERROR(UPPER(TRIM(INDEX(BASELINE!$A1454:$ZZ1454,CALC!$R$1)&amp;"")),"")&lt;&gt;"ENCERRADA"),1,0),0)</f>
        <v/>
      </c>
      <c r="B1454">
        <f>B1453+A1454</f>
        <v/>
      </c>
    </row>
    <row r="1455">
      <c r="A1455">
        <f>IFERROR(IF(AND(INDEX(BASELINE!$A1455:$ZZ1455,CALC!$H$1)&lt;&gt;"",INT(IF(AND(CALC!$F$1&gt;0,N(INDEX(BASELINE!$A1455:$ZZ1455,CALC!$F$1))&gt;0),N(INDEX(BASELINE!$A1455:$ZZ1455,CALC!$F$1)),N(INDEX(BASELINE!$A1455:$ZZ1455,CALC!$P$1))))=INT(SIMOPS!$D$3),IFERROR(UPPER(TRIM(INDEX(BASELINE!$A1455:$ZZ1455,CALC!$R$1)&amp;"")),"")&lt;&gt;"ENCERRADA"),1,0),0)</f>
        <v/>
      </c>
      <c r="B1455">
        <f>B1454+A1455</f>
        <v/>
      </c>
    </row>
    <row r="1456">
      <c r="A1456">
        <f>IFERROR(IF(AND(INDEX(BASELINE!$A1456:$ZZ1456,CALC!$H$1)&lt;&gt;"",INT(IF(AND(CALC!$F$1&gt;0,N(INDEX(BASELINE!$A1456:$ZZ1456,CALC!$F$1))&gt;0),N(INDEX(BASELINE!$A1456:$ZZ1456,CALC!$F$1)),N(INDEX(BASELINE!$A1456:$ZZ1456,CALC!$P$1))))=INT(SIMOPS!$D$3),IFERROR(UPPER(TRIM(INDEX(BASELINE!$A1456:$ZZ1456,CALC!$R$1)&amp;"")),"")&lt;&gt;"ENCERRADA"),1,0),0)</f>
        <v/>
      </c>
      <c r="B1456">
        <f>B1455+A1456</f>
        <v/>
      </c>
    </row>
    <row r="1457">
      <c r="A1457">
        <f>IFERROR(IF(AND(INDEX(BASELINE!$A1457:$ZZ1457,CALC!$H$1)&lt;&gt;"",INT(IF(AND(CALC!$F$1&gt;0,N(INDEX(BASELINE!$A1457:$ZZ1457,CALC!$F$1))&gt;0),N(INDEX(BASELINE!$A1457:$ZZ1457,CALC!$F$1)),N(INDEX(BASELINE!$A1457:$ZZ1457,CALC!$P$1))))=INT(SIMOPS!$D$3),IFERROR(UPPER(TRIM(INDEX(BASELINE!$A1457:$ZZ1457,CALC!$R$1)&amp;"")),"")&lt;&gt;"ENCERRADA"),1,0),0)</f>
        <v/>
      </c>
      <c r="B1457">
        <f>B1456+A1457</f>
        <v/>
      </c>
    </row>
    <row r="1458">
      <c r="A1458">
        <f>IFERROR(IF(AND(INDEX(BASELINE!$A1458:$ZZ1458,CALC!$H$1)&lt;&gt;"",INT(IF(AND(CALC!$F$1&gt;0,N(INDEX(BASELINE!$A1458:$ZZ1458,CALC!$F$1))&gt;0),N(INDEX(BASELINE!$A1458:$ZZ1458,CALC!$F$1)),N(INDEX(BASELINE!$A1458:$ZZ1458,CALC!$P$1))))=INT(SIMOPS!$D$3),IFERROR(UPPER(TRIM(INDEX(BASELINE!$A1458:$ZZ1458,CALC!$R$1)&amp;"")),"")&lt;&gt;"ENCERRADA"),1,0),0)</f>
        <v/>
      </c>
      <c r="B1458">
        <f>B1457+A1458</f>
        <v/>
      </c>
    </row>
    <row r="1459">
      <c r="A1459">
        <f>IFERROR(IF(AND(INDEX(BASELINE!$A1459:$ZZ1459,CALC!$H$1)&lt;&gt;"",INT(IF(AND(CALC!$F$1&gt;0,N(INDEX(BASELINE!$A1459:$ZZ1459,CALC!$F$1))&gt;0),N(INDEX(BASELINE!$A1459:$ZZ1459,CALC!$F$1)),N(INDEX(BASELINE!$A1459:$ZZ1459,CALC!$P$1))))=INT(SIMOPS!$D$3),IFERROR(UPPER(TRIM(INDEX(BASELINE!$A1459:$ZZ1459,CALC!$R$1)&amp;"")),"")&lt;&gt;"ENCERRADA"),1,0),0)</f>
        <v/>
      </c>
      <c r="B1459">
        <f>B1458+A1459</f>
        <v/>
      </c>
    </row>
    <row r="1460">
      <c r="A1460">
        <f>IFERROR(IF(AND(INDEX(BASELINE!$A1460:$ZZ1460,CALC!$H$1)&lt;&gt;"",INT(IF(AND(CALC!$F$1&gt;0,N(INDEX(BASELINE!$A1460:$ZZ1460,CALC!$F$1))&gt;0),N(INDEX(BASELINE!$A1460:$ZZ1460,CALC!$F$1)),N(INDEX(BASELINE!$A1460:$ZZ1460,CALC!$P$1))))=INT(SIMOPS!$D$3),IFERROR(UPPER(TRIM(INDEX(BASELINE!$A1460:$ZZ1460,CALC!$R$1)&amp;"")),"")&lt;&gt;"ENCERRADA"),1,0),0)</f>
        <v/>
      </c>
      <c r="B1460">
        <f>B1459+A1460</f>
        <v/>
      </c>
    </row>
    <row r="1461">
      <c r="A1461">
        <f>IFERROR(IF(AND(INDEX(BASELINE!$A1461:$ZZ1461,CALC!$H$1)&lt;&gt;"",INT(IF(AND(CALC!$F$1&gt;0,N(INDEX(BASELINE!$A1461:$ZZ1461,CALC!$F$1))&gt;0),N(INDEX(BASELINE!$A1461:$ZZ1461,CALC!$F$1)),N(INDEX(BASELINE!$A1461:$ZZ1461,CALC!$P$1))))=INT(SIMOPS!$D$3),IFERROR(UPPER(TRIM(INDEX(BASELINE!$A1461:$ZZ1461,CALC!$R$1)&amp;"")),"")&lt;&gt;"ENCERRADA"),1,0),0)</f>
        <v/>
      </c>
      <c r="B1461">
        <f>B1460+A1461</f>
        <v/>
      </c>
    </row>
    <row r="1462">
      <c r="A1462">
        <f>IFERROR(IF(AND(INDEX(BASELINE!$A1462:$ZZ1462,CALC!$H$1)&lt;&gt;"",INT(IF(AND(CALC!$F$1&gt;0,N(INDEX(BASELINE!$A1462:$ZZ1462,CALC!$F$1))&gt;0),N(INDEX(BASELINE!$A1462:$ZZ1462,CALC!$F$1)),N(INDEX(BASELINE!$A1462:$ZZ1462,CALC!$P$1))))=INT(SIMOPS!$D$3),IFERROR(UPPER(TRIM(INDEX(BASELINE!$A1462:$ZZ1462,CALC!$R$1)&amp;"")),"")&lt;&gt;"ENCERRADA"),1,0),0)</f>
        <v/>
      </c>
      <c r="B1462">
        <f>B1461+A1462</f>
        <v/>
      </c>
    </row>
    <row r="1463">
      <c r="A1463">
        <f>IFERROR(IF(AND(INDEX(BASELINE!$A1463:$ZZ1463,CALC!$H$1)&lt;&gt;"",INT(IF(AND(CALC!$F$1&gt;0,N(INDEX(BASELINE!$A1463:$ZZ1463,CALC!$F$1))&gt;0),N(INDEX(BASELINE!$A1463:$ZZ1463,CALC!$F$1)),N(INDEX(BASELINE!$A1463:$ZZ1463,CALC!$P$1))))=INT(SIMOPS!$D$3),IFERROR(UPPER(TRIM(INDEX(BASELINE!$A1463:$ZZ1463,CALC!$R$1)&amp;"")),"")&lt;&gt;"ENCERRADA"),1,0),0)</f>
        <v/>
      </c>
      <c r="B1463">
        <f>B1462+A1463</f>
        <v/>
      </c>
    </row>
    <row r="1464">
      <c r="A1464">
        <f>IFERROR(IF(AND(INDEX(BASELINE!$A1464:$ZZ1464,CALC!$H$1)&lt;&gt;"",INT(IF(AND(CALC!$F$1&gt;0,N(INDEX(BASELINE!$A1464:$ZZ1464,CALC!$F$1))&gt;0),N(INDEX(BASELINE!$A1464:$ZZ1464,CALC!$F$1)),N(INDEX(BASELINE!$A1464:$ZZ1464,CALC!$P$1))))=INT(SIMOPS!$D$3),IFERROR(UPPER(TRIM(INDEX(BASELINE!$A1464:$ZZ1464,CALC!$R$1)&amp;"")),"")&lt;&gt;"ENCERRADA"),1,0),0)</f>
        <v/>
      </c>
      <c r="B1464">
        <f>B1463+A1464</f>
        <v/>
      </c>
    </row>
    <row r="1465">
      <c r="A1465">
        <f>IFERROR(IF(AND(INDEX(BASELINE!$A1465:$ZZ1465,CALC!$H$1)&lt;&gt;"",INT(IF(AND(CALC!$F$1&gt;0,N(INDEX(BASELINE!$A1465:$ZZ1465,CALC!$F$1))&gt;0),N(INDEX(BASELINE!$A1465:$ZZ1465,CALC!$F$1)),N(INDEX(BASELINE!$A1465:$ZZ1465,CALC!$P$1))))=INT(SIMOPS!$D$3),IFERROR(UPPER(TRIM(INDEX(BASELINE!$A1465:$ZZ1465,CALC!$R$1)&amp;"")),"")&lt;&gt;"ENCERRADA"),1,0),0)</f>
        <v/>
      </c>
      <c r="B1465">
        <f>B1464+A1465</f>
        <v/>
      </c>
    </row>
    <row r="1466">
      <c r="A1466">
        <f>IFERROR(IF(AND(INDEX(BASELINE!$A1466:$ZZ1466,CALC!$H$1)&lt;&gt;"",INT(IF(AND(CALC!$F$1&gt;0,N(INDEX(BASELINE!$A1466:$ZZ1466,CALC!$F$1))&gt;0),N(INDEX(BASELINE!$A1466:$ZZ1466,CALC!$F$1)),N(INDEX(BASELINE!$A1466:$ZZ1466,CALC!$P$1))))=INT(SIMOPS!$D$3),IFERROR(UPPER(TRIM(INDEX(BASELINE!$A1466:$ZZ1466,CALC!$R$1)&amp;"")),"")&lt;&gt;"ENCERRADA"),1,0),0)</f>
        <v/>
      </c>
      <c r="B1466">
        <f>B1465+A1466</f>
        <v/>
      </c>
    </row>
    <row r="1467">
      <c r="A1467">
        <f>IFERROR(IF(AND(INDEX(BASELINE!$A1467:$ZZ1467,CALC!$H$1)&lt;&gt;"",INT(IF(AND(CALC!$F$1&gt;0,N(INDEX(BASELINE!$A1467:$ZZ1467,CALC!$F$1))&gt;0),N(INDEX(BASELINE!$A1467:$ZZ1467,CALC!$F$1)),N(INDEX(BASELINE!$A1467:$ZZ1467,CALC!$P$1))))=INT(SIMOPS!$D$3),IFERROR(UPPER(TRIM(INDEX(BASELINE!$A1467:$ZZ1467,CALC!$R$1)&amp;"")),"")&lt;&gt;"ENCERRADA"),1,0),0)</f>
        <v/>
      </c>
      <c r="B1467">
        <f>B1466+A1467</f>
        <v/>
      </c>
    </row>
    <row r="1468">
      <c r="A1468">
        <f>IFERROR(IF(AND(INDEX(BASELINE!$A1468:$ZZ1468,CALC!$H$1)&lt;&gt;"",INT(IF(AND(CALC!$F$1&gt;0,N(INDEX(BASELINE!$A1468:$ZZ1468,CALC!$F$1))&gt;0),N(INDEX(BASELINE!$A1468:$ZZ1468,CALC!$F$1)),N(INDEX(BASELINE!$A1468:$ZZ1468,CALC!$P$1))))=INT(SIMOPS!$D$3),IFERROR(UPPER(TRIM(INDEX(BASELINE!$A1468:$ZZ1468,CALC!$R$1)&amp;"")),"")&lt;&gt;"ENCERRADA"),1,0),0)</f>
        <v/>
      </c>
      <c r="B1468">
        <f>B1467+A1468</f>
        <v/>
      </c>
    </row>
    <row r="1469">
      <c r="A1469">
        <f>IFERROR(IF(AND(INDEX(BASELINE!$A1469:$ZZ1469,CALC!$H$1)&lt;&gt;"",INT(IF(AND(CALC!$F$1&gt;0,N(INDEX(BASELINE!$A1469:$ZZ1469,CALC!$F$1))&gt;0),N(INDEX(BASELINE!$A1469:$ZZ1469,CALC!$F$1)),N(INDEX(BASELINE!$A1469:$ZZ1469,CALC!$P$1))))=INT(SIMOPS!$D$3),IFERROR(UPPER(TRIM(INDEX(BASELINE!$A1469:$ZZ1469,CALC!$R$1)&amp;"")),"")&lt;&gt;"ENCERRADA"),1,0),0)</f>
        <v/>
      </c>
      <c r="B1469">
        <f>B1468+A1469</f>
        <v/>
      </c>
    </row>
    <row r="1470">
      <c r="A1470">
        <f>IFERROR(IF(AND(INDEX(BASELINE!$A1470:$ZZ1470,CALC!$H$1)&lt;&gt;"",INT(IF(AND(CALC!$F$1&gt;0,N(INDEX(BASELINE!$A1470:$ZZ1470,CALC!$F$1))&gt;0),N(INDEX(BASELINE!$A1470:$ZZ1470,CALC!$F$1)),N(INDEX(BASELINE!$A1470:$ZZ1470,CALC!$P$1))))=INT(SIMOPS!$D$3),IFERROR(UPPER(TRIM(INDEX(BASELINE!$A1470:$ZZ1470,CALC!$R$1)&amp;"")),"")&lt;&gt;"ENCERRADA"),1,0),0)</f>
        <v/>
      </c>
      <c r="B1470">
        <f>B1469+A1470</f>
        <v/>
      </c>
    </row>
    <row r="1471">
      <c r="A1471">
        <f>IFERROR(IF(AND(INDEX(BASELINE!$A1471:$ZZ1471,CALC!$H$1)&lt;&gt;"",INT(IF(AND(CALC!$F$1&gt;0,N(INDEX(BASELINE!$A1471:$ZZ1471,CALC!$F$1))&gt;0),N(INDEX(BASELINE!$A1471:$ZZ1471,CALC!$F$1)),N(INDEX(BASELINE!$A1471:$ZZ1471,CALC!$P$1))))=INT(SIMOPS!$D$3),IFERROR(UPPER(TRIM(INDEX(BASELINE!$A1471:$ZZ1471,CALC!$R$1)&amp;"")),"")&lt;&gt;"ENCERRADA"),1,0),0)</f>
        <v/>
      </c>
      <c r="B1471">
        <f>B1470+A1471</f>
        <v/>
      </c>
    </row>
    <row r="1472">
      <c r="A1472">
        <f>IFERROR(IF(AND(INDEX(BASELINE!$A1472:$ZZ1472,CALC!$H$1)&lt;&gt;"",INT(IF(AND(CALC!$F$1&gt;0,N(INDEX(BASELINE!$A1472:$ZZ1472,CALC!$F$1))&gt;0),N(INDEX(BASELINE!$A1472:$ZZ1472,CALC!$F$1)),N(INDEX(BASELINE!$A1472:$ZZ1472,CALC!$P$1))))=INT(SIMOPS!$D$3),IFERROR(UPPER(TRIM(INDEX(BASELINE!$A1472:$ZZ1472,CALC!$R$1)&amp;"")),"")&lt;&gt;"ENCERRADA"),1,0),0)</f>
        <v/>
      </c>
      <c r="B1472">
        <f>B1471+A1472</f>
        <v/>
      </c>
    </row>
    <row r="1473">
      <c r="A1473">
        <f>IFERROR(IF(AND(INDEX(BASELINE!$A1473:$ZZ1473,CALC!$H$1)&lt;&gt;"",INT(IF(AND(CALC!$F$1&gt;0,N(INDEX(BASELINE!$A1473:$ZZ1473,CALC!$F$1))&gt;0),N(INDEX(BASELINE!$A1473:$ZZ1473,CALC!$F$1)),N(INDEX(BASELINE!$A1473:$ZZ1473,CALC!$P$1))))=INT(SIMOPS!$D$3),IFERROR(UPPER(TRIM(INDEX(BASELINE!$A1473:$ZZ1473,CALC!$R$1)&amp;"")),"")&lt;&gt;"ENCERRADA"),1,0),0)</f>
        <v/>
      </c>
      <c r="B1473">
        <f>B1472+A1473</f>
        <v/>
      </c>
    </row>
    <row r="1474">
      <c r="A1474">
        <f>IFERROR(IF(AND(INDEX(BASELINE!$A1474:$ZZ1474,CALC!$H$1)&lt;&gt;"",INT(IF(AND(CALC!$F$1&gt;0,N(INDEX(BASELINE!$A1474:$ZZ1474,CALC!$F$1))&gt;0),N(INDEX(BASELINE!$A1474:$ZZ1474,CALC!$F$1)),N(INDEX(BASELINE!$A1474:$ZZ1474,CALC!$P$1))))=INT(SIMOPS!$D$3),IFERROR(UPPER(TRIM(INDEX(BASELINE!$A1474:$ZZ1474,CALC!$R$1)&amp;"")),"")&lt;&gt;"ENCERRADA"),1,0),0)</f>
        <v/>
      </c>
      <c r="B1474">
        <f>B1473+A1474</f>
        <v/>
      </c>
    </row>
    <row r="1475">
      <c r="A1475">
        <f>IFERROR(IF(AND(INDEX(BASELINE!$A1475:$ZZ1475,CALC!$H$1)&lt;&gt;"",INT(IF(AND(CALC!$F$1&gt;0,N(INDEX(BASELINE!$A1475:$ZZ1475,CALC!$F$1))&gt;0),N(INDEX(BASELINE!$A1475:$ZZ1475,CALC!$F$1)),N(INDEX(BASELINE!$A1475:$ZZ1475,CALC!$P$1))))=INT(SIMOPS!$D$3),IFERROR(UPPER(TRIM(INDEX(BASELINE!$A1475:$ZZ1475,CALC!$R$1)&amp;"")),"")&lt;&gt;"ENCERRADA"),1,0),0)</f>
        <v/>
      </c>
      <c r="B1475">
        <f>B1474+A1475</f>
        <v/>
      </c>
    </row>
    <row r="1476">
      <c r="A1476">
        <f>IFERROR(IF(AND(INDEX(BASELINE!$A1476:$ZZ1476,CALC!$H$1)&lt;&gt;"",INT(IF(AND(CALC!$F$1&gt;0,N(INDEX(BASELINE!$A1476:$ZZ1476,CALC!$F$1))&gt;0),N(INDEX(BASELINE!$A1476:$ZZ1476,CALC!$F$1)),N(INDEX(BASELINE!$A1476:$ZZ1476,CALC!$P$1))))=INT(SIMOPS!$D$3),IFERROR(UPPER(TRIM(INDEX(BASELINE!$A1476:$ZZ1476,CALC!$R$1)&amp;"")),"")&lt;&gt;"ENCERRADA"),1,0),0)</f>
        <v/>
      </c>
      <c r="B1476">
        <f>B1475+A1476</f>
        <v/>
      </c>
    </row>
    <row r="1477">
      <c r="A1477">
        <f>IFERROR(IF(AND(INDEX(BASELINE!$A1477:$ZZ1477,CALC!$H$1)&lt;&gt;"",INT(IF(AND(CALC!$F$1&gt;0,N(INDEX(BASELINE!$A1477:$ZZ1477,CALC!$F$1))&gt;0),N(INDEX(BASELINE!$A1477:$ZZ1477,CALC!$F$1)),N(INDEX(BASELINE!$A1477:$ZZ1477,CALC!$P$1))))=INT(SIMOPS!$D$3),IFERROR(UPPER(TRIM(INDEX(BASELINE!$A1477:$ZZ1477,CALC!$R$1)&amp;"")),"")&lt;&gt;"ENCERRADA"),1,0),0)</f>
        <v/>
      </c>
      <c r="B1477">
        <f>B1476+A1477</f>
        <v/>
      </c>
    </row>
    <row r="1478">
      <c r="A1478">
        <f>IFERROR(IF(AND(INDEX(BASELINE!$A1478:$ZZ1478,CALC!$H$1)&lt;&gt;"",INT(IF(AND(CALC!$F$1&gt;0,N(INDEX(BASELINE!$A1478:$ZZ1478,CALC!$F$1))&gt;0),N(INDEX(BASELINE!$A1478:$ZZ1478,CALC!$F$1)),N(INDEX(BASELINE!$A1478:$ZZ1478,CALC!$P$1))))=INT(SIMOPS!$D$3),IFERROR(UPPER(TRIM(INDEX(BASELINE!$A1478:$ZZ1478,CALC!$R$1)&amp;"")),"")&lt;&gt;"ENCERRADA"),1,0),0)</f>
        <v/>
      </c>
      <c r="B1478">
        <f>B1477+A1478</f>
        <v/>
      </c>
    </row>
    <row r="1479">
      <c r="A1479">
        <f>IFERROR(IF(AND(INDEX(BASELINE!$A1479:$ZZ1479,CALC!$H$1)&lt;&gt;"",INT(IF(AND(CALC!$F$1&gt;0,N(INDEX(BASELINE!$A1479:$ZZ1479,CALC!$F$1))&gt;0),N(INDEX(BASELINE!$A1479:$ZZ1479,CALC!$F$1)),N(INDEX(BASELINE!$A1479:$ZZ1479,CALC!$P$1))))=INT(SIMOPS!$D$3),IFERROR(UPPER(TRIM(INDEX(BASELINE!$A1479:$ZZ1479,CALC!$R$1)&amp;"")),"")&lt;&gt;"ENCERRADA"),1,0),0)</f>
        <v/>
      </c>
      <c r="B1479">
        <f>B1478+A1479</f>
        <v/>
      </c>
    </row>
    <row r="1480">
      <c r="A1480">
        <f>IFERROR(IF(AND(INDEX(BASELINE!$A1480:$ZZ1480,CALC!$H$1)&lt;&gt;"",INT(IF(AND(CALC!$F$1&gt;0,N(INDEX(BASELINE!$A1480:$ZZ1480,CALC!$F$1))&gt;0),N(INDEX(BASELINE!$A1480:$ZZ1480,CALC!$F$1)),N(INDEX(BASELINE!$A1480:$ZZ1480,CALC!$P$1))))=INT(SIMOPS!$D$3),IFERROR(UPPER(TRIM(INDEX(BASELINE!$A1480:$ZZ1480,CALC!$R$1)&amp;"")),"")&lt;&gt;"ENCERRADA"),1,0),0)</f>
        <v/>
      </c>
      <c r="B1480">
        <f>B1479+A1480</f>
        <v/>
      </c>
    </row>
    <row r="1481">
      <c r="A1481">
        <f>IFERROR(IF(AND(INDEX(BASELINE!$A1481:$ZZ1481,CALC!$H$1)&lt;&gt;"",INT(IF(AND(CALC!$F$1&gt;0,N(INDEX(BASELINE!$A1481:$ZZ1481,CALC!$F$1))&gt;0),N(INDEX(BASELINE!$A1481:$ZZ1481,CALC!$F$1)),N(INDEX(BASELINE!$A1481:$ZZ1481,CALC!$P$1))))=INT(SIMOPS!$D$3),IFERROR(UPPER(TRIM(INDEX(BASELINE!$A1481:$ZZ1481,CALC!$R$1)&amp;"")),"")&lt;&gt;"ENCERRADA"),1,0),0)</f>
        <v/>
      </c>
      <c r="B1481">
        <f>B1480+A1481</f>
        <v/>
      </c>
    </row>
    <row r="1482">
      <c r="A1482">
        <f>IFERROR(IF(AND(INDEX(BASELINE!$A1482:$ZZ1482,CALC!$H$1)&lt;&gt;"",INT(IF(AND(CALC!$F$1&gt;0,N(INDEX(BASELINE!$A1482:$ZZ1482,CALC!$F$1))&gt;0),N(INDEX(BASELINE!$A1482:$ZZ1482,CALC!$F$1)),N(INDEX(BASELINE!$A1482:$ZZ1482,CALC!$P$1))))=INT(SIMOPS!$D$3),IFERROR(UPPER(TRIM(INDEX(BASELINE!$A1482:$ZZ1482,CALC!$R$1)&amp;"")),"")&lt;&gt;"ENCERRADA"),1,0),0)</f>
        <v/>
      </c>
      <c r="B1482">
        <f>B1481+A1482</f>
        <v/>
      </c>
    </row>
    <row r="1483">
      <c r="A1483">
        <f>IFERROR(IF(AND(INDEX(BASELINE!$A1483:$ZZ1483,CALC!$H$1)&lt;&gt;"",INT(IF(AND(CALC!$F$1&gt;0,N(INDEX(BASELINE!$A1483:$ZZ1483,CALC!$F$1))&gt;0),N(INDEX(BASELINE!$A1483:$ZZ1483,CALC!$F$1)),N(INDEX(BASELINE!$A1483:$ZZ1483,CALC!$P$1))))=INT(SIMOPS!$D$3),IFERROR(UPPER(TRIM(INDEX(BASELINE!$A1483:$ZZ1483,CALC!$R$1)&amp;"")),"")&lt;&gt;"ENCERRADA"),1,0),0)</f>
        <v/>
      </c>
      <c r="B1483">
        <f>B1482+A1483</f>
        <v/>
      </c>
    </row>
    <row r="1484">
      <c r="A1484">
        <f>IFERROR(IF(AND(INDEX(BASELINE!$A1484:$ZZ1484,CALC!$H$1)&lt;&gt;"",INT(IF(AND(CALC!$F$1&gt;0,N(INDEX(BASELINE!$A1484:$ZZ1484,CALC!$F$1))&gt;0),N(INDEX(BASELINE!$A1484:$ZZ1484,CALC!$F$1)),N(INDEX(BASELINE!$A1484:$ZZ1484,CALC!$P$1))))=INT(SIMOPS!$D$3),IFERROR(UPPER(TRIM(INDEX(BASELINE!$A1484:$ZZ1484,CALC!$R$1)&amp;"")),"")&lt;&gt;"ENCERRADA"),1,0),0)</f>
        <v/>
      </c>
      <c r="B1484">
        <f>B1483+A1484</f>
        <v/>
      </c>
    </row>
    <row r="1485">
      <c r="A1485">
        <f>IFERROR(IF(AND(INDEX(BASELINE!$A1485:$ZZ1485,CALC!$H$1)&lt;&gt;"",INT(IF(AND(CALC!$F$1&gt;0,N(INDEX(BASELINE!$A1485:$ZZ1485,CALC!$F$1))&gt;0),N(INDEX(BASELINE!$A1485:$ZZ1485,CALC!$F$1)),N(INDEX(BASELINE!$A1485:$ZZ1485,CALC!$P$1))))=INT(SIMOPS!$D$3),IFERROR(UPPER(TRIM(INDEX(BASELINE!$A1485:$ZZ1485,CALC!$R$1)&amp;"")),"")&lt;&gt;"ENCERRADA"),1,0),0)</f>
        <v/>
      </c>
      <c r="B1485">
        <f>B1484+A1485</f>
        <v/>
      </c>
    </row>
    <row r="1486">
      <c r="A1486">
        <f>IFERROR(IF(AND(INDEX(BASELINE!$A1486:$ZZ1486,CALC!$H$1)&lt;&gt;"",INT(IF(AND(CALC!$F$1&gt;0,N(INDEX(BASELINE!$A1486:$ZZ1486,CALC!$F$1))&gt;0),N(INDEX(BASELINE!$A1486:$ZZ1486,CALC!$F$1)),N(INDEX(BASELINE!$A1486:$ZZ1486,CALC!$P$1))))=INT(SIMOPS!$D$3),IFERROR(UPPER(TRIM(INDEX(BASELINE!$A1486:$ZZ1486,CALC!$R$1)&amp;"")),"")&lt;&gt;"ENCERRADA"),1,0),0)</f>
        <v/>
      </c>
      <c r="B1486">
        <f>B1485+A1486</f>
        <v/>
      </c>
    </row>
    <row r="1487">
      <c r="A1487">
        <f>IFERROR(IF(AND(INDEX(BASELINE!$A1487:$ZZ1487,CALC!$H$1)&lt;&gt;"",INT(IF(AND(CALC!$F$1&gt;0,N(INDEX(BASELINE!$A1487:$ZZ1487,CALC!$F$1))&gt;0),N(INDEX(BASELINE!$A1487:$ZZ1487,CALC!$F$1)),N(INDEX(BASELINE!$A1487:$ZZ1487,CALC!$P$1))))=INT(SIMOPS!$D$3),IFERROR(UPPER(TRIM(INDEX(BASELINE!$A1487:$ZZ1487,CALC!$R$1)&amp;"")),"")&lt;&gt;"ENCERRADA"),1,0),0)</f>
        <v/>
      </c>
      <c r="B1487">
        <f>B1486+A1487</f>
        <v/>
      </c>
    </row>
    <row r="1488">
      <c r="A1488">
        <f>IFERROR(IF(AND(INDEX(BASELINE!$A1488:$ZZ1488,CALC!$H$1)&lt;&gt;"",INT(IF(AND(CALC!$F$1&gt;0,N(INDEX(BASELINE!$A1488:$ZZ1488,CALC!$F$1))&gt;0),N(INDEX(BASELINE!$A1488:$ZZ1488,CALC!$F$1)),N(INDEX(BASELINE!$A1488:$ZZ1488,CALC!$P$1))))=INT(SIMOPS!$D$3),IFERROR(UPPER(TRIM(INDEX(BASELINE!$A1488:$ZZ1488,CALC!$R$1)&amp;"")),"")&lt;&gt;"ENCERRADA"),1,0),0)</f>
        <v/>
      </c>
      <c r="B1488">
        <f>B1487+A1488</f>
        <v/>
      </c>
    </row>
    <row r="1489">
      <c r="A1489">
        <f>IFERROR(IF(AND(INDEX(BASELINE!$A1489:$ZZ1489,CALC!$H$1)&lt;&gt;"",INT(IF(AND(CALC!$F$1&gt;0,N(INDEX(BASELINE!$A1489:$ZZ1489,CALC!$F$1))&gt;0),N(INDEX(BASELINE!$A1489:$ZZ1489,CALC!$F$1)),N(INDEX(BASELINE!$A1489:$ZZ1489,CALC!$P$1))))=INT(SIMOPS!$D$3),IFERROR(UPPER(TRIM(INDEX(BASELINE!$A1489:$ZZ1489,CALC!$R$1)&amp;"")),"")&lt;&gt;"ENCERRADA"),1,0),0)</f>
        <v/>
      </c>
      <c r="B1489">
        <f>B1488+A1489</f>
        <v/>
      </c>
    </row>
    <row r="1490">
      <c r="A1490">
        <f>IFERROR(IF(AND(INDEX(BASELINE!$A1490:$ZZ1490,CALC!$H$1)&lt;&gt;"",INT(IF(AND(CALC!$F$1&gt;0,N(INDEX(BASELINE!$A1490:$ZZ1490,CALC!$F$1))&gt;0),N(INDEX(BASELINE!$A1490:$ZZ1490,CALC!$F$1)),N(INDEX(BASELINE!$A1490:$ZZ1490,CALC!$P$1))))=INT(SIMOPS!$D$3),IFERROR(UPPER(TRIM(INDEX(BASELINE!$A1490:$ZZ1490,CALC!$R$1)&amp;"")),"")&lt;&gt;"ENCERRADA"),1,0),0)</f>
        <v/>
      </c>
      <c r="B1490">
        <f>B1489+A1490</f>
        <v/>
      </c>
    </row>
    <row r="1491">
      <c r="A1491">
        <f>IFERROR(IF(AND(INDEX(BASELINE!$A1491:$ZZ1491,CALC!$H$1)&lt;&gt;"",INT(IF(AND(CALC!$F$1&gt;0,N(INDEX(BASELINE!$A1491:$ZZ1491,CALC!$F$1))&gt;0),N(INDEX(BASELINE!$A1491:$ZZ1491,CALC!$F$1)),N(INDEX(BASELINE!$A1491:$ZZ1491,CALC!$P$1))))=INT(SIMOPS!$D$3),IFERROR(UPPER(TRIM(INDEX(BASELINE!$A1491:$ZZ1491,CALC!$R$1)&amp;"")),"")&lt;&gt;"ENCERRADA"),1,0),0)</f>
        <v/>
      </c>
      <c r="B1491">
        <f>B1490+A1491</f>
        <v/>
      </c>
    </row>
    <row r="1492">
      <c r="A1492">
        <f>IFERROR(IF(AND(INDEX(BASELINE!$A1492:$ZZ1492,CALC!$H$1)&lt;&gt;"",INT(IF(AND(CALC!$F$1&gt;0,N(INDEX(BASELINE!$A1492:$ZZ1492,CALC!$F$1))&gt;0),N(INDEX(BASELINE!$A1492:$ZZ1492,CALC!$F$1)),N(INDEX(BASELINE!$A1492:$ZZ1492,CALC!$P$1))))=INT(SIMOPS!$D$3),IFERROR(UPPER(TRIM(INDEX(BASELINE!$A1492:$ZZ1492,CALC!$R$1)&amp;"")),"")&lt;&gt;"ENCERRADA"),1,0),0)</f>
        <v/>
      </c>
      <c r="B1492">
        <f>B1491+A1492</f>
        <v/>
      </c>
    </row>
    <row r="1493">
      <c r="A1493">
        <f>IFERROR(IF(AND(INDEX(BASELINE!$A1493:$ZZ1493,CALC!$H$1)&lt;&gt;"",INT(IF(AND(CALC!$F$1&gt;0,N(INDEX(BASELINE!$A1493:$ZZ1493,CALC!$F$1))&gt;0),N(INDEX(BASELINE!$A1493:$ZZ1493,CALC!$F$1)),N(INDEX(BASELINE!$A1493:$ZZ1493,CALC!$P$1))))=INT(SIMOPS!$D$3),IFERROR(UPPER(TRIM(INDEX(BASELINE!$A1493:$ZZ1493,CALC!$R$1)&amp;"")),"")&lt;&gt;"ENCERRADA"),1,0),0)</f>
        <v/>
      </c>
      <c r="B1493">
        <f>B1492+A1493</f>
        <v/>
      </c>
    </row>
    <row r="1494">
      <c r="A1494">
        <f>IFERROR(IF(AND(INDEX(BASELINE!$A1494:$ZZ1494,CALC!$H$1)&lt;&gt;"",INT(IF(AND(CALC!$F$1&gt;0,N(INDEX(BASELINE!$A1494:$ZZ1494,CALC!$F$1))&gt;0),N(INDEX(BASELINE!$A1494:$ZZ1494,CALC!$F$1)),N(INDEX(BASELINE!$A1494:$ZZ1494,CALC!$P$1))))=INT(SIMOPS!$D$3),IFERROR(UPPER(TRIM(INDEX(BASELINE!$A1494:$ZZ1494,CALC!$R$1)&amp;"")),"")&lt;&gt;"ENCERRADA"),1,0),0)</f>
        <v/>
      </c>
      <c r="B1494">
        <f>B1493+A1494</f>
        <v/>
      </c>
    </row>
    <row r="1495">
      <c r="A1495">
        <f>IFERROR(IF(AND(INDEX(BASELINE!$A1495:$ZZ1495,CALC!$H$1)&lt;&gt;"",INT(IF(AND(CALC!$F$1&gt;0,N(INDEX(BASELINE!$A1495:$ZZ1495,CALC!$F$1))&gt;0),N(INDEX(BASELINE!$A1495:$ZZ1495,CALC!$F$1)),N(INDEX(BASELINE!$A1495:$ZZ1495,CALC!$P$1))))=INT(SIMOPS!$D$3),IFERROR(UPPER(TRIM(INDEX(BASELINE!$A1495:$ZZ1495,CALC!$R$1)&amp;"")),"")&lt;&gt;"ENCERRADA"),1,0),0)</f>
        <v/>
      </c>
      <c r="B1495">
        <f>B1494+A1495</f>
        <v/>
      </c>
    </row>
    <row r="1496">
      <c r="A1496">
        <f>IFERROR(IF(AND(INDEX(BASELINE!$A1496:$ZZ1496,CALC!$H$1)&lt;&gt;"",INT(IF(AND(CALC!$F$1&gt;0,N(INDEX(BASELINE!$A1496:$ZZ1496,CALC!$F$1))&gt;0),N(INDEX(BASELINE!$A1496:$ZZ1496,CALC!$F$1)),N(INDEX(BASELINE!$A1496:$ZZ1496,CALC!$P$1))))=INT(SIMOPS!$D$3),IFERROR(UPPER(TRIM(INDEX(BASELINE!$A1496:$ZZ1496,CALC!$R$1)&amp;"")),"")&lt;&gt;"ENCERRADA"),1,0),0)</f>
        <v/>
      </c>
      <c r="B1496">
        <f>B1495+A1496</f>
        <v/>
      </c>
    </row>
    <row r="1497">
      <c r="A1497">
        <f>IFERROR(IF(AND(INDEX(BASELINE!$A1497:$ZZ1497,CALC!$H$1)&lt;&gt;"",INT(IF(AND(CALC!$F$1&gt;0,N(INDEX(BASELINE!$A1497:$ZZ1497,CALC!$F$1))&gt;0),N(INDEX(BASELINE!$A1497:$ZZ1497,CALC!$F$1)),N(INDEX(BASELINE!$A1497:$ZZ1497,CALC!$P$1))))=INT(SIMOPS!$D$3),IFERROR(UPPER(TRIM(INDEX(BASELINE!$A1497:$ZZ1497,CALC!$R$1)&amp;"")),"")&lt;&gt;"ENCERRADA"),1,0),0)</f>
        <v/>
      </c>
      <c r="B1497">
        <f>B1496+A1497</f>
        <v/>
      </c>
    </row>
    <row r="1498">
      <c r="A1498">
        <f>IFERROR(IF(AND(INDEX(BASELINE!$A1498:$ZZ1498,CALC!$H$1)&lt;&gt;"",INT(IF(AND(CALC!$F$1&gt;0,N(INDEX(BASELINE!$A1498:$ZZ1498,CALC!$F$1))&gt;0),N(INDEX(BASELINE!$A1498:$ZZ1498,CALC!$F$1)),N(INDEX(BASELINE!$A1498:$ZZ1498,CALC!$P$1))))=INT(SIMOPS!$D$3),IFERROR(UPPER(TRIM(INDEX(BASELINE!$A1498:$ZZ1498,CALC!$R$1)&amp;"")),"")&lt;&gt;"ENCERRADA"),1,0),0)</f>
        <v/>
      </c>
      <c r="B1498">
        <f>B1497+A1498</f>
        <v/>
      </c>
    </row>
    <row r="1499">
      <c r="A1499">
        <f>IFERROR(IF(AND(INDEX(BASELINE!$A1499:$ZZ1499,CALC!$H$1)&lt;&gt;"",INT(IF(AND(CALC!$F$1&gt;0,N(INDEX(BASELINE!$A1499:$ZZ1499,CALC!$F$1))&gt;0),N(INDEX(BASELINE!$A1499:$ZZ1499,CALC!$F$1)),N(INDEX(BASELINE!$A1499:$ZZ1499,CALC!$P$1))))=INT(SIMOPS!$D$3),IFERROR(UPPER(TRIM(INDEX(BASELINE!$A1499:$ZZ1499,CALC!$R$1)&amp;"")),"")&lt;&gt;"ENCERRADA"),1,0),0)</f>
        <v/>
      </c>
      <c r="B1499">
        <f>B1498+A1499</f>
        <v/>
      </c>
    </row>
    <row r="1500">
      <c r="A1500">
        <f>IFERROR(IF(AND(INDEX(BASELINE!$A1500:$ZZ1500,CALC!$H$1)&lt;&gt;"",INT(IF(AND(CALC!$F$1&gt;0,N(INDEX(BASELINE!$A1500:$ZZ1500,CALC!$F$1))&gt;0),N(INDEX(BASELINE!$A1500:$ZZ1500,CALC!$F$1)),N(INDEX(BASELINE!$A1500:$ZZ1500,CALC!$P$1))))=INT(SIMOPS!$D$3),IFERROR(UPPER(TRIM(INDEX(BASELINE!$A1500:$ZZ1500,CALC!$R$1)&amp;"")),"")&lt;&gt;"ENCERRADA"),1,0),0)</f>
        <v/>
      </c>
      <c r="B1500">
        <f>B1499+A1500</f>
        <v/>
      </c>
    </row>
    <row r="1501">
      <c r="A1501">
        <f>IFERROR(IF(AND(INDEX(BASELINE!$A1501:$ZZ1501,CALC!$H$1)&lt;&gt;"",INT(IF(AND(CALC!$F$1&gt;0,N(INDEX(BASELINE!$A1501:$ZZ1501,CALC!$F$1))&gt;0),N(INDEX(BASELINE!$A1501:$ZZ1501,CALC!$F$1)),N(INDEX(BASELINE!$A1501:$ZZ1501,CALC!$P$1))))=INT(SIMOPS!$D$3),IFERROR(UPPER(TRIM(INDEX(BASELINE!$A1501:$ZZ1501,CALC!$R$1)&amp;"")),"")&lt;&gt;"ENCERRADA"),1,0),0)</f>
        <v/>
      </c>
      <c r="B1501">
        <f>B1500+A1501</f>
        <v/>
      </c>
    </row>
    <row r="1502">
      <c r="A1502">
        <f>IFERROR(IF(AND(INDEX(BASELINE!$A1502:$ZZ1502,CALC!$H$1)&lt;&gt;"",INT(IF(AND(CALC!$F$1&gt;0,N(INDEX(BASELINE!$A1502:$ZZ1502,CALC!$F$1))&gt;0),N(INDEX(BASELINE!$A1502:$ZZ1502,CALC!$F$1)),N(INDEX(BASELINE!$A1502:$ZZ1502,CALC!$P$1))))=INT(SIMOPS!$D$3),IFERROR(UPPER(TRIM(INDEX(BASELINE!$A1502:$ZZ1502,CALC!$R$1)&amp;"")),"")&lt;&gt;"ENCERRADA"),1,0),0)</f>
        <v/>
      </c>
      <c r="B1502">
        <f>B1501+A1502</f>
        <v/>
      </c>
    </row>
    <row r="1503">
      <c r="A1503">
        <f>IFERROR(IF(AND(INDEX(BASELINE!$A1503:$ZZ1503,CALC!$H$1)&lt;&gt;"",INT(IF(AND(CALC!$F$1&gt;0,N(INDEX(BASELINE!$A1503:$ZZ1503,CALC!$F$1))&gt;0),N(INDEX(BASELINE!$A1503:$ZZ1503,CALC!$F$1)),N(INDEX(BASELINE!$A1503:$ZZ1503,CALC!$P$1))))=INT(SIMOPS!$D$3),IFERROR(UPPER(TRIM(INDEX(BASELINE!$A1503:$ZZ1503,CALC!$R$1)&amp;"")),"")&lt;&gt;"ENCERRADA"),1,0),0)</f>
        <v/>
      </c>
      <c r="B1503">
        <f>B1502+A1503</f>
        <v/>
      </c>
    </row>
    <row r="1504">
      <c r="A1504">
        <f>IFERROR(IF(AND(INDEX(BASELINE!$A1504:$ZZ1504,CALC!$H$1)&lt;&gt;"",INT(IF(AND(CALC!$F$1&gt;0,N(INDEX(BASELINE!$A1504:$ZZ1504,CALC!$F$1))&gt;0),N(INDEX(BASELINE!$A1504:$ZZ1504,CALC!$F$1)),N(INDEX(BASELINE!$A1504:$ZZ1504,CALC!$P$1))))=INT(SIMOPS!$D$3),IFERROR(UPPER(TRIM(INDEX(BASELINE!$A1504:$ZZ1504,CALC!$R$1)&amp;"")),"")&lt;&gt;"ENCERRADA"),1,0),0)</f>
        <v/>
      </c>
      <c r="B1504">
        <f>B1503+A1504</f>
        <v/>
      </c>
    </row>
    <row r="1505">
      <c r="A1505">
        <f>IFERROR(IF(AND(INDEX(BASELINE!$A1505:$ZZ1505,CALC!$H$1)&lt;&gt;"",INT(IF(AND(CALC!$F$1&gt;0,N(INDEX(BASELINE!$A1505:$ZZ1505,CALC!$F$1))&gt;0),N(INDEX(BASELINE!$A1505:$ZZ1505,CALC!$F$1)),N(INDEX(BASELINE!$A1505:$ZZ1505,CALC!$P$1))))=INT(SIMOPS!$D$3),IFERROR(UPPER(TRIM(INDEX(BASELINE!$A1505:$ZZ1505,CALC!$R$1)&amp;"")),"")&lt;&gt;"ENCERRADA"),1,0),0)</f>
        <v/>
      </c>
      <c r="B1505">
        <f>B1504+A1505</f>
        <v/>
      </c>
    </row>
    <row r="1506">
      <c r="A1506">
        <f>IFERROR(IF(AND(INDEX(BASELINE!$A1506:$ZZ1506,CALC!$H$1)&lt;&gt;"",INT(IF(AND(CALC!$F$1&gt;0,N(INDEX(BASELINE!$A1506:$ZZ1506,CALC!$F$1))&gt;0),N(INDEX(BASELINE!$A1506:$ZZ1506,CALC!$F$1)),N(INDEX(BASELINE!$A1506:$ZZ1506,CALC!$P$1))))=INT(SIMOPS!$D$3),IFERROR(UPPER(TRIM(INDEX(BASELINE!$A1506:$ZZ1506,CALC!$R$1)&amp;"")),"")&lt;&gt;"ENCERRADA"),1,0),0)</f>
        <v/>
      </c>
      <c r="B1506">
        <f>B1505+A1506</f>
        <v/>
      </c>
    </row>
    <row r="1507">
      <c r="A1507">
        <f>IFERROR(IF(AND(INDEX(BASELINE!$A1507:$ZZ1507,CALC!$H$1)&lt;&gt;"",INT(IF(AND(CALC!$F$1&gt;0,N(INDEX(BASELINE!$A1507:$ZZ1507,CALC!$F$1))&gt;0),N(INDEX(BASELINE!$A1507:$ZZ1507,CALC!$F$1)),N(INDEX(BASELINE!$A1507:$ZZ1507,CALC!$P$1))))=INT(SIMOPS!$D$3),IFERROR(UPPER(TRIM(INDEX(BASELINE!$A1507:$ZZ1507,CALC!$R$1)&amp;"")),"")&lt;&gt;"ENCERRADA"),1,0),0)</f>
        <v/>
      </c>
      <c r="B1507">
        <f>B1506+A1507</f>
        <v/>
      </c>
    </row>
    <row r="1508">
      <c r="A1508">
        <f>IFERROR(IF(AND(INDEX(BASELINE!$A1508:$ZZ1508,CALC!$H$1)&lt;&gt;"",INT(IF(AND(CALC!$F$1&gt;0,N(INDEX(BASELINE!$A1508:$ZZ1508,CALC!$F$1))&gt;0),N(INDEX(BASELINE!$A1508:$ZZ1508,CALC!$F$1)),N(INDEX(BASELINE!$A1508:$ZZ1508,CALC!$P$1))))=INT(SIMOPS!$D$3),IFERROR(UPPER(TRIM(INDEX(BASELINE!$A1508:$ZZ1508,CALC!$R$1)&amp;"")),"")&lt;&gt;"ENCERRADA"),1,0),0)</f>
        <v/>
      </c>
      <c r="B1508">
        <f>B1507+A1508</f>
        <v/>
      </c>
    </row>
    <row r="1509">
      <c r="A1509">
        <f>IFERROR(IF(AND(INDEX(BASELINE!$A1509:$ZZ1509,CALC!$H$1)&lt;&gt;"",INT(IF(AND(CALC!$F$1&gt;0,N(INDEX(BASELINE!$A1509:$ZZ1509,CALC!$F$1))&gt;0),N(INDEX(BASELINE!$A1509:$ZZ1509,CALC!$F$1)),N(INDEX(BASELINE!$A1509:$ZZ1509,CALC!$P$1))))=INT(SIMOPS!$D$3),IFERROR(UPPER(TRIM(INDEX(BASELINE!$A1509:$ZZ1509,CALC!$R$1)&amp;"")),"")&lt;&gt;"ENCERRADA"),1,0),0)</f>
        <v/>
      </c>
      <c r="B1509">
        <f>B1508+A1509</f>
        <v/>
      </c>
    </row>
    <row r="1510">
      <c r="A1510">
        <f>IFERROR(IF(AND(INDEX(BASELINE!$A1510:$ZZ1510,CALC!$H$1)&lt;&gt;"",INT(IF(AND(CALC!$F$1&gt;0,N(INDEX(BASELINE!$A1510:$ZZ1510,CALC!$F$1))&gt;0),N(INDEX(BASELINE!$A1510:$ZZ1510,CALC!$F$1)),N(INDEX(BASELINE!$A1510:$ZZ1510,CALC!$P$1))))=INT(SIMOPS!$D$3),IFERROR(UPPER(TRIM(INDEX(BASELINE!$A1510:$ZZ1510,CALC!$R$1)&amp;"")),"")&lt;&gt;"ENCERRADA"),1,0),0)</f>
        <v/>
      </c>
      <c r="B1510">
        <f>B1509+A1510</f>
        <v/>
      </c>
    </row>
    <row r="1511">
      <c r="A1511">
        <f>IFERROR(IF(AND(INDEX(BASELINE!$A1511:$ZZ1511,CALC!$H$1)&lt;&gt;"",INT(IF(AND(CALC!$F$1&gt;0,N(INDEX(BASELINE!$A1511:$ZZ1511,CALC!$F$1))&gt;0),N(INDEX(BASELINE!$A1511:$ZZ1511,CALC!$F$1)),N(INDEX(BASELINE!$A1511:$ZZ1511,CALC!$P$1))))=INT(SIMOPS!$D$3),IFERROR(UPPER(TRIM(INDEX(BASELINE!$A1511:$ZZ1511,CALC!$R$1)&amp;"")),"")&lt;&gt;"ENCERRADA"),1,0),0)</f>
        <v/>
      </c>
      <c r="B1511">
        <f>B1510+A1511</f>
        <v/>
      </c>
    </row>
    <row r="1512">
      <c r="A1512">
        <f>IFERROR(IF(AND(INDEX(BASELINE!$A1512:$ZZ1512,CALC!$H$1)&lt;&gt;"",INT(IF(AND(CALC!$F$1&gt;0,N(INDEX(BASELINE!$A1512:$ZZ1512,CALC!$F$1))&gt;0),N(INDEX(BASELINE!$A1512:$ZZ1512,CALC!$F$1)),N(INDEX(BASELINE!$A1512:$ZZ1512,CALC!$P$1))))=INT(SIMOPS!$D$3),IFERROR(UPPER(TRIM(INDEX(BASELINE!$A1512:$ZZ1512,CALC!$R$1)&amp;"")),"")&lt;&gt;"ENCERRADA"),1,0),0)</f>
        <v/>
      </c>
      <c r="B1512">
        <f>B1511+A1512</f>
        <v/>
      </c>
    </row>
    <row r="1513">
      <c r="A1513">
        <f>IFERROR(IF(AND(INDEX(BASELINE!$A1513:$ZZ1513,CALC!$H$1)&lt;&gt;"",INT(IF(AND(CALC!$F$1&gt;0,N(INDEX(BASELINE!$A1513:$ZZ1513,CALC!$F$1))&gt;0),N(INDEX(BASELINE!$A1513:$ZZ1513,CALC!$F$1)),N(INDEX(BASELINE!$A1513:$ZZ1513,CALC!$P$1))))=INT(SIMOPS!$D$3),IFERROR(UPPER(TRIM(INDEX(BASELINE!$A1513:$ZZ1513,CALC!$R$1)&amp;"")),"")&lt;&gt;"ENCERRADA"),1,0),0)</f>
        <v/>
      </c>
      <c r="B1513">
        <f>B1512+A1513</f>
        <v/>
      </c>
    </row>
    <row r="1514">
      <c r="A1514">
        <f>IFERROR(IF(AND(INDEX(BASELINE!$A1514:$ZZ1514,CALC!$H$1)&lt;&gt;"",INT(IF(AND(CALC!$F$1&gt;0,N(INDEX(BASELINE!$A1514:$ZZ1514,CALC!$F$1))&gt;0),N(INDEX(BASELINE!$A1514:$ZZ1514,CALC!$F$1)),N(INDEX(BASELINE!$A1514:$ZZ1514,CALC!$P$1))))=INT(SIMOPS!$D$3),IFERROR(UPPER(TRIM(INDEX(BASELINE!$A1514:$ZZ1514,CALC!$R$1)&amp;"")),"")&lt;&gt;"ENCERRADA"),1,0),0)</f>
        <v/>
      </c>
      <c r="B1514">
        <f>B1513+A1514</f>
        <v/>
      </c>
    </row>
    <row r="1515">
      <c r="A1515">
        <f>IFERROR(IF(AND(INDEX(BASELINE!$A1515:$ZZ1515,CALC!$H$1)&lt;&gt;"",INT(IF(AND(CALC!$F$1&gt;0,N(INDEX(BASELINE!$A1515:$ZZ1515,CALC!$F$1))&gt;0),N(INDEX(BASELINE!$A1515:$ZZ1515,CALC!$F$1)),N(INDEX(BASELINE!$A1515:$ZZ1515,CALC!$P$1))))=INT(SIMOPS!$D$3),IFERROR(UPPER(TRIM(INDEX(BASELINE!$A1515:$ZZ1515,CALC!$R$1)&amp;"")),"")&lt;&gt;"ENCERRADA"),1,0),0)</f>
        <v/>
      </c>
      <c r="B1515">
        <f>B1514+A1515</f>
        <v/>
      </c>
    </row>
    <row r="1516">
      <c r="A1516">
        <f>IFERROR(IF(AND(INDEX(BASELINE!$A1516:$ZZ1516,CALC!$H$1)&lt;&gt;"",INT(IF(AND(CALC!$F$1&gt;0,N(INDEX(BASELINE!$A1516:$ZZ1516,CALC!$F$1))&gt;0),N(INDEX(BASELINE!$A1516:$ZZ1516,CALC!$F$1)),N(INDEX(BASELINE!$A1516:$ZZ1516,CALC!$P$1))))=INT(SIMOPS!$D$3),IFERROR(UPPER(TRIM(INDEX(BASELINE!$A1516:$ZZ1516,CALC!$R$1)&amp;"")),"")&lt;&gt;"ENCERRADA"),1,0),0)</f>
        <v/>
      </c>
      <c r="B1516">
        <f>B1515+A1516</f>
        <v/>
      </c>
    </row>
    <row r="1517">
      <c r="A1517">
        <f>IFERROR(IF(AND(INDEX(BASELINE!$A1517:$ZZ1517,CALC!$H$1)&lt;&gt;"",INT(IF(AND(CALC!$F$1&gt;0,N(INDEX(BASELINE!$A1517:$ZZ1517,CALC!$F$1))&gt;0),N(INDEX(BASELINE!$A1517:$ZZ1517,CALC!$F$1)),N(INDEX(BASELINE!$A1517:$ZZ1517,CALC!$P$1))))=INT(SIMOPS!$D$3),IFERROR(UPPER(TRIM(INDEX(BASELINE!$A1517:$ZZ1517,CALC!$R$1)&amp;"")),"")&lt;&gt;"ENCERRADA"),1,0),0)</f>
        <v/>
      </c>
      <c r="B1517">
        <f>B1516+A1517</f>
        <v/>
      </c>
    </row>
    <row r="1518">
      <c r="A1518">
        <f>IFERROR(IF(AND(INDEX(BASELINE!$A1518:$ZZ1518,CALC!$H$1)&lt;&gt;"",INT(IF(AND(CALC!$F$1&gt;0,N(INDEX(BASELINE!$A1518:$ZZ1518,CALC!$F$1))&gt;0),N(INDEX(BASELINE!$A1518:$ZZ1518,CALC!$F$1)),N(INDEX(BASELINE!$A1518:$ZZ1518,CALC!$P$1))))=INT(SIMOPS!$D$3),IFERROR(UPPER(TRIM(INDEX(BASELINE!$A1518:$ZZ1518,CALC!$R$1)&amp;"")),"")&lt;&gt;"ENCERRADA"),1,0),0)</f>
        <v/>
      </c>
      <c r="B1518">
        <f>B1517+A1518</f>
        <v/>
      </c>
    </row>
    <row r="1519">
      <c r="A1519">
        <f>IFERROR(IF(AND(INDEX(BASELINE!$A1519:$ZZ1519,CALC!$H$1)&lt;&gt;"",INT(IF(AND(CALC!$F$1&gt;0,N(INDEX(BASELINE!$A1519:$ZZ1519,CALC!$F$1))&gt;0),N(INDEX(BASELINE!$A1519:$ZZ1519,CALC!$F$1)),N(INDEX(BASELINE!$A1519:$ZZ1519,CALC!$P$1))))=INT(SIMOPS!$D$3),IFERROR(UPPER(TRIM(INDEX(BASELINE!$A1519:$ZZ1519,CALC!$R$1)&amp;"")),"")&lt;&gt;"ENCERRADA"),1,0),0)</f>
        <v/>
      </c>
      <c r="B1519">
        <f>B1518+A1519</f>
        <v/>
      </c>
    </row>
    <row r="1520">
      <c r="A1520">
        <f>IFERROR(IF(AND(INDEX(BASELINE!$A1520:$ZZ1520,CALC!$H$1)&lt;&gt;"",INT(IF(AND(CALC!$F$1&gt;0,N(INDEX(BASELINE!$A1520:$ZZ1520,CALC!$F$1))&gt;0),N(INDEX(BASELINE!$A1520:$ZZ1520,CALC!$F$1)),N(INDEX(BASELINE!$A1520:$ZZ1520,CALC!$P$1))))=INT(SIMOPS!$D$3),IFERROR(UPPER(TRIM(INDEX(BASELINE!$A1520:$ZZ1520,CALC!$R$1)&amp;"")),"")&lt;&gt;"ENCERRADA"),1,0),0)</f>
        <v/>
      </c>
      <c r="B1520">
        <f>B1519+A1520</f>
        <v/>
      </c>
    </row>
    <row r="1521">
      <c r="A1521">
        <f>IFERROR(IF(AND(INDEX(BASELINE!$A1521:$ZZ1521,CALC!$H$1)&lt;&gt;"",INT(IF(AND(CALC!$F$1&gt;0,N(INDEX(BASELINE!$A1521:$ZZ1521,CALC!$F$1))&gt;0),N(INDEX(BASELINE!$A1521:$ZZ1521,CALC!$F$1)),N(INDEX(BASELINE!$A1521:$ZZ1521,CALC!$P$1))))=INT(SIMOPS!$D$3),IFERROR(UPPER(TRIM(INDEX(BASELINE!$A1521:$ZZ1521,CALC!$R$1)&amp;"")),"")&lt;&gt;"ENCERRADA"),1,0),0)</f>
        <v/>
      </c>
      <c r="B1521">
        <f>B1520+A1521</f>
        <v/>
      </c>
    </row>
    <row r="1522">
      <c r="A1522">
        <f>IFERROR(IF(AND(INDEX(BASELINE!$A1522:$ZZ1522,CALC!$H$1)&lt;&gt;"",INT(IF(AND(CALC!$F$1&gt;0,N(INDEX(BASELINE!$A1522:$ZZ1522,CALC!$F$1))&gt;0),N(INDEX(BASELINE!$A1522:$ZZ1522,CALC!$F$1)),N(INDEX(BASELINE!$A1522:$ZZ1522,CALC!$P$1))))=INT(SIMOPS!$D$3),IFERROR(UPPER(TRIM(INDEX(BASELINE!$A1522:$ZZ1522,CALC!$R$1)&amp;"")),"")&lt;&gt;"ENCERRADA"),1,0),0)</f>
        <v/>
      </c>
      <c r="B1522">
        <f>B1521+A1522</f>
        <v/>
      </c>
    </row>
    <row r="1523">
      <c r="A1523">
        <f>IFERROR(IF(AND(INDEX(BASELINE!$A1523:$ZZ1523,CALC!$H$1)&lt;&gt;"",INT(IF(AND(CALC!$F$1&gt;0,N(INDEX(BASELINE!$A1523:$ZZ1523,CALC!$F$1))&gt;0),N(INDEX(BASELINE!$A1523:$ZZ1523,CALC!$F$1)),N(INDEX(BASELINE!$A1523:$ZZ1523,CALC!$P$1))))=INT(SIMOPS!$D$3),IFERROR(UPPER(TRIM(INDEX(BASELINE!$A1523:$ZZ1523,CALC!$R$1)&amp;"")),"")&lt;&gt;"ENCERRADA"),1,0),0)</f>
        <v/>
      </c>
      <c r="B1523">
        <f>B1522+A1523</f>
        <v/>
      </c>
    </row>
    <row r="1524">
      <c r="A1524">
        <f>IFERROR(IF(AND(INDEX(BASELINE!$A1524:$ZZ1524,CALC!$H$1)&lt;&gt;"",INT(IF(AND(CALC!$F$1&gt;0,N(INDEX(BASELINE!$A1524:$ZZ1524,CALC!$F$1))&gt;0),N(INDEX(BASELINE!$A1524:$ZZ1524,CALC!$F$1)),N(INDEX(BASELINE!$A1524:$ZZ1524,CALC!$P$1))))=INT(SIMOPS!$D$3),IFERROR(UPPER(TRIM(INDEX(BASELINE!$A1524:$ZZ1524,CALC!$R$1)&amp;"")),"")&lt;&gt;"ENCERRADA"),1,0),0)</f>
        <v/>
      </c>
      <c r="B1524">
        <f>B1523+A1524</f>
        <v/>
      </c>
    </row>
    <row r="1525">
      <c r="A1525">
        <f>IFERROR(IF(AND(INDEX(BASELINE!$A1525:$ZZ1525,CALC!$H$1)&lt;&gt;"",INT(IF(AND(CALC!$F$1&gt;0,N(INDEX(BASELINE!$A1525:$ZZ1525,CALC!$F$1))&gt;0),N(INDEX(BASELINE!$A1525:$ZZ1525,CALC!$F$1)),N(INDEX(BASELINE!$A1525:$ZZ1525,CALC!$P$1))))=INT(SIMOPS!$D$3),IFERROR(UPPER(TRIM(INDEX(BASELINE!$A1525:$ZZ1525,CALC!$R$1)&amp;"")),"")&lt;&gt;"ENCERRADA"),1,0),0)</f>
        <v/>
      </c>
      <c r="B1525">
        <f>B1524+A1525</f>
        <v/>
      </c>
    </row>
    <row r="1526">
      <c r="A1526">
        <f>IFERROR(IF(AND(INDEX(BASELINE!$A1526:$ZZ1526,CALC!$H$1)&lt;&gt;"",INT(IF(AND(CALC!$F$1&gt;0,N(INDEX(BASELINE!$A1526:$ZZ1526,CALC!$F$1))&gt;0),N(INDEX(BASELINE!$A1526:$ZZ1526,CALC!$F$1)),N(INDEX(BASELINE!$A1526:$ZZ1526,CALC!$P$1))))=INT(SIMOPS!$D$3),IFERROR(UPPER(TRIM(INDEX(BASELINE!$A1526:$ZZ1526,CALC!$R$1)&amp;"")),"")&lt;&gt;"ENCERRADA"),1,0),0)</f>
        <v/>
      </c>
      <c r="B1526">
        <f>B1525+A1526</f>
        <v/>
      </c>
    </row>
    <row r="1527">
      <c r="A1527">
        <f>IFERROR(IF(AND(INDEX(BASELINE!$A1527:$ZZ1527,CALC!$H$1)&lt;&gt;"",INT(IF(AND(CALC!$F$1&gt;0,N(INDEX(BASELINE!$A1527:$ZZ1527,CALC!$F$1))&gt;0),N(INDEX(BASELINE!$A1527:$ZZ1527,CALC!$F$1)),N(INDEX(BASELINE!$A1527:$ZZ1527,CALC!$P$1))))=INT(SIMOPS!$D$3),IFERROR(UPPER(TRIM(INDEX(BASELINE!$A1527:$ZZ1527,CALC!$R$1)&amp;"")),"")&lt;&gt;"ENCERRADA"),1,0),0)</f>
        <v/>
      </c>
      <c r="B1527">
        <f>B1526+A1527</f>
        <v/>
      </c>
    </row>
    <row r="1528">
      <c r="A1528">
        <f>IFERROR(IF(AND(INDEX(BASELINE!$A1528:$ZZ1528,CALC!$H$1)&lt;&gt;"",INT(IF(AND(CALC!$F$1&gt;0,N(INDEX(BASELINE!$A1528:$ZZ1528,CALC!$F$1))&gt;0),N(INDEX(BASELINE!$A1528:$ZZ1528,CALC!$F$1)),N(INDEX(BASELINE!$A1528:$ZZ1528,CALC!$P$1))))=INT(SIMOPS!$D$3),IFERROR(UPPER(TRIM(INDEX(BASELINE!$A1528:$ZZ1528,CALC!$R$1)&amp;"")),"")&lt;&gt;"ENCERRADA"),1,0),0)</f>
        <v/>
      </c>
      <c r="B1528">
        <f>B1527+A1528</f>
        <v/>
      </c>
    </row>
    <row r="1529">
      <c r="A1529">
        <f>IFERROR(IF(AND(INDEX(BASELINE!$A1529:$ZZ1529,CALC!$H$1)&lt;&gt;"",INT(IF(AND(CALC!$F$1&gt;0,N(INDEX(BASELINE!$A1529:$ZZ1529,CALC!$F$1))&gt;0),N(INDEX(BASELINE!$A1529:$ZZ1529,CALC!$F$1)),N(INDEX(BASELINE!$A1529:$ZZ1529,CALC!$P$1))))=INT(SIMOPS!$D$3),IFERROR(UPPER(TRIM(INDEX(BASELINE!$A1529:$ZZ1529,CALC!$R$1)&amp;"")),"")&lt;&gt;"ENCERRADA"),1,0),0)</f>
        <v/>
      </c>
      <c r="B1529">
        <f>B1528+A1529</f>
        <v/>
      </c>
    </row>
    <row r="1530">
      <c r="A1530">
        <f>IFERROR(IF(AND(INDEX(BASELINE!$A1530:$ZZ1530,CALC!$H$1)&lt;&gt;"",INT(IF(AND(CALC!$F$1&gt;0,N(INDEX(BASELINE!$A1530:$ZZ1530,CALC!$F$1))&gt;0),N(INDEX(BASELINE!$A1530:$ZZ1530,CALC!$F$1)),N(INDEX(BASELINE!$A1530:$ZZ1530,CALC!$P$1))))=INT(SIMOPS!$D$3),IFERROR(UPPER(TRIM(INDEX(BASELINE!$A1530:$ZZ1530,CALC!$R$1)&amp;"")),"")&lt;&gt;"ENCERRADA"),1,0),0)</f>
        <v/>
      </c>
      <c r="B1530">
        <f>B1529+A1530</f>
        <v/>
      </c>
    </row>
    <row r="1531">
      <c r="A1531">
        <f>IFERROR(IF(AND(INDEX(BASELINE!$A1531:$ZZ1531,CALC!$H$1)&lt;&gt;"",INT(IF(AND(CALC!$F$1&gt;0,N(INDEX(BASELINE!$A1531:$ZZ1531,CALC!$F$1))&gt;0),N(INDEX(BASELINE!$A1531:$ZZ1531,CALC!$F$1)),N(INDEX(BASELINE!$A1531:$ZZ1531,CALC!$P$1))))=INT(SIMOPS!$D$3),IFERROR(UPPER(TRIM(INDEX(BASELINE!$A1531:$ZZ1531,CALC!$R$1)&amp;"")),"")&lt;&gt;"ENCERRADA"),1,0),0)</f>
        <v/>
      </c>
      <c r="B1531">
        <f>B1530+A1531</f>
        <v/>
      </c>
    </row>
    <row r="1532">
      <c r="A1532">
        <f>IFERROR(IF(AND(INDEX(BASELINE!$A1532:$ZZ1532,CALC!$H$1)&lt;&gt;"",INT(IF(AND(CALC!$F$1&gt;0,N(INDEX(BASELINE!$A1532:$ZZ1532,CALC!$F$1))&gt;0),N(INDEX(BASELINE!$A1532:$ZZ1532,CALC!$F$1)),N(INDEX(BASELINE!$A1532:$ZZ1532,CALC!$P$1))))=INT(SIMOPS!$D$3),IFERROR(UPPER(TRIM(INDEX(BASELINE!$A1532:$ZZ1532,CALC!$R$1)&amp;"")),"")&lt;&gt;"ENCERRADA"),1,0),0)</f>
        <v/>
      </c>
      <c r="B1532">
        <f>B1531+A1532</f>
        <v/>
      </c>
    </row>
    <row r="1533">
      <c r="A1533">
        <f>IFERROR(IF(AND(INDEX(BASELINE!$A1533:$ZZ1533,CALC!$H$1)&lt;&gt;"",INT(IF(AND(CALC!$F$1&gt;0,N(INDEX(BASELINE!$A1533:$ZZ1533,CALC!$F$1))&gt;0),N(INDEX(BASELINE!$A1533:$ZZ1533,CALC!$F$1)),N(INDEX(BASELINE!$A1533:$ZZ1533,CALC!$P$1))))=INT(SIMOPS!$D$3),IFERROR(UPPER(TRIM(INDEX(BASELINE!$A1533:$ZZ1533,CALC!$R$1)&amp;"")),"")&lt;&gt;"ENCERRADA"),1,0),0)</f>
        <v/>
      </c>
      <c r="B1533">
        <f>B1532+A1533</f>
        <v/>
      </c>
    </row>
    <row r="1534">
      <c r="A1534">
        <f>IFERROR(IF(AND(INDEX(BASELINE!$A1534:$ZZ1534,CALC!$H$1)&lt;&gt;"",INT(IF(AND(CALC!$F$1&gt;0,N(INDEX(BASELINE!$A1534:$ZZ1534,CALC!$F$1))&gt;0),N(INDEX(BASELINE!$A1534:$ZZ1534,CALC!$F$1)),N(INDEX(BASELINE!$A1534:$ZZ1534,CALC!$P$1))))=INT(SIMOPS!$D$3),IFERROR(UPPER(TRIM(INDEX(BASELINE!$A1534:$ZZ1534,CALC!$R$1)&amp;"")),"")&lt;&gt;"ENCERRADA"),1,0),0)</f>
        <v/>
      </c>
      <c r="B1534">
        <f>B1533+A1534</f>
        <v/>
      </c>
    </row>
    <row r="1535">
      <c r="A1535">
        <f>IFERROR(IF(AND(INDEX(BASELINE!$A1535:$ZZ1535,CALC!$H$1)&lt;&gt;"",INT(IF(AND(CALC!$F$1&gt;0,N(INDEX(BASELINE!$A1535:$ZZ1535,CALC!$F$1))&gt;0),N(INDEX(BASELINE!$A1535:$ZZ1535,CALC!$F$1)),N(INDEX(BASELINE!$A1535:$ZZ1535,CALC!$P$1))))=INT(SIMOPS!$D$3),IFERROR(UPPER(TRIM(INDEX(BASELINE!$A1535:$ZZ1535,CALC!$R$1)&amp;"")),"")&lt;&gt;"ENCERRADA"),1,0),0)</f>
        <v/>
      </c>
      <c r="B1535">
        <f>B1534+A1535</f>
        <v/>
      </c>
    </row>
    <row r="1536">
      <c r="A1536">
        <f>IFERROR(IF(AND(INDEX(BASELINE!$A1536:$ZZ1536,CALC!$H$1)&lt;&gt;"",INT(IF(AND(CALC!$F$1&gt;0,N(INDEX(BASELINE!$A1536:$ZZ1536,CALC!$F$1))&gt;0),N(INDEX(BASELINE!$A1536:$ZZ1536,CALC!$F$1)),N(INDEX(BASELINE!$A1536:$ZZ1536,CALC!$P$1))))=INT(SIMOPS!$D$3),IFERROR(UPPER(TRIM(INDEX(BASELINE!$A1536:$ZZ1536,CALC!$R$1)&amp;"")),"")&lt;&gt;"ENCERRADA"),1,0),0)</f>
        <v/>
      </c>
      <c r="B1536">
        <f>B1535+A1536</f>
        <v/>
      </c>
    </row>
    <row r="1537">
      <c r="A1537">
        <f>IFERROR(IF(AND(INDEX(BASELINE!$A1537:$ZZ1537,CALC!$H$1)&lt;&gt;"",INT(IF(AND(CALC!$F$1&gt;0,N(INDEX(BASELINE!$A1537:$ZZ1537,CALC!$F$1))&gt;0),N(INDEX(BASELINE!$A1537:$ZZ1537,CALC!$F$1)),N(INDEX(BASELINE!$A1537:$ZZ1537,CALC!$P$1))))=INT(SIMOPS!$D$3),IFERROR(UPPER(TRIM(INDEX(BASELINE!$A1537:$ZZ1537,CALC!$R$1)&amp;"")),"")&lt;&gt;"ENCERRADA"),1,0),0)</f>
        <v/>
      </c>
      <c r="B1537">
        <f>B1536+A1537</f>
        <v/>
      </c>
    </row>
    <row r="1538">
      <c r="A1538">
        <f>IFERROR(IF(AND(INDEX(BASELINE!$A1538:$ZZ1538,CALC!$H$1)&lt;&gt;"",INT(IF(AND(CALC!$F$1&gt;0,N(INDEX(BASELINE!$A1538:$ZZ1538,CALC!$F$1))&gt;0),N(INDEX(BASELINE!$A1538:$ZZ1538,CALC!$F$1)),N(INDEX(BASELINE!$A1538:$ZZ1538,CALC!$P$1))))=INT(SIMOPS!$D$3),IFERROR(UPPER(TRIM(INDEX(BASELINE!$A1538:$ZZ1538,CALC!$R$1)&amp;"")),"")&lt;&gt;"ENCERRADA"),1,0),0)</f>
        <v/>
      </c>
      <c r="B1538">
        <f>B1537+A1538</f>
        <v/>
      </c>
    </row>
    <row r="1539">
      <c r="A1539">
        <f>IFERROR(IF(AND(INDEX(BASELINE!$A1539:$ZZ1539,CALC!$H$1)&lt;&gt;"",INT(IF(AND(CALC!$F$1&gt;0,N(INDEX(BASELINE!$A1539:$ZZ1539,CALC!$F$1))&gt;0),N(INDEX(BASELINE!$A1539:$ZZ1539,CALC!$F$1)),N(INDEX(BASELINE!$A1539:$ZZ1539,CALC!$P$1))))=INT(SIMOPS!$D$3),IFERROR(UPPER(TRIM(INDEX(BASELINE!$A1539:$ZZ1539,CALC!$R$1)&amp;"")),"")&lt;&gt;"ENCERRADA"),1,0),0)</f>
        <v/>
      </c>
      <c r="B1539">
        <f>B1538+A1539</f>
        <v/>
      </c>
    </row>
    <row r="1540">
      <c r="A1540">
        <f>IFERROR(IF(AND(INDEX(BASELINE!$A1540:$ZZ1540,CALC!$H$1)&lt;&gt;"",INT(IF(AND(CALC!$F$1&gt;0,N(INDEX(BASELINE!$A1540:$ZZ1540,CALC!$F$1))&gt;0),N(INDEX(BASELINE!$A1540:$ZZ1540,CALC!$F$1)),N(INDEX(BASELINE!$A1540:$ZZ1540,CALC!$P$1))))=INT(SIMOPS!$D$3),IFERROR(UPPER(TRIM(INDEX(BASELINE!$A1540:$ZZ1540,CALC!$R$1)&amp;"")),"")&lt;&gt;"ENCERRADA"),1,0),0)</f>
        <v/>
      </c>
      <c r="B1540">
        <f>B1539+A1540</f>
        <v/>
      </c>
    </row>
    <row r="1541">
      <c r="A1541">
        <f>IFERROR(IF(AND(INDEX(BASELINE!$A1541:$ZZ1541,CALC!$H$1)&lt;&gt;"",INT(IF(AND(CALC!$F$1&gt;0,N(INDEX(BASELINE!$A1541:$ZZ1541,CALC!$F$1))&gt;0),N(INDEX(BASELINE!$A1541:$ZZ1541,CALC!$F$1)),N(INDEX(BASELINE!$A1541:$ZZ1541,CALC!$P$1))))=INT(SIMOPS!$D$3),IFERROR(UPPER(TRIM(INDEX(BASELINE!$A1541:$ZZ1541,CALC!$R$1)&amp;"")),"")&lt;&gt;"ENCERRADA"),1,0),0)</f>
        <v/>
      </c>
      <c r="B1541">
        <f>B1540+A1541</f>
        <v/>
      </c>
    </row>
    <row r="1542">
      <c r="A1542">
        <f>IFERROR(IF(AND(INDEX(BASELINE!$A1542:$ZZ1542,CALC!$H$1)&lt;&gt;"",INT(IF(AND(CALC!$F$1&gt;0,N(INDEX(BASELINE!$A1542:$ZZ1542,CALC!$F$1))&gt;0),N(INDEX(BASELINE!$A1542:$ZZ1542,CALC!$F$1)),N(INDEX(BASELINE!$A1542:$ZZ1542,CALC!$P$1))))=INT(SIMOPS!$D$3),IFERROR(UPPER(TRIM(INDEX(BASELINE!$A1542:$ZZ1542,CALC!$R$1)&amp;"")),"")&lt;&gt;"ENCERRADA"),1,0),0)</f>
        <v/>
      </c>
      <c r="B1542">
        <f>B1541+A1542</f>
        <v/>
      </c>
    </row>
    <row r="1543">
      <c r="A1543">
        <f>IFERROR(IF(AND(INDEX(BASELINE!$A1543:$ZZ1543,CALC!$H$1)&lt;&gt;"",INT(IF(AND(CALC!$F$1&gt;0,N(INDEX(BASELINE!$A1543:$ZZ1543,CALC!$F$1))&gt;0),N(INDEX(BASELINE!$A1543:$ZZ1543,CALC!$F$1)),N(INDEX(BASELINE!$A1543:$ZZ1543,CALC!$P$1))))=INT(SIMOPS!$D$3),IFERROR(UPPER(TRIM(INDEX(BASELINE!$A1543:$ZZ1543,CALC!$R$1)&amp;"")),"")&lt;&gt;"ENCERRADA"),1,0),0)</f>
        <v/>
      </c>
      <c r="B1543">
        <f>B1542+A1543</f>
        <v/>
      </c>
    </row>
    <row r="1544">
      <c r="A1544">
        <f>IFERROR(IF(AND(INDEX(BASELINE!$A1544:$ZZ1544,CALC!$H$1)&lt;&gt;"",INT(IF(AND(CALC!$F$1&gt;0,N(INDEX(BASELINE!$A1544:$ZZ1544,CALC!$F$1))&gt;0),N(INDEX(BASELINE!$A1544:$ZZ1544,CALC!$F$1)),N(INDEX(BASELINE!$A1544:$ZZ1544,CALC!$P$1))))=INT(SIMOPS!$D$3),IFERROR(UPPER(TRIM(INDEX(BASELINE!$A1544:$ZZ1544,CALC!$R$1)&amp;"")),"")&lt;&gt;"ENCERRADA"),1,0),0)</f>
        <v/>
      </c>
      <c r="B1544">
        <f>B1543+A1544</f>
        <v/>
      </c>
    </row>
    <row r="1545">
      <c r="A1545">
        <f>IFERROR(IF(AND(INDEX(BASELINE!$A1545:$ZZ1545,CALC!$H$1)&lt;&gt;"",INT(IF(AND(CALC!$F$1&gt;0,N(INDEX(BASELINE!$A1545:$ZZ1545,CALC!$F$1))&gt;0),N(INDEX(BASELINE!$A1545:$ZZ1545,CALC!$F$1)),N(INDEX(BASELINE!$A1545:$ZZ1545,CALC!$P$1))))=INT(SIMOPS!$D$3),IFERROR(UPPER(TRIM(INDEX(BASELINE!$A1545:$ZZ1545,CALC!$R$1)&amp;"")),"")&lt;&gt;"ENCERRADA"),1,0),0)</f>
        <v/>
      </c>
      <c r="B1545">
        <f>B1544+A1545</f>
        <v/>
      </c>
    </row>
    <row r="1546">
      <c r="A1546">
        <f>IFERROR(IF(AND(INDEX(BASELINE!$A1546:$ZZ1546,CALC!$H$1)&lt;&gt;"",INT(IF(AND(CALC!$F$1&gt;0,N(INDEX(BASELINE!$A1546:$ZZ1546,CALC!$F$1))&gt;0),N(INDEX(BASELINE!$A1546:$ZZ1546,CALC!$F$1)),N(INDEX(BASELINE!$A1546:$ZZ1546,CALC!$P$1))))=INT(SIMOPS!$D$3),IFERROR(UPPER(TRIM(INDEX(BASELINE!$A1546:$ZZ1546,CALC!$R$1)&amp;"")),"")&lt;&gt;"ENCERRADA"),1,0),0)</f>
        <v/>
      </c>
      <c r="B1546">
        <f>B1545+A1546</f>
        <v/>
      </c>
    </row>
    <row r="1547">
      <c r="A1547">
        <f>IFERROR(IF(AND(INDEX(BASELINE!$A1547:$ZZ1547,CALC!$H$1)&lt;&gt;"",INT(IF(AND(CALC!$F$1&gt;0,N(INDEX(BASELINE!$A1547:$ZZ1547,CALC!$F$1))&gt;0),N(INDEX(BASELINE!$A1547:$ZZ1547,CALC!$F$1)),N(INDEX(BASELINE!$A1547:$ZZ1547,CALC!$P$1))))=INT(SIMOPS!$D$3),IFERROR(UPPER(TRIM(INDEX(BASELINE!$A1547:$ZZ1547,CALC!$R$1)&amp;"")),"")&lt;&gt;"ENCERRADA"),1,0),0)</f>
        <v/>
      </c>
      <c r="B1547">
        <f>B1546+A1547</f>
        <v/>
      </c>
    </row>
    <row r="1548">
      <c r="A1548">
        <f>IFERROR(IF(AND(INDEX(BASELINE!$A1548:$ZZ1548,CALC!$H$1)&lt;&gt;"",INT(IF(AND(CALC!$F$1&gt;0,N(INDEX(BASELINE!$A1548:$ZZ1548,CALC!$F$1))&gt;0),N(INDEX(BASELINE!$A1548:$ZZ1548,CALC!$F$1)),N(INDEX(BASELINE!$A1548:$ZZ1548,CALC!$P$1))))=INT(SIMOPS!$D$3),IFERROR(UPPER(TRIM(INDEX(BASELINE!$A1548:$ZZ1548,CALC!$R$1)&amp;"")),"")&lt;&gt;"ENCERRADA"),1,0),0)</f>
        <v/>
      </c>
      <c r="B1548">
        <f>B1547+A1548</f>
        <v/>
      </c>
    </row>
    <row r="1549">
      <c r="A1549">
        <f>IFERROR(IF(AND(INDEX(BASELINE!$A1549:$ZZ1549,CALC!$H$1)&lt;&gt;"",INT(IF(AND(CALC!$F$1&gt;0,N(INDEX(BASELINE!$A1549:$ZZ1549,CALC!$F$1))&gt;0),N(INDEX(BASELINE!$A1549:$ZZ1549,CALC!$F$1)),N(INDEX(BASELINE!$A1549:$ZZ1549,CALC!$P$1))))=INT(SIMOPS!$D$3),IFERROR(UPPER(TRIM(INDEX(BASELINE!$A1549:$ZZ1549,CALC!$R$1)&amp;"")),"")&lt;&gt;"ENCERRADA"),1,0),0)</f>
        <v/>
      </c>
      <c r="B1549">
        <f>B1548+A1549</f>
        <v/>
      </c>
    </row>
    <row r="1550">
      <c r="A1550">
        <f>IFERROR(IF(AND(INDEX(BASELINE!$A1550:$ZZ1550,CALC!$H$1)&lt;&gt;"",INT(IF(AND(CALC!$F$1&gt;0,N(INDEX(BASELINE!$A1550:$ZZ1550,CALC!$F$1))&gt;0),N(INDEX(BASELINE!$A1550:$ZZ1550,CALC!$F$1)),N(INDEX(BASELINE!$A1550:$ZZ1550,CALC!$P$1))))=INT(SIMOPS!$D$3),IFERROR(UPPER(TRIM(INDEX(BASELINE!$A1550:$ZZ1550,CALC!$R$1)&amp;"")),"")&lt;&gt;"ENCERRADA"),1,0),0)</f>
        <v/>
      </c>
      <c r="B1550">
        <f>B1549+A1550</f>
        <v/>
      </c>
    </row>
    <row r="1551">
      <c r="A1551">
        <f>IFERROR(IF(AND(INDEX(BASELINE!$A1551:$ZZ1551,CALC!$H$1)&lt;&gt;"",INT(IF(AND(CALC!$F$1&gt;0,N(INDEX(BASELINE!$A1551:$ZZ1551,CALC!$F$1))&gt;0),N(INDEX(BASELINE!$A1551:$ZZ1551,CALC!$F$1)),N(INDEX(BASELINE!$A1551:$ZZ1551,CALC!$P$1))))=INT(SIMOPS!$D$3),IFERROR(UPPER(TRIM(INDEX(BASELINE!$A1551:$ZZ1551,CALC!$R$1)&amp;"")),"")&lt;&gt;"ENCERRADA"),1,0),0)</f>
        <v/>
      </c>
      <c r="B1551">
        <f>B1550+A1551</f>
        <v/>
      </c>
    </row>
    <row r="1552">
      <c r="A1552">
        <f>IFERROR(IF(AND(INDEX(BASELINE!$A1552:$ZZ1552,CALC!$H$1)&lt;&gt;"",INT(IF(AND(CALC!$F$1&gt;0,N(INDEX(BASELINE!$A1552:$ZZ1552,CALC!$F$1))&gt;0),N(INDEX(BASELINE!$A1552:$ZZ1552,CALC!$F$1)),N(INDEX(BASELINE!$A1552:$ZZ1552,CALC!$P$1))))=INT(SIMOPS!$D$3),IFERROR(UPPER(TRIM(INDEX(BASELINE!$A1552:$ZZ1552,CALC!$R$1)&amp;"")),"")&lt;&gt;"ENCERRADA"),1,0),0)</f>
        <v/>
      </c>
      <c r="B1552">
        <f>B1551+A1552</f>
        <v/>
      </c>
    </row>
    <row r="1553">
      <c r="A1553">
        <f>IFERROR(IF(AND(INDEX(BASELINE!$A1553:$ZZ1553,CALC!$H$1)&lt;&gt;"",INT(IF(AND(CALC!$F$1&gt;0,N(INDEX(BASELINE!$A1553:$ZZ1553,CALC!$F$1))&gt;0),N(INDEX(BASELINE!$A1553:$ZZ1553,CALC!$F$1)),N(INDEX(BASELINE!$A1553:$ZZ1553,CALC!$P$1))))=INT(SIMOPS!$D$3),IFERROR(UPPER(TRIM(INDEX(BASELINE!$A1553:$ZZ1553,CALC!$R$1)&amp;"")),"")&lt;&gt;"ENCERRADA"),1,0),0)</f>
        <v/>
      </c>
      <c r="B1553">
        <f>B1552+A1553</f>
        <v/>
      </c>
    </row>
    <row r="1554">
      <c r="A1554">
        <f>IFERROR(IF(AND(INDEX(BASELINE!$A1554:$ZZ1554,CALC!$H$1)&lt;&gt;"",INT(IF(AND(CALC!$F$1&gt;0,N(INDEX(BASELINE!$A1554:$ZZ1554,CALC!$F$1))&gt;0),N(INDEX(BASELINE!$A1554:$ZZ1554,CALC!$F$1)),N(INDEX(BASELINE!$A1554:$ZZ1554,CALC!$P$1))))=INT(SIMOPS!$D$3),IFERROR(UPPER(TRIM(INDEX(BASELINE!$A1554:$ZZ1554,CALC!$R$1)&amp;"")),"")&lt;&gt;"ENCERRADA"),1,0),0)</f>
        <v/>
      </c>
      <c r="B1554">
        <f>B1553+A1554</f>
        <v/>
      </c>
    </row>
    <row r="1555">
      <c r="A1555">
        <f>IFERROR(IF(AND(INDEX(BASELINE!$A1555:$ZZ1555,CALC!$H$1)&lt;&gt;"",INT(IF(AND(CALC!$F$1&gt;0,N(INDEX(BASELINE!$A1555:$ZZ1555,CALC!$F$1))&gt;0),N(INDEX(BASELINE!$A1555:$ZZ1555,CALC!$F$1)),N(INDEX(BASELINE!$A1555:$ZZ1555,CALC!$P$1))))=INT(SIMOPS!$D$3),IFERROR(UPPER(TRIM(INDEX(BASELINE!$A1555:$ZZ1555,CALC!$R$1)&amp;"")),"")&lt;&gt;"ENCERRADA"),1,0),0)</f>
        <v/>
      </c>
      <c r="B1555">
        <f>B1554+A1555</f>
        <v/>
      </c>
    </row>
    <row r="1556">
      <c r="A1556">
        <f>IFERROR(IF(AND(INDEX(BASELINE!$A1556:$ZZ1556,CALC!$H$1)&lt;&gt;"",INT(IF(AND(CALC!$F$1&gt;0,N(INDEX(BASELINE!$A1556:$ZZ1556,CALC!$F$1))&gt;0),N(INDEX(BASELINE!$A1556:$ZZ1556,CALC!$F$1)),N(INDEX(BASELINE!$A1556:$ZZ1556,CALC!$P$1))))=INT(SIMOPS!$D$3),IFERROR(UPPER(TRIM(INDEX(BASELINE!$A1556:$ZZ1556,CALC!$R$1)&amp;"")),"")&lt;&gt;"ENCERRADA"),1,0),0)</f>
        <v/>
      </c>
      <c r="B1556">
        <f>B1555+A1556</f>
        <v/>
      </c>
    </row>
    <row r="1557">
      <c r="A1557">
        <f>IFERROR(IF(AND(INDEX(BASELINE!$A1557:$ZZ1557,CALC!$H$1)&lt;&gt;"",INT(IF(AND(CALC!$F$1&gt;0,N(INDEX(BASELINE!$A1557:$ZZ1557,CALC!$F$1))&gt;0),N(INDEX(BASELINE!$A1557:$ZZ1557,CALC!$F$1)),N(INDEX(BASELINE!$A1557:$ZZ1557,CALC!$P$1))))=INT(SIMOPS!$D$3),IFERROR(UPPER(TRIM(INDEX(BASELINE!$A1557:$ZZ1557,CALC!$R$1)&amp;"")),"")&lt;&gt;"ENCERRADA"),1,0),0)</f>
        <v/>
      </c>
      <c r="B1557">
        <f>B1556+A1557</f>
        <v/>
      </c>
    </row>
    <row r="1558">
      <c r="A1558">
        <f>IFERROR(IF(AND(INDEX(BASELINE!$A1558:$ZZ1558,CALC!$H$1)&lt;&gt;"",INT(IF(AND(CALC!$F$1&gt;0,N(INDEX(BASELINE!$A1558:$ZZ1558,CALC!$F$1))&gt;0),N(INDEX(BASELINE!$A1558:$ZZ1558,CALC!$F$1)),N(INDEX(BASELINE!$A1558:$ZZ1558,CALC!$P$1))))=INT(SIMOPS!$D$3),IFERROR(UPPER(TRIM(INDEX(BASELINE!$A1558:$ZZ1558,CALC!$R$1)&amp;"")),"")&lt;&gt;"ENCERRADA"),1,0),0)</f>
        <v/>
      </c>
      <c r="B1558">
        <f>B1557+A1558</f>
        <v/>
      </c>
    </row>
    <row r="1559">
      <c r="A1559">
        <f>IFERROR(IF(AND(INDEX(BASELINE!$A1559:$ZZ1559,CALC!$H$1)&lt;&gt;"",INT(IF(AND(CALC!$F$1&gt;0,N(INDEX(BASELINE!$A1559:$ZZ1559,CALC!$F$1))&gt;0),N(INDEX(BASELINE!$A1559:$ZZ1559,CALC!$F$1)),N(INDEX(BASELINE!$A1559:$ZZ1559,CALC!$P$1))))=INT(SIMOPS!$D$3),IFERROR(UPPER(TRIM(INDEX(BASELINE!$A1559:$ZZ1559,CALC!$R$1)&amp;"")),"")&lt;&gt;"ENCERRADA"),1,0),0)</f>
        <v/>
      </c>
      <c r="B1559">
        <f>B1558+A1559</f>
        <v/>
      </c>
    </row>
    <row r="1560">
      <c r="A1560">
        <f>IFERROR(IF(AND(INDEX(BASELINE!$A1560:$ZZ1560,CALC!$H$1)&lt;&gt;"",INT(IF(AND(CALC!$F$1&gt;0,N(INDEX(BASELINE!$A1560:$ZZ1560,CALC!$F$1))&gt;0),N(INDEX(BASELINE!$A1560:$ZZ1560,CALC!$F$1)),N(INDEX(BASELINE!$A1560:$ZZ1560,CALC!$P$1))))=INT(SIMOPS!$D$3),IFERROR(UPPER(TRIM(INDEX(BASELINE!$A1560:$ZZ1560,CALC!$R$1)&amp;"")),"")&lt;&gt;"ENCERRADA"),1,0),0)</f>
        <v/>
      </c>
      <c r="B1560">
        <f>B1559+A1560</f>
        <v/>
      </c>
    </row>
    <row r="1561">
      <c r="A1561">
        <f>IFERROR(IF(AND(INDEX(BASELINE!$A1561:$ZZ1561,CALC!$H$1)&lt;&gt;"",INT(IF(AND(CALC!$F$1&gt;0,N(INDEX(BASELINE!$A1561:$ZZ1561,CALC!$F$1))&gt;0),N(INDEX(BASELINE!$A1561:$ZZ1561,CALC!$F$1)),N(INDEX(BASELINE!$A1561:$ZZ1561,CALC!$P$1))))=INT(SIMOPS!$D$3),IFERROR(UPPER(TRIM(INDEX(BASELINE!$A1561:$ZZ1561,CALC!$R$1)&amp;"")),"")&lt;&gt;"ENCERRADA"),1,0),0)</f>
        <v/>
      </c>
      <c r="B1561">
        <f>B1560+A1561</f>
        <v/>
      </c>
    </row>
    <row r="1562">
      <c r="A1562">
        <f>IFERROR(IF(AND(INDEX(BASELINE!$A1562:$ZZ1562,CALC!$H$1)&lt;&gt;"",INT(IF(AND(CALC!$F$1&gt;0,N(INDEX(BASELINE!$A1562:$ZZ1562,CALC!$F$1))&gt;0),N(INDEX(BASELINE!$A1562:$ZZ1562,CALC!$F$1)),N(INDEX(BASELINE!$A1562:$ZZ1562,CALC!$P$1))))=INT(SIMOPS!$D$3),IFERROR(UPPER(TRIM(INDEX(BASELINE!$A1562:$ZZ1562,CALC!$R$1)&amp;"")),"")&lt;&gt;"ENCERRADA"),1,0),0)</f>
        <v/>
      </c>
      <c r="B1562">
        <f>B1561+A1562</f>
        <v/>
      </c>
    </row>
    <row r="1563">
      <c r="A1563">
        <f>IFERROR(IF(AND(INDEX(BASELINE!$A1563:$ZZ1563,CALC!$H$1)&lt;&gt;"",INT(IF(AND(CALC!$F$1&gt;0,N(INDEX(BASELINE!$A1563:$ZZ1563,CALC!$F$1))&gt;0),N(INDEX(BASELINE!$A1563:$ZZ1563,CALC!$F$1)),N(INDEX(BASELINE!$A1563:$ZZ1563,CALC!$P$1))))=INT(SIMOPS!$D$3),IFERROR(UPPER(TRIM(INDEX(BASELINE!$A1563:$ZZ1563,CALC!$R$1)&amp;"")),"")&lt;&gt;"ENCERRADA"),1,0),0)</f>
        <v/>
      </c>
      <c r="B1563">
        <f>B1562+A1563</f>
        <v/>
      </c>
    </row>
    <row r="1564">
      <c r="A1564">
        <f>IFERROR(IF(AND(INDEX(BASELINE!$A1564:$ZZ1564,CALC!$H$1)&lt;&gt;"",INT(IF(AND(CALC!$F$1&gt;0,N(INDEX(BASELINE!$A1564:$ZZ1564,CALC!$F$1))&gt;0),N(INDEX(BASELINE!$A1564:$ZZ1564,CALC!$F$1)),N(INDEX(BASELINE!$A1564:$ZZ1564,CALC!$P$1))))=INT(SIMOPS!$D$3),IFERROR(UPPER(TRIM(INDEX(BASELINE!$A1564:$ZZ1564,CALC!$R$1)&amp;"")),"")&lt;&gt;"ENCERRADA"),1,0),0)</f>
        <v/>
      </c>
      <c r="B1564">
        <f>B1563+A1564</f>
        <v/>
      </c>
    </row>
    <row r="1565">
      <c r="A1565">
        <f>IFERROR(IF(AND(INDEX(BASELINE!$A1565:$ZZ1565,CALC!$H$1)&lt;&gt;"",INT(IF(AND(CALC!$F$1&gt;0,N(INDEX(BASELINE!$A1565:$ZZ1565,CALC!$F$1))&gt;0),N(INDEX(BASELINE!$A1565:$ZZ1565,CALC!$F$1)),N(INDEX(BASELINE!$A1565:$ZZ1565,CALC!$P$1))))=INT(SIMOPS!$D$3),IFERROR(UPPER(TRIM(INDEX(BASELINE!$A1565:$ZZ1565,CALC!$R$1)&amp;"")),"")&lt;&gt;"ENCERRADA"),1,0),0)</f>
        <v/>
      </c>
      <c r="B1565">
        <f>B1564+A1565</f>
        <v/>
      </c>
    </row>
    <row r="1566">
      <c r="A1566">
        <f>IFERROR(IF(AND(INDEX(BASELINE!$A1566:$ZZ1566,CALC!$H$1)&lt;&gt;"",INT(IF(AND(CALC!$F$1&gt;0,N(INDEX(BASELINE!$A1566:$ZZ1566,CALC!$F$1))&gt;0),N(INDEX(BASELINE!$A1566:$ZZ1566,CALC!$F$1)),N(INDEX(BASELINE!$A1566:$ZZ1566,CALC!$P$1))))=INT(SIMOPS!$D$3),IFERROR(UPPER(TRIM(INDEX(BASELINE!$A1566:$ZZ1566,CALC!$R$1)&amp;"")),"")&lt;&gt;"ENCERRADA"),1,0),0)</f>
        <v/>
      </c>
      <c r="B1566">
        <f>B1565+A1566</f>
        <v/>
      </c>
    </row>
    <row r="1567">
      <c r="A1567">
        <f>IFERROR(IF(AND(INDEX(BASELINE!$A1567:$ZZ1567,CALC!$H$1)&lt;&gt;"",INT(IF(AND(CALC!$F$1&gt;0,N(INDEX(BASELINE!$A1567:$ZZ1567,CALC!$F$1))&gt;0),N(INDEX(BASELINE!$A1567:$ZZ1567,CALC!$F$1)),N(INDEX(BASELINE!$A1567:$ZZ1567,CALC!$P$1))))=INT(SIMOPS!$D$3),IFERROR(UPPER(TRIM(INDEX(BASELINE!$A1567:$ZZ1567,CALC!$R$1)&amp;"")),"")&lt;&gt;"ENCERRADA"),1,0),0)</f>
        <v/>
      </c>
      <c r="B1567">
        <f>B1566+A1567</f>
        <v/>
      </c>
    </row>
    <row r="1568">
      <c r="A1568">
        <f>IFERROR(IF(AND(INDEX(BASELINE!$A1568:$ZZ1568,CALC!$H$1)&lt;&gt;"",INT(IF(AND(CALC!$F$1&gt;0,N(INDEX(BASELINE!$A1568:$ZZ1568,CALC!$F$1))&gt;0),N(INDEX(BASELINE!$A1568:$ZZ1568,CALC!$F$1)),N(INDEX(BASELINE!$A1568:$ZZ1568,CALC!$P$1))))=INT(SIMOPS!$D$3),IFERROR(UPPER(TRIM(INDEX(BASELINE!$A1568:$ZZ1568,CALC!$R$1)&amp;"")),"")&lt;&gt;"ENCERRADA"),1,0),0)</f>
        <v/>
      </c>
      <c r="B1568">
        <f>B1567+A1568</f>
        <v/>
      </c>
    </row>
    <row r="1569">
      <c r="A1569">
        <f>IFERROR(IF(AND(INDEX(BASELINE!$A1569:$ZZ1569,CALC!$H$1)&lt;&gt;"",INT(IF(AND(CALC!$F$1&gt;0,N(INDEX(BASELINE!$A1569:$ZZ1569,CALC!$F$1))&gt;0),N(INDEX(BASELINE!$A1569:$ZZ1569,CALC!$F$1)),N(INDEX(BASELINE!$A1569:$ZZ1569,CALC!$P$1))))=INT(SIMOPS!$D$3),IFERROR(UPPER(TRIM(INDEX(BASELINE!$A1569:$ZZ1569,CALC!$R$1)&amp;"")),"")&lt;&gt;"ENCERRADA"),1,0),0)</f>
        <v/>
      </c>
      <c r="B1569">
        <f>B1568+A1569</f>
        <v/>
      </c>
    </row>
    <row r="1570">
      <c r="A1570">
        <f>IFERROR(IF(AND(INDEX(BASELINE!$A1570:$ZZ1570,CALC!$H$1)&lt;&gt;"",INT(IF(AND(CALC!$F$1&gt;0,N(INDEX(BASELINE!$A1570:$ZZ1570,CALC!$F$1))&gt;0),N(INDEX(BASELINE!$A1570:$ZZ1570,CALC!$F$1)),N(INDEX(BASELINE!$A1570:$ZZ1570,CALC!$P$1))))=INT(SIMOPS!$D$3),IFERROR(UPPER(TRIM(INDEX(BASELINE!$A1570:$ZZ1570,CALC!$R$1)&amp;"")),"")&lt;&gt;"ENCERRADA"),1,0),0)</f>
        <v/>
      </c>
      <c r="B1570">
        <f>B1569+A1570</f>
        <v/>
      </c>
    </row>
    <row r="1571">
      <c r="A1571">
        <f>IFERROR(IF(AND(INDEX(BASELINE!$A1571:$ZZ1571,CALC!$H$1)&lt;&gt;"",INT(IF(AND(CALC!$F$1&gt;0,N(INDEX(BASELINE!$A1571:$ZZ1571,CALC!$F$1))&gt;0),N(INDEX(BASELINE!$A1571:$ZZ1571,CALC!$F$1)),N(INDEX(BASELINE!$A1571:$ZZ1571,CALC!$P$1))))=INT(SIMOPS!$D$3),IFERROR(UPPER(TRIM(INDEX(BASELINE!$A1571:$ZZ1571,CALC!$R$1)&amp;"")),"")&lt;&gt;"ENCERRADA"),1,0),0)</f>
        <v/>
      </c>
      <c r="B1571">
        <f>B1570+A1571</f>
        <v/>
      </c>
    </row>
    <row r="1572">
      <c r="A1572">
        <f>IFERROR(IF(AND(INDEX(BASELINE!$A1572:$ZZ1572,CALC!$H$1)&lt;&gt;"",INT(IF(AND(CALC!$F$1&gt;0,N(INDEX(BASELINE!$A1572:$ZZ1572,CALC!$F$1))&gt;0),N(INDEX(BASELINE!$A1572:$ZZ1572,CALC!$F$1)),N(INDEX(BASELINE!$A1572:$ZZ1572,CALC!$P$1))))=INT(SIMOPS!$D$3),IFERROR(UPPER(TRIM(INDEX(BASELINE!$A1572:$ZZ1572,CALC!$R$1)&amp;"")),"")&lt;&gt;"ENCERRADA"),1,0),0)</f>
        <v/>
      </c>
      <c r="B1572">
        <f>B1571+A1572</f>
        <v/>
      </c>
    </row>
    <row r="1573">
      <c r="A1573">
        <f>IFERROR(IF(AND(INDEX(BASELINE!$A1573:$ZZ1573,CALC!$H$1)&lt;&gt;"",INT(IF(AND(CALC!$F$1&gt;0,N(INDEX(BASELINE!$A1573:$ZZ1573,CALC!$F$1))&gt;0),N(INDEX(BASELINE!$A1573:$ZZ1573,CALC!$F$1)),N(INDEX(BASELINE!$A1573:$ZZ1573,CALC!$P$1))))=INT(SIMOPS!$D$3),IFERROR(UPPER(TRIM(INDEX(BASELINE!$A1573:$ZZ1573,CALC!$R$1)&amp;"")),"")&lt;&gt;"ENCERRADA"),1,0),0)</f>
        <v/>
      </c>
      <c r="B1573">
        <f>B1572+A1573</f>
        <v/>
      </c>
    </row>
    <row r="1574">
      <c r="A1574">
        <f>IFERROR(IF(AND(INDEX(BASELINE!$A1574:$ZZ1574,CALC!$H$1)&lt;&gt;"",INT(IF(AND(CALC!$F$1&gt;0,N(INDEX(BASELINE!$A1574:$ZZ1574,CALC!$F$1))&gt;0),N(INDEX(BASELINE!$A1574:$ZZ1574,CALC!$F$1)),N(INDEX(BASELINE!$A1574:$ZZ1574,CALC!$P$1))))=INT(SIMOPS!$D$3),IFERROR(UPPER(TRIM(INDEX(BASELINE!$A1574:$ZZ1574,CALC!$R$1)&amp;"")),"")&lt;&gt;"ENCERRADA"),1,0),0)</f>
        <v/>
      </c>
      <c r="B1574">
        <f>B1573+A1574</f>
        <v/>
      </c>
    </row>
    <row r="1575">
      <c r="A1575">
        <f>IFERROR(IF(AND(INDEX(BASELINE!$A1575:$ZZ1575,CALC!$H$1)&lt;&gt;"",INT(IF(AND(CALC!$F$1&gt;0,N(INDEX(BASELINE!$A1575:$ZZ1575,CALC!$F$1))&gt;0),N(INDEX(BASELINE!$A1575:$ZZ1575,CALC!$F$1)),N(INDEX(BASELINE!$A1575:$ZZ1575,CALC!$P$1))))=INT(SIMOPS!$D$3),IFERROR(UPPER(TRIM(INDEX(BASELINE!$A1575:$ZZ1575,CALC!$R$1)&amp;"")),"")&lt;&gt;"ENCERRADA"),1,0),0)</f>
        <v/>
      </c>
      <c r="B1575">
        <f>B1574+A1575</f>
        <v/>
      </c>
    </row>
    <row r="1576">
      <c r="A1576">
        <f>IFERROR(IF(AND(INDEX(BASELINE!$A1576:$ZZ1576,CALC!$H$1)&lt;&gt;"",INT(IF(AND(CALC!$F$1&gt;0,N(INDEX(BASELINE!$A1576:$ZZ1576,CALC!$F$1))&gt;0),N(INDEX(BASELINE!$A1576:$ZZ1576,CALC!$F$1)),N(INDEX(BASELINE!$A1576:$ZZ1576,CALC!$P$1))))=INT(SIMOPS!$D$3),IFERROR(UPPER(TRIM(INDEX(BASELINE!$A1576:$ZZ1576,CALC!$R$1)&amp;"")),"")&lt;&gt;"ENCERRADA"),1,0),0)</f>
        <v/>
      </c>
      <c r="B1576">
        <f>B1575+A1576</f>
        <v/>
      </c>
    </row>
    <row r="1577">
      <c r="A1577">
        <f>IFERROR(IF(AND(INDEX(BASELINE!$A1577:$ZZ1577,CALC!$H$1)&lt;&gt;"",INT(IF(AND(CALC!$F$1&gt;0,N(INDEX(BASELINE!$A1577:$ZZ1577,CALC!$F$1))&gt;0),N(INDEX(BASELINE!$A1577:$ZZ1577,CALC!$F$1)),N(INDEX(BASELINE!$A1577:$ZZ1577,CALC!$P$1))))=INT(SIMOPS!$D$3),IFERROR(UPPER(TRIM(INDEX(BASELINE!$A1577:$ZZ1577,CALC!$R$1)&amp;"")),"")&lt;&gt;"ENCERRADA"),1,0),0)</f>
        <v/>
      </c>
      <c r="B1577">
        <f>B1576+A1577</f>
        <v/>
      </c>
    </row>
    <row r="1578">
      <c r="A1578">
        <f>IFERROR(IF(AND(INDEX(BASELINE!$A1578:$ZZ1578,CALC!$H$1)&lt;&gt;"",INT(IF(AND(CALC!$F$1&gt;0,N(INDEX(BASELINE!$A1578:$ZZ1578,CALC!$F$1))&gt;0),N(INDEX(BASELINE!$A1578:$ZZ1578,CALC!$F$1)),N(INDEX(BASELINE!$A1578:$ZZ1578,CALC!$P$1))))=INT(SIMOPS!$D$3),IFERROR(UPPER(TRIM(INDEX(BASELINE!$A1578:$ZZ1578,CALC!$R$1)&amp;"")),"")&lt;&gt;"ENCERRADA"),1,0),0)</f>
        <v/>
      </c>
      <c r="B1578">
        <f>B1577+A1578</f>
        <v/>
      </c>
    </row>
    <row r="1579">
      <c r="A1579">
        <f>IFERROR(IF(AND(INDEX(BASELINE!$A1579:$ZZ1579,CALC!$H$1)&lt;&gt;"",INT(IF(AND(CALC!$F$1&gt;0,N(INDEX(BASELINE!$A1579:$ZZ1579,CALC!$F$1))&gt;0),N(INDEX(BASELINE!$A1579:$ZZ1579,CALC!$F$1)),N(INDEX(BASELINE!$A1579:$ZZ1579,CALC!$P$1))))=INT(SIMOPS!$D$3),IFERROR(UPPER(TRIM(INDEX(BASELINE!$A1579:$ZZ1579,CALC!$R$1)&amp;"")),"")&lt;&gt;"ENCERRADA"),1,0),0)</f>
        <v/>
      </c>
      <c r="B1579">
        <f>B1578+A1579</f>
        <v/>
      </c>
    </row>
    <row r="1580">
      <c r="A1580">
        <f>IFERROR(IF(AND(INDEX(BASELINE!$A1580:$ZZ1580,CALC!$H$1)&lt;&gt;"",INT(IF(AND(CALC!$F$1&gt;0,N(INDEX(BASELINE!$A1580:$ZZ1580,CALC!$F$1))&gt;0),N(INDEX(BASELINE!$A1580:$ZZ1580,CALC!$F$1)),N(INDEX(BASELINE!$A1580:$ZZ1580,CALC!$P$1))))=INT(SIMOPS!$D$3),IFERROR(UPPER(TRIM(INDEX(BASELINE!$A1580:$ZZ1580,CALC!$R$1)&amp;"")),"")&lt;&gt;"ENCERRADA"),1,0),0)</f>
        <v/>
      </c>
      <c r="B1580">
        <f>B1579+A1580</f>
        <v/>
      </c>
    </row>
    <row r="1581">
      <c r="A1581">
        <f>IFERROR(IF(AND(INDEX(BASELINE!$A1581:$ZZ1581,CALC!$H$1)&lt;&gt;"",INT(IF(AND(CALC!$F$1&gt;0,N(INDEX(BASELINE!$A1581:$ZZ1581,CALC!$F$1))&gt;0),N(INDEX(BASELINE!$A1581:$ZZ1581,CALC!$F$1)),N(INDEX(BASELINE!$A1581:$ZZ1581,CALC!$P$1))))=INT(SIMOPS!$D$3),IFERROR(UPPER(TRIM(INDEX(BASELINE!$A1581:$ZZ1581,CALC!$R$1)&amp;"")),"")&lt;&gt;"ENCERRADA"),1,0),0)</f>
        <v/>
      </c>
      <c r="B1581">
        <f>B1580+A1581</f>
        <v/>
      </c>
    </row>
    <row r="1582">
      <c r="A1582">
        <f>IFERROR(IF(AND(INDEX(BASELINE!$A1582:$ZZ1582,CALC!$H$1)&lt;&gt;"",INT(IF(AND(CALC!$F$1&gt;0,N(INDEX(BASELINE!$A1582:$ZZ1582,CALC!$F$1))&gt;0),N(INDEX(BASELINE!$A1582:$ZZ1582,CALC!$F$1)),N(INDEX(BASELINE!$A1582:$ZZ1582,CALC!$P$1))))=INT(SIMOPS!$D$3),IFERROR(UPPER(TRIM(INDEX(BASELINE!$A1582:$ZZ1582,CALC!$R$1)&amp;"")),"")&lt;&gt;"ENCERRADA"),1,0),0)</f>
        <v/>
      </c>
      <c r="B1582">
        <f>B1581+A1582</f>
        <v/>
      </c>
    </row>
    <row r="1583">
      <c r="A1583">
        <f>IFERROR(IF(AND(INDEX(BASELINE!$A1583:$ZZ1583,CALC!$H$1)&lt;&gt;"",INT(IF(AND(CALC!$F$1&gt;0,N(INDEX(BASELINE!$A1583:$ZZ1583,CALC!$F$1))&gt;0),N(INDEX(BASELINE!$A1583:$ZZ1583,CALC!$F$1)),N(INDEX(BASELINE!$A1583:$ZZ1583,CALC!$P$1))))=INT(SIMOPS!$D$3),IFERROR(UPPER(TRIM(INDEX(BASELINE!$A1583:$ZZ1583,CALC!$R$1)&amp;"")),"")&lt;&gt;"ENCERRADA"),1,0),0)</f>
        <v/>
      </c>
      <c r="B1583">
        <f>B1582+A1583</f>
        <v/>
      </c>
    </row>
    <row r="1584">
      <c r="A1584">
        <f>IFERROR(IF(AND(INDEX(BASELINE!$A1584:$ZZ1584,CALC!$H$1)&lt;&gt;"",INT(IF(AND(CALC!$F$1&gt;0,N(INDEX(BASELINE!$A1584:$ZZ1584,CALC!$F$1))&gt;0),N(INDEX(BASELINE!$A1584:$ZZ1584,CALC!$F$1)),N(INDEX(BASELINE!$A1584:$ZZ1584,CALC!$P$1))))=INT(SIMOPS!$D$3),IFERROR(UPPER(TRIM(INDEX(BASELINE!$A1584:$ZZ1584,CALC!$R$1)&amp;"")),"")&lt;&gt;"ENCERRADA"),1,0),0)</f>
        <v/>
      </c>
      <c r="B1584">
        <f>B1583+A1584</f>
        <v/>
      </c>
    </row>
    <row r="1585">
      <c r="A1585">
        <f>IFERROR(IF(AND(INDEX(BASELINE!$A1585:$ZZ1585,CALC!$H$1)&lt;&gt;"",INT(IF(AND(CALC!$F$1&gt;0,N(INDEX(BASELINE!$A1585:$ZZ1585,CALC!$F$1))&gt;0),N(INDEX(BASELINE!$A1585:$ZZ1585,CALC!$F$1)),N(INDEX(BASELINE!$A1585:$ZZ1585,CALC!$P$1))))=INT(SIMOPS!$D$3),IFERROR(UPPER(TRIM(INDEX(BASELINE!$A1585:$ZZ1585,CALC!$R$1)&amp;"")),"")&lt;&gt;"ENCERRADA"),1,0),0)</f>
        <v/>
      </c>
      <c r="B1585">
        <f>B1584+A1585</f>
        <v/>
      </c>
    </row>
    <row r="1586">
      <c r="A1586">
        <f>IFERROR(IF(AND(INDEX(BASELINE!$A1586:$ZZ1586,CALC!$H$1)&lt;&gt;"",INT(IF(AND(CALC!$F$1&gt;0,N(INDEX(BASELINE!$A1586:$ZZ1586,CALC!$F$1))&gt;0),N(INDEX(BASELINE!$A1586:$ZZ1586,CALC!$F$1)),N(INDEX(BASELINE!$A1586:$ZZ1586,CALC!$P$1))))=INT(SIMOPS!$D$3),IFERROR(UPPER(TRIM(INDEX(BASELINE!$A1586:$ZZ1586,CALC!$R$1)&amp;"")),"")&lt;&gt;"ENCERRADA"),1,0),0)</f>
        <v/>
      </c>
      <c r="B1586">
        <f>B1585+A1586</f>
        <v/>
      </c>
    </row>
    <row r="1587">
      <c r="A1587">
        <f>IFERROR(IF(AND(INDEX(BASELINE!$A1587:$ZZ1587,CALC!$H$1)&lt;&gt;"",INT(IF(AND(CALC!$F$1&gt;0,N(INDEX(BASELINE!$A1587:$ZZ1587,CALC!$F$1))&gt;0),N(INDEX(BASELINE!$A1587:$ZZ1587,CALC!$F$1)),N(INDEX(BASELINE!$A1587:$ZZ1587,CALC!$P$1))))=INT(SIMOPS!$D$3),IFERROR(UPPER(TRIM(INDEX(BASELINE!$A1587:$ZZ1587,CALC!$R$1)&amp;"")),"")&lt;&gt;"ENCERRADA"),1,0),0)</f>
        <v/>
      </c>
      <c r="B1587">
        <f>B1586+A1587</f>
        <v/>
      </c>
    </row>
    <row r="1588">
      <c r="A1588">
        <f>IFERROR(IF(AND(INDEX(BASELINE!$A1588:$ZZ1588,CALC!$H$1)&lt;&gt;"",INT(IF(AND(CALC!$F$1&gt;0,N(INDEX(BASELINE!$A1588:$ZZ1588,CALC!$F$1))&gt;0),N(INDEX(BASELINE!$A1588:$ZZ1588,CALC!$F$1)),N(INDEX(BASELINE!$A1588:$ZZ1588,CALC!$P$1))))=INT(SIMOPS!$D$3),IFERROR(UPPER(TRIM(INDEX(BASELINE!$A1588:$ZZ1588,CALC!$R$1)&amp;"")),"")&lt;&gt;"ENCERRADA"),1,0),0)</f>
        <v/>
      </c>
      <c r="B1588">
        <f>B1587+A1588</f>
        <v/>
      </c>
    </row>
    <row r="1589">
      <c r="A1589">
        <f>IFERROR(IF(AND(INDEX(BASELINE!$A1589:$ZZ1589,CALC!$H$1)&lt;&gt;"",INT(IF(AND(CALC!$F$1&gt;0,N(INDEX(BASELINE!$A1589:$ZZ1589,CALC!$F$1))&gt;0),N(INDEX(BASELINE!$A1589:$ZZ1589,CALC!$F$1)),N(INDEX(BASELINE!$A1589:$ZZ1589,CALC!$P$1))))=INT(SIMOPS!$D$3),IFERROR(UPPER(TRIM(INDEX(BASELINE!$A1589:$ZZ1589,CALC!$R$1)&amp;"")),"")&lt;&gt;"ENCERRADA"),1,0),0)</f>
        <v/>
      </c>
      <c r="B1589">
        <f>B1588+A1589</f>
        <v/>
      </c>
    </row>
    <row r="1590">
      <c r="A1590">
        <f>IFERROR(IF(AND(INDEX(BASELINE!$A1590:$ZZ1590,CALC!$H$1)&lt;&gt;"",INT(IF(AND(CALC!$F$1&gt;0,N(INDEX(BASELINE!$A1590:$ZZ1590,CALC!$F$1))&gt;0),N(INDEX(BASELINE!$A1590:$ZZ1590,CALC!$F$1)),N(INDEX(BASELINE!$A1590:$ZZ1590,CALC!$P$1))))=INT(SIMOPS!$D$3),IFERROR(UPPER(TRIM(INDEX(BASELINE!$A1590:$ZZ1590,CALC!$R$1)&amp;"")),"")&lt;&gt;"ENCERRADA"),1,0),0)</f>
        <v/>
      </c>
      <c r="B1590">
        <f>B1589+A1590</f>
        <v/>
      </c>
    </row>
    <row r="1591">
      <c r="A1591">
        <f>IFERROR(IF(AND(INDEX(BASELINE!$A1591:$ZZ1591,CALC!$H$1)&lt;&gt;"",INT(IF(AND(CALC!$F$1&gt;0,N(INDEX(BASELINE!$A1591:$ZZ1591,CALC!$F$1))&gt;0),N(INDEX(BASELINE!$A1591:$ZZ1591,CALC!$F$1)),N(INDEX(BASELINE!$A1591:$ZZ1591,CALC!$P$1))))=INT(SIMOPS!$D$3),IFERROR(UPPER(TRIM(INDEX(BASELINE!$A1591:$ZZ1591,CALC!$R$1)&amp;"")),"")&lt;&gt;"ENCERRADA"),1,0),0)</f>
        <v/>
      </c>
      <c r="B1591">
        <f>B1590+A1591</f>
        <v/>
      </c>
    </row>
    <row r="1592">
      <c r="A1592">
        <f>IFERROR(IF(AND(INDEX(BASELINE!$A1592:$ZZ1592,CALC!$H$1)&lt;&gt;"",INT(IF(AND(CALC!$F$1&gt;0,N(INDEX(BASELINE!$A1592:$ZZ1592,CALC!$F$1))&gt;0),N(INDEX(BASELINE!$A1592:$ZZ1592,CALC!$F$1)),N(INDEX(BASELINE!$A1592:$ZZ1592,CALC!$P$1))))=INT(SIMOPS!$D$3),IFERROR(UPPER(TRIM(INDEX(BASELINE!$A1592:$ZZ1592,CALC!$R$1)&amp;"")),"")&lt;&gt;"ENCERRADA"),1,0),0)</f>
        <v/>
      </c>
      <c r="B1592">
        <f>B1591+A1592</f>
        <v/>
      </c>
    </row>
    <row r="1593">
      <c r="A1593">
        <f>IFERROR(IF(AND(INDEX(BASELINE!$A1593:$ZZ1593,CALC!$H$1)&lt;&gt;"",INT(IF(AND(CALC!$F$1&gt;0,N(INDEX(BASELINE!$A1593:$ZZ1593,CALC!$F$1))&gt;0),N(INDEX(BASELINE!$A1593:$ZZ1593,CALC!$F$1)),N(INDEX(BASELINE!$A1593:$ZZ1593,CALC!$P$1))))=INT(SIMOPS!$D$3),IFERROR(UPPER(TRIM(INDEX(BASELINE!$A1593:$ZZ1593,CALC!$R$1)&amp;"")),"")&lt;&gt;"ENCERRADA"),1,0),0)</f>
        <v/>
      </c>
      <c r="B1593">
        <f>B1592+A1593</f>
        <v/>
      </c>
    </row>
    <row r="1594">
      <c r="A1594">
        <f>IFERROR(IF(AND(INDEX(BASELINE!$A1594:$ZZ1594,CALC!$H$1)&lt;&gt;"",INT(IF(AND(CALC!$F$1&gt;0,N(INDEX(BASELINE!$A1594:$ZZ1594,CALC!$F$1))&gt;0),N(INDEX(BASELINE!$A1594:$ZZ1594,CALC!$F$1)),N(INDEX(BASELINE!$A1594:$ZZ1594,CALC!$P$1))))=INT(SIMOPS!$D$3),IFERROR(UPPER(TRIM(INDEX(BASELINE!$A1594:$ZZ1594,CALC!$R$1)&amp;"")),"")&lt;&gt;"ENCERRADA"),1,0),0)</f>
        <v/>
      </c>
      <c r="B1594">
        <f>B1593+A1594</f>
        <v/>
      </c>
    </row>
    <row r="1595">
      <c r="A1595">
        <f>IFERROR(IF(AND(INDEX(BASELINE!$A1595:$ZZ1595,CALC!$H$1)&lt;&gt;"",INT(IF(AND(CALC!$F$1&gt;0,N(INDEX(BASELINE!$A1595:$ZZ1595,CALC!$F$1))&gt;0),N(INDEX(BASELINE!$A1595:$ZZ1595,CALC!$F$1)),N(INDEX(BASELINE!$A1595:$ZZ1595,CALC!$P$1))))=INT(SIMOPS!$D$3),IFERROR(UPPER(TRIM(INDEX(BASELINE!$A1595:$ZZ1595,CALC!$R$1)&amp;"")),"")&lt;&gt;"ENCERRADA"),1,0),0)</f>
        <v/>
      </c>
      <c r="B1595">
        <f>B1594+A1595</f>
        <v/>
      </c>
    </row>
    <row r="1596">
      <c r="A1596">
        <f>IFERROR(IF(AND(INDEX(BASELINE!$A1596:$ZZ1596,CALC!$H$1)&lt;&gt;"",INT(IF(AND(CALC!$F$1&gt;0,N(INDEX(BASELINE!$A1596:$ZZ1596,CALC!$F$1))&gt;0),N(INDEX(BASELINE!$A1596:$ZZ1596,CALC!$F$1)),N(INDEX(BASELINE!$A1596:$ZZ1596,CALC!$P$1))))=INT(SIMOPS!$D$3),IFERROR(UPPER(TRIM(INDEX(BASELINE!$A1596:$ZZ1596,CALC!$R$1)&amp;"")),"")&lt;&gt;"ENCERRADA"),1,0),0)</f>
        <v/>
      </c>
      <c r="B1596">
        <f>B1595+A1596</f>
        <v/>
      </c>
    </row>
    <row r="1597">
      <c r="A1597">
        <f>IFERROR(IF(AND(INDEX(BASELINE!$A1597:$ZZ1597,CALC!$H$1)&lt;&gt;"",INT(IF(AND(CALC!$F$1&gt;0,N(INDEX(BASELINE!$A1597:$ZZ1597,CALC!$F$1))&gt;0),N(INDEX(BASELINE!$A1597:$ZZ1597,CALC!$F$1)),N(INDEX(BASELINE!$A1597:$ZZ1597,CALC!$P$1))))=INT(SIMOPS!$D$3),IFERROR(UPPER(TRIM(INDEX(BASELINE!$A1597:$ZZ1597,CALC!$R$1)&amp;"")),"")&lt;&gt;"ENCERRADA"),1,0),0)</f>
        <v/>
      </c>
      <c r="B1597">
        <f>B1596+A1597</f>
        <v/>
      </c>
    </row>
    <row r="1598">
      <c r="A1598">
        <f>IFERROR(IF(AND(INDEX(BASELINE!$A1598:$ZZ1598,CALC!$H$1)&lt;&gt;"",INT(IF(AND(CALC!$F$1&gt;0,N(INDEX(BASELINE!$A1598:$ZZ1598,CALC!$F$1))&gt;0),N(INDEX(BASELINE!$A1598:$ZZ1598,CALC!$F$1)),N(INDEX(BASELINE!$A1598:$ZZ1598,CALC!$P$1))))=INT(SIMOPS!$D$3),IFERROR(UPPER(TRIM(INDEX(BASELINE!$A1598:$ZZ1598,CALC!$R$1)&amp;"")),"")&lt;&gt;"ENCERRADA"),1,0),0)</f>
        <v/>
      </c>
      <c r="B1598">
        <f>B1597+A1598</f>
        <v/>
      </c>
    </row>
    <row r="1599">
      <c r="A1599">
        <f>IFERROR(IF(AND(INDEX(BASELINE!$A1599:$ZZ1599,CALC!$H$1)&lt;&gt;"",INT(IF(AND(CALC!$F$1&gt;0,N(INDEX(BASELINE!$A1599:$ZZ1599,CALC!$F$1))&gt;0),N(INDEX(BASELINE!$A1599:$ZZ1599,CALC!$F$1)),N(INDEX(BASELINE!$A1599:$ZZ1599,CALC!$P$1))))=INT(SIMOPS!$D$3),IFERROR(UPPER(TRIM(INDEX(BASELINE!$A1599:$ZZ1599,CALC!$R$1)&amp;"")),"")&lt;&gt;"ENCERRADA"),1,0),0)</f>
        <v/>
      </c>
      <c r="B1599">
        <f>B1598+A1599</f>
        <v/>
      </c>
    </row>
    <row r="1600">
      <c r="A1600">
        <f>IFERROR(IF(AND(INDEX(BASELINE!$A1600:$ZZ1600,CALC!$H$1)&lt;&gt;"",INT(IF(AND(CALC!$F$1&gt;0,N(INDEX(BASELINE!$A1600:$ZZ1600,CALC!$F$1))&gt;0),N(INDEX(BASELINE!$A1600:$ZZ1600,CALC!$F$1)),N(INDEX(BASELINE!$A1600:$ZZ1600,CALC!$P$1))))=INT(SIMOPS!$D$3),IFERROR(UPPER(TRIM(INDEX(BASELINE!$A1600:$ZZ1600,CALC!$R$1)&amp;"")),"")&lt;&gt;"ENCERRADA"),1,0),0)</f>
        <v/>
      </c>
      <c r="B1600">
        <f>B1599+A1600</f>
        <v/>
      </c>
    </row>
    <row r="1601">
      <c r="A1601">
        <f>IFERROR(IF(AND(INDEX(BASELINE!$A1601:$ZZ1601,CALC!$H$1)&lt;&gt;"",INT(IF(AND(CALC!$F$1&gt;0,N(INDEX(BASELINE!$A1601:$ZZ1601,CALC!$F$1))&gt;0),N(INDEX(BASELINE!$A1601:$ZZ1601,CALC!$F$1)),N(INDEX(BASELINE!$A1601:$ZZ1601,CALC!$P$1))))=INT(SIMOPS!$D$3),IFERROR(UPPER(TRIM(INDEX(BASELINE!$A1601:$ZZ1601,CALC!$R$1)&amp;"")),"")&lt;&gt;"ENCERRADA"),1,0),0)</f>
        <v/>
      </c>
      <c r="B1601">
        <f>B1600+A1601</f>
        <v/>
      </c>
    </row>
    <row r="1602">
      <c r="A1602">
        <f>IFERROR(IF(AND(INDEX(BASELINE!$A1602:$ZZ1602,CALC!$H$1)&lt;&gt;"",INT(IF(AND(CALC!$F$1&gt;0,N(INDEX(BASELINE!$A1602:$ZZ1602,CALC!$F$1))&gt;0),N(INDEX(BASELINE!$A1602:$ZZ1602,CALC!$F$1)),N(INDEX(BASELINE!$A1602:$ZZ1602,CALC!$P$1))))=INT(SIMOPS!$D$3),IFERROR(UPPER(TRIM(INDEX(BASELINE!$A1602:$ZZ1602,CALC!$R$1)&amp;"")),"")&lt;&gt;"ENCERRADA"),1,0),0)</f>
        <v/>
      </c>
      <c r="B1602">
        <f>B1601+A1602</f>
        <v/>
      </c>
    </row>
    <row r="1603">
      <c r="A1603">
        <f>IFERROR(IF(AND(INDEX(BASELINE!$A1603:$ZZ1603,CALC!$H$1)&lt;&gt;"",INT(IF(AND(CALC!$F$1&gt;0,N(INDEX(BASELINE!$A1603:$ZZ1603,CALC!$F$1))&gt;0),N(INDEX(BASELINE!$A1603:$ZZ1603,CALC!$F$1)),N(INDEX(BASELINE!$A1603:$ZZ1603,CALC!$P$1))))=INT(SIMOPS!$D$3),IFERROR(UPPER(TRIM(INDEX(BASELINE!$A1603:$ZZ1603,CALC!$R$1)&amp;"")),"")&lt;&gt;"ENCERRADA"),1,0),0)</f>
        <v/>
      </c>
      <c r="B1603">
        <f>B1602+A1603</f>
        <v/>
      </c>
    </row>
    <row r="1604">
      <c r="A1604">
        <f>IFERROR(IF(AND(INDEX(BASELINE!$A1604:$ZZ1604,CALC!$H$1)&lt;&gt;"",INT(IF(AND(CALC!$F$1&gt;0,N(INDEX(BASELINE!$A1604:$ZZ1604,CALC!$F$1))&gt;0),N(INDEX(BASELINE!$A1604:$ZZ1604,CALC!$F$1)),N(INDEX(BASELINE!$A1604:$ZZ1604,CALC!$P$1))))=INT(SIMOPS!$D$3),IFERROR(UPPER(TRIM(INDEX(BASELINE!$A1604:$ZZ1604,CALC!$R$1)&amp;"")),"")&lt;&gt;"ENCERRADA"),1,0),0)</f>
        <v/>
      </c>
      <c r="B1604">
        <f>B1603+A1604</f>
        <v/>
      </c>
    </row>
    <row r="1605">
      <c r="A1605">
        <f>IFERROR(IF(AND(INDEX(BASELINE!$A1605:$ZZ1605,CALC!$H$1)&lt;&gt;"",INT(IF(AND(CALC!$F$1&gt;0,N(INDEX(BASELINE!$A1605:$ZZ1605,CALC!$F$1))&gt;0),N(INDEX(BASELINE!$A1605:$ZZ1605,CALC!$F$1)),N(INDEX(BASELINE!$A1605:$ZZ1605,CALC!$P$1))))=INT(SIMOPS!$D$3),IFERROR(UPPER(TRIM(INDEX(BASELINE!$A1605:$ZZ1605,CALC!$R$1)&amp;"")),"")&lt;&gt;"ENCERRADA"),1,0),0)</f>
        <v/>
      </c>
      <c r="B1605">
        <f>B1604+A1605</f>
        <v/>
      </c>
    </row>
    <row r="1606">
      <c r="A1606">
        <f>IFERROR(IF(AND(INDEX(BASELINE!$A1606:$ZZ1606,CALC!$H$1)&lt;&gt;"",INT(IF(AND(CALC!$F$1&gt;0,N(INDEX(BASELINE!$A1606:$ZZ1606,CALC!$F$1))&gt;0),N(INDEX(BASELINE!$A1606:$ZZ1606,CALC!$F$1)),N(INDEX(BASELINE!$A1606:$ZZ1606,CALC!$P$1))))=INT(SIMOPS!$D$3),IFERROR(UPPER(TRIM(INDEX(BASELINE!$A1606:$ZZ1606,CALC!$R$1)&amp;"")),"")&lt;&gt;"ENCERRADA"),1,0),0)</f>
        <v/>
      </c>
      <c r="B1606">
        <f>B1605+A1606</f>
        <v/>
      </c>
    </row>
    <row r="1607">
      <c r="A1607">
        <f>IFERROR(IF(AND(INDEX(BASELINE!$A1607:$ZZ1607,CALC!$H$1)&lt;&gt;"",INT(IF(AND(CALC!$F$1&gt;0,N(INDEX(BASELINE!$A1607:$ZZ1607,CALC!$F$1))&gt;0),N(INDEX(BASELINE!$A1607:$ZZ1607,CALC!$F$1)),N(INDEX(BASELINE!$A1607:$ZZ1607,CALC!$P$1))))=INT(SIMOPS!$D$3),IFERROR(UPPER(TRIM(INDEX(BASELINE!$A1607:$ZZ1607,CALC!$R$1)&amp;"")),"")&lt;&gt;"ENCERRADA"),1,0),0)</f>
        <v/>
      </c>
      <c r="B1607">
        <f>B1606+A1607</f>
        <v/>
      </c>
    </row>
    <row r="1608">
      <c r="A1608">
        <f>IFERROR(IF(AND(INDEX(BASELINE!$A1608:$ZZ1608,CALC!$H$1)&lt;&gt;"",INT(IF(AND(CALC!$F$1&gt;0,N(INDEX(BASELINE!$A1608:$ZZ1608,CALC!$F$1))&gt;0),N(INDEX(BASELINE!$A1608:$ZZ1608,CALC!$F$1)),N(INDEX(BASELINE!$A1608:$ZZ1608,CALC!$P$1))))=INT(SIMOPS!$D$3),IFERROR(UPPER(TRIM(INDEX(BASELINE!$A1608:$ZZ1608,CALC!$R$1)&amp;"")),"")&lt;&gt;"ENCERRADA"),1,0),0)</f>
        <v/>
      </c>
      <c r="B1608">
        <f>B1607+A1608</f>
        <v/>
      </c>
    </row>
    <row r="1609">
      <c r="A1609">
        <f>IFERROR(IF(AND(INDEX(BASELINE!$A1609:$ZZ1609,CALC!$H$1)&lt;&gt;"",INT(IF(AND(CALC!$F$1&gt;0,N(INDEX(BASELINE!$A1609:$ZZ1609,CALC!$F$1))&gt;0),N(INDEX(BASELINE!$A1609:$ZZ1609,CALC!$F$1)),N(INDEX(BASELINE!$A1609:$ZZ1609,CALC!$P$1))))=INT(SIMOPS!$D$3),IFERROR(UPPER(TRIM(INDEX(BASELINE!$A1609:$ZZ1609,CALC!$R$1)&amp;"")),"")&lt;&gt;"ENCERRADA"),1,0),0)</f>
        <v/>
      </c>
      <c r="B1609">
        <f>B1608+A1609</f>
        <v/>
      </c>
    </row>
    <row r="1610">
      <c r="A1610">
        <f>IFERROR(IF(AND(INDEX(BASELINE!$A1610:$ZZ1610,CALC!$H$1)&lt;&gt;"",INT(IF(AND(CALC!$F$1&gt;0,N(INDEX(BASELINE!$A1610:$ZZ1610,CALC!$F$1))&gt;0),N(INDEX(BASELINE!$A1610:$ZZ1610,CALC!$F$1)),N(INDEX(BASELINE!$A1610:$ZZ1610,CALC!$P$1))))=INT(SIMOPS!$D$3),IFERROR(UPPER(TRIM(INDEX(BASELINE!$A1610:$ZZ1610,CALC!$R$1)&amp;"")),"")&lt;&gt;"ENCERRADA"),1,0),0)</f>
        <v/>
      </c>
      <c r="B1610">
        <f>B1609+A1610</f>
        <v/>
      </c>
    </row>
    <row r="1611">
      <c r="A1611">
        <f>IFERROR(IF(AND(INDEX(BASELINE!$A1611:$ZZ1611,CALC!$H$1)&lt;&gt;"",INT(IF(AND(CALC!$F$1&gt;0,N(INDEX(BASELINE!$A1611:$ZZ1611,CALC!$F$1))&gt;0),N(INDEX(BASELINE!$A1611:$ZZ1611,CALC!$F$1)),N(INDEX(BASELINE!$A1611:$ZZ1611,CALC!$P$1))))=INT(SIMOPS!$D$3),IFERROR(UPPER(TRIM(INDEX(BASELINE!$A1611:$ZZ1611,CALC!$R$1)&amp;"")),"")&lt;&gt;"ENCERRADA"),1,0),0)</f>
        <v/>
      </c>
      <c r="B1611">
        <f>B1610+A1611</f>
        <v/>
      </c>
    </row>
    <row r="1612">
      <c r="A1612">
        <f>IFERROR(IF(AND(INDEX(BASELINE!$A1612:$ZZ1612,CALC!$H$1)&lt;&gt;"",INT(IF(AND(CALC!$F$1&gt;0,N(INDEX(BASELINE!$A1612:$ZZ1612,CALC!$F$1))&gt;0),N(INDEX(BASELINE!$A1612:$ZZ1612,CALC!$F$1)),N(INDEX(BASELINE!$A1612:$ZZ1612,CALC!$P$1))))=INT(SIMOPS!$D$3),IFERROR(UPPER(TRIM(INDEX(BASELINE!$A1612:$ZZ1612,CALC!$R$1)&amp;"")),"")&lt;&gt;"ENCERRADA"),1,0),0)</f>
        <v/>
      </c>
      <c r="B1612">
        <f>B1611+A1612</f>
        <v/>
      </c>
    </row>
    <row r="1613">
      <c r="A1613">
        <f>IFERROR(IF(AND(INDEX(BASELINE!$A1613:$ZZ1613,CALC!$H$1)&lt;&gt;"",INT(IF(AND(CALC!$F$1&gt;0,N(INDEX(BASELINE!$A1613:$ZZ1613,CALC!$F$1))&gt;0),N(INDEX(BASELINE!$A1613:$ZZ1613,CALC!$F$1)),N(INDEX(BASELINE!$A1613:$ZZ1613,CALC!$P$1))))=INT(SIMOPS!$D$3),IFERROR(UPPER(TRIM(INDEX(BASELINE!$A1613:$ZZ1613,CALC!$R$1)&amp;"")),"")&lt;&gt;"ENCERRADA"),1,0),0)</f>
        <v/>
      </c>
      <c r="B1613">
        <f>B1612+A1613</f>
        <v/>
      </c>
    </row>
    <row r="1614">
      <c r="A1614">
        <f>IFERROR(IF(AND(INDEX(BASELINE!$A1614:$ZZ1614,CALC!$H$1)&lt;&gt;"",INT(IF(AND(CALC!$F$1&gt;0,N(INDEX(BASELINE!$A1614:$ZZ1614,CALC!$F$1))&gt;0),N(INDEX(BASELINE!$A1614:$ZZ1614,CALC!$F$1)),N(INDEX(BASELINE!$A1614:$ZZ1614,CALC!$P$1))))=INT(SIMOPS!$D$3),IFERROR(UPPER(TRIM(INDEX(BASELINE!$A1614:$ZZ1614,CALC!$R$1)&amp;"")),"")&lt;&gt;"ENCERRADA"),1,0),0)</f>
        <v/>
      </c>
      <c r="B1614">
        <f>B1613+A1614</f>
        <v/>
      </c>
    </row>
    <row r="1615">
      <c r="A1615">
        <f>IFERROR(IF(AND(INDEX(BASELINE!$A1615:$ZZ1615,CALC!$H$1)&lt;&gt;"",INT(IF(AND(CALC!$F$1&gt;0,N(INDEX(BASELINE!$A1615:$ZZ1615,CALC!$F$1))&gt;0),N(INDEX(BASELINE!$A1615:$ZZ1615,CALC!$F$1)),N(INDEX(BASELINE!$A1615:$ZZ1615,CALC!$P$1))))=INT(SIMOPS!$D$3),IFERROR(UPPER(TRIM(INDEX(BASELINE!$A1615:$ZZ1615,CALC!$R$1)&amp;"")),"")&lt;&gt;"ENCERRADA"),1,0),0)</f>
        <v/>
      </c>
      <c r="B1615">
        <f>B1614+A1615</f>
        <v/>
      </c>
    </row>
    <row r="1616">
      <c r="A1616">
        <f>IFERROR(IF(AND(INDEX(BASELINE!$A1616:$ZZ1616,CALC!$H$1)&lt;&gt;"",INT(IF(AND(CALC!$F$1&gt;0,N(INDEX(BASELINE!$A1616:$ZZ1616,CALC!$F$1))&gt;0),N(INDEX(BASELINE!$A1616:$ZZ1616,CALC!$F$1)),N(INDEX(BASELINE!$A1616:$ZZ1616,CALC!$P$1))))=INT(SIMOPS!$D$3),IFERROR(UPPER(TRIM(INDEX(BASELINE!$A1616:$ZZ1616,CALC!$R$1)&amp;"")),"")&lt;&gt;"ENCERRADA"),1,0),0)</f>
        <v/>
      </c>
      <c r="B1616">
        <f>B1615+A1616</f>
        <v/>
      </c>
    </row>
    <row r="1617">
      <c r="A1617">
        <f>IFERROR(IF(AND(INDEX(BASELINE!$A1617:$ZZ1617,CALC!$H$1)&lt;&gt;"",INT(IF(AND(CALC!$F$1&gt;0,N(INDEX(BASELINE!$A1617:$ZZ1617,CALC!$F$1))&gt;0),N(INDEX(BASELINE!$A1617:$ZZ1617,CALC!$F$1)),N(INDEX(BASELINE!$A1617:$ZZ1617,CALC!$P$1))))=INT(SIMOPS!$D$3),IFERROR(UPPER(TRIM(INDEX(BASELINE!$A1617:$ZZ1617,CALC!$R$1)&amp;"")),"")&lt;&gt;"ENCERRADA"),1,0),0)</f>
        <v/>
      </c>
      <c r="B1617">
        <f>B1616+A1617</f>
        <v/>
      </c>
    </row>
    <row r="1618">
      <c r="A1618">
        <f>IFERROR(IF(AND(INDEX(BASELINE!$A1618:$ZZ1618,CALC!$H$1)&lt;&gt;"",INT(IF(AND(CALC!$F$1&gt;0,N(INDEX(BASELINE!$A1618:$ZZ1618,CALC!$F$1))&gt;0),N(INDEX(BASELINE!$A1618:$ZZ1618,CALC!$F$1)),N(INDEX(BASELINE!$A1618:$ZZ1618,CALC!$P$1))))=INT(SIMOPS!$D$3),IFERROR(UPPER(TRIM(INDEX(BASELINE!$A1618:$ZZ1618,CALC!$R$1)&amp;"")),"")&lt;&gt;"ENCERRADA"),1,0),0)</f>
        <v/>
      </c>
      <c r="B1618">
        <f>B1617+A1618</f>
        <v/>
      </c>
    </row>
    <row r="1619">
      <c r="A1619">
        <f>IFERROR(IF(AND(INDEX(BASELINE!$A1619:$ZZ1619,CALC!$H$1)&lt;&gt;"",INT(IF(AND(CALC!$F$1&gt;0,N(INDEX(BASELINE!$A1619:$ZZ1619,CALC!$F$1))&gt;0),N(INDEX(BASELINE!$A1619:$ZZ1619,CALC!$F$1)),N(INDEX(BASELINE!$A1619:$ZZ1619,CALC!$P$1))))=INT(SIMOPS!$D$3),IFERROR(UPPER(TRIM(INDEX(BASELINE!$A1619:$ZZ1619,CALC!$R$1)&amp;"")),"")&lt;&gt;"ENCERRADA"),1,0),0)</f>
        <v/>
      </c>
      <c r="B1619">
        <f>B1618+A1619</f>
        <v/>
      </c>
    </row>
    <row r="1620">
      <c r="A1620">
        <f>IFERROR(IF(AND(INDEX(BASELINE!$A1620:$ZZ1620,CALC!$H$1)&lt;&gt;"",INT(IF(AND(CALC!$F$1&gt;0,N(INDEX(BASELINE!$A1620:$ZZ1620,CALC!$F$1))&gt;0),N(INDEX(BASELINE!$A1620:$ZZ1620,CALC!$F$1)),N(INDEX(BASELINE!$A1620:$ZZ1620,CALC!$P$1))))=INT(SIMOPS!$D$3),IFERROR(UPPER(TRIM(INDEX(BASELINE!$A1620:$ZZ1620,CALC!$R$1)&amp;"")),"")&lt;&gt;"ENCERRADA"),1,0),0)</f>
        <v/>
      </c>
      <c r="B1620">
        <f>B1619+A1620</f>
        <v/>
      </c>
    </row>
    <row r="1621">
      <c r="A1621">
        <f>IFERROR(IF(AND(INDEX(BASELINE!$A1621:$ZZ1621,CALC!$H$1)&lt;&gt;"",INT(IF(AND(CALC!$F$1&gt;0,N(INDEX(BASELINE!$A1621:$ZZ1621,CALC!$F$1))&gt;0),N(INDEX(BASELINE!$A1621:$ZZ1621,CALC!$F$1)),N(INDEX(BASELINE!$A1621:$ZZ1621,CALC!$P$1))))=INT(SIMOPS!$D$3),IFERROR(UPPER(TRIM(INDEX(BASELINE!$A1621:$ZZ1621,CALC!$R$1)&amp;"")),"")&lt;&gt;"ENCERRADA"),1,0),0)</f>
        <v/>
      </c>
      <c r="B1621">
        <f>B1620+A1621</f>
        <v/>
      </c>
    </row>
    <row r="1622">
      <c r="A1622">
        <f>IFERROR(IF(AND(INDEX(BASELINE!$A1622:$ZZ1622,CALC!$H$1)&lt;&gt;"",INT(IF(AND(CALC!$F$1&gt;0,N(INDEX(BASELINE!$A1622:$ZZ1622,CALC!$F$1))&gt;0),N(INDEX(BASELINE!$A1622:$ZZ1622,CALC!$F$1)),N(INDEX(BASELINE!$A1622:$ZZ1622,CALC!$P$1))))=INT(SIMOPS!$D$3),IFERROR(UPPER(TRIM(INDEX(BASELINE!$A1622:$ZZ1622,CALC!$R$1)&amp;"")),"")&lt;&gt;"ENCERRADA"),1,0),0)</f>
        <v/>
      </c>
      <c r="B1622">
        <f>B1621+A1622</f>
        <v/>
      </c>
    </row>
    <row r="1623">
      <c r="A1623">
        <f>IFERROR(IF(AND(INDEX(BASELINE!$A1623:$ZZ1623,CALC!$H$1)&lt;&gt;"",INT(IF(AND(CALC!$F$1&gt;0,N(INDEX(BASELINE!$A1623:$ZZ1623,CALC!$F$1))&gt;0),N(INDEX(BASELINE!$A1623:$ZZ1623,CALC!$F$1)),N(INDEX(BASELINE!$A1623:$ZZ1623,CALC!$P$1))))=INT(SIMOPS!$D$3),IFERROR(UPPER(TRIM(INDEX(BASELINE!$A1623:$ZZ1623,CALC!$R$1)&amp;"")),"")&lt;&gt;"ENCERRADA"),1,0),0)</f>
        <v/>
      </c>
      <c r="B1623">
        <f>B1622+A1623</f>
        <v/>
      </c>
    </row>
    <row r="1624">
      <c r="A1624">
        <f>IFERROR(IF(AND(INDEX(BASELINE!$A1624:$ZZ1624,CALC!$H$1)&lt;&gt;"",INT(IF(AND(CALC!$F$1&gt;0,N(INDEX(BASELINE!$A1624:$ZZ1624,CALC!$F$1))&gt;0),N(INDEX(BASELINE!$A1624:$ZZ1624,CALC!$F$1)),N(INDEX(BASELINE!$A1624:$ZZ1624,CALC!$P$1))))=INT(SIMOPS!$D$3),IFERROR(UPPER(TRIM(INDEX(BASELINE!$A1624:$ZZ1624,CALC!$R$1)&amp;"")),"")&lt;&gt;"ENCERRADA"),1,0),0)</f>
        <v/>
      </c>
      <c r="B1624">
        <f>B1623+A1624</f>
        <v/>
      </c>
    </row>
    <row r="1625">
      <c r="A1625">
        <f>IFERROR(IF(AND(INDEX(BASELINE!$A1625:$ZZ1625,CALC!$H$1)&lt;&gt;"",INT(IF(AND(CALC!$F$1&gt;0,N(INDEX(BASELINE!$A1625:$ZZ1625,CALC!$F$1))&gt;0),N(INDEX(BASELINE!$A1625:$ZZ1625,CALC!$F$1)),N(INDEX(BASELINE!$A1625:$ZZ1625,CALC!$P$1))))=INT(SIMOPS!$D$3),IFERROR(UPPER(TRIM(INDEX(BASELINE!$A1625:$ZZ1625,CALC!$R$1)&amp;"")),"")&lt;&gt;"ENCERRADA"),1,0),0)</f>
        <v/>
      </c>
      <c r="B1625">
        <f>B1624+A1625</f>
        <v/>
      </c>
    </row>
    <row r="1626">
      <c r="A1626">
        <f>IFERROR(IF(AND(INDEX(BASELINE!$A1626:$ZZ1626,CALC!$H$1)&lt;&gt;"",INT(IF(AND(CALC!$F$1&gt;0,N(INDEX(BASELINE!$A1626:$ZZ1626,CALC!$F$1))&gt;0),N(INDEX(BASELINE!$A1626:$ZZ1626,CALC!$F$1)),N(INDEX(BASELINE!$A1626:$ZZ1626,CALC!$P$1))))=INT(SIMOPS!$D$3),IFERROR(UPPER(TRIM(INDEX(BASELINE!$A1626:$ZZ1626,CALC!$R$1)&amp;"")),"")&lt;&gt;"ENCERRADA"),1,0),0)</f>
        <v/>
      </c>
      <c r="B1626">
        <f>B1625+A1626</f>
        <v/>
      </c>
    </row>
    <row r="1627">
      <c r="A1627">
        <f>IFERROR(IF(AND(INDEX(BASELINE!$A1627:$ZZ1627,CALC!$H$1)&lt;&gt;"",INT(IF(AND(CALC!$F$1&gt;0,N(INDEX(BASELINE!$A1627:$ZZ1627,CALC!$F$1))&gt;0),N(INDEX(BASELINE!$A1627:$ZZ1627,CALC!$F$1)),N(INDEX(BASELINE!$A1627:$ZZ1627,CALC!$P$1))))=INT(SIMOPS!$D$3),IFERROR(UPPER(TRIM(INDEX(BASELINE!$A1627:$ZZ1627,CALC!$R$1)&amp;"")),"")&lt;&gt;"ENCERRADA"),1,0),0)</f>
        <v/>
      </c>
      <c r="B1627">
        <f>B1626+A1627</f>
        <v/>
      </c>
    </row>
    <row r="1628">
      <c r="A1628">
        <f>IFERROR(IF(AND(INDEX(BASELINE!$A1628:$ZZ1628,CALC!$H$1)&lt;&gt;"",INT(IF(AND(CALC!$F$1&gt;0,N(INDEX(BASELINE!$A1628:$ZZ1628,CALC!$F$1))&gt;0),N(INDEX(BASELINE!$A1628:$ZZ1628,CALC!$F$1)),N(INDEX(BASELINE!$A1628:$ZZ1628,CALC!$P$1))))=INT(SIMOPS!$D$3),IFERROR(UPPER(TRIM(INDEX(BASELINE!$A1628:$ZZ1628,CALC!$R$1)&amp;"")),"")&lt;&gt;"ENCERRADA"),1,0),0)</f>
        <v/>
      </c>
      <c r="B1628">
        <f>B1627+A1628</f>
        <v/>
      </c>
    </row>
    <row r="1629">
      <c r="A1629">
        <f>IFERROR(IF(AND(INDEX(BASELINE!$A1629:$ZZ1629,CALC!$H$1)&lt;&gt;"",INT(IF(AND(CALC!$F$1&gt;0,N(INDEX(BASELINE!$A1629:$ZZ1629,CALC!$F$1))&gt;0),N(INDEX(BASELINE!$A1629:$ZZ1629,CALC!$F$1)),N(INDEX(BASELINE!$A1629:$ZZ1629,CALC!$P$1))))=INT(SIMOPS!$D$3),IFERROR(UPPER(TRIM(INDEX(BASELINE!$A1629:$ZZ1629,CALC!$R$1)&amp;"")),"")&lt;&gt;"ENCERRADA"),1,0),0)</f>
        <v/>
      </c>
      <c r="B1629">
        <f>B1628+A1629</f>
        <v/>
      </c>
    </row>
    <row r="1630">
      <c r="A1630">
        <f>IFERROR(IF(AND(INDEX(BASELINE!$A1630:$ZZ1630,CALC!$H$1)&lt;&gt;"",INT(IF(AND(CALC!$F$1&gt;0,N(INDEX(BASELINE!$A1630:$ZZ1630,CALC!$F$1))&gt;0),N(INDEX(BASELINE!$A1630:$ZZ1630,CALC!$F$1)),N(INDEX(BASELINE!$A1630:$ZZ1630,CALC!$P$1))))=INT(SIMOPS!$D$3),IFERROR(UPPER(TRIM(INDEX(BASELINE!$A1630:$ZZ1630,CALC!$R$1)&amp;"")),"")&lt;&gt;"ENCERRADA"),1,0),0)</f>
        <v/>
      </c>
      <c r="B1630">
        <f>B1629+A1630</f>
        <v/>
      </c>
    </row>
    <row r="1631">
      <c r="A1631">
        <f>IFERROR(IF(AND(INDEX(BASELINE!$A1631:$ZZ1631,CALC!$H$1)&lt;&gt;"",INT(IF(AND(CALC!$F$1&gt;0,N(INDEX(BASELINE!$A1631:$ZZ1631,CALC!$F$1))&gt;0),N(INDEX(BASELINE!$A1631:$ZZ1631,CALC!$F$1)),N(INDEX(BASELINE!$A1631:$ZZ1631,CALC!$P$1))))=INT(SIMOPS!$D$3),IFERROR(UPPER(TRIM(INDEX(BASELINE!$A1631:$ZZ1631,CALC!$R$1)&amp;"")),"")&lt;&gt;"ENCERRADA"),1,0),0)</f>
        <v/>
      </c>
      <c r="B1631">
        <f>B1630+A1631</f>
        <v/>
      </c>
    </row>
    <row r="1632">
      <c r="A1632">
        <f>IFERROR(IF(AND(INDEX(BASELINE!$A1632:$ZZ1632,CALC!$H$1)&lt;&gt;"",INT(IF(AND(CALC!$F$1&gt;0,N(INDEX(BASELINE!$A1632:$ZZ1632,CALC!$F$1))&gt;0),N(INDEX(BASELINE!$A1632:$ZZ1632,CALC!$F$1)),N(INDEX(BASELINE!$A1632:$ZZ1632,CALC!$P$1))))=INT(SIMOPS!$D$3),IFERROR(UPPER(TRIM(INDEX(BASELINE!$A1632:$ZZ1632,CALC!$R$1)&amp;"")),"")&lt;&gt;"ENCERRADA"),1,0),0)</f>
        <v/>
      </c>
      <c r="B1632">
        <f>B1631+A1632</f>
        <v/>
      </c>
    </row>
    <row r="1633">
      <c r="A1633">
        <f>IFERROR(IF(AND(INDEX(BASELINE!$A1633:$ZZ1633,CALC!$H$1)&lt;&gt;"",INT(IF(AND(CALC!$F$1&gt;0,N(INDEX(BASELINE!$A1633:$ZZ1633,CALC!$F$1))&gt;0),N(INDEX(BASELINE!$A1633:$ZZ1633,CALC!$F$1)),N(INDEX(BASELINE!$A1633:$ZZ1633,CALC!$P$1))))=INT(SIMOPS!$D$3),IFERROR(UPPER(TRIM(INDEX(BASELINE!$A1633:$ZZ1633,CALC!$R$1)&amp;"")),"")&lt;&gt;"ENCERRADA"),1,0),0)</f>
        <v/>
      </c>
      <c r="B1633">
        <f>B1632+A1633</f>
        <v/>
      </c>
    </row>
    <row r="1634">
      <c r="A1634">
        <f>IFERROR(IF(AND(INDEX(BASELINE!$A1634:$ZZ1634,CALC!$H$1)&lt;&gt;"",INT(IF(AND(CALC!$F$1&gt;0,N(INDEX(BASELINE!$A1634:$ZZ1634,CALC!$F$1))&gt;0),N(INDEX(BASELINE!$A1634:$ZZ1634,CALC!$F$1)),N(INDEX(BASELINE!$A1634:$ZZ1634,CALC!$P$1))))=INT(SIMOPS!$D$3),IFERROR(UPPER(TRIM(INDEX(BASELINE!$A1634:$ZZ1634,CALC!$R$1)&amp;"")),"")&lt;&gt;"ENCERRADA"),1,0),0)</f>
        <v/>
      </c>
      <c r="B1634">
        <f>B1633+A1634</f>
        <v/>
      </c>
    </row>
    <row r="1635">
      <c r="A1635">
        <f>IFERROR(IF(AND(INDEX(BASELINE!$A1635:$ZZ1635,CALC!$H$1)&lt;&gt;"",INT(IF(AND(CALC!$F$1&gt;0,N(INDEX(BASELINE!$A1635:$ZZ1635,CALC!$F$1))&gt;0),N(INDEX(BASELINE!$A1635:$ZZ1635,CALC!$F$1)),N(INDEX(BASELINE!$A1635:$ZZ1635,CALC!$P$1))))=INT(SIMOPS!$D$3),IFERROR(UPPER(TRIM(INDEX(BASELINE!$A1635:$ZZ1635,CALC!$R$1)&amp;"")),"")&lt;&gt;"ENCERRADA"),1,0),0)</f>
        <v/>
      </c>
      <c r="B1635">
        <f>B1634+A1635</f>
        <v/>
      </c>
    </row>
    <row r="1636">
      <c r="A1636">
        <f>IFERROR(IF(AND(INDEX(BASELINE!$A1636:$ZZ1636,CALC!$H$1)&lt;&gt;"",INT(IF(AND(CALC!$F$1&gt;0,N(INDEX(BASELINE!$A1636:$ZZ1636,CALC!$F$1))&gt;0),N(INDEX(BASELINE!$A1636:$ZZ1636,CALC!$F$1)),N(INDEX(BASELINE!$A1636:$ZZ1636,CALC!$P$1))))=INT(SIMOPS!$D$3),IFERROR(UPPER(TRIM(INDEX(BASELINE!$A1636:$ZZ1636,CALC!$R$1)&amp;"")),"")&lt;&gt;"ENCERRADA"),1,0),0)</f>
        <v/>
      </c>
      <c r="B1636">
        <f>B1635+A1636</f>
        <v/>
      </c>
    </row>
    <row r="1637">
      <c r="A1637">
        <f>IFERROR(IF(AND(INDEX(BASELINE!$A1637:$ZZ1637,CALC!$H$1)&lt;&gt;"",INT(IF(AND(CALC!$F$1&gt;0,N(INDEX(BASELINE!$A1637:$ZZ1637,CALC!$F$1))&gt;0),N(INDEX(BASELINE!$A1637:$ZZ1637,CALC!$F$1)),N(INDEX(BASELINE!$A1637:$ZZ1637,CALC!$P$1))))=INT(SIMOPS!$D$3),IFERROR(UPPER(TRIM(INDEX(BASELINE!$A1637:$ZZ1637,CALC!$R$1)&amp;"")),"")&lt;&gt;"ENCERRADA"),1,0),0)</f>
        <v/>
      </c>
      <c r="B1637">
        <f>B1636+A1637</f>
        <v/>
      </c>
    </row>
    <row r="1638">
      <c r="A1638">
        <f>IFERROR(IF(AND(INDEX(BASELINE!$A1638:$ZZ1638,CALC!$H$1)&lt;&gt;"",INT(IF(AND(CALC!$F$1&gt;0,N(INDEX(BASELINE!$A1638:$ZZ1638,CALC!$F$1))&gt;0),N(INDEX(BASELINE!$A1638:$ZZ1638,CALC!$F$1)),N(INDEX(BASELINE!$A1638:$ZZ1638,CALC!$P$1))))=INT(SIMOPS!$D$3),IFERROR(UPPER(TRIM(INDEX(BASELINE!$A1638:$ZZ1638,CALC!$R$1)&amp;"")),"")&lt;&gt;"ENCERRADA"),1,0),0)</f>
        <v/>
      </c>
      <c r="B1638">
        <f>B1637+A1638</f>
        <v/>
      </c>
    </row>
    <row r="1639">
      <c r="A1639">
        <f>IFERROR(IF(AND(INDEX(BASELINE!$A1639:$ZZ1639,CALC!$H$1)&lt;&gt;"",INT(IF(AND(CALC!$F$1&gt;0,N(INDEX(BASELINE!$A1639:$ZZ1639,CALC!$F$1))&gt;0),N(INDEX(BASELINE!$A1639:$ZZ1639,CALC!$F$1)),N(INDEX(BASELINE!$A1639:$ZZ1639,CALC!$P$1))))=INT(SIMOPS!$D$3),IFERROR(UPPER(TRIM(INDEX(BASELINE!$A1639:$ZZ1639,CALC!$R$1)&amp;"")),"")&lt;&gt;"ENCERRADA"),1,0),0)</f>
        <v/>
      </c>
      <c r="B1639">
        <f>B1638+A1639</f>
        <v/>
      </c>
    </row>
    <row r="1640">
      <c r="A1640">
        <f>IFERROR(IF(AND(INDEX(BASELINE!$A1640:$ZZ1640,CALC!$H$1)&lt;&gt;"",INT(IF(AND(CALC!$F$1&gt;0,N(INDEX(BASELINE!$A1640:$ZZ1640,CALC!$F$1))&gt;0),N(INDEX(BASELINE!$A1640:$ZZ1640,CALC!$F$1)),N(INDEX(BASELINE!$A1640:$ZZ1640,CALC!$P$1))))=INT(SIMOPS!$D$3),IFERROR(UPPER(TRIM(INDEX(BASELINE!$A1640:$ZZ1640,CALC!$R$1)&amp;"")),"")&lt;&gt;"ENCERRADA"),1,0),0)</f>
        <v/>
      </c>
      <c r="B1640">
        <f>B1639+A1640</f>
        <v/>
      </c>
    </row>
    <row r="1641">
      <c r="A1641">
        <f>IFERROR(IF(AND(INDEX(BASELINE!$A1641:$ZZ1641,CALC!$H$1)&lt;&gt;"",INT(IF(AND(CALC!$F$1&gt;0,N(INDEX(BASELINE!$A1641:$ZZ1641,CALC!$F$1))&gt;0),N(INDEX(BASELINE!$A1641:$ZZ1641,CALC!$F$1)),N(INDEX(BASELINE!$A1641:$ZZ1641,CALC!$P$1))))=INT(SIMOPS!$D$3),IFERROR(UPPER(TRIM(INDEX(BASELINE!$A1641:$ZZ1641,CALC!$R$1)&amp;"")),"")&lt;&gt;"ENCERRADA"),1,0),0)</f>
        <v/>
      </c>
      <c r="B1641">
        <f>B1640+A1641</f>
        <v/>
      </c>
    </row>
    <row r="1642">
      <c r="A1642">
        <f>IFERROR(IF(AND(INDEX(BASELINE!$A1642:$ZZ1642,CALC!$H$1)&lt;&gt;"",INT(IF(AND(CALC!$F$1&gt;0,N(INDEX(BASELINE!$A1642:$ZZ1642,CALC!$F$1))&gt;0),N(INDEX(BASELINE!$A1642:$ZZ1642,CALC!$F$1)),N(INDEX(BASELINE!$A1642:$ZZ1642,CALC!$P$1))))=INT(SIMOPS!$D$3),IFERROR(UPPER(TRIM(INDEX(BASELINE!$A1642:$ZZ1642,CALC!$R$1)&amp;"")),"")&lt;&gt;"ENCERRADA"),1,0),0)</f>
        <v/>
      </c>
      <c r="B1642">
        <f>B1641+A1642</f>
        <v/>
      </c>
    </row>
    <row r="1643">
      <c r="A1643">
        <f>IFERROR(IF(AND(INDEX(BASELINE!$A1643:$ZZ1643,CALC!$H$1)&lt;&gt;"",INT(IF(AND(CALC!$F$1&gt;0,N(INDEX(BASELINE!$A1643:$ZZ1643,CALC!$F$1))&gt;0),N(INDEX(BASELINE!$A1643:$ZZ1643,CALC!$F$1)),N(INDEX(BASELINE!$A1643:$ZZ1643,CALC!$P$1))))=INT(SIMOPS!$D$3),IFERROR(UPPER(TRIM(INDEX(BASELINE!$A1643:$ZZ1643,CALC!$R$1)&amp;"")),"")&lt;&gt;"ENCERRADA"),1,0),0)</f>
        <v/>
      </c>
      <c r="B1643">
        <f>B1642+A1643</f>
        <v/>
      </c>
    </row>
    <row r="1644">
      <c r="A1644">
        <f>IFERROR(IF(AND(INDEX(BASELINE!$A1644:$ZZ1644,CALC!$H$1)&lt;&gt;"",INT(IF(AND(CALC!$F$1&gt;0,N(INDEX(BASELINE!$A1644:$ZZ1644,CALC!$F$1))&gt;0),N(INDEX(BASELINE!$A1644:$ZZ1644,CALC!$F$1)),N(INDEX(BASELINE!$A1644:$ZZ1644,CALC!$P$1))))=INT(SIMOPS!$D$3),IFERROR(UPPER(TRIM(INDEX(BASELINE!$A1644:$ZZ1644,CALC!$R$1)&amp;"")),"")&lt;&gt;"ENCERRADA"),1,0),0)</f>
        <v/>
      </c>
      <c r="B1644">
        <f>B1643+A1644</f>
        <v/>
      </c>
    </row>
    <row r="1645">
      <c r="A1645">
        <f>IFERROR(IF(AND(INDEX(BASELINE!$A1645:$ZZ1645,CALC!$H$1)&lt;&gt;"",INT(IF(AND(CALC!$F$1&gt;0,N(INDEX(BASELINE!$A1645:$ZZ1645,CALC!$F$1))&gt;0),N(INDEX(BASELINE!$A1645:$ZZ1645,CALC!$F$1)),N(INDEX(BASELINE!$A1645:$ZZ1645,CALC!$P$1))))=INT(SIMOPS!$D$3),IFERROR(UPPER(TRIM(INDEX(BASELINE!$A1645:$ZZ1645,CALC!$R$1)&amp;"")),"")&lt;&gt;"ENCERRADA"),1,0),0)</f>
        <v/>
      </c>
      <c r="B1645">
        <f>B1644+A1645</f>
        <v/>
      </c>
    </row>
    <row r="1646">
      <c r="A1646">
        <f>IFERROR(IF(AND(INDEX(BASELINE!$A1646:$ZZ1646,CALC!$H$1)&lt;&gt;"",INT(IF(AND(CALC!$F$1&gt;0,N(INDEX(BASELINE!$A1646:$ZZ1646,CALC!$F$1))&gt;0),N(INDEX(BASELINE!$A1646:$ZZ1646,CALC!$F$1)),N(INDEX(BASELINE!$A1646:$ZZ1646,CALC!$P$1))))=INT(SIMOPS!$D$3),IFERROR(UPPER(TRIM(INDEX(BASELINE!$A1646:$ZZ1646,CALC!$R$1)&amp;"")),"")&lt;&gt;"ENCERRADA"),1,0),0)</f>
        <v/>
      </c>
      <c r="B1646">
        <f>B1645+A1646</f>
        <v/>
      </c>
    </row>
    <row r="1647">
      <c r="A1647">
        <f>IFERROR(IF(AND(INDEX(BASELINE!$A1647:$ZZ1647,CALC!$H$1)&lt;&gt;"",INT(IF(AND(CALC!$F$1&gt;0,N(INDEX(BASELINE!$A1647:$ZZ1647,CALC!$F$1))&gt;0),N(INDEX(BASELINE!$A1647:$ZZ1647,CALC!$F$1)),N(INDEX(BASELINE!$A1647:$ZZ1647,CALC!$P$1))))=INT(SIMOPS!$D$3),IFERROR(UPPER(TRIM(INDEX(BASELINE!$A1647:$ZZ1647,CALC!$R$1)&amp;"")),"")&lt;&gt;"ENCERRADA"),1,0),0)</f>
        <v/>
      </c>
      <c r="B1647">
        <f>B1646+A1647</f>
        <v/>
      </c>
    </row>
    <row r="1648">
      <c r="A1648">
        <f>IFERROR(IF(AND(INDEX(BASELINE!$A1648:$ZZ1648,CALC!$H$1)&lt;&gt;"",INT(IF(AND(CALC!$F$1&gt;0,N(INDEX(BASELINE!$A1648:$ZZ1648,CALC!$F$1))&gt;0),N(INDEX(BASELINE!$A1648:$ZZ1648,CALC!$F$1)),N(INDEX(BASELINE!$A1648:$ZZ1648,CALC!$P$1))))=INT(SIMOPS!$D$3),IFERROR(UPPER(TRIM(INDEX(BASELINE!$A1648:$ZZ1648,CALC!$R$1)&amp;"")),"")&lt;&gt;"ENCERRADA"),1,0),0)</f>
        <v/>
      </c>
      <c r="B1648">
        <f>B1647+A1648</f>
        <v/>
      </c>
    </row>
    <row r="1649">
      <c r="A1649">
        <f>IFERROR(IF(AND(INDEX(BASELINE!$A1649:$ZZ1649,CALC!$H$1)&lt;&gt;"",INT(IF(AND(CALC!$F$1&gt;0,N(INDEX(BASELINE!$A1649:$ZZ1649,CALC!$F$1))&gt;0),N(INDEX(BASELINE!$A1649:$ZZ1649,CALC!$F$1)),N(INDEX(BASELINE!$A1649:$ZZ1649,CALC!$P$1))))=INT(SIMOPS!$D$3),IFERROR(UPPER(TRIM(INDEX(BASELINE!$A1649:$ZZ1649,CALC!$R$1)&amp;"")),"")&lt;&gt;"ENCERRADA"),1,0),0)</f>
        <v/>
      </c>
      <c r="B1649">
        <f>B1648+A1649</f>
        <v/>
      </c>
    </row>
    <row r="1650">
      <c r="A1650">
        <f>IFERROR(IF(AND(INDEX(BASELINE!$A1650:$ZZ1650,CALC!$H$1)&lt;&gt;"",INT(IF(AND(CALC!$F$1&gt;0,N(INDEX(BASELINE!$A1650:$ZZ1650,CALC!$F$1))&gt;0),N(INDEX(BASELINE!$A1650:$ZZ1650,CALC!$F$1)),N(INDEX(BASELINE!$A1650:$ZZ1650,CALC!$P$1))))=INT(SIMOPS!$D$3),IFERROR(UPPER(TRIM(INDEX(BASELINE!$A1650:$ZZ1650,CALC!$R$1)&amp;"")),"")&lt;&gt;"ENCERRADA"),1,0),0)</f>
        <v/>
      </c>
      <c r="B1650">
        <f>B1649+A1650</f>
        <v/>
      </c>
    </row>
    <row r="1651">
      <c r="A1651">
        <f>IFERROR(IF(AND(INDEX(BASELINE!$A1651:$ZZ1651,CALC!$H$1)&lt;&gt;"",INT(IF(AND(CALC!$F$1&gt;0,N(INDEX(BASELINE!$A1651:$ZZ1651,CALC!$F$1))&gt;0),N(INDEX(BASELINE!$A1651:$ZZ1651,CALC!$F$1)),N(INDEX(BASELINE!$A1651:$ZZ1651,CALC!$P$1))))=INT(SIMOPS!$D$3),IFERROR(UPPER(TRIM(INDEX(BASELINE!$A1651:$ZZ1651,CALC!$R$1)&amp;"")),"")&lt;&gt;"ENCERRADA"),1,0),0)</f>
        <v/>
      </c>
      <c r="B1651">
        <f>B1650+A1651</f>
        <v/>
      </c>
    </row>
    <row r="1652">
      <c r="A1652">
        <f>IFERROR(IF(AND(INDEX(BASELINE!$A1652:$ZZ1652,CALC!$H$1)&lt;&gt;"",INT(IF(AND(CALC!$F$1&gt;0,N(INDEX(BASELINE!$A1652:$ZZ1652,CALC!$F$1))&gt;0),N(INDEX(BASELINE!$A1652:$ZZ1652,CALC!$F$1)),N(INDEX(BASELINE!$A1652:$ZZ1652,CALC!$P$1))))=INT(SIMOPS!$D$3),IFERROR(UPPER(TRIM(INDEX(BASELINE!$A1652:$ZZ1652,CALC!$R$1)&amp;"")),"")&lt;&gt;"ENCERRADA"),1,0),0)</f>
        <v/>
      </c>
      <c r="B1652">
        <f>B1651+A1652</f>
        <v/>
      </c>
    </row>
    <row r="1653">
      <c r="A1653">
        <f>IFERROR(IF(AND(INDEX(BASELINE!$A1653:$ZZ1653,CALC!$H$1)&lt;&gt;"",INT(IF(AND(CALC!$F$1&gt;0,N(INDEX(BASELINE!$A1653:$ZZ1653,CALC!$F$1))&gt;0),N(INDEX(BASELINE!$A1653:$ZZ1653,CALC!$F$1)),N(INDEX(BASELINE!$A1653:$ZZ1653,CALC!$P$1))))=INT(SIMOPS!$D$3),IFERROR(UPPER(TRIM(INDEX(BASELINE!$A1653:$ZZ1653,CALC!$R$1)&amp;"")),"")&lt;&gt;"ENCERRADA"),1,0),0)</f>
        <v/>
      </c>
      <c r="B1653">
        <f>B1652+A1653</f>
        <v/>
      </c>
    </row>
    <row r="1654">
      <c r="A1654">
        <f>IFERROR(IF(AND(INDEX(BASELINE!$A1654:$ZZ1654,CALC!$H$1)&lt;&gt;"",INT(IF(AND(CALC!$F$1&gt;0,N(INDEX(BASELINE!$A1654:$ZZ1654,CALC!$F$1))&gt;0),N(INDEX(BASELINE!$A1654:$ZZ1654,CALC!$F$1)),N(INDEX(BASELINE!$A1654:$ZZ1654,CALC!$P$1))))=INT(SIMOPS!$D$3),IFERROR(UPPER(TRIM(INDEX(BASELINE!$A1654:$ZZ1654,CALC!$R$1)&amp;"")),"")&lt;&gt;"ENCERRADA"),1,0),0)</f>
        <v/>
      </c>
      <c r="B1654">
        <f>B1653+A1654</f>
        <v/>
      </c>
    </row>
    <row r="1655">
      <c r="A1655">
        <f>IFERROR(IF(AND(INDEX(BASELINE!$A1655:$ZZ1655,CALC!$H$1)&lt;&gt;"",INT(IF(AND(CALC!$F$1&gt;0,N(INDEX(BASELINE!$A1655:$ZZ1655,CALC!$F$1))&gt;0),N(INDEX(BASELINE!$A1655:$ZZ1655,CALC!$F$1)),N(INDEX(BASELINE!$A1655:$ZZ1655,CALC!$P$1))))=INT(SIMOPS!$D$3),IFERROR(UPPER(TRIM(INDEX(BASELINE!$A1655:$ZZ1655,CALC!$R$1)&amp;"")),"")&lt;&gt;"ENCERRADA"),1,0),0)</f>
        <v/>
      </c>
      <c r="B1655">
        <f>B1654+A1655</f>
        <v/>
      </c>
    </row>
    <row r="1656">
      <c r="A1656">
        <f>IFERROR(IF(AND(INDEX(BASELINE!$A1656:$ZZ1656,CALC!$H$1)&lt;&gt;"",INT(IF(AND(CALC!$F$1&gt;0,N(INDEX(BASELINE!$A1656:$ZZ1656,CALC!$F$1))&gt;0),N(INDEX(BASELINE!$A1656:$ZZ1656,CALC!$F$1)),N(INDEX(BASELINE!$A1656:$ZZ1656,CALC!$P$1))))=INT(SIMOPS!$D$3),IFERROR(UPPER(TRIM(INDEX(BASELINE!$A1656:$ZZ1656,CALC!$R$1)&amp;"")),"")&lt;&gt;"ENCERRADA"),1,0),0)</f>
        <v/>
      </c>
      <c r="B1656">
        <f>B1655+A1656</f>
        <v/>
      </c>
    </row>
    <row r="1657">
      <c r="A1657">
        <f>IFERROR(IF(AND(INDEX(BASELINE!$A1657:$ZZ1657,CALC!$H$1)&lt;&gt;"",INT(IF(AND(CALC!$F$1&gt;0,N(INDEX(BASELINE!$A1657:$ZZ1657,CALC!$F$1))&gt;0),N(INDEX(BASELINE!$A1657:$ZZ1657,CALC!$F$1)),N(INDEX(BASELINE!$A1657:$ZZ1657,CALC!$P$1))))=INT(SIMOPS!$D$3),IFERROR(UPPER(TRIM(INDEX(BASELINE!$A1657:$ZZ1657,CALC!$R$1)&amp;"")),"")&lt;&gt;"ENCERRADA"),1,0),0)</f>
        <v/>
      </c>
      <c r="B1657">
        <f>B1656+A1657</f>
        <v/>
      </c>
    </row>
    <row r="1658">
      <c r="A1658">
        <f>IFERROR(IF(AND(INDEX(BASELINE!$A1658:$ZZ1658,CALC!$H$1)&lt;&gt;"",INT(IF(AND(CALC!$F$1&gt;0,N(INDEX(BASELINE!$A1658:$ZZ1658,CALC!$F$1))&gt;0),N(INDEX(BASELINE!$A1658:$ZZ1658,CALC!$F$1)),N(INDEX(BASELINE!$A1658:$ZZ1658,CALC!$P$1))))=INT(SIMOPS!$D$3),IFERROR(UPPER(TRIM(INDEX(BASELINE!$A1658:$ZZ1658,CALC!$R$1)&amp;"")),"")&lt;&gt;"ENCERRADA"),1,0),0)</f>
        <v/>
      </c>
      <c r="B1658">
        <f>B1657+A1658</f>
        <v/>
      </c>
    </row>
    <row r="1659">
      <c r="A1659">
        <f>IFERROR(IF(AND(INDEX(BASELINE!$A1659:$ZZ1659,CALC!$H$1)&lt;&gt;"",INT(IF(AND(CALC!$F$1&gt;0,N(INDEX(BASELINE!$A1659:$ZZ1659,CALC!$F$1))&gt;0),N(INDEX(BASELINE!$A1659:$ZZ1659,CALC!$F$1)),N(INDEX(BASELINE!$A1659:$ZZ1659,CALC!$P$1))))=INT(SIMOPS!$D$3),IFERROR(UPPER(TRIM(INDEX(BASELINE!$A1659:$ZZ1659,CALC!$R$1)&amp;"")),"")&lt;&gt;"ENCERRADA"),1,0),0)</f>
        <v/>
      </c>
      <c r="B1659">
        <f>B1658+A1659</f>
        <v/>
      </c>
    </row>
    <row r="1660">
      <c r="A1660">
        <f>IFERROR(IF(AND(INDEX(BASELINE!$A1660:$ZZ1660,CALC!$H$1)&lt;&gt;"",INT(IF(AND(CALC!$F$1&gt;0,N(INDEX(BASELINE!$A1660:$ZZ1660,CALC!$F$1))&gt;0),N(INDEX(BASELINE!$A1660:$ZZ1660,CALC!$F$1)),N(INDEX(BASELINE!$A1660:$ZZ1660,CALC!$P$1))))=INT(SIMOPS!$D$3),IFERROR(UPPER(TRIM(INDEX(BASELINE!$A1660:$ZZ1660,CALC!$R$1)&amp;"")),"")&lt;&gt;"ENCERRADA"),1,0),0)</f>
        <v/>
      </c>
      <c r="B1660">
        <f>B1659+A1660</f>
        <v/>
      </c>
    </row>
    <row r="1661">
      <c r="A1661">
        <f>IFERROR(IF(AND(INDEX(BASELINE!$A1661:$ZZ1661,CALC!$H$1)&lt;&gt;"",INT(IF(AND(CALC!$F$1&gt;0,N(INDEX(BASELINE!$A1661:$ZZ1661,CALC!$F$1))&gt;0),N(INDEX(BASELINE!$A1661:$ZZ1661,CALC!$F$1)),N(INDEX(BASELINE!$A1661:$ZZ1661,CALC!$P$1))))=INT(SIMOPS!$D$3),IFERROR(UPPER(TRIM(INDEX(BASELINE!$A1661:$ZZ1661,CALC!$R$1)&amp;"")),"")&lt;&gt;"ENCERRADA"),1,0),0)</f>
        <v/>
      </c>
      <c r="B1661">
        <f>B1660+A1661</f>
        <v/>
      </c>
    </row>
    <row r="1662">
      <c r="A1662">
        <f>IFERROR(IF(AND(INDEX(BASELINE!$A1662:$ZZ1662,CALC!$H$1)&lt;&gt;"",INT(IF(AND(CALC!$F$1&gt;0,N(INDEX(BASELINE!$A1662:$ZZ1662,CALC!$F$1))&gt;0),N(INDEX(BASELINE!$A1662:$ZZ1662,CALC!$F$1)),N(INDEX(BASELINE!$A1662:$ZZ1662,CALC!$P$1))))=INT(SIMOPS!$D$3),IFERROR(UPPER(TRIM(INDEX(BASELINE!$A1662:$ZZ1662,CALC!$R$1)&amp;"")),"")&lt;&gt;"ENCERRADA"),1,0),0)</f>
        <v/>
      </c>
      <c r="B1662">
        <f>B1661+A1662</f>
        <v/>
      </c>
    </row>
    <row r="1663">
      <c r="A1663">
        <f>IFERROR(IF(AND(INDEX(BASELINE!$A1663:$ZZ1663,CALC!$H$1)&lt;&gt;"",INT(IF(AND(CALC!$F$1&gt;0,N(INDEX(BASELINE!$A1663:$ZZ1663,CALC!$F$1))&gt;0),N(INDEX(BASELINE!$A1663:$ZZ1663,CALC!$F$1)),N(INDEX(BASELINE!$A1663:$ZZ1663,CALC!$P$1))))=INT(SIMOPS!$D$3),IFERROR(UPPER(TRIM(INDEX(BASELINE!$A1663:$ZZ1663,CALC!$R$1)&amp;"")),"")&lt;&gt;"ENCERRADA"),1,0),0)</f>
        <v/>
      </c>
      <c r="B1663">
        <f>B1662+A1663</f>
        <v/>
      </c>
    </row>
    <row r="1664">
      <c r="A1664">
        <f>IFERROR(IF(AND(INDEX(BASELINE!$A1664:$ZZ1664,CALC!$H$1)&lt;&gt;"",INT(IF(AND(CALC!$F$1&gt;0,N(INDEX(BASELINE!$A1664:$ZZ1664,CALC!$F$1))&gt;0),N(INDEX(BASELINE!$A1664:$ZZ1664,CALC!$F$1)),N(INDEX(BASELINE!$A1664:$ZZ1664,CALC!$P$1))))=INT(SIMOPS!$D$3),IFERROR(UPPER(TRIM(INDEX(BASELINE!$A1664:$ZZ1664,CALC!$R$1)&amp;"")),"")&lt;&gt;"ENCERRADA"),1,0),0)</f>
        <v/>
      </c>
      <c r="B1664">
        <f>B1663+A1664</f>
        <v/>
      </c>
    </row>
    <row r="1665">
      <c r="A1665">
        <f>IFERROR(IF(AND(INDEX(BASELINE!$A1665:$ZZ1665,CALC!$H$1)&lt;&gt;"",INT(IF(AND(CALC!$F$1&gt;0,N(INDEX(BASELINE!$A1665:$ZZ1665,CALC!$F$1))&gt;0),N(INDEX(BASELINE!$A1665:$ZZ1665,CALC!$F$1)),N(INDEX(BASELINE!$A1665:$ZZ1665,CALC!$P$1))))=INT(SIMOPS!$D$3),IFERROR(UPPER(TRIM(INDEX(BASELINE!$A1665:$ZZ1665,CALC!$R$1)&amp;"")),"")&lt;&gt;"ENCERRADA"),1,0),0)</f>
        <v/>
      </c>
      <c r="B1665">
        <f>B1664+A1665</f>
        <v/>
      </c>
    </row>
    <row r="1666">
      <c r="A1666">
        <f>IFERROR(IF(AND(INDEX(BASELINE!$A1666:$ZZ1666,CALC!$H$1)&lt;&gt;"",INT(IF(AND(CALC!$F$1&gt;0,N(INDEX(BASELINE!$A1666:$ZZ1666,CALC!$F$1))&gt;0),N(INDEX(BASELINE!$A1666:$ZZ1666,CALC!$F$1)),N(INDEX(BASELINE!$A1666:$ZZ1666,CALC!$P$1))))=INT(SIMOPS!$D$3),IFERROR(UPPER(TRIM(INDEX(BASELINE!$A1666:$ZZ1666,CALC!$R$1)&amp;"")),"")&lt;&gt;"ENCERRADA"),1,0),0)</f>
        <v/>
      </c>
      <c r="B1666">
        <f>B1665+A1666</f>
        <v/>
      </c>
    </row>
    <row r="1667">
      <c r="A1667">
        <f>IFERROR(IF(AND(INDEX(BASELINE!$A1667:$ZZ1667,CALC!$H$1)&lt;&gt;"",INT(IF(AND(CALC!$F$1&gt;0,N(INDEX(BASELINE!$A1667:$ZZ1667,CALC!$F$1))&gt;0),N(INDEX(BASELINE!$A1667:$ZZ1667,CALC!$F$1)),N(INDEX(BASELINE!$A1667:$ZZ1667,CALC!$P$1))))=INT(SIMOPS!$D$3),IFERROR(UPPER(TRIM(INDEX(BASELINE!$A1667:$ZZ1667,CALC!$R$1)&amp;"")),"")&lt;&gt;"ENCERRADA"),1,0),0)</f>
        <v/>
      </c>
      <c r="B1667">
        <f>B1666+A1667</f>
        <v/>
      </c>
    </row>
    <row r="1668">
      <c r="A1668">
        <f>IFERROR(IF(AND(INDEX(BASELINE!$A1668:$ZZ1668,CALC!$H$1)&lt;&gt;"",INT(IF(AND(CALC!$F$1&gt;0,N(INDEX(BASELINE!$A1668:$ZZ1668,CALC!$F$1))&gt;0),N(INDEX(BASELINE!$A1668:$ZZ1668,CALC!$F$1)),N(INDEX(BASELINE!$A1668:$ZZ1668,CALC!$P$1))))=INT(SIMOPS!$D$3),IFERROR(UPPER(TRIM(INDEX(BASELINE!$A1668:$ZZ1668,CALC!$R$1)&amp;"")),"")&lt;&gt;"ENCERRADA"),1,0),0)</f>
        <v/>
      </c>
      <c r="B1668">
        <f>B1667+A1668</f>
        <v/>
      </c>
    </row>
    <row r="1669">
      <c r="A1669">
        <f>IFERROR(IF(AND(INDEX(BASELINE!$A1669:$ZZ1669,CALC!$H$1)&lt;&gt;"",INT(IF(AND(CALC!$F$1&gt;0,N(INDEX(BASELINE!$A1669:$ZZ1669,CALC!$F$1))&gt;0),N(INDEX(BASELINE!$A1669:$ZZ1669,CALC!$F$1)),N(INDEX(BASELINE!$A1669:$ZZ1669,CALC!$P$1))))=INT(SIMOPS!$D$3),IFERROR(UPPER(TRIM(INDEX(BASELINE!$A1669:$ZZ1669,CALC!$R$1)&amp;"")),"")&lt;&gt;"ENCERRADA"),1,0),0)</f>
        <v/>
      </c>
      <c r="B1669">
        <f>B1668+A1669</f>
        <v/>
      </c>
    </row>
    <row r="1670">
      <c r="A1670">
        <f>IFERROR(IF(AND(INDEX(BASELINE!$A1670:$ZZ1670,CALC!$H$1)&lt;&gt;"",INT(IF(AND(CALC!$F$1&gt;0,N(INDEX(BASELINE!$A1670:$ZZ1670,CALC!$F$1))&gt;0),N(INDEX(BASELINE!$A1670:$ZZ1670,CALC!$F$1)),N(INDEX(BASELINE!$A1670:$ZZ1670,CALC!$P$1))))=INT(SIMOPS!$D$3),IFERROR(UPPER(TRIM(INDEX(BASELINE!$A1670:$ZZ1670,CALC!$R$1)&amp;"")),"")&lt;&gt;"ENCERRADA"),1,0),0)</f>
        <v/>
      </c>
      <c r="B1670">
        <f>B1669+A1670</f>
        <v/>
      </c>
    </row>
    <row r="1671">
      <c r="A1671">
        <f>IFERROR(IF(AND(INDEX(BASELINE!$A1671:$ZZ1671,CALC!$H$1)&lt;&gt;"",INT(IF(AND(CALC!$F$1&gt;0,N(INDEX(BASELINE!$A1671:$ZZ1671,CALC!$F$1))&gt;0),N(INDEX(BASELINE!$A1671:$ZZ1671,CALC!$F$1)),N(INDEX(BASELINE!$A1671:$ZZ1671,CALC!$P$1))))=INT(SIMOPS!$D$3),IFERROR(UPPER(TRIM(INDEX(BASELINE!$A1671:$ZZ1671,CALC!$R$1)&amp;"")),"")&lt;&gt;"ENCERRADA"),1,0),0)</f>
        <v/>
      </c>
      <c r="B1671">
        <f>B1670+A1671</f>
        <v/>
      </c>
    </row>
    <row r="1672">
      <c r="A1672">
        <f>IFERROR(IF(AND(INDEX(BASELINE!$A1672:$ZZ1672,CALC!$H$1)&lt;&gt;"",INT(IF(AND(CALC!$F$1&gt;0,N(INDEX(BASELINE!$A1672:$ZZ1672,CALC!$F$1))&gt;0),N(INDEX(BASELINE!$A1672:$ZZ1672,CALC!$F$1)),N(INDEX(BASELINE!$A1672:$ZZ1672,CALC!$P$1))))=INT(SIMOPS!$D$3),IFERROR(UPPER(TRIM(INDEX(BASELINE!$A1672:$ZZ1672,CALC!$R$1)&amp;"")),"")&lt;&gt;"ENCERRADA"),1,0),0)</f>
        <v/>
      </c>
      <c r="B1672">
        <f>B1671+A1672</f>
        <v/>
      </c>
    </row>
    <row r="1673">
      <c r="A1673">
        <f>IFERROR(IF(AND(INDEX(BASELINE!$A1673:$ZZ1673,CALC!$H$1)&lt;&gt;"",INT(IF(AND(CALC!$F$1&gt;0,N(INDEX(BASELINE!$A1673:$ZZ1673,CALC!$F$1))&gt;0),N(INDEX(BASELINE!$A1673:$ZZ1673,CALC!$F$1)),N(INDEX(BASELINE!$A1673:$ZZ1673,CALC!$P$1))))=INT(SIMOPS!$D$3),IFERROR(UPPER(TRIM(INDEX(BASELINE!$A1673:$ZZ1673,CALC!$R$1)&amp;"")),"")&lt;&gt;"ENCERRADA"),1,0),0)</f>
        <v/>
      </c>
      <c r="B1673">
        <f>B1672+A1673</f>
        <v/>
      </c>
    </row>
    <row r="1674">
      <c r="A1674">
        <f>IFERROR(IF(AND(INDEX(BASELINE!$A1674:$ZZ1674,CALC!$H$1)&lt;&gt;"",INT(IF(AND(CALC!$F$1&gt;0,N(INDEX(BASELINE!$A1674:$ZZ1674,CALC!$F$1))&gt;0),N(INDEX(BASELINE!$A1674:$ZZ1674,CALC!$F$1)),N(INDEX(BASELINE!$A1674:$ZZ1674,CALC!$P$1))))=INT(SIMOPS!$D$3),IFERROR(UPPER(TRIM(INDEX(BASELINE!$A1674:$ZZ1674,CALC!$R$1)&amp;"")),"")&lt;&gt;"ENCERRADA"),1,0),0)</f>
        <v/>
      </c>
      <c r="B1674">
        <f>B1673+A1674</f>
        <v/>
      </c>
    </row>
    <row r="1675">
      <c r="A1675">
        <f>IFERROR(IF(AND(INDEX(BASELINE!$A1675:$ZZ1675,CALC!$H$1)&lt;&gt;"",INT(IF(AND(CALC!$F$1&gt;0,N(INDEX(BASELINE!$A1675:$ZZ1675,CALC!$F$1))&gt;0),N(INDEX(BASELINE!$A1675:$ZZ1675,CALC!$F$1)),N(INDEX(BASELINE!$A1675:$ZZ1675,CALC!$P$1))))=INT(SIMOPS!$D$3),IFERROR(UPPER(TRIM(INDEX(BASELINE!$A1675:$ZZ1675,CALC!$R$1)&amp;"")),"")&lt;&gt;"ENCERRADA"),1,0),0)</f>
        <v/>
      </c>
      <c r="B1675">
        <f>B1674+A1675</f>
        <v/>
      </c>
    </row>
    <row r="1676">
      <c r="A1676">
        <f>IFERROR(IF(AND(INDEX(BASELINE!$A1676:$ZZ1676,CALC!$H$1)&lt;&gt;"",INT(IF(AND(CALC!$F$1&gt;0,N(INDEX(BASELINE!$A1676:$ZZ1676,CALC!$F$1))&gt;0),N(INDEX(BASELINE!$A1676:$ZZ1676,CALC!$F$1)),N(INDEX(BASELINE!$A1676:$ZZ1676,CALC!$P$1))))=INT(SIMOPS!$D$3),IFERROR(UPPER(TRIM(INDEX(BASELINE!$A1676:$ZZ1676,CALC!$R$1)&amp;"")),"")&lt;&gt;"ENCERRADA"),1,0),0)</f>
        <v/>
      </c>
      <c r="B1676">
        <f>B1675+A1676</f>
        <v/>
      </c>
    </row>
    <row r="1677">
      <c r="A1677">
        <f>IFERROR(IF(AND(INDEX(BASELINE!$A1677:$ZZ1677,CALC!$H$1)&lt;&gt;"",INT(IF(AND(CALC!$F$1&gt;0,N(INDEX(BASELINE!$A1677:$ZZ1677,CALC!$F$1))&gt;0),N(INDEX(BASELINE!$A1677:$ZZ1677,CALC!$F$1)),N(INDEX(BASELINE!$A1677:$ZZ1677,CALC!$P$1))))=INT(SIMOPS!$D$3),IFERROR(UPPER(TRIM(INDEX(BASELINE!$A1677:$ZZ1677,CALC!$R$1)&amp;"")),"")&lt;&gt;"ENCERRADA"),1,0),0)</f>
        <v/>
      </c>
      <c r="B1677">
        <f>B1676+A1677</f>
        <v/>
      </c>
    </row>
    <row r="1678">
      <c r="A1678">
        <f>IFERROR(IF(AND(INDEX(BASELINE!$A1678:$ZZ1678,CALC!$H$1)&lt;&gt;"",INT(IF(AND(CALC!$F$1&gt;0,N(INDEX(BASELINE!$A1678:$ZZ1678,CALC!$F$1))&gt;0),N(INDEX(BASELINE!$A1678:$ZZ1678,CALC!$F$1)),N(INDEX(BASELINE!$A1678:$ZZ1678,CALC!$P$1))))=INT(SIMOPS!$D$3),IFERROR(UPPER(TRIM(INDEX(BASELINE!$A1678:$ZZ1678,CALC!$R$1)&amp;"")),"")&lt;&gt;"ENCERRADA"),1,0),0)</f>
        <v/>
      </c>
      <c r="B1678">
        <f>B1677+A1678</f>
        <v/>
      </c>
    </row>
    <row r="1679">
      <c r="A1679">
        <f>IFERROR(IF(AND(INDEX(BASELINE!$A1679:$ZZ1679,CALC!$H$1)&lt;&gt;"",INT(IF(AND(CALC!$F$1&gt;0,N(INDEX(BASELINE!$A1679:$ZZ1679,CALC!$F$1))&gt;0),N(INDEX(BASELINE!$A1679:$ZZ1679,CALC!$F$1)),N(INDEX(BASELINE!$A1679:$ZZ1679,CALC!$P$1))))=INT(SIMOPS!$D$3),IFERROR(UPPER(TRIM(INDEX(BASELINE!$A1679:$ZZ1679,CALC!$R$1)&amp;"")),"")&lt;&gt;"ENCERRADA"),1,0),0)</f>
        <v/>
      </c>
      <c r="B1679">
        <f>B1678+A1679</f>
        <v/>
      </c>
    </row>
    <row r="1680">
      <c r="A1680">
        <f>IFERROR(IF(AND(INDEX(BASELINE!$A1680:$ZZ1680,CALC!$H$1)&lt;&gt;"",INT(IF(AND(CALC!$F$1&gt;0,N(INDEX(BASELINE!$A1680:$ZZ1680,CALC!$F$1))&gt;0),N(INDEX(BASELINE!$A1680:$ZZ1680,CALC!$F$1)),N(INDEX(BASELINE!$A1680:$ZZ1680,CALC!$P$1))))=INT(SIMOPS!$D$3),IFERROR(UPPER(TRIM(INDEX(BASELINE!$A1680:$ZZ1680,CALC!$R$1)&amp;"")),"")&lt;&gt;"ENCERRADA"),1,0),0)</f>
        <v/>
      </c>
      <c r="B1680">
        <f>B1679+A1680</f>
        <v/>
      </c>
    </row>
    <row r="1681">
      <c r="A1681">
        <f>IFERROR(IF(AND(INDEX(BASELINE!$A1681:$ZZ1681,CALC!$H$1)&lt;&gt;"",INT(IF(AND(CALC!$F$1&gt;0,N(INDEX(BASELINE!$A1681:$ZZ1681,CALC!$F$1))&gt;0),N(INDEX(BASELINE!$A1681:$ZZ1681,CALC!$F$1)),N(INDEX(BASELINE!$A1681:$ZZ1681,CALC!$P$1))))=INT(SIMOPS!$D$3),IFERROR(UPPER(TRIM(INDEX(BASELINE!$A1681:$ZZ1681,CALC!$R$1)&amp;"")),"")&lt;&gt;"ENCERRADA"),1,0),0)</f>
        <v/>
      </c>
      <c r="B1681">
        <f>B1680+A1681</f>
        <v/>
      </c>
    </row>
    <row r="1682">
      <c r="A1682">
        <f>IFERROR(IF(AND(INDEX(BASELINE!$A1682:$ZZ1682,CALC!$H$1)&lt;&gt;"",INT(IF(AND(CALC!$F$1&gt;0,N(INDEX(BASELINE!$A1682:$ZZ1682,CALC!$F$1))&gt;0),N(INDEX(BASELINE!$A1682:$ZZ1682,CALC!$F$1)),N(INDEX(BASELINE!$A1682:$ZZ1682,CALC!$P$1))))=INT(SIMOPS!$D$3),IFERROR(UPPER(TRIM(INDEX(BASELINE!$A1682:$ZZ1682,CALC!$R$1)&amp;"")),"")&lt;&gt;"ENCERRADA"),1,0),0)</f>
        <v/>
      </c>
      <c r="B1682">
        <f>B1681+A1682</f>
        <v/>
      </c>
    </row>
    <row r="1683">
      <c r="A1683">
        <f>IFERROR(IF(AND(INDEX(BASELINE!$A1683:$ZZ1683,CALC!$H$1)&lt;&gt;"",INT(IF(AND(CALC!$F$1&gt;0,N(INDEX(BASELINE!$A1683:$ZZ1683,CALC!$F$1))&gt;0),N(INDEX(BASELINE!$A1683:$ZZ1683,CALC!$F$1)),N(INDEX(BASELINE!$A1683:$ZZ1683,CALC!$P$1))))=INT(SIMOPS!$D$3),IFERROR(UPPER(TRIM(INDEX(BASELINE!$A1683:$ZZ1683,CALC!$R$1)&amp;"")),"")&lt;&gt;"ENCERRADA"),1,0),0)</f>
        <v/>
      </c>
      <c r="B1683">
        <f>B1682+A1683</f>
        <v/>
      </c>
    </row>
    <row r="1684">
      <c r="A1684">
        <f>IFERROR(IF(AND(INDEX(BASELINE!$A1684:$ZZ1684,CALC!$H$1)&lt;&gt;"",INT(IF(AND(CALC!$F$1&gt;0,N(INDEX(BASELINE!$A1684:$ZZ1684,CALC!$F$1))&gt;0),N(INDEX(BASELINE!$A1684:$ZZ1684,CALC!$F$1)),N(INDEX(BASELINE!$A1684:$ZZ1684,CALC!$P$1))))=INT(SIMOPS!$D$3),IFERROR(UPPER(TRIM(INDEX(BASELINE!$A1684:$ZZ1684,CALC!$R$1)&amp;"")),"")&lt;&gt;"ENCERRADA"),1,0),0)</f>
        <v/>
      </c>
      <c r="B1684">
        <f>B1683+A1684</f>
        <v/>
      </c>
    </row>
    <row r="1685">
      <c r="A1685">
        <f>IFERROR(IF(AND(INDEX(BASELINE!$A1685:$ZZ1685,CALC!$H$1)&lt;&gt;"",INT(IF(AND(CALC!$F$1&gt;0,N(INDEX(BASELINE!$A1685:$ZZ1685,CALC!$F$1))&gt;0),N(INDEX(BASELINE!$A1685:$ZZ1685,CALC!$F$1)),N(INDEX(BASELINE!$A1685:$ZZ1685,CALC!$P$1))))=INT(SIMOPS!$D$3),IFERROR(UPPER(TRIM(INDEX(BASELINE!$A1685:$ZZ1685,CALC!$R$1)&amp;"")),"")&lt;&gt;"ENCERRADA"),1,0),0)</f>
        <v/>
      </c>
      <c r="B1685">
        <f>B1684+A1685</f>
        <v/>
      </c>
    </row>
    <row r="1686">
      <c r="A1686">
        <f>IFERROR(IF(AND(INDEX(BASELINE!$A1686:$ZZ1686,CALC!$H$1)&lt;&gt;"",INT(IF(AND(CALC!$F$1&gt;0,N(INDEX(BASELINE!$A1686:$ZZ1686,CALC!$F$1))&gt;0),N(INDEX(BASELINE!$A1686:$ZZ1686,CALC!$F$1)),N(INDEX(BASELINE!$A1686:$ZZ1686,CALC!$P$1))))=INT(SIMOPS!$D$3),IFERROR(UPPER(TRIM(INDEX(BASELINE!$A1686:$ZZ1686,CALC!$R$1)&amp;"")),"")&lt;&gt;"ENCERRADA"),1,0),0)</f>
        <v/>
      </c>
      <c r="B1686">
        <f>B1685+A1686</f>
        <v/>
      </c>
    </row>
    <row r="1687">
      <c r="A1687">
        <f>IFERROR(IF(AND(INDEX(BASELINE!$A1687:$ZZ1687,CALC!$H$1)&lt;&gt;"",INT(IF(AND(CALC!$F$1&gt;0,N(INDEX(BASELINE!$A1687:$ZZ1687,CALC!$F$1))&gt;0),N(INDEX(BASELINE!$A1687:$ZZ1687,CALC!$F$1)),N(INDEX(BASELINE!$A1687:$ZZ1687,CALC!$P$1))))=INT(SIMOPS!$D$3),IFERROR(UPPER(TRIM(INDEX(BASELINE!$A1687:$ZZ1687,CALC!$R$1)&amp;"")),"")&lt;&gt;"ENCERRADA"),1,0),0)</f>
        <v/>
      </c>
      <c r="B1687">
        <f>B1686+A1687</f>
        <v/>
      </c>
    </row>
    <row r="1688">
      <c r="A1688">
        <f>IFERROR(IF(AND(INDEX(BASELINE!$A1688:$ZZ1688,CALC!$H$1)&lt;&gt;"",INT(IF(AND(CALC!$F$1&gt;0,N(INDEX(BASELINE!$A1688:$ZZ1688,CALC!$F$1))&gt;0),N(INDEX(BASELINE!$A1688:$ZZ1688,CALC!$F$1)),N(INDEX(BASELINE!$A1688:$ZZ1688,CALC!$P$1))))=INT(SIMOPS!$D$3),IFERROR(UPPER(TRIM(INDEX(BASELINE!$A1688:$ZZ1688,CALC!$R$1)&amp;"")),"")&lt;&gt;"ENCERRADA"),1,0),0)</f>
        <v/>
      </c>
      <c r="B1688">
        <f>B1687+A1688</f>
        <v/>
      </c>
    </row>
    <row r="1689">
      <c r="A1689">
        <f>IFERROR(IF(AND(INDEX(BASELINE!$A1689:$ZZ1689,CALC!$H$1)&lt;&gt;"",INT(IF(AND(CALC!$F$1&gt;0,N(INDEX(BASELINE!$A1689:$ZZ1689,CALC!$F$1))&gt;0),N(INDEX(BASELINE!$A1689:$ZZ1689,CALC!$F$1)),N(INDEX(BASELINE!$A1689:$ZZ1689,CALC!$P$1))))=INT(SIMOPS!$D$3),IFERROR(UPPER(TRIM(INDEX(BASELINE!$A1689:$ZZ1689,CALC!$R$1)&amp;"")),"")&lt;&gt;"ENCERRADA"),1,0),0)</f>
        <v/>
      </c>
      <c r="B1689">
        <f>B1688+A1689</f>
        <v/>
      </c>
    </row>
    <row r="1690">
      <c r="A1690">
        <f>IFERROR(IF(AND(INDEX(BASELINE!$A1690:$ZZ1690,CALC!$H$1)&lt;&gt;"",INT(IF(AND(CALC!$F$1&gt;0,N(INDEX(BASELINE!$A1690:$ZZ1690,CALC!$F$1))&gt;0),N(INDEX(BASELINE!$A1690:$ZZ1690,CALC!$F$1)),N(INDEX(BASELINE!$A1690:$ZZ1690,CALC!$P$1))))=INT(SIMOPS!$D$3),IFERROR(UPPER(TRIM(INDEX(BASELINE!$A1690:$ZZ1690,CALC!$R$1)&amp;"")),"")&lt;&gt;"ENCERRADA"),1,0),0)</f>
        <v/>
      </c>
      <c r="B1690">
        <f>B1689+A1690</f>
        <v/>
      </c>
    </row>
    <row r="1691">
      <c r="A1691">
        <f>IFERROR(IF(AND(INDEX(BASELINE!$A1691:$ZZ1691,CALC!$H$1)&lt;&gt;"",INT(IF(AND(CALC!$F$1&gt;0,N(INDEX(BASELINE!$A1691:$ZZ1691,CALC!$F$1))&gt;0),N(INDEX(BASELINE!$A1691:$ZZ1691,CALC!$F$1)),N(INDEX(BASELINE!$A1691:$ZZ1691,CALC!$P$1))))=INT(SIMOPS!$D$3),IFERROR(UPPER(TRIM(INDEX(BASELINE!$A1691:$ZZ1691,CALC!$R$1)&amp;"")),"")&lt;&gt;"ENCERRADA"),1,0),0)</f>
        <v/>
      </c>
      <c r="B1691">
        <f>B1690+A1691</f>
        <v/>
      </c>
    </row>
    <row r="1692">
      <c r="A1692">
        <f>IFERROR(IF(AND(INDEX(BASELINE!$A1692:$ZZ1692,CALC!$H$1)&lt;&gt;"",INT(IF(AND(CALC!$F$1&gt;0,N(INDEX(BASELINE!$A1692:$ZZ1692,CALC!$F$1))&gt;0),N(INDEX(BASELINE!$A1692:$ZZ1692,CALC!$F$1)),N(INDEX(BASELINE!$A1692:$ZZ1692,CALC!$P$1))))=INT(SIMOPS!$D$3),IFERROR(UPPER(TRIM(INDEX(BASELINE!$A1692:$ZZ1692,CALC!$R$1)&amp;"")),"")&lt;&gt;"ENCERRADA"),1,0),0)</f>
        <v/>
      </c>
      <c r="B1692">
        <f>B1691+A1692</f>
        <v/>
      </c>
    </row>
    <row r="1693">
      <c r="A1693">
        <f>IFERROR(IF(AND(INDEX(BASELINE!$A1693:$ZZ1693,CALC!$H$1)&lt;&gt;"",INT(IF(AND(CALC!$F$1&gt;0,N(INDEX(BASELINE!$A1693:$ZZ1693,CALC!$F$1))&gt;0),N(INDEX(BASELINE!$A1693:$ZZ1693,CALC!$F$1)),N(INDEX(BASELINE!$A1693:$ZZ1693,CALC!$P$1))))=INT(SIMOPS!$D$3),IFERROR(UPPER(TRIM(INDEX(BASELINE!$A1693:$ZZ1693,CALC!$R$1)&amp;"")),"")&lt;&gt;"ENCERRADA"),1,0),0)</f>
        <v/>
      </c>
      <c r="B1693">
        <f>B1692+A1693</f>
        <v/>
      </c>
    </row>
    <row r="1694">
      <c r="A1694">
        <f>IFERROR(IF(AND(INDEX(BASELINE!$A1694:$ZZ1694,CALC!$H$1)&lt;&gt;"",INT(IF(AND(CALC!$F$1&gt;0,N(INDEX(BASELINE!$A1694:$ZZ1694,CALC!$F$1))&gt;0),N(INDEX(BASELINE!$A1694:$ZZ1694,CALC!$F$1)),N(INDEX(BASELINE!$A1694:$ZZ1694,CALC!$P$1))))=INT(SIMOPS!$D$3),IFERROR(UPPER(TRIM(INDEX(BASELINE!$A1694:$ZZ1694,CALC!$R$1)&amp;"")),"")&lt;&gt;"ENCERRADA"),1,0),0)</f>
        <v/>
      </c>
      <c r="B1694">
        <f>B1693+A1694</f>
        <v/>
      </c>
    </row>
    <row r="1695">
      <c r="A1695">
        <f>IFERROR(IF(AND(INDEX(BASELINE!$A1695:$ZZ1695,CALC!$H$1)&lt;&gt;"",INT(IF(AND(CALC!$F$1&gt;0,N(INDEX(BASELINE!$A1695:$ZZ1695,CALC!$F$1))&gt;0),N(INDEX(BASELINE!$A1695:$ZZ1695,CALC!$F$1)),N(INDEX(BASELINE!$A1695:$ZZ1695,CALC!$P$1))))=INT(SIMOPS!$D$3),IFERROR(UPPER(TRIM(INDEX(BASELINE!$A1695:$ZZ1695,CALC!$R$1)&amp;"")),"")&lt;&gt;"ENCERRADA"),1,0),0)</f>
        <v/>
      </c>
      <c r="B1695">
        <f>B1694+A1695</f>
        <v/>
      </c>
    </row>
    <row r="1696">
      <c r="A1696">
        <f>IFERROR(IF(AND(INDEX(BASELINE!$A1696:$ZZ1696,CALC!$H$1)&lt;&gt;"",INT(IF(AND(CALC!$F$1&gt;0,N(INDEX(BASELINE!$A1696:$ZZ1696,CALC!$F$1))&gt;0),N(INDEX(BASELINE!$A1696:$ZZ1696,CALC!$F$1)),N(INDEX(BASELINE!$A1696:$ZZ1696,CALC!$P$1))))=INT(SIMOPS!$D$3),IFERROR(UPPER(TRIM(INDEX(BASELINE!$A1696:$ZZ1696,CALC!$R$1)&amp;"")),"")&lt;&gt;"ENCERRADA"),1,0),0)</f>
        <v/>
      </c>
      <c r="B1696">
        <f>B1695+A1696</f>
        <v/>
      </c>
    </row>
    <row r="1697">
      <c r="A1697">
        <f>IFERROR(IF(AND(INDEX(BASELINE!$A1697:$ZZ1697,CALC!$H$1)&lt;&gt;"",INT(IF(AND(CALC!$F$1&gt;0,N(INDEX(BASELINE!$A1697:$ZZ1697,CALC!$F$1))&gt;0),N(INDEX(BASELINE!$A1697:$ZZ1697,CALC!$F$1)),N(INDEX(BASELINE!$A1697:$ZZ1697,CALC!$P$1))))=INT(SIMOPS!$D$3),IFERROR(UPPER(TRIM(INDEX(BASELINE!$A1697:$ZZ1697,CALC!$R$1)&amp;"")),"")&lt;&gt;"ENCERRADA"),1,0),0)</f>
        <v/>
      </c>
      <c r="B1697">
        <f>B1696+A1697</f>
        <v/>
      </c>
    </row>
    <row r="1698">
      <c r="A1698">
        <f>IFERROR(IF(AND(INDEX(BASELINE!$A1698:$ZZ1698,CALC!$H$1)&lt;&gt;"",INT(IF(AND(CALC!$F$1&gt;0,N(INDEX(BASELINE!$A1698:$ZZ1698,CALC!$F$1))&gt;0),N(INDEX(BASELINE!$A1698:$ZZ1698,CALC!$F$1)),N(INDEX(BASELINE!$A1698:$ZZ1698,CALC!$P$1))))=INT(SIMOPS!$D$3),IFERROR(UPPER(TRIM(INDEX(BASELINE!$A1698:$ZZ1698,CALC!$R$1)&amp;"")),"")&lt;&gt;"ENCERRADA"),1,0),0)</f>
        <v/>
      </c>
      <c r="B1698">
        <f>B1697+A1698</f>
        <v/>
      </c>
    </row>
    <row r="1699">
      <c r="A1699">
        <f>IFERROR(IF(AND(INDEX(BASELINE!$A1699:$ZZ1699,CALC!$H$1)&lt;&gt;"",INT(IF(AND(CALC!$F$1&gt;0,N(INDEX(BASELINE!$A1699:$ZZ1699,CALC!$F$1))&gt;0),N(INDEX(BASELINE!$A1699:$ZZ1699,CALC!$F$1)),N(INDEX(BASELINE!$A1699:$ZZ1699,CALC!$P$1))))=INT(SIMOPS!$D$3),IFERROR(UPPER(TRIM(INDEX(BASELINE!$A1699:$ZZ1699,CALC!$R$1)&amp;"")),"")&lt;&gt;"ENCERRADA"),1,0),0)</f>
        <v/>
      </c>
      <c r="B1699">
        <f>B1698+A1699</f>
        <v/>
      </c>
    </row>
    <row r="1700">
      <c r="A1700">
        <f>IFERROR(IF(AND(INDEX(BASELINE!$A1700:$ZZ1700,CALC!$H$1)&lt;&gt;"",INT(IF(AND(CALC!$F$1&gt;0,N(INDEX(BASELINE!$A1700:$ZZ1700,CALC!$F$1))&gt;0),N(INDEX(BASELINE!$A1700:$ZZ1700,CALC!$F$1)),N(INDEX(BASELINE!$A1700:$ZZ1700,CALC!$P$1))))=INT(SIMOPS!$D$3),IFERROR(UPPER(TRIM(INDEX(BASELINE!$A1700:$ZZ1700,CALC!$R$1)&amp;"")),"")&lt;&gt;"ENCERRADA"),1,0),0)</f>
        <v/>
      </c>
      <c r="B1700">
        <f>B1699+A1700</f>
        <v/>
      </c>
    </row>
    <row r="1701">
      <c r="A1701">
        <f>IFERROR(IF(AND(INDEX(BASELINE!$A1701:$ZZ1701,CALC!$H$1)&lt;&gt;"",INT(IF(AND(CALC!$F$1&gt;0,N(INDEX(BASELINE!$A1701:$ZZ1701,CALC!$F$1))&gt;0),N(INDEX(BASELINE!$A1701:$ZZ1701,CALC!$F$1)),N(INDEX(BASELINE!$A1701:$ZZ1701,CALC!$P$1))))=INT(SIMOPS!$D$3),IFERROR(UPPER(TRIM(INDEX(BASELINE!$A1701:$ZZ1701,CALC!$R$1)&amp;"")),"")&lt;&gt;"ENCERRADA"),1,0),0)</f>
        <v/>
      </c>
      <c r="B1701">
        <f>B1700+A1701</f>
        <v/>
      </c>
    </row>
    <row r="1702">
      <c r="A1702">
        <f>IFERROR(IF(AND(INDEX(BASELINE!$A1702:$ZZ1702,CALC!$H$1)&lt;&gt;"",INT(IF(AND(CALC!$F$1&gt;0,N(INDEX(BASELINE!$A1702:$ZZ1702,CALC!$F$1))&gt;0),N(INDEX(BASELINE!$A1702:$ZZ1702,CALC!$F$1)),N(INDEX(BASELINE!$A1702:$ZZ1702,CALC!$P$1))))=INT(SIMOPS!$D$3),IFERROR(UPPER(TRIM(INDEX(BASELINE!$A1702:$ZZ1702,CALC!$R$1)&amp;"")),"")&lt;&gt;"ENCERRADA"),1,0),0)</f>
        <v/>
      </c>
      <c r="B1702">
        <f>B1701+A1702</f>
        <v/>
      </c>
    </row>
    <row r="1703">
      <c r="A1703">
        <f>IFERROR(IF(AND(INDEX(BASELINE!$A1703:$ZZ1703,CALC!$H$1)&lt;&gt;"",INT(IF(AND(CALC!$F$1&gt;0,N(INDEX(BASELINE!$A1703:$ZZ1703,CALC!$F$1))&gt;0),N(INDEX(BASELINE!$A1703:$ZZ1703,CALC!$F$1)),N(INDEX(BASELINE!$A1703:$ZZ1703,CALC!$P$1))))=INT(SIMOPS!$D$3),IFERROR(UPPER(TRIM(INDEX(BASELINE!$A1703:$ZZ1703,CALC!$R$1)&amp;"")),"")&lt;&gt;"ENCERRADA"),1,0),0)</f>
        <v/>
      </c>
      <c r="B1703">
        <f>B1702+A1703</f>
        <v/>
      </c>
    </row>
    <row r="1704">
      <c r="A1704">
        <f>IFERROR(IF(AND(INDEX(BASELINE!$A1704:$ZZ1704,CALC!$H$1)&lt;&gt;"",INT(IF(AND(CALC!$F$1&gt;0,N(INDEX(BASELINE!$A1704:$ZZ1704,CALC!$F$1))&gt;0),N(INDEX(BASELINE!$A1704:$ZZ1704,CALC!$F$1)),N(INDEX(BASELINE!$A1704:$ZZ1704,CALC!$P$1))))=INT(SIMOPS!$D$3),IFERROR(UPPER(TRIM(INDEX(BASELINE!$A1704:$ZZ1704,CALC!$R$1)&amp;"")),"")&lt;&gt;"ENCERRADA"),1,0),0)</f>
        <v/>
      </c>
      <c r="B1704">
        <f>B1703+A1704</f>
        <v/>
      </c>
    </row>
    <row r="1705">
      <c r="A1705">
        <f>IFERROR(IF(AND(INDEX(BASELINE!$A1705:$ZZ1705,CALC!$H$1)&lt;&gt;"",INT(IF(AND(CALC!$F$1&gt;0,N(INDEX(BASELINE!$A1705:$ZZ1705,CALC!$F$1))&gt;0),N(INDEX(BASELINE!$A1705:$ZZ1705,CALC!$F$1)),N(INDEX(BASELINE!$A1705:$ZZ1705,CALC!$P$1))))=INT(SIMOPS!$D$3),IFERROR(UPPER(TRIM(INDEX(BASELINE!$A1705:$ZZ1705,CALC!$R$1)&amp;"")),"")&lt;&gt;"ENCERRADA"),1,0),0)</f>
        <v/>
      </c>
      <c r="B1705">
        <f>B1704+A1705</f>
        <v/>
      </c>
    </row>
    <row r="1706">
      <c r="A1706">
        <f>IFERROR(IF(AND(INDEX(BASELINE!$A1706:$ZZ1706,CALC!$H$1)&lt;&gt;"",INT(IF(AND(CALC!$F$1&gt;0,N(INDEX(BASELINE!$A1706:$ZZ1706,CALC!$F$1))&gt;0),N(INDEX(BASELINE!$A1706:$ZZ1706,CALC!$F$1)),N(INDEX(BASELINE!$A1706:$ZZ1706,CALC!$P$1))))=INT(SIMOPS!$D$3),IFERROR(UPPER(TRIM(INDEX(BASELINE!$A1706:$ZZ1706,CALC!$R$1)&amp;"")),"")&lt;&gt;"ENCERRADA"),1,0),0)</f>
        <v/>
      </c>
      <c r="B1706">
        <f>B1705+A1706</f>
        <v/>
      </c>
    </row>
    <row r="1707">
      <c r="A1707">
        <f>IFERROR(IF(AND(INDEX(BASELINE!$A1707:$ZZ1707,CALC!$H$1)&lt;&gt;"",INT(IF(AND(CALC!$F$1&gt;0,N(INDEX(BASELINE!$A1707:$ZZ1707,CALC!$F$1))&gt;0),N(INDEX(BASELINE!$A1707:$ZZ1707,CALC!$F$1)),N(INDEX(BASELINE!$A1707:$ZZ1707,CALC!$P$1))))=INT(SIMOPS!$D$3),IFERROR(UPPER(TRIM(INDEX(BASELINE!$A1707:$ZZ1707,CALC!$R$1)&amp;"")),"")&lt;&gt;"ENCERRADA"),1,0),0)</f>
        <v/>
      </c>
      <c r="B1707">
        <f>B1706+A1707</f>
        <v/>
      </c>
    </row>
    <row r="1708">
      <c r="A1708">
        <f>IFERROR(IF(AND(INDEX(BASELINE!$A1708:$ZZ1708,CALC!$H$1)&lt;&gt;"",INT(IF(AND(CALC!$F$1&gt;0,N(INDEX(BASELINE!$A1708:$ZZ1708,CALC!$F$1))&gt;0),N(INDEX(BASELINE!$A1708:$ZZ1708,CALC!$F$1)),N(INDEX(BASELINE!$A1708:$ZZ1708,CALC!$P$1))))=INT(SIMOPS!$D$3),IFERROR(UPPER(TRIM(INDEX(BASELINE!$A1708:$ZZ1708,CALC!$R$1)&amp;"")),"")&lt;&gt;"ENCERRADA"),1,0),0)</f>
        <v/>
      </c>
      <c r="B1708">
        <f>B1707+A1708</f>
        <v/>
      </c>
    </row>
    <row r="1709">
      <c r="A1709">
        <f>IFERROR(IF(AND(INDEX(BASELINE!$A1709:$ZZ1709,CALC!$H$1)&lt;&gt;"",INT(IF(AND(CALC!$F$1&gt;0,N(INDEX(BASELINE!$A1709:$ZZ1709,CALC!$F$1))&gt;0),N(INDEX(BASELINE!$A1709:$ZZ1709,CALC!$F$1)),N(INDEX(BASELINE!$A1709:$ZZ1709,CALC!$P$1))))=INT(SIMOPS!$D$3),IFERROR(UPPER(TRIM(INDEX(BASELINE!$A1709:$ZZ1709,CALC!$R$1)&amp;"")),"")&lt;&gt;"ENCERRADA"),1,0),0)</f>
        <v/>
      </c>
      <c r="B1709">
        <f>B1708+A1709</f>
        <v/>
      </c>
    </row>
    <row r="1710">
      <c r="A1710">
        <f>IFERROR(IF(AND(INDEX(BASELINE!$A1710:$ZZ1710,CALC!$H$1)&lt;&gt;"",INT(IF(AND(CALC!$F$1&gt;0,N(INDEX(BASELINE!$A1710:$ZZ1710,CALC!$F$1))&gt;0),N(INDEX(BASELINE!$A1710:$ZZ1710,CALC!$F$1)),N(INDEX(BASELINE!$A1710:$ZZ1710,CALC!$P$1))))=INT(SIMOPS!$D$3),IFERROR(UPPER(TRIM(INDEX(BASELINE!$A1710:$ZZ1710,CALC!$R$1)&amp;"")),"")&lt;&gt;"ENCERRADA"),1,0),0)</f>
        <v/>
      </c>
      <c r="B1710">
        <f>B1709+A1710</f>
        <v/>
      </c>
    </row>
    <row r="1711">
      <c r="A1711">
        <f>IFERROR(IF(AND(INDEX(BASELINE!$A1711:$ZZ1711,CALC!$H$1)&lt;&gt;"",INT(IF(AND(CALC!$F$1&gt;0,N(INDEX(BASELINE!$A1711:$ZZ1711,CALC!$F$1))&gt;0),N(INDEX(BASELINE!$A1711:$ZZ1711,CALC!$F$1)),N(INDEX(BASELINE!$A1711:$ZZ1711,CALC!$P$1))))=INT(SIMOPS!$D$3),IFERROR(UPPER(TRIM(INDEX(BASELINE!$A1711:$ZZ1711,CALC!$R$1)&amp;"")),"")&lt;&gt;"ENCERRADA"),1,0),0)</f>
        <v/>
      </c>
      <c r="B1711">
        <f>B1710+A1711</f>
        <v/>
      </c>
    </row>
    <row r="1712">
      <c r="A1712">
        <f>IFERROR(IF(AND(INDEX(BASELINE!$A1712:$ZZ1712,CALC!$H$1)&lt;&gt;"",INT(IF(AND(CALC!$F$1&gt;0,N(INDEX(BASELINE!$A1712:$ZZ1712,CALC!$F$1))&gt;0),N(INDEX(BASELINE!$A1712:$ZZ1712,CALC!$F$1)),N(INDEX(BASELINE!$A1712:$ZZ1712,CALC!$P$1))))=INT(SIMOPS!$D$3),IFERROR(UPPER(TRIM(INDEX(BASELINE!$A1712:$ZZ1712,CALC!$R$1)&amp;"")),"")&lt;&gt;"ENCERRADA"),1,0),0)</f>
        <v/>
      </c>
      <c r="B1712">
        <f>B1711+A1712</f>
        <v/>
      </c>
    </row>
    <row r="1713">
      <c r="A1713">
        <f>IFERROR(IF(AND(INDEX(BASELINE!$A1713:$ZZ1713,CALC!$H$1)&lt;&gt;"",INT(IF(AND(CALC!$F$1&gt;0,N(INDEX(BASELINE!$A1713:$ZZ1713,CALC!$F$1))&gt;0),N(INDEX(BASELINE!$A1713:$ZZ1713,CALC!$F$1)),N(INDEX(BASELINE!$A1713:$ZZ1713,CALC!$P$1))))=INT(SIMOPS!$D$3),IFERROR(UPPER(TRIM(INDEX(BASELINE!$A1713:$ZZ1713,CALC!$R$1)&amp;"")),"")&lt;&gt;"ENCERRADA"),1,0),0)</f>
        <v/>
      </c>
      <c r="B1713">
        <f>B1712+A1713</f>
        <v/>
      </c>
    </row>
    <row r="1714">
      <c r="A1714">
        <f>IFERROR(IF(AND(INDEX(BASELINE!$A1714:$ZZ1714,CALC!$H$1)&lt;&gt;"",INT(IF(AND(CALC!$F$1&gt;0,N(INDEX(BASELINE!$A1714:$ZZ1714,CALC!$F$1))&gt;0),N(INDEX(BASELINE!$A1714:$ZZ1714,CALC!$F$1)),N(INDEX(BASELINE!$A1714:$ZZ1714,CALC!$P$1))))=INT(SIMOPS!$D$3),IFERROR(UPPER(TRIM(INDEX(BASELINE!$A1714:$ZZ1714,CALC!$R$1)&amp;"")),"")&lt;&gt;"ENCERRADA"),1,0),0)</f>
        <v/>
      </c>
      <c r="B1714">
        <f>B1713+A1714</f>
        <v/>
      </c>
    </row>
    <row r="1715">
      <c r="A1715">
        <f>IFERROR(IF(AND(INDEX(BASELINE!$A1715:$ZZ1715,CALC!$H$1)&lt;&gt;"",INT(IF(AND(CALC!$F$1&gt;0,N(INDEX(BASELINE!$A1715:$ZZ1715,CALC!$F$1))&gt;0),N(INDEX(BASELINE!$A1715:$ZZ1715,CALC!$F$1)),N(INDEX(BASELINE!$A1715:$ZZ1715,CALC!$P$1))))=INT(SIMOPS!$D$3),IFERROR(UPPER(TRIM(INDEX(BASELINE!$A1715:$ZZ1715,CALC!$R$1)&amp;"")),"")&lt;&gt;"ENCERRADA"),1,0),0)</f>
        <v/>
      </c>
      <c r="B1715">
        <f>B1714+A1715</f>
        <v/>
      </c>
    </row>
    <row r="1716">
      <c r="A1716">
        <f>IFERROR(IF(AND(INDEX(BASELINE!$A1716:$ZZ1716,CALC!$H$1)&lt;&gt;"",INT(IF(AND(CALC!$F$1&gt;0,N(INDEX(BASELINE!$A1716:$ZZ1716,CALC!$F$1))&gt;0),N(INDEX(BASELINE!$A1716:$ZZ1716,CALC!$F$1)),N(INDEX(BASELINE!$A1716:$ZZ1716,CALC!$P$1))))=INT(SIMOPS!$D$3),IFERROR(UPPER(TRIM(INDEX(BASELINE!$A1716:$ZZ1716,CALC!$R$1)&amp;"")),"")&lt;&gt;"ENCERRADA"),1,0),0)</f>
        <v/>
      </c>
      <c r="B1716">
        <f>B1715+A1716</f>
        <v/>
      </c>
    </row>
    <row r="1717">
      <c r="A1717">
        <f>IFERROR(IF(AND(INDEX(BASELINE!$A1717:$ZZ1717,CALC!$H$1)&lt;&gt;"",INT(IF(AND(CALC!$F$1&gt;0,N(INDEX(BASELINE!$A1717:$ZZ1717,CALC!$F$1))&gt;0),N(INDEX(BASELINE!$A1717:$ZZ1717,CALC!$F$1)),N(INDEX(BASELINE!$A1717:$ZZ1717,CALC!$P$1))))=INT(SIMOPS!$D$3),IFERROR(UPPER(TRIM(INDEX(BASELINE!$A1717:$ZZ1717,CALC!$R$1)&amp;"")),"")&lt;&gt;"ENCERRADA"),1,0),0)</f>
        <v/>
      </c>
      <c r="B1717">
        <f>B1716+A1717</f>
        <v/>
      </c>
    </row>
    <row r="1718">
      <c r="A1718">
        <f>IFERROR(IF(AND(INDEX(BASELINE!$A1718:$ZZ1718,CALC!$H$1)&lt;&gt;"",INT(IF(AND(CALC!$F$1&gt;0,N(INDEX(BASELINE!$A1718:$ZZ1718,CALC!$F$1))&gt;0),N(INDEX(BASELINE!$A1718:$ZZ1718,CALC!$F$1)),N(INDEX(BASELINE!$A1718:$ZZ1718,CALC!$P$1))))=INT(SIMOPS!$D$3),IFERROR(UPPER(TRIM(INDEX(BASELINE!$A1718:$ZZ1718,CALC!$R$1)&amp;"")),"")&lt;&gt;"ENCERRADA"),1,0),0)</f>
        <v/>
      </c>
      <c r="B1718">
        <f>B1717+A1718</f>
        <v/>
      </c>
    </row>
    <row r="1719">
      <c r="A1719">
        <f>IFERROR(IF(AND(INDEX(BASELINE!$A1719:$ZZ1719,CALC!$H$1)&lt;&gt;"",INT(IF(AND(CALC!$F$1&gt;0,N(INDEX(BASELINE!$A1719:$ZZ1719,CALC!$F$1))&gt;0),N(INDEX(BASELINE!$A1719:$ZZ1719,CALC!$F$1)),N(INDEX(BASELINE!$A1719:$ZZ1719,CALC!$P$1))))=INT(SIMOPS!$D$3),IFERROR(UPPER(TRIM(INDEX(BASELINE!$A1719:$ZZ1719,CALC!$R$1)&amp;"")),"")&lt;&gt;"ENCERRADA"),1,0),0)</f>
        <v/>
      </c>
      <c r="B1719">
        <f>B1718+A1719</f>
        <v/>
      </c>
    </row>
    <row r="1720">
      <c r="A1720">
        <f>IFERROR(IF(AND(INDEX(BASELINE!$A1720:$ZZ1720,CALC!$H$1)&lt;&gt;"",INT(IF(AND(CALC!$F$1&gt;0,N(INDEX(BASELINE!$A1720:$ZZ1720,CALC!$F$1))&gt;0),N(INDEX(BASELINE!$A1720:$ZZ1720,CALC!$F$1)),N(INDEX(BASELINE!$A1720:$ZZ1720,CALC!$P$1))))=INT(SIMOPS!$D$3),IFERROR(UPPER(TRIM(INDEX(BASELINE!$A1720:$ZZ1720,CALC!$R$1)&amp;"")),"")&lt;&gt;"ENCERRADA"),1,0),0)</f>
        <v/>
      </c>
      <c r="B1720">
        <f>B1719+A1720</f>
        <v/>
      </c>
    </row>
    <row r="1721">
      <c r="A1721">
        <f>IFERROR(IF(AND(INDEX(BASELINE!$A1721:$ZZ1721,CALC!$H$1)&lt;&gt;"",INT(IF(AND(CALC!$F$1&gt;0,N(INDEX(BASELINE!$A1721:$ZZ1721,CALC!$F$1))&gt;0),N(INDEX(BASELINE!$A1721:$ZZ1721,CALC!$F$1)),N(INDEX(BASELINE!$A1721:$ZZ1721,CALC!$P$1))))=INT(SIMOPS!$D$3),IFERROR(UPPER(TRIM(INDEX(BASELINE!$A1721:$ZZ1721,CALC!$R$1)&amp;"")),"")&lt;&gt;"ENCERRADA"),1,0),0)</f>
        <v/>
      </c>
      <c r="B1721">
        <f>B1720+A1721</f>
        <v/>
      </c>
    </row>
    <row r="1722">
      <c r="A1722">
        <f>IFERROR(IF(AND(INDEX(BASELINE!$A1722:$ZZ1722,CALC!$H$1)&lt;&gt;"",INT(IF(AND(CALC!$F$1&gt;0,N(INDEX(BASELINE!$A1722:$ZZ1722,CALC!$F$1))&gt;0),N(INDEX(BASELINE!$A1722:$ZZ1722,CALC!$F$1)),N(INDEX(BASELINE!$A1722:$ZZ1722,CALC!$P$1))))=INT(SIMOPS!$D$3),IFERROR(UPPER(TRIM(INDEX(BASELINE!$A1722:$ZZ1722,CALC!$R$1)&amp;"")),"")&lt;&gt;"ENCERRADA"),1,0),0)</f>
        <v/>
      </c>
      <c r="B1722">
        <f>B1721+A1722</f>
        <v/>
      </c>
    </row>
    <row r="1723">
      <c r="A1723">
        <f>IFERROR(IF(AND(INDEX(BASELINE!$A1723:$ZZ1723,CALC!$H$1)&lt;&gt;"",INT(IF(AND(CALC!$F$1&gt;0,N(INDEX(BASELINE!$A1723:$ZZ1723,CALC!$F$1))&gt;0),N(INDEX(BASELINE!$A1723:$ZZ1723,CALC!$F$1)),N(INDEX(BASELINE!$A1723:$ZZ1723,CALC!$P$1))))=INT(SIMOPS!$D$3),IFERROR(UPPER(TRIM(INDEX(BASELINE!$A1723:$ZZ1723,CALC!$R$1)&amp;"")),"")&lt;&gt;"ENCERRADA"),1,0),0)</f>
        <v/>
      </c>
      <c r="B1723">
        <f>B1722+A1723</f>
        <v/>
      </c>
    </row>
    <row r="1724">
      <c r="A1724">
        <f>IFERROR(IF(AND(INDEX(BASELINE!$A1724:$ZZ1724,CALC!$H$1)&lt;&gt;"",INT(IF(AND(CALC!$F$1&gt;0,N(INDEX(BASELINE!$A1724:$ZZ1724,CALC!$F$1))&gt;0),N(INDEX(BASELINE!$A1724:$ZZ1724,CALC!$F$1)),N(INDEX(BASELINE!$A1724:$ZZ1724,CALC!$P$1))))=INT(SIMOPS!$D$3),IFERROR(UPPER(TRIM(INDEX(BASELINE!$A1724:$ZZ1724,CALC!$R$1)&amp;"")),"")&lt;&gt;"ENCERRADA"),1,0),0)</f>
        <v/>
      </c>
      <c r="B1724">
        <f>B1723+A1724</f>
        <v/>
      </c>
    </row>
    <row r="1725">
      <c r="A1725">
        <f>IFERROR(IF(AND(INDEX(BASELINE!$A1725:$ZZ1725,CALC!$H$1)&lt;&gt;"",INT(IF(AND(CALC!$F$1&gt;0,N(INDEX(BASELINE!$A1725:$ZZ1725,CALC!$F$1))&gt;0),N(INDEX(BASELINE!$A1725:$ZZ1725,CALC!$F$1)),N(INDEX(BASELINE!$A1725:$ZZ1725,CALC!$P$1))))=INT(SIMOPS!$D$3),IFERROR(UPPER(TRIM(INDEX(BASELINE!$A1725:$ZZ1725,CALC!$R$1)&amp;"")),"")&lt;&gt;"ENCERRADA"),1,0),0)</f>
        <v/>
      </c>
      <c r="B1725">
        <f>B1724+A1725</f>
        <v/>
      </c>
    </row>
    <row r="1726">
      <c r="A1726">
        <f>IFERROR(IF(AND(INDEX(BASELINE!$A1726:$ZZ1726,CALC!$H$1)&lt;&gt;"",INT(IF(AND(CALC!$F$1&gt;0,N(INDEX(BASELINE!$A1726:$ZZ1726,CALC!$F$1))&gt;0),N(INDEX(BASELINE!$A1726:$ZZ1726,CALC!$F$1)),N(INDEX(BASELINE!$A1726:$ZZ1726,CALC!$P$1))))=INT(SIMOPS!$D$3),IFERROR(UPPER(TRIM(INDEX(BASELINE!$A1726:$ZZ1726,CALC!$R$1)&amp;"")),"")&lt;&gt;"ENCERRADA"),1,0),0)</f>
        <v/>
      </c>
      <c r="B1726">
        <f>B1725+A1726</f>
        <v/>
      </c>
    </row>
    <row r="1727">
      <c r="A1727">
        <f>IFERROR(IF(AND(INDEX(BASELINE!$A1727:$ZZ1727,CALC!$H$1)&lt;&gt;"",INT(IF(AND(CALC!$F$1&gt;0,N(INDEX(BASELINE!$A1727:$ZZ1727,CALC!$F$1))&gt;0),N(INDEX(BASELINE!$A1727:$ZZ1727,CALC!$F$1)),N(INDEX(BASELINE!$A1727:$ZZ1727,CALC!$P$1))))=INT(SIMOPS!$D$3),IFERROR(UPPER(TRIM(INDEX(BASELINE!$A1727:$ZZ1727,CALC!$R$1)&amp;"")),"")&lt;&gt;"ENCERRADA"),1,0),0)</f>
        <v/>
      </c>
      <c r="B1727">
        <f>B1726+A1727</f>
        <v/>
      </c>
    </row>
    <row r="1728">
      <c r="A1728">
        <f>IFERROR(IF(AND(INDEX(BASELINE!$A1728:$ZZ1728,CALC!$H$1)&lt;&gt;"",INT(IF(AND(CALC!$F$1&gt;0,N(INDEX(BASELINE!$A1728:$ZZ1728,CALC!$F$1))&gt;0),N(INDEX(BASELINE!$A1728:$ZZ1728,CALC!$F$1)),N(INDEX(BASELINE!$A1728:$ZZ1728,CALC!$P$1))))=INT(SIMOPS!$D$3),IFERROR(UPPER(TRIM(INDEX(BASELINE!$A1728:$ZZ1728,CALC!$R$1)&amp;"")),"")&lt;&gt;"ENCERRADA"),1,0),0)</f>
        <v/>
      </c>
      <c r="B1728">
        <f>B1727+A1728</f>
        <v/>
      </c>
    </row>
    <row r="1729">
      <c r="A1729">
        <f>IFERROR(IF(AND(INDEX(BASELINE!$A1729:$ZZ1729,CALC!$H$1)&lt;&gt;"",INT(IF(AND(CALC!$F$1&gt;0,N(INDEX(BASELINE!$A1729:$ZZ1729,CALC!$F$1))&gt;0),N(INDEX(BASELINE!$A1729:$ZZ1729,CALC!$F$1)),N(INDEX(BASELINE!$A1729:$ZZ1729,CALC!$P$1))))=INT(SIMOPS!$D$3),IFERROR(UPPER(TRIM(INDEX(BASELINE!$A1729:$ZZ1729,CALC!$R$1)&amp;"")),"")&lt;&gt;"ENCERRADA"),1,0),0)</f>
        <v/>
      </c>
      <c r="B1729">
        <f>B1728+A1729</f>
        <v/>
      </c>
    </row>
    <row r="1730">
      <c r="A1730">
        <f>IFERROR(IF(AND(INDEX(BASELINE!$A1730:$ZZ1730,CALC!$H$1)&lt;&gt;"",INT(IF(AND(CALC!$F$1&gt;0,N(INDEX(BASELINE!$A1730:$ZZ1730,CALC!$F$1))&gt;0),N(INDEX(BASELINE!$A1730:$ZZ1730,CALC!$F$1)),N(INDEX(BASELINE!$A1730:$ZZ1730,CALC!$P$1))))=INT(SIMOPS!$D$3),IFERROR(UPPER(TRIM(INDEX(BASELINE!$A1730:$ZZ1730,CALC!$R$1)&amp;"")),"")&lt;&gt;"ENCERRADA"),1,0),0)</f>
        <v/>
      </c>
      <c r="B1730">
        <f>B1729+A1730</f>
        <v/>
      </c>
    </row>
    <row r="1731">
      <c r="A1731">
        <f>IFERROR(IF(AND(INDEX(BASELINE!$A1731:$ZZ1731,CALC!$H$1)&lt;&gt;"",INT(IF(AND(CALC!$F$1&gt;0,N(INDEX(BASELINE!$A1731:$ZZ1731,CALC!$F$1))&gt;0),N(INDEX(BASELINE!$A1731:$ZZ1731,CALC!$F$1)),N(INDEX(BASELINE!$A1731:$ZZ1731,CALC!$P$1))))=INT(SIMOPS!$D$3),IFERROR(UPPER(TRIM(INDEX(BASELINE!$A1731:$ZZ1731,CALC!$R$1)&amp;"")),"")&lt;&gt;"ENCERRADA"),1,0),0)</f>
        <v/>
      </c>
      <c r="B1731">
        <f>B1730+A1731</f>
        <v/>
      </c>
    </row>
    <row r="1732">
      <c r="A1732">
        <f>IFERROR(IF(AND(INDEX(BASELINE!$A1732:$ZZ1732,CALC!$H$1)&lt;&gt;"",INT(IF(AND(CALC!$F$1&gt;0,N(INDEX(BASELINE!$A1732:$ZZ1732,CALC!$F$1))&gt;0),N(INDEX(BASELINE!$A1732:$ZZ1732,CALC!$F$1)),N(INDEX(BASELINE!$A1732:$ZZ1732,CALC!$P$1))))=INT(SIMOPS!$D$3),IFERROR(UPPER(TRIM(INDEX(BASELINE!$A1732:$ZZ1732,CALC!$R$1)&amp;"")),"")&lt;&gt;"ENCERRADA"),1,0),0)</f>
        <v/>
      </c>
      <c r="B1732">
        <f>B1731+A1732</f>
        <v/>
      </c>
    </row>
    <row r="1733">
      <c r="A1733">
        <f>IFERROR(IF(AND(INDEX(BASELINE!$A1733:$ZZ1733,CALC!$H$1)&lt;&gt;"",INT(IF(AND(CALC!$F$1&gt;0,N(INDEX(BASELINE!$A1733:$ZZ1733,CALC!$F$1))&gt;0),N(INDEX(BASELINE!$A1733:$ZZ1733,CALC!$F$1)),N(INDEX(BASELINE!$A1733:$ZZ1733,CALC!$P$1))))=INT(SIMOPS!$D$3),IFERROR(UPPER(TRIM(INDEX(BASELINE!$A1733:$ZZ1733,CALC!$R$1)&amp;"")),"")&lt;&gt;"ENCERRADA"),1,0),0)</f>
        <v/>
      </c>
      <c r="B1733">
        <f>B1732+A1733</f>
        <v/>
      </c>
    </row>
    <row r="1734">
      <c r="A1734">
        <f>IFERROR(IF(AND(INDEX(BASELINE!$A1734:$ZZ1734,CALC!$H$1)&lt;&gt;"",INT(IF(AND(CALC!$F$1&gt;0,N(INDEX(BASELINE!$A1734:$ZZ1734,CALC!$F$1))&gt;0),N(INDEX(BASELINE!$A1734:$ZZ1734,CALC!$F$1)),N(INDEX(BASELINE!$A1734:$ZZ1734,CALC!$P$1))))=INT(SIMOPS!$D$3),IFERROR(UPPER(TRIM(INDEX(BASELINE!$A1734:$ZZ1734,CALC!$R$1)&amp;"")),"")&lt;&gt;"ENCERRADA"),1,0),0)</f>
        <v/>
      </c>
      <c r="B1734">
        <f>B1733+A1734</f>
        <v/>
      </c>
    </row>
    <row r="1735">
      <c r="A1735">
        <f>IFERROR(IF(AND(INDEX(BASELINE!$A1735:$ZZ1735,CALC!$H$1)&lt;&gt;"",INT(IF(AND(CALC!$F$1&gt;0,N(INDEX(BASELINE!$A1735:$ZZ1735,CALC!$F$1))&gt;0),N(INDEX(BASELINE!$A1735:$ZZ1735,CALC!$F$1)),N(INDEX(BASELINE!$A1735:$ZZ1735,CALC!$P$1))))=INT(SIMOPS!$D$3),IFERROR(UPPER(TRIM(INDEX(BASELINE!$A1735:$ZZ1735,CALC!$R$1)&amp;"")),"")&lt;&gt;"ENCERRADA"),1,0),0)</f>
        <v/>
      </c>
      <c r="B1735">
        <f>B1734+A1735</f>
        <v/>
      </c>
    </row>
    <row r="1736">
      <c r="A1736">
        <f>IFERROR(IF(AND(INDEX(BASELINE!$A1736:$ZZ1736,CALC!$H$1)&lt;&gt;"",INT(IF(AND(CALC!$F$1&gt;0,N(INDEX(BASELINE!$A1736:$ZZ1736,CALC!$F$1))&gt;0),N(INDEX(BASELINE!$A1736:$ZZ1736,CALC!$F$1)),N(INDEX(BASELINE!$A1736:$ZZ1736,CALC!$P$1))))=INT(SIMOPS!$D$3),IFERROR(UPPER(TRIM(INDEX(BASELINE!$A1736:$ZZ1736,CALC!$R$1)&amp;"")),"")&lt;&gt;"ENCERRADA"),1,0),0)</f>
        <v/>
      </c>
      <c r="B1736">
        <f>B1735+A1736</f>
        <v/>
      </c>
    </row>
    <row r="1737">
      <c r="A1737">
        <f>IFERROR(IF(AND(INDEX(BASELINE!$A1737:$ZZ1737,CALC!$H$1)&lt;&gt;"",INT(IF(AND(CALC!$F$1&gt;0,N(INDEX(BASELINE!$A1737:$ZZ1737,CALC!$F$1))&gt;0),N(INDEX(BASELINE!$A1737:$ZZ1737,CALC!$F$1)),N(INDEX(BASELINE!$A1737:$ZZ1737,CALC!$P$1))))=INT(SIMOPS!$D$3),IFERROR(UPPER(TRIM(INDEX(BASELINE!$A1737:$ZZ1737,CALC!$R$1)&amp;"")),"")&lt;&gt;"ENCERRADA"),1,0),0)</f>
        <v/>
      </c>
      <c r="B1737">
        <f>B1736+A1737</f>
        <v/>
      </c>
    </row>
    <row r="1738">
      <c r="A1738">
        <f>IFERROR(IF(AND(INDEX(BASELINE!$A1738:$ZZ1738,CALC!$H$1)&lt;&gt;"",INT(IF(AND(CALC!$F$1&gt;0,N(INDEX(BASELINE!$A1738:$ZZ1738,CALC!$F$1))&gt;0),N(INDEX(BASELINE!$A1738:$ZZ1738,CALC!$F$1)),N(INDEX(BASELINE!$A1738:$ZZ1738,CALC!$P$1))))=INT(SIMOPS!$D$3),IFERROR(UPPER(TRIM(INDEX(BASELINE!$A1738:$ZZ1738,CALC!$R$1)&amp;"")),"")&lt;&gt;"ENCERRADA"),1,0),0)</f>
        <v/>
      </c>
      <c r="B1738">
        <f>B1737+A1738</f>
        <v/>
      </c>
    </row>
    <row r="1739">
      <c r="A1739">
        <f>IFERROR(IF(AND(INDEX(BASELINE!$A1739:$ZZ1739,CALC!$H$1)&lt;&gt;"",INT(IF(AND(CALC!$F$1&gt;0,N(INDEX(BASELINE!$A1739:$ZZ1739,CALC!$F$1))&gt;0),N(INDEX(BASELINE!$A1739:$ZZ1739,CALC!$F$1)),N(INDEX(BASELINE!$A1739:$ZZ1739,CALC!$P$1))))=INT(SIMOPS!$D$3),IFERROR(UPPER(TRIM(INDEX(BASELINE!$A1739:$ZZ1739,CALC!$R$1)&amp;"")),"")&lt;&gt;"ENCERRADA"),1,0),0)</f>
        <v/>
      </c>
      <c r="B1739">
        <f>B1738+A1739</f>
        <v/>
      </c>
    </row>
    <row r="1740">
      <c r="A1740">
        <f>IFERROR(IF(AND(INDEX(BASELINE!$A1740:$ZZ1740,CALC!$H$1)&lt;&gt;"",INT(IF(AND(CALC!$F$1&gt;0,N(INDEX(BASELINE!$A1740:$ZZ1740,CALC!$F$1))&gt;0),N(INDEX(BASELINE!$A1740:$ZZ1740,CALC!$F$1)),N(INDEX(BASELINE!$A1740:$ZZ1740,CALC!$P$1))))=INT(SIMOPS!$D$3),IFERROR(UPPER(TRIM(INDEX(BASELINE!$A1740:$ZZ1740,CALC!$R$1)&amp;"")),"")&lt;&gt;"ENCERRADA"),1,0),0)</f>
        <v/>
      </c>
      <c r="B1740">
        <f>B1739+A1740</f>
        <v/>
      </c>
    </row>
    <row r="1741">
      <c r="A1741">
        <f>IFERROR(IF(AND(INDEX(BASELINE!$A1741:$ZZ1741,CALC!$H$1)&lt;&gt;"",INT(IF(AND(CALC!$F$1&gt;0,N(INDEX(BASELINE!$A1741:$ZZ1741,CALC!$F$1))&gt;0),N(INDEX(BASELINE!$A1741:$ZZ1741,CALC!$F$1)),N(INDEX(BASELINE!$A1741:$ZZ1741,CALC!$P$1))))=INT(SIMOPS!$D$3),IFERROR(UPPER(TRIM(INDEX(BASELINE!$A1741:$ZZ1741,CALC!$R$1)&amp;"")),"")&lt;&gt;"ENCERRADA"),1,0),0)</f>
        <v/>
      </c>
      <c r="B1741">
        <f>B1740+A1741</f>
        <v/>
      </c>
    </row>
    <row r="1742">
      <c r="A1742">
        <f>IFERROR(IF(AND(INDEX(BASELINE!$A1742:$ZZ1742,CALC!$H$1)&lt;&gt;"",INT(IF(AND(CALC!$F$1&gt;0,N(INDEX(BASELINE!$A1742:$ZZ1742,CALC!$F$1))&gt;0),N(INDEX(BASELINE!$A1742:$ZZ1742,CALC!$F$1)),N(INDEX(BASELINE!$A1742:$ZZ1742,CALC!$P$1))))=INT(SIMOPS!$D$3),IFERROR(UPPER(TRIM(INDEX(BASELINE!$A1742:$ZZ1742,CALC!$R$1)&amp;"")),"")&lt;&gt;"ENCERRADA"),1,0),0)</f>
        <v/>
      </c>
      <c r="B1742">
        <f>B1741+A1742</f>
        <v/>
      </c>
    </row>
    <row r="1743">
      <c r="A1743">
        <f>IFERROR(IF(AND(INDEX(BASELINE!$A1743:$ZZ1743,CALC!$H$1)&lt;&gt;"",INT(IF(AND(CALC!$F$1&gt;0,N(INDEX(BASELINE!$A1743:$ZZ1743,CALC!$F$1))&gt;0),N(INDEX(BASELINE!$A1743:$ZZ1743,CALC!$F$1)),N(INDEX(BASELINE!$A1743:$ZZ1743,CALC!$P$1))))=INT(SIMOPS!$D$3),IFERROR(UPPER(TRIM(INDEX(BASELINE!$A1743:$ZZ1743,CALC!$R$1)&amp;"")),"")&lt;&gt;"ENCERRADA"),1,0),0)</f>
        <v/>
      </c>
      <c r="B1743">
        <f>B1742+A1743</f>
        <v/>
      </c>
    </row>
    <row r="1744">
      <c r="A1744">
        <f>IFERROR(IF(AND(INDEX(BASELINE!$A1744:$ZZ1744,CALC!$H$1)&lt;&gt;"",INT(IF(AND(CALC!$F$1&gt;0,N(INDEX(BASELINE!$A1744:$ZZ1744,CALC!$F$1))&gt;0),N(INDEX(BASELINE!$A1744:$ZZ1744,CALC!$F$1)),N(INDEX(BASELINE!$A1744:$ZZ1744,CALC!$P$1))))=INT(SIMOPS!$D$3),IFERROR(UPPER(TRIM(INDEX(BASELINE!$A1744:$ZZ1744,CALC!$R$1)&amp;"")),"")&lt;&gt;"ENCERRADA"),1,0),0)</f>
        <v/>
      </c>
      <c r="B1744">
        <f>B1743+A1744</f>
        <v/>
      </c>
    </row>
    <row r="1745">
      <c r="A1745">
        <f>IFERROR(IF(AND(INDEX(BASELINE!$A1745:$ZZ1745,CALC!$H$1)&lt;&gt;"",INT(IF(AND(CALC!$F$1&gt;0,N(INDEX(BASELINE!$A1745:$ZZ1745,CALC!$F$1))&gt;0),N(INDEX(BASELINE!$A1745:$ZZ1745,CALC!$F$1)),N(INDEX(BASELINE!$A1745:$ZZ1745,CALC!$P$1))))=INT(SIMOPS!$D$3),IFERROR(UPPER(TRIM(INDEX(BASELINE!$A1745:$ZZ1745,CALC!$R$1)&amp;"")),"")&lt;&gt;"ENCERRADA"),1,0),0)</f>
        <v/>
      </c>
      <c r="B1745">
        <f>B1744+A1745</f>
        <v/>
      </c>
    </row>
    <row r="1746">
      <c r="A1746">
        <f>IFERROR(IF(AND(INDEX(BASELINE!$A1746:$ZZ1746,CALC!$H$1)&lt;&gt;"",INT(IF(AND(CALC!$F$1&gt;0,N(INDEX(BASELINE!$A1746:$ZZ1746,CALC!$F$1))&gt;0),N(INDEX(BASELINE!$A1746:$ZZ1746,CALC!$F$1)),N(INDEX(BASELINE!$A1746:$ZZ1746,CALC!$P$1))))=INT(SIMOPS!$D$3),IFERROR(UPPER(TRIM(INDEX(BASELINE!$A1746:$ZZ1746,CALC!$R$1)&amp;"")),"")&lt;&gt;"ENCERRADA"),1,0),0)</f>
        <v/>
      </c>
      <c r="B1746">
        <f>B1745+A1746</f>
        <v/>
      </c>
    </row>
    <row r="1747">
      <c r="A1747">
        <f>IFERROR(IF(AND(INDEX(BASELINE!$A1747:$ZZ1747,CALC!$H$1)&lt;&gt;"",INT(IF(AND(CALC!$F$1&gt;0,N(INDEX(BASELINE!$A1747:$ZZ1747,CALC!$F$1))&gt;0),N(INDEX(BASELINE!$A1747:$ZZ1747,CALC!$F$1)),N(INDEX(BASELINE!$A1747:$ZZ1747,CALC!$P$1))))=INT(SIMOPS!$D$3),IFERROR(UPPER(TRIM(INDEX(BASELINE!$A1747:$ZZ1747,CALC!$R$1)&amp;"")),"")&lt;&gt;"ENCERRADA"),1,0),0)</f>
        <v/>
      </c>
      <c r="B1747">
        <f>B1746+A1747</f>
        <v/>
      </c>
    </row>
    <row r="1748">
      <c r="A1748">
        <f>IFERROR(IF(AND(INDEX(BASELINE!$A1748:$ZZ1748,CALC!$H$1)&lt;&gt;"",INT(IF(AND(CALC!$F$1&gt;0,N(INDEX(BASELINE!$A1748:$ZZ1748,CALC!$F$1))&gt;0),N(INDEX(BASELINE!$A1748:$ZZ1748,CALC!$F$1)),N(INDEX(BASELINE!$A1748:$ZZ1748,CALC!$P$1))))=INT(SIMOPS!$D$3),IFERROR(UPPER(TRIM(INDEX(BASELINE!$A1748:$ZZ1748,CALC!$R$1)&amp;"")),"")&lt;&gt;"ENCERRADA"),1,0),0)</f>
        <v/>
      </c>
      <c r="B1748">
        <f>B1747+A1748</f>
        <v/>
      </c>
    </row>
    <row r="1749">
      <c r="A1749">
        <f>IFERROR(IF(AND(INDEX(BASELINE!$A1749:$ZZ1749,CALC!$H$1)&lt;&gt;"",INT(IF(AND(CALC!$F$1&gt;0,N(INDEX(BASELINE!$A1749:$ZZ1749,CALC!$F$1))&gt;0),N(INDEX(BASELINE!$A1749:$ZZ1749,CALC!$F$1)),N(INDEX(BASELINE!$A1749:$ZZ1749,CALC!$P$1))))=INT(SIMOPS!$D$3),IFERROR(UPPER(TRIM(INDEX(BASELINE!$A1749:$ZZ1749,CALC!$R$1)&amp;"")),"")&lt;&gt;"ENCERRADA"),1,0),0)</f>
        <v/>
      </c>
      <c r="B1749">
        <f>B1748+A1749</f>
        <v/>
      </c>
    </row>
    <row r="1750">
      <c r="A1750">
        <f>IFERROR(IF(AND(INDEX(BASELINE!$A1750:$ZZ1750,CALC!$H$1)&lt;&gt;"",INT(IF(AND(CALC!$F$1&gt;0,N(INDEX(BASELINE!$A1750:$ZZ1750,CALC!$F$1))&gt;0),N(INDEX(BASELINE!$A1750:$ZZ1750,CALC!$F$1)),N(INDEX(BASELINE!$A1750:$ZZ1750,CALC!$P$1))))=INT(SIMOPS!$D$3),IFERROR(UPPER(TRIM(INDEX(BASELINE!$A1750:$ZZ1750,CALC!$R$1)&amp;"")),"")&lt;&gt;"ENCERRADA"),1,0),0)</f>
        <v/>
      </c>
      <c r="B1750">
        <f>B1749+A1750</f>
        <v/>
      </c>
    </row>
    <row r="1751">
      <c r="A1751">
        <f>IFERROR(IF(AND(INDEX(BASELINE!$A1751:$ZZ1751,CALC!$H$1)&lt;&gt;"",INT(IF(AND(CALC!$F$1&gt;0,N(INDEX(BASELINE!$A1751:$ZZ1751,CALC!$F$1))&gt;0),N(INDEX(BASELINE!$A1751:$ZZ1751,CALC!$F$1)),N(INDEX(BASELINE!$A1751:$ZZ1751,CALC!$P$1))))=INT(SIMOPS!$D$3),IFERROR(UPPER(TRIM(INDEX(BASELINE!$A1751:$ZZ1751,CALC!$R$1)&amp;"")),"")&lt;&gt;"ENCERRADA"),1,0),0)</f>
        <v/>
      </c>
      <c r="B1751">
        <f>B1750+A1751</f>
        <v/>
      </c>
    </row>
    <row r="1752">
      <c r="A1752">
        <f>IFERROR(IF(AND(INDEX(BASELINE!$A1752:$ZZ1752,CALC!$H$1)&lt;&gt;"",INT(IF(AND(CALC!$F$1&gt;0,N(INDEX(BASELINE!$A1752:$ZZ1752,CALC!$F$1))&gt;0),N(INDEX(BASELINE!$A1752:$ZZ1752,CALC!$F$1)),N(INDEX(BASELINE!$A1752:$ZZ1752,CALC!$P$1))))=INT(SIMOPS!$D$3),IFERROR(UPPER(TRIM(INDEX(BASELINE!$A1752:$ZZ1752,CALC!$R$1)&amp;"")),"")&lt;&gt;"ENCERRADA"),1,0),0)</f>
        <v/>
      </c>
      <c r="B1752">
        <f>B1751+A1752</f>
        <v/>
      </c>
    </row>
    <row r="1753">
      <c r="A1753">
        <f>IFERROR(IF(AND(INDEX(BASELINE!$A1753:$ZZ1753,CALC!$H$1)&lt;&gt;"",INT(IF(AND(CALC!$F$1&gt;0,N(INDEX(BASELINE!$A1753:$ZZ1753,CALC!$F$1))&gt;0),N(INDEX(BASELINE!$A1753:$ZZ1753,CALC!$F$1)),N(INDEX(BASELINE!$A1753:$ZZ1753,CALC!$P$1))))=INT(SIMOPS!$D$3),IFERROR(UPPER(TRIM(INDEX(BASELINE!$A1753:$ZZ1753,CALC!$R$1)&amp;"")),"")&lt;&gt;"ENCERRADA"),1,0),0)</f>
        <v/>
      </c>
      <c r="B1753">
        <f>B1752+A1753</f>
        <v/>
      </c>
    </row>
    <row r="1754">
      <c r="A1754">
        <f>IFERROR(IF(AND(INDEX(BASELINE!$A1754:$ZZ1754,CALC!$H$1)&lt;&gt;"",INT(IF(AND(CALC!$F$1&gt;0,N(INDEX(BASELINE!$A1754:$ZZ1754,CALC!$F$1))&gt;0),N(INDEX(BASELINE!$A1754:$ZZ1754,CALC!$F$1)),N(INDEX(BASELINE!$A1754:$ZZ1754,CALC!$P$1))))=INT(SIMOPS!$D$3),IFERROR(UPPER(TRIM(INDEX(BASELINE!$A1754:$ZZ1754,CALC!$R$1)&amp;"")),"")&lt;&gt;"ENCERRADA"),1,0),0)</f>
        <v/>
      </c>
      <c r="B1754">
        <f>B1753+A1754</f>
        <v/>
      </c>
    </row>
    <row r="1755">
      <c r="A1755">
        <f>IFERROR(IF(AND(INDEX(BASELINE!$A1755:$ZZ1755,CALC!$H$1)&lt;&gt;"",INT(IF(AND(CALC!$F$1&gt;0,N(INDEX(BASELINE!$A1755:$ZZ1755,CALC!$F$1))&gt;0),N(INDEX(BASELINE!$A1755:$ZZ1755,CALC!$F$1)),N(INDEX(BASELINE!$A1755:$ZZ1755,CALC!$P$1))))=INT(SIMOPS!$D$3),IFERROR(UPPER(TRIM(INDEX(BASELINE!$A1755:$ZZ1755,CALC!$R$1)&amp;"")),"")&lt;&gt;"ENCERRADA"),1,0),0)</f>
        <v/>
      </c>
      <c r="B1755">
        <f>B1754+A1755</f>
        <v/>
      </c>
    </row>
    <row r="1756">
      <c r="A1756">
        <f>IFERROR(IF(AND(INDEX(BASELINE!$A1756:$ZZ1756,CALC!$H$1)&lt;&gt;"",INT(IF(AND(CALC!$F$1&gt;0,N(INDEX(BASELINE!$A1756:$ZZ1756,CALC!$F$1))&gt;0),N(INDEX(BASELINE!$A1756:$ZZ1756,CALC!$F$1)),N(INDEX(BASELINE!$A1756:$ZZ1756,CALC!$P$1))))=INT(SIMOPS!$D$3),IFERROR(UPPER(TRIM(INDEX(BASELINE!$A1756:$ZZ1756,CALC!$R$1)&amp;"")),"")&lt;&gt;"ENCERRADA"),1,0),0)</f>
        <v/>
      </c>
      <c r="B1756">
        <f>B1755+A1756</f>
        <v/>
      </c>
    </row>
    <row r="1757">
      <c r="A1757">
        <f>IFERROR(IF(AND(INDEX(BASELINE!$A1757:$ZZ1757,CALC!$H$1)&lt;&gt;"",INT(IF(AND(CALC!$F$1&gt;0,N(INDEX(BASELINE!$A1757:$ZZ1757,CALC!$F$1))&gt;0),N(INDEX(BASELINE!$A1757:$ZZ1757,CALC!$F$1)),N(INDEX(BASELINE!$A1757:$ZZ1757,CALC!$P$1))))=INT(SIMOPS!$D$3),IFERROR(UPPER(TRIM(INDEX(BASELINE!$A1757:$ZZ1757,CALC!$R$1)&amp;"")),"")&lt;&gt;"ENCERRADA"),1,0),0)</f>
        <v/>
      </c>
      <c r="B1757">
        <f>B1756+A1757</f>
        <v/>
      </c>
    </row>
    <row r="1758">
      <c r="A1758">
        <f>IFERROR(IF(AND(INDEX(BASELINE!$A1758:$ZZ1758,CALC!$H$1)&lt;&gt;"",INT(IF(AND(CALC!$F$1&gt;0,N(INDEX(BASELINE!$A1758:$ZZ1758,CALC!$F$1))&gt;0),N(INDEX(BASELINE!$A1758:$ZZ1758,CALC!$F$1)),N(INDEX(BASELINE!$A1758:$ZZ1758,CALC!$P$1))))=INT(SIMOPS!$D$3),IFERROR(UPPER(TRIM(INDEX(BASELINE!$A1758:$ZZ1758,CALC!$R$1)&amp;"")),"")&lt;&gt;"ENCERRADA"),1,0),0)</f>
        <v/>
      </c>
      <c r="B1758">
        <f>B1757+A1758</f>
        <v/>
      </c>
    </row>
    <row r="1759">
      <c r="A1759">
        <f>IFERROR(IF(AND(INDEX(BASELINE!$A1759:$ZZ1759,CALC!$H$1)&lt;&gt;"",INT(IF(AND(CALC!$F$1&gt;0,N(INDEX(BASELINE!$A1759:$ZZ1759,CALC!$F$1))&gt;0),N(INDEX(BASELINE!$A1759:$ZZ1759,CALC!$F$1)),N(INDEX(BASELINE!$A1759:$ZZ1759,CALC!$P$1))))=INT(SIMOPS!$D$3),IFERROR(UPPER(TRIM(INDEX(BASELINE!$A1759:$ZZ1759,CALC!$R$1)&amp;"")),"")&lt;&gt;"ENCERRADA"),1,0),0)</f>
        <v/>
      </c>
      <c r="B1759">
        <f>B1758+A1759</f>
        <v/>
      </c>
    </row>
    <row r="1760">
      <c r="A1760">
        <f>IFERROR(IF(AND(INDEX(BASELINE!$A1760:$ZZ1760,CALC!$H$1)&lt;&gt;"",INT(IF(AND(CALC!$F$1&gt;0,N(INDEX(BASELINE!$A1760:$ZZ1760,CALC!$F$1))&gt;0),N(INDEX(BASELINE!$A1760:$ZZ1760,CALC!$F$1)),N(INDEX(BASELINE!$A1760:$ZZ1760,CALC!$P$1))))=INT(SIMOPS!$D$3),IFERROR(UPPER(TRIM(INDEX(BASELINE!$A1760:$ZZ1760,CALC!$R$1)&amp;"")),"")&lt;&gt;"ENCERRADA"),1,0),0)</f>
        <v/>
      </c>
      <c r="B1760">
        <f>B1759+A1760</f>
        <v/>
      </c>
    </row>
    <row r="1761">
      <c r="A1761">
        <f>IFERROR(IF(AND(INDEX(BASELINE!$A1761:$ZZ1761,CALC!$H$1)&lt;&gt;"",INT(IF(AND(CALC!$F$1&gt;0,N(INDEX(BASELINE!$A1761:$ZZ1761,CALC!$F$1))&gt;0),N(INDEX(BASELINE!$A1761:$ZZ1761,CALC!$F$1)),N(INDEX(BASELINE!$A1761:$ZZ1761,CALC!$P$1))))=INT(SIMOPS!$D$3),IFERROR(UPPER(TRIM(INDEX(BASELINE!$A1761:$ZZ1761,CALC!$R$1)&amp;"")),"")&lt;&gt;"ENCERRADA"),1,0),0)</f>
        <v/>
      </c>
      <c r="B1761">
        <f>B1760+A1761</f>
        <v/>
      </c>
    </row>
    <row r="1762">
      <c r="A1762">
        <f>IFERROR(IF(AND(INDEX(BASELINE!$A1762:$ZZ1762,CALC!$H$1)&lt;&gt;"",INT(IF(AND(CALC!$F$1&gt;0,N(INDEX(BASELINE!$A1762:$ZZ1762,CALC!$F$1))&gt;0),N(INDEX(BASELINE!$A1762:$ZZ1762,CALC!$F$1)),N(INDEX(BASELINE!$A1762:$ZZ1762,CALC!$P$1))))=INT(SIMOPS!$D$3),IFERROR(UPPER(TRIM(INDEX(BASELINE!$A1762:$ZZ1762,CALC!$R$1)&amp;"")),"")&lt;&gt;"ENCERRADA"),1,0),0)</f>
        <v/>
      </c>
      <c r="B1762">
        <f>B1761+A1762</f>
        <v/>
      </c>
    </row>
    <row r="1763">
      <c r="A1763">
        <f>IFERROR(IF(AND(INDEX(BASELINE!$A1763:$ZZ1763,CALC!$H$1)&lt;&gt;"",INT(IF(AND(CALC!$F$1&gt;0,N(INDEX(BASELINE!$A1763:$ZZ1763,CALC!$F$1))&gt;0),N(INDEX(BASELINE!$A1763:$ZZ1763,CALC!$F$1)),N(INDEX(BASELINE!$A1763:$ZZ1763,CALC!$P$1))))=INT(SIMOPS!$D$3),IFERROR(UPPER(TRIM(INDEX(BASELINE!$A1763:$ZZ1763,CALC!$R$1)&amp;"")),"")&lt;&gt;"ENCERRADA"),1,0),0)</f>
        <v/>
      </c>
      <c r="B1763">
        <f>B1762+A1763</f>
        <v/>
      </c>
    </row>
    <row r="1764">
      <c r="A1764">
        <f>IFERROR(IF(AND(INDEX(BASELINE!$A1764:$ZZ1764,CALC!$H$1)&lt;&gt;"",INT(IF(AND(CALC!$F$1&gt;0,N(INDEX(BASELINE!$A1764:$ZZ1764,CALC!$F$1))&gt;0),N(INDEX(BASELINE!$A1764:$ZZ1764,CALC!$F$1)),N(INDEX(BASELINE!$A1764:$ZZ1764,CALC!$P$1))))=INT(SIMOPS!$D$3),IFERROR(UPPER(TRIM(INDEX(BASELINE!$A1764:$ZZ1764,CALC!$R$1)&amp;"")),"")&lt;&gt;"ENCERRADA"),1,0),0)</f>
        <v/>
      </c>
      <c r="B1764">
        <f>B1763+A1764</f>
        <v/>
      </c>
    </row>
    <row r="1765">
      <c r="A1765">
        <f>IFERROR(IF(AND(INDEX(BASELINE!$A1765:$ZZ1765,CALC!$H$1)&lt;&gt;"",INT(IF(AND(CALC!$F$1&gt;0,N(INDEX(BASELINE!$A1765:$ZZ1765,CALC!$F$1))&gt;0),N(INDEX(BASELINE!$A1765:$ZZ1765,CALC!$F$1)),N(INDEX(BASELINE!$A1765:$ZZ1765,CALC!$P$1))))=INT(SIMOPS!$D$3),IFERROR(UPPER(TRIM(INDEX(BASELINE!$A1765:$ZZ1765,CALC!$R$1)&amp;"")),"")&lt;&gt;"ENCERRADA"),1,0),0)</f>
        <v/>
      </c>
      <c r="B1765">
        <f>B1764+A1765</f>
        <v/>
      </c>
    </row>
    <row r="1766">
      <c r="A1766">
        <f>IFERROR(IF(AND(INDEX(BASELINE!$A1766:$ZZ1766,CALC!$H$1)&lt;&gt;"",INT(IF(AND(CALC!$F$1&gt;0,N(INDEX(BASELINE!$A1766:$ZZ1766,CALC!$F$1))&gt;0),N(INDEX(BASELINE!$A1766:$ZZ1766,CALC!$F$1)),N(INDEX(BASELINE!$A1766:$ZZ1766,CALC!$P$1))))=INT(SIMOPS!$D$3),IFERROR(UPPER(TRIM(INDEX(BASELINE!$A1766:$ZZ1766,CALC!$R$1)&amp;"")),"")&lt;&gt;"ENCERRADA"),1,0),0)</f>
        <v/>
      </c>
      <c r="B1766">
        <f>B1765+A1766</f>
        <v/>
      </c>
    </row>
    <row r="1767">
      <c r="A1767">
        <f>IFERROR(IF(AND(INDEX(BASELINE!$A1767:$ZZ1767,CALC!$H$1)&lt;&gt;"",INT(IF(AND(CALC!$F$1&gt;0,N(INDEX(BASELINE!$A1767:$ZZ1767,CALC!$F$1))&gt;0),N(INDEX(BASELINE!$A1767:$ZZ1767,CALC!$F$1)),N(INDEX(BASELINE!$A1767:$ZZ1767,CALC!$P$1))))=INT(SIMOPS!$D$3),IFERROR(UPPER(TRIM(INDEX(BASELINE!$A1767:$ZZ1767,CALC!$R$1)&amp;"")),"")&lt;&gt;"ENCERRADA"),1,0),0)</f>
        <v/>
      </c>
      <c r="B1767">
        <f>B1766+A1767</f>
        <v/>
      </c>
    </row>
    <row r="1768">
      <c r="A1768">
        <f>IFERROR(IF(AND(INDEX(BASELINE!$A1768:$ZZ1768,CALC!$H$1)&lt;&gt;"",INT(IF(AND(CALC!$F$1&gt;0,N(INDEX(BASELINE!$A1768:$ZZ1768,CALC!$F$1))&gt;0),N(INDEX(BASELINE!$A1768:$ZZ1768,CALC!$F$1)),N(INDEX(BASELINE!$A1768:$ZZ1768,CALC!$P$1))))=INT(SIMOPS!$D$3),IFERROR(UPPER(TRIM(INDEX(BASELINE!$A1768:$ZZ1768,CALC!$R$1)&amp;"")),"")&lt;&gt;"ENCERRADA"),1,0),0)</f>
        <v/>
      </c>
      <c r="B1768">
        <f>B1767+A1768</f>
        <v/>
      </c>
    </row>
    <row r="1769">
      <c r="A1769">
        <f>IFERROR(IF(AND(INDEX(BASELINE!$A1769:$ZZ1769,CALC!$H$1)&lt;&gt;"",INT(IF(AND(CALC!$F$1&gt;0,N(INDEX(BASELINE!$A1769:$ZZ1769,CALC!$F$1))&gt;0),N(INDEX(BASELINE!$A1769:$ZZ1769,CALC!$F$1)),N(INDEX(BASELINE!$A1769:$ZZ1769,CALC!$P$1))))=INT(SIMOPS!$D$3),IFERROR(UPPER(TRIM(INDEX(BASELINE!$A1769:$ZZ1769,CALC!$R$1)&amp;"")),"")&lt;&gt;"ENCERRADA"),1,0),0)</f>
        <v/>
      </c>
      <c r="B1769">
        <f>B1768+A1769</f>
        <v/>
      </c>
    </row>
    <row r="1770">
      <c r="A1770">
        <f>IFERROR(IF(AND(INDEX(BASELINE!$A1770:$ZZ1770,CALC!$H$1)&lt;&gt;"",INT(IF(AND(CALC!$F$1&gt;0,N(INDEX(BASELINE!$A1770:$ZZ1770,CALC!$F$1))&gt;0),N(INDEX(BASELINE!$A1770:$ZZ1770,CALC!$F$1)),N(INDEX(BASELINE!$A1770:$ZZ1770,CALC!$P$1))))=INT(SIMOPS!$D$3),IFERROR(UPPER(TRIM(INDEX(BASELINE!$A1770:$ZZ1770,CALC!$R$1)&amp;"")),"")&lt;&gt;"ENCERRADA"),1,0),0)</f>
        <v/>
      </c>
      <c r="B1770">
        <f>B1769+A1770</f>
        <v/>
      </c>
    </row>
    <row r="1771">
      <c r="A1771">
        <f>IFERROR(IF(AND(INDEX(BASELINE!$A1771:$ZZ1771,CALC!$H$1)&lt;&gt;"",INT(IF(AND(CALC!$F$1&gt;0,N(INDEX(BASELINE!$A1771:$ZZ1771,CALC!$F$1))&gt;0),N(INDEX(BASELINE!$A1771:$ZZ1771,CALC!$F$1)),N(INDEX(BASELINE!$A1771:$ZZ1771,CALC!$P$1))))=INT(SIMOPS!$D$3),IFERROR(UPPER(TRIM(INDEX(BASELINE!$A1771:$ZZ1771,CALC!$R$1)&amp;"")),"")&lt;&gt;"ENCERRADA"),1,0),0)</f>
        <v/>
      </c>
      <c r="B1771">
        <f>B1770+A1771</f>
        <v/>
      </c>
    </row>
    <row r="1772">
      <c r="A1772">
        <f>IFERROR(IF(AND(INDEX(BASELINE!$A1772:$ZZ1772,CALC!$H$1)&lt;&gt;"",INT(IF(AND(CALC!$F$1&gt;0,N(INDEX(BASELINE!$A1772:$ZZ1772,CALC!$F$1))&gt;0),N(INDEX(BASELINE!$A1772:$ZZ1772,CALC!$F$1)),N(INDEX(BASELINE!$A1772:$ZZ1772,CALC!$P$1))))=INT(SIMOPS!$D$3),IFERROR(UPPER(TRIM(INDEX(BASELINE!$A1772:$ZZ1772,CALC!$R$1)&amp;"")),"")&lt;&gt;"ENCERRADA"),1,0),0)</f>
        <v/>
      </c>
      <c r="B1772">
        <f>B1771+A1772</f>
        <v/>
      </c>
    </row>
    <row r="1773">
      <c r="A1773">
        <f>IFERROR(IF(AND(INDEX(BASELINE!$A1773:$ZZ1773,CALC!$H$1)&lt;&gt;"",INT(IF(AND(CALC!$F$1&gt;0,N(INDEX(BASELINE!$A1773:$ZZ1773,CALC!$F$1))&gt;0),N(INDEX(BASELINE!$A1773:$ZZ1773,CALC!$F$1)),N(INDEX(BASELINE!$A1773:$ZZ1773,CALC!$P$1))))=INT(SIMOPS!$D$3),IFERROR(UPPER(TRIM(INDEX(BASELINE!$A1773:$ZZ1773,CALC!$R$1)&amp;"")),"")&lt;&gt;"ENCERRADA"),1,0),0)</f>
        <v/>
      </c>
      <c r="B1773">
        <f>B1772+A1773</f>
        <v/>
      </c>
    </row>
    <row r="1774">
      <c r="A1774">
        <f>IFERROR(IF(AND(INDEX(BASELINE!$A1774:$ZZ1774,CALC!$H$1)&lt;&gt;"",INT(IF(AND(CALC!$F$1&gt;0,N(INDEX(BASELINE!$A1774:$ZZ1774,CALC!$F$1))&gt;0),N(INDEX(BASELINE!$A1774:$ZZ1774,CALC!$F$1)),N(INDEX(BASELINE!$A1774:$ZZ1774,CALC!$P$1))))=INT(SIMOPS!$D$3),IFERROR(UPPER(TRIM(INDEX(BASELINE!$A1774:$ZZ1774,CALC!$R$1)&amp;"")),"")&lt;&gt;"ENCERRADA"),1,0),0)</f>
        <v/>
      </c>
      <c r="B1774">
        <f>B1773+A1774</f>
        <v/>
      </c>
    </row>
    <row r="1775">
      <c r="A1775">
        <f>IFERROR(IF(AND(INDEX(BASELINE!$A1775:$ZZ1775,CALC!$H$1)&lt;&gt;"",INT(IF(AND(CALC!$F$1&gt;0,N(INDEX(BASELINE!$A1775:$ZZ1775,CALC!$F$1))&gt;0),N(INDEX(BASELINE!$A1775:$ZZ1775,CALC!$F$1)),N(INDEX(BASELINE!$A1775:$ZZ1775,CALC!$P$1))))=INT(SIMOPS!$D$3),IFERROR(UPPER(TRIM(INDEX(BASELINE!$A1775:$ZZ1775,CALC!$R$1)&amp;"")),"")&lt;&gt;"ENCERRADA"),1,0),0)</f>
        <v/>
      </c>
      <c r="B1775">
        <f>B1774+A1775</f>
        <v/>
      </c>
    </row>
    <row r="1776">
      <c r="A1776">
        <f>IFERROR(IF(AND(INDEX(BASELINE!$A1776:$ZZ1776,CALC!$H$1)&lt;&gt;"",INT(IF(AND(CALC!$F$1&gt;0,N(INDEX(BASELINE!$A1776:$ZZ1776,CALC!$F$1))&gt;0),N(INDEX(BASELINE!$A1776:$ZZ1776,CALC!$F$1)),N(INDEX(BASELINE!$A1776:$ZZ1776,CALC!$P$1))))=INT(SIMOPS!$D$3),IFERROR(UPPER(TRIM(INDEX(BASELINE!$A1776:$ZZ1776,CALC!$R$1)&amp;"")),"")&lt;&gt;"ENCERRADA"),1,0),0)</f>
        <v/>
      </c>
      <c r="B1776">
        <f>B1775+A1776</f>
        <v/>
      </c>
    </row>
    <row r="1777">
      <c r="A1777">
        <f>IFERROR(IF(AND(INDEX(BASELINE!$A1777:$ZZ1777,CALC!$H$1)&lt;&gt;"",INT(IF(AND(CALC!$F$1&gt;0,N(INDEX(BASELINE!$A1777:$ZZ1777,CALC!$F$1))&gt;0),N(INDEX(BASELINE!$A1777:$ZZ1777,CALC!$F$1)),N(INDEX(BASELINE!$A1777:$ZZ1777,CALC!$P$1))))=INT(SIMOPS!$D$3),IFERROR(UPPER(TRIM(INDEX(BASELINE!$A1777:$ZZ1777,CALC!$R$1)&amp;"")),"")&lt;&gt;"ENCERRADA"),1,0),0)</f>
        <v/>
      </c>
      <c r="B1777">
        <f>B1776+A1777</f>
        <v/>
      </c>
    </row>
    <row r="1778">
      <c r="A1778">
        <f>IFERROR(IF(AND(INDEX(BASELINE!$A1778:$ZZ1778,CALC!$H$1)&lt;&gt;"",INT(IF(AND(CALC!$F$1&gt;0,N(INDEX(BASELINE!$A1778:$ZZ1778,CALC!$F$1))&gt;0),N(INDEX(BASELINE!$A1778:$ZZ1778,CALC!$F$1)),N(INDEX(BASELINE!$A1778:$ZZ1778,CALC!$P$1))))=INT(SIMOPS!$D$3),IFERROR(UPPER(TRIM(INDEX(BASELINE!$A1778:$ZZ1778,CALC!$R$1)&amp;"")),"")&lt;&gt;"ENCERRADA"),1,0),0)</f>
        <v/>
      </c>
      <c r="B1778">
        <f>B1777+A1778</f>
        <v/>
      </c>
    </row>
    <row r="1779">
      <c r="A1779">
        <f>IFERROR(IF(AND(INDEX(BASELINE!$A1779:$ZZ1779,CALC!$H$1)&lt;&gt;"",INT(IF(AND(CALC!$F$1&gt;0,N(INDEX(BASELINE!$A1779:$ZZ1779,CALC!$F$1))&gt;0),N(INDEX(BASELINE!$A1779:$ZZ1779,CALC!$F$1)),N(INDEX(BASELINE!$A1779:$ZZ1779,CALC!$P$1))))=INT(SIMOPS!$D$3),IFERROR(UPPER(TRIM(INDEX(BASELINE!$A1779:$ZZ1779,CALC!$R$1)&amp;"")),"")&lt;&gt;"ENCERRADA"),1,0),0)</f>
        <v/>
      </c>
      <c r="B1779">
        <f>B1778+A1779</f>
        <v/>
      </c>
    </row>
    <row r="1780">
      <c r="A1780">
        <f>IFERROR(IF(AND(INDEX(BASELINE!$A1780:$ZZ1780,CALC!$H$1)&lt;&gt;"",INT(IF(AND(CALC!$F$1&gt;0,N(INDEX(BASELINE!$A1780:$ZZ1780,CALC!$F$1))&gt;0),N(INDEX(BASELINE!$A1780:$ZZ1780,CALC!$F$1)),N(INDEX(BASELINE!$A1780:$ZZ1780,CALC!$P$1))))=INT(SIMOPS!$D$3),IFERROR(UPPER(TRIM(INDEX(BASELINE!$A1780:$ZZ1780,CALC!$R$1)&amp;"")),"")&lt;&gt;"ENCERRADA"),1,0),0)</f>
        <v/>
      </c>
      <c r="B1780">
        <f>B1779+A1780</f>
        <v/>
      </c>
    </row>
    <row r="1781">
      <c r="A1781">
        <f>IFERROR(IF(AND(INDEX(BASELINE!$A1781:$ZZ1781,CALC!$H$1)&lt;&gt;"",INT(IF(AND(CALC!$F$1&gt;0,N(INDEX(BASELINE!$A1781:$ZZ1781,CALC!$F$1))&gt;0),N(INDEX(BASELINE!$A1781:$ZZ1781,CALC!$F$1)),N(INDEX(BASELINE!$A1781:$ZZ1781,CALC!$P$1))))=INT(SIMOPS!$D$3),IFERROR(UPPER(TRIM(INDEX(BASELINE!$A1781:$ZZ1781,CALC!$R$1)&amp;"")),"")&lt;&gt;"ENCERRADA"),1,0),0)</f>
        <v/>
      </c>
      <c r="B1781">
        <f>B1780+A1781</f>
        <v/>
      </c>
    </row>
    <row r="1782">
      <c r="A1782">
        <f>IFERROR(IF(AND(INDEX(BASELINE!$A1782:$ZZ1782,CALC!$H$1)&lt;&gt;"",INT(IF(AND(CALC!$F$1&gt;0,N(INDEX(BASELINE!$A1782:$ZZ1782,CALC!$F$1))&gt;0),N(INDEX(BASELINE!$A1782:$ZZ1782,CALC!$F$1)),N(INDEX(BASELINE!$A1782:$ZZ1782,CALC!$P$1))))=INT(SIMOPS!$D$3),IFERROR(UPPER(TRIM(INDEX(BASELINE!$A1782:$ZZ1782,CALC!$R$1)&amp;"")),"")&lt;&gt;"ENCERRADA"),1,0),0)</f>
        <v/>
      </c>
      <c r="B1782">
        <f>B1781+A1782</f>
        <v/>
      </c>
    </row>
    <row r="1783">
      <c r="A1783">
        <f>IFERROR(IF(AND(INDEX(BASELINE!$A1783:$ZZ1783,CALC!$H$1)&lt;&gt;"",INT(IF(AND(CALC!$F$1&gt;0,N(INDEX(BASELINE!$A1783:$ZZ1783,CALC!$F$1))&gt;0),N(INDEX(BASELINE!$A1783:$ZZ1783,CALC!$F$1)),N(INDEX(BASELINE!$A1783:$ZZ1783,CALC!$P$1))))=INT(SIMOPS!$D$3),IFERROR(UPPER(TRIM(INDEX(BASELINE!$A1783:$ZZ1783,CALC!$R$1)&amp;"")),"")&lt;&gt;"ENCERRADA"),1,0),0)</f>
        <v/>
      </c>
      <c r="B1783">
        <f>B1782+A1783</f>
        <v/>
      </c>
    </row>
    <row r="1784">
      <c r="A1784">
        <f>IFERROR(IF(AND(INDEX(BASELINE!$A1784:$ZZ1784,CALC!$H$1)&lt;&gt;"",INT(IF(AND(CALC!$F$1&gt;0,N(INDEX(BASELINE!$A1784:$ZZ1784,CALC!$F$1))&gt;0),N(INDEX(BASELINE!$A1784:$ZZ1784,CALC!$F$1)),N(INDEX(BASELINE!$A1784:$ZZ1784,CALC!$P$1))))=INT(SIMOPS!$D$3),IFERROR(UPPER(TRIM(INDEX(BASELINE!$A1784:$ZZ1784,CALC!$R$1)&amp;"")),"")&lt;&gt;"ENCERRADA"),1,0),0)</f>
        <v/>
      </c>
      <c r="B1784">
        <f>B1783+A1784</f>
        <v/>
      </c>
    </row>
    <row r="1785">
      <c r="A1785">
        <f>IFERROR(IF(AND(INDEX(BASELINE!$A1785:$ZZ1785,CALC!$H$1)&lt;&gt;"",INT(IF(AND(CALC!$F$1&gt;0,N(INDEX(BASELINE!$A1785:$ZZ1785,CALC!$F$1))&gt;0),N(INDEX(BASELINE!$A1785:$ZZ1785,CALC!$F$1)),N(INDEX(BASELINE!$A1785:$ZZ1785,CALC!$P$1))))=INT(SIMOPS!$D$3),IFERROR(UPPER(TRIM(INDEX(BASELINE!$A1785:$ZZ1785,CALC!$R$1)&amp;"")),"")&lt;&gt;"ENCERRADA"),1,0),0)</f>
        <v/>
      </c>
      <c r="B1785">
        <f>B1784+A1785</f>
        <v/>
      </c>
    </row>
    <row r="1786">
      <c r="A1786">
        <f>IFERROR(IF(AND(INDEX(BASELINE!$A1786:$ZZ1786,CALC!$H$1)&lt;&gt;"",INT(IF(AND(CALC!$F$1&gt;0,N(INDEX(BASELINE!$A1786:$ZZ1786,CALC!$F$1))&gt;0),N(INDEX(BASELINE!$A1786:$ZZ1786,CALC!$F$1)),N(INDEX(BASELINE!$A1786:$ZZ1786,CALC!$P$1))))=INT(SIMOPS!$D$3),IFERROR(UPPER(TRIM(INDEX(BASELINE!$A1786:$ZZ1786,CALC!$R$1)&amp;"")),"")&lt;&gt;"ENCERRADA"),1,0),0)</f>
        <v/>
      </c>
      <c r="B1786">
        <f>B1785+A1786</f>
        <v/>
      </c>
    </row>
    <row r="1787">
      <c r="A1787">
        <f>IFERROR(IF(AND(INDEX(BASELINE!$A1787:$ZZ1787,CALC!$H$1)&lt;&gt;"",INT(IF(AND(CALC!$F$1&gt;0,N(INDEX(BASELINE!$A1787:$ZZ1787,CALC!$F$1))&gt;0),N(INDEX(BASELINE!$A1787:$ZZ1787,CALC!$F$1)),N(INDEX(BASELINE!$A1787:$ZZ1787,CALC!$P$1))))=INT(SIMOPS!$D$3),IFERROR(UPPER(TRIM(INDEX(BASELINE!$A1787:$ZZ1787,CALC!$R$1)&amp;"")),"")&lt;&gt;"ENCERRADA"),1,0),0)</f>
        <v/>
      </c>
      <c r="B1787">
        <f>B1786+A1787</f>
        <v/>
      </c>
    </row>
    <row r="1788">
      <c r="A1788">
        <f>IFERROR(IF(AND(INDEX(BASELINE!$A1788:$ZZ1788,CALC!$H$1)&lt;&gt;"",INT(IF(AND(CALC!$F$1&gt;0,N(INDEX(BASELINE!$A1788:$ZZ1788,CALC!$F$1))&gt;0),N(INDEX(BASELINE!$A1788:$ZZ1788,CALC!$F$1)),N(INDEX(BASELINE!$A1788:$ZZ1788,CALC!$P$1))))=INT(SIMOPS!$D$3),IFERROR(UPPER(TRIM(INDEX(BASELINE!$A1788:$ZZ1788,CALC!$R$1)&amp;"")),"")&lt;&gt;"ENCERRADA"),1,0),0)</f>
        <v/>
      </c>
      <c r="B1788">
        <f>B1787+A1788</f>
        <v/>
      </c>
    </row>
    <row r="1789">
      <c r="A1789">
        <f>IFERROR(IF(AND(INDEX(BASELINE!$A1789:$ZZ1789,CALC!$H$1)&lt;&gt;"",INT(IF(AND(CALC!$F$1&gt;0,N(INDEX(BASELINE!$A1789:$ZZ1789,CALC!$F$1))&gt;0),N(INDEX(BASELINE!$A1789:$ZZ1789,CALC!$F$1)),N(INDEX(BASELINE!$A1789:$ZZ1789,CALC!$P$1))))=INT(SIMOPS!$D$3),IFERROR(UPPER(TRIM(INDEX(BASELINE!$A1789:$ZZ1789,CALC!$R$1)&amp;"")),"")&lt;&gt;"ENCERRADA"),1,0),0)</f>
        <v/>
      </c>
      <c r="B1789">
        <f>B1788+A1789</f>
        <v/>
      </c>
    </row>
    <row r="1790">
      <c r="A1790">
        <f>IFERROR(IF(AND(INDEX(BASELINE!$A1790:$ZZ1790,CALC!$H$1)&lt;&gt;"",INT(IF(AND(CALC!$F$1&gt;0,N(INDEX(BASELINE!$A1790:$ZZ1790,CALC!$F$1))&gt;0),N(INDEX(BASELINE!$A1790:$ZZ1790,CALC!$F$1)),N(INDEX(BASELINE!$A1790:$ZZ1790,CALC!$P$1))))=INT(SIMOPS!$D$3),IFERROR(UPPER(TRIM(INDEX(BASELINE!$A1790:$ZZ1790,CALC!$R$1)&amp;"")),"")&lt;&gt;"ENCERRADA"),1,0),0)</f>
        <v/>
      </c>
      <c r="B1790">
        <f>B1789+A1790</f>
        <v/>
      </c>
    </row>
    <row r="1791">
      <c r="A1791">
        <f>IFERROR(IF(AND(INDEX(BASELINE!$A1791:$ZZ1791,CALC!$H$1)&lt;&gt;"",INT(IF(AND(CALC!$F$1&gt;0,N(INDEX(BASELINE!$A1791:$ZZ1791,CALC!$F$1))&gt;0),N(INDEX(BASELINE!$A1791:$ZZ1791,CALC!$F$1)),N(INDEX(BASELINE!$A1791:$ZZ1791,CALC!$P$1))))=INT(SIMOPS!$D$3),IFERROR(UPPER(TRIM(INDEX(BASELINE!$A1791:$ZZ1791,CALC!$R$1)&amp;"")),"")&lt;&gt;"ENCERRADA"),1,0),0)</f>
        <v/>
      </c>
      <c r="B1791">
        <f>B1790+A1791</f>
        <v/>
      </c>
    </row>
    <row r="1792">
      <c r="A1792">
        <f>IFERROR(IF(AND(INDEX(BASELINE!$A1792:$ZZ1792,CALC!$H$1)&lt;&gt;"",INT(IF(AND(CALC!$F$1&gt;0,N(INDEX(BASELINE!$A1792:$ZZ1792,CALC!$F$1))&gt;0),N(INDEX(BASELINE!$A1792:$ZZ1792,CALC!$F$1)),N(INDEX(BASELINE!$A1792:$ZZ1792,CALC!$P$1))))=INT(SIMOPS!$D$3),IFERROR(UPPER(TRIM(INDEX(BASELINE!$A1792:$ZZ1792,CALC!$R$1)&amp;"")),"")&lt;&gt;"ENCERRADA"),1,0),0)</f>
        <v/>
      </c>
      <c r="B1792">
        <f>B1791+A1792</f>
        <v/>
      </c>
    </row>
    <row r="1793">
      <c r="A1793">
        <f>IFERROR(IF(AND(INDEX(BASELINE!$A1793:$ZZ1793,CALC!$H$1)&lt;&gt;"",INT(IF(AND(CALC!$F$1&gt;0,N(INDEX(BASELINE!$A1793:$ZZ1793,CALC!$F$1))&gt;0),N(INDEX(BASELINE!$A1793:$ZZ1793,CALC!$F$1)),N(INDEX(BASELINE!$A1793:$ZZ1793,CALC!$P$1))))=INT(SIMOPS!$D$3),IFERROR(UPPER(TRIM(INDEX(BASELINE!$A1793:$ZZ1793,CALC!$R$1)&amp;"")),"")&lt;&gt;"ENCERRADA"),1,0),0)</f>
        <v/>
      </c>
      <c r="B1793">
        <f>B1792+A1793</f>
        <v/>
      </c>
    </row>
    <row r="1794">
      <c r="A1794">
        <f>IFERROR(IF(AND(INDEX(BASELINE!$A1794:$ZZ1794,CALC!$H$1)&lt;&gt;"",INT(IF(AND(CALC!$F$1&gt;0,N(INDEX(BASELINE!$A1794:$ZZ1794,CALC!$F$1))&gt;0),N(INDEX(BASELINE!$A1794:$ZZ1794,CALC!$F$1)),N(INDEX(BASELINE!$A1794:$ZZ1794,CALC!$P$1))))=INT(SIMOPS!$D$3),IFERROR(UPPER(TRIM(INDEX(BASELINE!$A1794:$ZZ1794,CALC!$R$1)&amp;"")),"")&lt;&gt;"ENCERRADA"),1,0),0)</f>
        <v/>
      </c>
      <c r="B1794">
        <f>B1793+A1794</f>
        <v/>
      </c>
    </row>
    <row r="1795">
      <c r="A1795">
        <f>IFERROR(IF(AND(INDEX(BASELINE!$A1795:$ZZ1795,CALC!$H$1)&lt;&gt;"",INT(IF(AND(CALC!$F$1&gt;0,N(INDEX(BASELINE!$A1795:$ZZ1795,CALC!$F$1))&gt;0),N(INDEX(BASELINE!$A1795:$ZZ1795,CALC!$F$1)),N(INDEX(BASELINE!$A1795:$ZZ1795,CALC!$P$1))))=INT(SIMOPS!$D$3),IFERROR(UPPER(TRIM(INDEX(BASELINE!$A1795:$ZZ1795,CALC!$R$1)&amp;"")),"")&lt;&gt;"ENCERRADA"),1,0),0)</f>
        <v/>
      </c>
      <c r="B1795">
        <f>B1794+A1795</f>
        <v/>
      </c>
    </row>
    <row r="1796">
      <c r="A1796">
        <f>IFERROR(IF(AND(INDEX(BASELINE!$A1796:$ZZ1796,CALC!$H$1)&lt;&gt;"",INT(IF(AND(CALC!$F$1&gt;0,N(INDEX(BASELINE!$A1796:$ZZ1796,CALC!$F$1))&gt;0),N(INDEX(BASELINE!$A1796:$ZZ1796,CALC!$F$1)),N(INDEX(BASELINE!$A1796:$ZZ1796,CALC!$P$1))))=INT(SIMOPS!$D$3),IFERROR(UPPER(TRIM(INDEX(BASELINE!$A1796:$ZZ1796,CALC!$R$1)&amp;"")),"")&lt;&gt;"ENCERRADA"),1,0),0)</f>
        <v/>
      </c>
      <c r="B1796">
        <f>B1795+A1796</f>
        <v/>
      </c>
    </row>
    <row r="1797">
      <c r="A1797">
        <f>IFERROR(IF(AND(INDEX(BASELINE!$A1797:$ZZ1797,CALC!$H$1)&lt;&gt;"",INT(IF(AND(CALC!$F$1&gt;0,N(INDEX(BASELINE!$A1797:$ZZ1797,CALC!$F$1))&gt;0),N(INDEX(BASELINE!$A1797:$ZZ1797,CALC!$F$1)),N(INDEX(BASELINE!$A1797:$ZZ1797,CALC!$P$1))))=INT(SIMOPS!$D$3),IFERROR(UPPER(TRIM(INDEX(BASELINE!$A1797:$ZZ1797,CALC!$R$1)&amp;"")),"")&lt;&gt;"ENCERRADA"),1,0),0)</f>
        <v/>
      </c>
      <c r="B1797">
        <f>B1796+A1797</f>
        <v/>
      </c>
    </row>
    <row r="1798">
      <c r="A1798">
        <f>IFERROR(IF(AND(INDEX(BASELINE!$A1798:$ZZ1798,CALC!$H$1)&lt;&gt;"",INT(IF(AND(CALC!$F$1&gt;0,N(INDEX(BASELINE!$A1798:$ZZ1798,CALC!$F$1))&gt;0),N(INDEX(BASELINE!$A1798:$ZZ1798,CALC!$F$1)),N(INDEX(BASELINE!$A1798:$ZZ1798,CALC!$P$1))))=INT(SIMOPS!$D$3),IFERROR(UPPER(TRIM(INDEX(BASELINE!$A1798:$ZZ1798,CALC!$R$1)&amp;"")),"")&lt;&gt;"ENCERRADA"),1,0),0)</f>
        <v/>
      </c>
      <c r="B1798">
        <f>B1797+A1798</f>
        <v/>
      </c>
    </row>
    <row r="1799">
      <c r="A1799">
        <f>IFERROR(IF(AND(INDEX(BASELINE!$A1799:$ZZ1799,CALC!$H$1)&lt;&gt;"",INT(IF(AND(CALC!$F$1&gt;0,N(INDEX(BASELINE!$A1799:$ZZ1799,CALC!$F$1))&gt;0),N(INDEX(BASELINE!$A1799:$ZZ1799,CALC!$F$1)),N(INDEX(BASELINE!$A1799:$ZZ1799,CALC!$P$1))))=INT(SIMOPS!$D$3),IFERROR(UPPER(TRIM(INDEX(BASELINE!$A1799:$ZZ1799,CALC!$R$1)&amp;"")),"")&lt;&gt;"ENCERRADA"),1,0),0)</f>
        <v/>
      </c>
      <c r="B1799">
        <f>B1798+A1799</f>
        <v/>
      </c>
    </row>
    <row r="1800">
      <c r="A1800">
        <f>IFERROR(IF(AND(INDEX(BASELINE!$A1800:$ZZ1800,CALC!$H$1)&lt;&gt;"",INT(IF(AND(CALC!$F$1&gt;0,N(INDEX(BASELINE!$A1800:$ZZ1800,CALC!$F$1))&gt;0),N(INDEX(BASELINE!$A1800:$ZZ1800,CALC!$F$1)),N(INDEX(BASELINE!$A1800:$ZZ1800,CALC!$P$1))))=INT(SIMOPS!$D$3),IFERROR(UPPER(TRIM(INDEX(BASELINE!$A1800:$ZZ1800,CALC!$R$1)&amp;"")),"")&lt;&gt;"ENCERRADA"),1,0),0)</f>
        <v/>
      </c>
      <c r="B1800">
        <f>B1799+A1800</f>
        <v/>
      </c>
    </row>
    <row r="1801">
      <c r="A1801">
        <f>IFERROR(IF(AND(INDEX(BASELINE!$A1801:$ZZ1801,CALC!$H$1)&lt;&gt;"",INT(IF(AND(CALC!$F$1&gt;0,N(INDEX(BASELINE!$A1801:$ZZ1801,CALC!$F$1))&gt;0),N(INDEX(BASELINE!$A1801:$ZZ1801,CALC!$F$1)),N(INDEX(BASELINE!$A1801:$ZZ1801,CALC!$P$1))))=INT(SIMOPS!$D$3),IFERROR(UPPER(TRIM(INDEX(BASELINE!$A1801:$ZZ1801,CALC!$R$1)&amp;"")),"")&lt;&gt;"ENCERRADA"),1,0),0)</f>
        <v/>
      </c>
      <c r="B1801">
        <f>B1800+A1801</f>
        <v/>
      </c>
    </row>
    <row r="1802">
      <c r="A1802">
        <f>IFERROR(IF(AND(INDEX(BASELINE!$A1802:$ZZ1802,CALC!$H$1)&lt;&gt;"",INT(IF(AND(CALC!$F$1&gt;0,N(INDEX(BASELINE!$A1802:$ZZ1802,CALC!$F$1))&gt;0),N(INDEX(BASELINE!$A1802:$ZZ1802,CALC!$F$1)),N(INDEX(BASELINE!$A1802:$ZZ1802,CALC!$P$1))))=INT(SIMOPS!$D$3),IFERROR(UPPER(TRIM(INDEX(BASELINE!$A1802:$ZZ1802,CALC!$R$1)&amp;"")),"")&lt;&gt;"ENCERRADA"),1,0),0)</f>
        <v/>
      </c>
      <c r="B1802">
        <f>B1801+A1802</f>
        <v/>
      </c>
    </row>
    <row r="1803">
      <c r="A1803">
        <f>IFERROR(IF(AND(INDEX(BASELINE!$A1803:$ZZ1803,CALC!$H$1)&lt;&gt;"",INT(IF(AND(CALC!$F$1&gt;0,N(INDEX(BASELINE!$A1803:$ZZ1803,CALC!$F$1))&gt;0),N(INDEX(BASELINE!$A1803:$ZZ1803,CALC!$F$1)),N(INDEX(BASELINE!$A1803:$ZZ1803,CALC!$P$1))))=INT(SIMOPS!$D$3),IFERROR(UPPER(TRIM(INDEX(BASELINE!$A1803:$ZZ1803,CALC!$R$1)&amp;"")),"")&lt;&gt;"ENCERRADA"),1,0),0)</f>
        <v/>
      </c>
      <c r="B1803">
        <f>B1802+A1803</f>
        <v/>
      </c>
    </row>
    <row r="1804">
      <c r="A1804">
        <f>IFERROR(IF(AND(INDEX(BASELINE!$A1804:$ZZ1804,CALC!$H$1)&lt;&gt;"",INT(IF(AND(CALC!$F$1&gt;0,N(INDEX(BASELINE!$A1804:$ZZ1804,CALC!$F$1))&gt;0),N(INDEX(BASELINE!$A1804:$ZZ1804,CALC!$F$1)),N(INDEX(BASELINE!$A1804:$ZZ1804,CALC!$P$1))))=INT(SIMOPS!$D$3),IFERROR(UPPER(TRIM(INDEX(BASELINE!$A1804:$ZZ1804,CALC!$R$1)&amp;"")),"")&lt;&gt;"ENCERRADA"),1,0),0)</f>
        <v/>
      </c>
      <c r="B1804">
        <f>B1803+A1804</f>
        <v/>
      </c>
    </row>
    <row r="1805">
      <c r="A1805">
        <f>IFERROR(IF(AND(INDEX(BASELINE!$A1805:$ZZ1805,CALC!$H$1)&lt;&gt;"",INT(IF(AND(CALC!$F$1&gt;0,N(INDEX(BASELINE!$A1805:$ZZ1805,CALC!$F$1))&gt;0),N(INDEX(BASELINE!$A1805:$ZZ1805,CALC!$F$1)),N(INDEX(BASELINE!$A1805:$ZZ1805,CALC!$P$1))))=INT(SIMOPS!$D$3),IFERROR(UPPER(TRIM(INDEX(BASELINE!$A1805:$ZZ1805,CALC!$R$1)&amp;"")),"")&lt;&gt;"ENCERRADA"),1,0),0)</f>
        <v/>
      </c>
      <c r="B1805">
        <f>B1804+A1805</f>
        <v/>
      </c>
    </row>
    <row r="1806">
      <c r="A1806">
        <f>IFERROR(IF(AND(INDEX(BASELINE!$A1806:$ZZ1806,CALC!$H$1)&lt;&gt;"",INT(IF(AND(CALC!$F$1&gt;0,N(INDEX(BASELINE!$A1806:$ZZ1806,CALC!$F$1))&gt;0),N(INDEX(BASELINE!$A1806:$ZZ1806,CALC!$F$1)),N(INDEX(BASELINE!$A1806:$ZZ1806,CALC!$P$1))))=INT(SIMOPS!$D$3),IFERROR(UPPER(TRIM(INDEX(BASELINE!$A1806:$ZZ1806,CALC!$R$1)&amp;"")),"")&lt;&gt;"ENCERRADA"),1,0),0)</f>
        <v/>
      </c>
      <c r="B1806">
        <f>B1805+A1806</f>
        <v/>
      </c>
    </row>
    <row r="1807">
      <c r="A1807">
        <f>IFERROR(IF(AND(INDEX(BASELINE!$A1807:$ZZ1807,CALC!$H$1)&lt;&gt;"",INT(IF(AND(CALC!$F$1&gt;0,N(INDEX(BASELINE!$A1807:$ZZ1807,CALC!$F$1))&gt;0),N(INDEX(BASELINE!$A1807:$ZZ1807,CALC!$F$1)),N(INDEX(BASELINE!$A1807:$ZZ1807,CALC!$P$1))))=INT(SIMOPS!$D$3),IFERROR(UPPER(TRIM(INDEX(BASELINE!$A1807:$ZZ1807,CALC!$R$1)&amp;"")),"")&lt;&gt;"ENCERRADA"),1,0),0)</f>
        <v/>
      </c>
      <c r="B1807">
        <f>B1806+A1807</f>
        <v/>
      </c>
    </row>
    <row r="1808">
      <c r="A1808">
        <f>IFERROR(IF(AND(INDEX(BASELINE!$A1808:$ZZ1808,CALC!$H$1)&lt;&gt;"",INT(IF(AND(CALC!$F$1&gt;0,N(INDEX(BASELINE!$A1808:$ZZ1808,CALC!$F$1))&gt;0),N(INDEX(BASELINE!$A1808:$ZZ1808,CALC!$F$1)),N(INDEX(BASELINE!$A1808:$ZZ1808,CALC!$P$1))))=INT(SIMOPS!$D$3),IFERROR(UPPER(TRIM(INDEX(BASELINE!$A1808:$ZZ1808,CALC!$R$1)&amp;"")),"")&lt;&gt;"ENCERRADA"),1,0),0)</f>
        <v/>
      </c>
      <c r="B1808">
        <f>B1807+A1808</f>
        <v/>
      </c>
    </row>
    <row r="1809">
      <c r="A1809">
        <f>IFERROR(IF(AND(INDEX(BASELINE!$A1809:$ZZ1809,CALC!$H$1)&lt;&gt;"",INT(IF(AND(CALC!$F$1&gt;0,N(INDEX(BASELINE!$A1809:$ZZ1809,CALC!$F$1))&gt;0),N(INDEX(BASELINE!$A1809:$ZZ1809,CALC!$F$1)),N(INDEX(BASELINE!$A1809:$ZZ1809,CALC!$P$1))))=INT(SIMOPS!$D$3),IFERROR(UPPER(TRIM(INDEX(BASELINE!$A1809:$ZZ1809,CALC!$R$1)&amp;"")),"")&lt;&gt;"ENCERRADA"),1,0),0)</f>
        <v/>
      </c>
      <c r="B1809">
        <f>B1808+A1809</f>
        <v/>
      </c>
    </row>
    <row r="1810">
      <c r="A1810">
        <f>IFERROR(IF(AND(INDEX(BASELINE!$A1810:$ZZ1810,CALC!$H$1)&lt;&gt;"",INT(IF(AND(CALC!$F$1&gt;0,N(INDEX(BASELINE!$A1810:$ZZ1810,CALC!$F$1))&gt;0),N(INDEX(BASELINE!$A1810:$ZZ1810,CALC!$F$1)),N(INDEX(BASELINE!$A1810:$ZZ1810,CALC!$P$1))))=INT(SIMOPS!$D$3),IFERROR(UPPER(TRIM(INDEX(BASELINE!$A1810:$ZZ1810,CALC!$R$1)&amp;"")),"")&lt;&gt;"ENCERRADA"),1,0),0)</f>
        <v/>
      </c>
      <c r="B1810">
        <f>B1809+A1810</f>
        <v/>
      </c>
    </row>
    <row r="1811">
      <c r="A1811">
        <f>IFERROR(IF(AND(INDEX(BASELINE!$A1811:$ZZ1811,CALC!$H$1)&lt;&gt;"",INT(IF(AND(CALC!$F$1&gt;0,N(INDEX(BASELINE!$A1811:$ZZ1811,CALC!$F$1))&gt;0),N(INDEX(BASELINE!$A1811:$ZZ1811,CALC!$F$1)),N(INDEX(BASELINE!$A1811:$ZZ1811,CALC!$P$1))))=INT(SIMOPS!$D$3),IFERROR(UPPER(TRIM(INDEX(BASELINE!$A1811:$ZZ1811,CALC!$R$1)&amp;"")),"")&lt;&gt;"ENCERRADA"),1,0),0)</f>
        <v/>
      </c>
      <c r="B1811">
        <f>B1810+A1811</f>
        <v/>
      </c>
    </row>
    <row r="1812">
      <c r="A1812">
        <f>IFERROR(IF(AND(INDEX(BASELINE!$A1812:$ZZ1812,CALC!$H$1)&lt;&gt;"",INT(IF(AND(CALC!$F$1&gt;0,N(INDEX(BASELINE!$A1812:$ZZ1812,CALC!$F$1))&gt;0),N(INDEX(BASELINE!$A1812:$ZZ1812,CALC!$F$1)),N(INDEX(BASELINE!$A1812:$ZZ1812,CALC!$P$1))))=INT(SIMOPS!$D$3),IFERROR(UPPER(TRIM(INDEX(BASELINE!$A1812:$ZZ1812,CALC!$R$1)&amp;"")),"")&lt;&gt;"ENCERRADA"),1,0),0)</f>
        <v/>
      </c>
      <c r="B1812">
        <f>B1811+A1812</f>
        <v/>
      </c>
    </row>
    <row r="1813">
      <c r="A1813">
        <f>IFERROR(IF(AND(INDEX(BASELINE!$A1813:$ZZ1813,CALC!$H$1)&lt;&gt;"",INT(IF(AND(CALC!$F$1&gt;0,N(INDEX(BASELINE!$A1813:$ZZ1813,CALC!$F$1))&gt;0),N(INDEX(BASELINE!$A1813:$ZZ1813,CALC!$F$1)),N(INDEX(BASELINE!$A1813:$ZZ1813,CALC!$P$1))))=INT(SIMOPS!$D$3),IFERROR(UPPER(TRIM(INDEX(BASELINE!$A1813:$ZZ1813,CALC!$R$1)&amp;"")),"")&lt;&gt;"ENCERRADA"),1,0),0)</f>
        <v/>
      </c>
      <c r="B1813">
        <f>B1812+A1813</f>
        <v/>
      </c>
    </row>
    <row r="1814">
      <c r="A1814">
        <f>IFERROR(IF(AND(INDEX(BASELINE!$A1814:$ZZ1814,CALC!$H$1)&lt;&gt;"",INT(IF(AND(CALC!$F$1&gt;0,N(INDEX(BASELINE!$A1814:$ZZ1814,CALC!$F$1))&gt;0),N(INDEX(BASELINE!$A1814:$ZZ1814,CALC!$F$1)),N(INDEX(BASELINE!$A1814:$ZZ1814,CALC!$P$1))))=INT(SIMOPS!$D$3),IFERROR(UPPER(TRIM(INDEX(BASELINE!$A1814:$ZZ1814,CALC!$R$1)&amp;"")),"")&lt;&gt;"ENCERRADA"),1,0),0)</f>
        <v/>
      </c>
      <c r="B1814">
        <f>B1813+A1814</f>
        <v/>
      </c>
    </row>
    <row r="1815">
      <c r="A1815">
        <f>IFERROR(IF(AND(INDEX(BASELINE!$A1815:$ZZ1815,CALC!$H$1)&lt;&gt;"",INT(IF(AND(CALC!$F$1&gt;0,N(INDEX(BASELINE!$A1815:$ZZ1815,CALC!$F$1))&gt;0),N(INDEX(BASELINE!$A1815:$ZZ1815,CALC!$F$1)),N(INDEX(BASELINE!$A1815:$ZZ1815,CALC!$P$1))))=INT(SIMOPS!$D$3),IFERROR(UPPER(TRIM(INDEX(BASELINE!$A1815:$ZZ1815,CALC!$R$1)&amp;"")),"")&lt;&gt;"ENCERRADA"),1,0),0)</f>
        <v/>
      </c>
      <c r="B1815">
        <f>B1814+A1815</f>
        <v/>
      </c>
    </row>
    <row r="1816">
      <c r="A1816">
        <f>IFERROR(IF(AND(INDEX(BASELINE!$A1816:$ZZ1816,CALC!$H$1)&lt;&gt;"",INT(IF(AND(CALC!$F$1&gt;0,N(INDEX(BASELINE!$A1816:$ZZ1816,CALC!$F$1))&gt;0),N(INDEX(BASELINE!$A1816:$ZZ1816,CALC!$F$1)),N(INDEX(BASELINE!$A1816:$ZZ1816,CALC!$P$1))))=INT(SIMOPS!$D$3),IFERROR(UPPER(TRIM(INDEX(BASELINE!$A1816:$ZZ1816,CALC!$R$1)&amp;"")),"")&lt;&gt;"ENCERRADA"),1,0),0)</f>
        <v/>
      </c>
      <c r="B1816">
        <f>B1815+A1816</f>
        <v/>
      </c>
    </row>
    <row r="1817">
      <c r="A1817">
        <f>IFERROR(IF(AND(INDEX(BASELINE!$A1817:$ZZ1817,CALC!$H$1)&lt;&gt;"",INT(IF(AND(CALC!$F$1&gt;0,N(INDEX(BASELINE!$A1817:$ZZ1817,CALC!$F$1))&gt;0),N(INDEX(BASELINE!$A1817:$ZZ1817,CALC!$F$1)),N(INDEX(BASELINE!$A1817:$ZZ1817,CALC!$P$1))))=INT(SIMOPS!$D$3),IFERROR(UPPER(TRIM(INDEX(BASELINE!$A1817:$ZZ1817,CALC!$R$1)&amp;"")),"")&lt;&gt;"ENCERRADA"),1,0),0)</f>
        <v/>
      </c>
      <c r="B1817">
        <f>B1816+A1817</f>
        <v/>
      </c>
    </row>
    <row r="1818">
      <c r="A1818">
        <f>IFERROR(IF(AND(INDEX(BASELINE!$A1818:$ZZ1818,CALC!$H$1)&lt;&gt;"",INT(IF(AND(CALC!$F$1&gt;0,N(INDEX(BASELINE!$A1818:$ZZ1818,CALC!$F$1))&gt;0),N(INDEX(BASELINE!$A1818:$ZZ1818,CALC!$F$1)),N(INDEX(BASELINE!$A1818:$ZZ1818,CALC!$P$1))))=INT(SIMOPS!$D$3),IFERROR(UPPER(TRIM(INDEX(BASELINE!$A1818:$ZZ1818,CALC!$R$1)&amp;"")),"")&lt;&gt;"ENCERRADA"),1,0),0)</f>
        <v/>
      </c>
      <c r="B1818">
        <f>B1817+A1818</f>
        <v/>
      </c>
    </row>
    <row r="1819">
      <c r="A1819">
        <f>IFERROR(IF(AND(INDEX(BASELINE!$A1819:$ZZ1819,CALC!$H$1)&lt;&gt;"",INT(IF(AND(CALC!$F$1&gt;0,N(INDEX(BASELINE!$A1819:$ZZ1819,CALC!$F$1))&gt;0),N(INDEX(BASELINE!$A1819:$ZZ1819,CALC!$F$1)),N(INDEX(BASELINE!$A1819:$ZZ1819,CALC!$P$1))))=INT(SIMOPS!$D$3),IFERROR(UPPER(TRIM(INDEX(BASELINE!$A1819:$ZZ1819,CALC!$R$1)&amp;"")),"")&lt;&gt;"ENCERRADA"),1,0),0)</f>
        <v/>
      </c>
      <c r="B1819">
        <f>B1818+A1819</f>
        <v/>
      </c>
    </row>
    <row r="1820">
      <c r="A1820">
        <f>IFERROR(IF(AND(INDEX(BASELINE!$A1820:$ZZ1820,CALC!$H$1)&lt;&gt;"",INT(IF(AND(CALC!$F$1&gt;0,N(INDEX(BASELINE!$A1820:$ZZ1820,CALC!$F$1))&gt;0),N(INDEX(BASELINE!$A1820:$ZZ1820,CALC!$F$1)),N(INDEX(BASELINE!$A1820:$ZZ1820,CALC!$P$1))))=INT(SIMOPS!$D$3),IFERROR(UPPER(TRIM(INDEX(BASELINE!$A1820:$ZZ1820,CALC!$R$1)&amp;"")),"")&lt;&gt;"ENCERRADA"),1,0),0)</f>
        <v/>
      </c>
      <c r="B1820">
        <f>B1819+A1820</f>
        <v/>
      </c>
    </row>
    <row r="1821">
      <c r="A1821">
        <f>IFERROR(IF(AND(INDEX(BASELINE!$A1821:$ZZ1821,CALC!$H$1)&lt;&gt;"",INT(IF(AND(CALC!$F$1&gt;0,N(INDEX(BASELINE!$A1821:$ZZ1821,CALC!$F$1))&gt;0),N(INDEX(BASELINE!$A1821:$ZZ1821,CALC!$F$1)),N(INDEX(BASELINE!$A1821:$ZZ1821,CALC!$P$1))))=INT(SIMOPS!$D$3),IFERROR(UPPER(TRIM(INDEX(BASELINE!$A1821:$ZZ1821,CALC!$R$1)&amp;"")),"")&lt;&gt;"ENCERRADA"),1,0),0)</f>
        <v/>
      </c>
      <c r="B1821">
        <f>B1820+A1821</f>
        <v/>
      </c>
    </row>
    <row r="1822">
      <c r="A1822">
        <f>IFERROR(IF(AND(INDEX(BASELINE!$A1822:$ZZ1822,CALC!$H$1)&lt;&gt;"",INT(IF(AND(CALC!$F$1&gt;0,N(INDEX(BASELINE!$A1822:$ZZ1822,CALC!$F$1))&gt;0),N(INDEX(BASELINE!$A1822:$ZZ1822,CALC!$F$1)),N(INDEX(BASELINE!$A1822:$ZZ1822,CALC!$P$1))))=INT(SIMOPS!$D$3),IFERROR(UPPER(TRIM(INDEX(BASELINE!$A1822:$ZZ1822,CALC!$R$1)&amp;"")),"")&lt;&gt;"ENCERRADA"),1,0),0)</f>
        <v/>
      </c>
      <c r="B1822">
        <f>B1821+A1822</f>
        <v/>
      </c>
    </row>
    <row r="1823">
      <c r="A1823">
        <f>IFERROR(IF(AND(INDEX(BASELINE!$A1823:$ZZ1823,CALC!$H$1)&lt;&gt;"",INT(IF(AND(CALC!$F$1&gt;0,N(INDEX(BASELINE!$A1823:$ZZ1823,CALC!$F$1))&gt;0),N(INDEX(BASELINE!$A1823:$ZZ1823,CALC!$F$1)),N(INDEX(BASELINE!$A1823:$ZZ1823,CALC!$P$1))))=INT(SIMOPS!$D$3),IFERROR(UPPER(TRIM(INDEX(BASELINE!$A1823:$ZZ1823,CALC!$R$1)&amp;"")),"")&lt;&gt;"ENCERRADA"),1,0),0)</f>
        <v/>
      </c>
      <c r="B1823">
        <f>B1822+A1823</f>
        <v/>
      </c>
    </row>
    <row r="1824">
      <c r="A1824">
        <f>IFERROR(IF(AND(INDEX(BASELINE!$A1824:$ZZ1824,CALC!$H$1)&lt;&gt;"",INT(IF(AND(CALC!$F$1&gt;0,N(INDEX(BASELINE!$A1824:$ZZ1824,CALC!$F$1))&gt;0),N(INDEX(BASELINE!$A1824:$ZZ1824,CALC!$F$1)),N(INDEX(BASELINE!$A1824:$ZZ1824,CALC!$P$1))))=INT(SIMOPS!$D$3),IFERROR(UPPER(TRIM(INDEX(BASELINE!$A1824:$ZZ1824,CALC!$R$1)&amp;"")),"")&lt;&gt;"ENCERRADA"),1,0),0)</f>
        <v/>
      </c>
      <c r="B1824">
        <f>B1823+A1824</f>
        <v/>
      </c>
    </row>
    <row r="1825">
      <c r="A1825">
        <f>IFERROR(IF(AND(INDEX(BASELINE!$A1825:$ZZ1825,CALC!$H$1)&lt;&gt;"",INT(IF(AND(CALC!$F$1&gt;0,N(INDEX(BASELINE!$A1825:$ZZ1825,CALC!$F$1))&gt;0),N(INDEX(BASELINE!$A1825:$ZZ1825,CALC!$F$1)),N(INDEX(BASELINE!$A1825:$ZZ1825,CALC!$P$1))))=INT(SIMOPS!$D$3),IFERROR(UPPER(TRIM(INDEX(BASELINE!$A1825:$ZZ1825,CALC!$R$1)&amp;"")),"")&lt;&gt;"ENCERRADA"),1,0),0)</f>
        <v/>
      </c>
      <c r="B1825">
        <f>B1824+A1825</f>
        <v/>
      </c>
    </row>
    <row r="1826">
      <c r="A1826">
        <f>IFERROR(IF(AND(INDEX(BASELINE!$A1826:$ZZ1826,CALC!$H$1)&lt;&gt;"",INT(IF(AND(CALC!$F$1&gt;0,N(INDEX(BASELINE!$A1826:$ZZ1826,CALC!$F$1))&gt;0),N(INDEX(BASELINE!$A1826:$ZZ1826,CALC!$F$1)),N(INDEX(BASELINE!$A1826:$ZZ1826,CALC!$P$1))))=INT(SIMOPS!$D$3),IFERROR(UPPER(TRIM(INDEX(BASELINE!$A1826:$ZZ1826,CALC!$R$1)&amp;"")),"")&lt;&gt;"ENCERRADA"),1,0),0)</f>
        <v/>
      </c>
      <c r="B1826">
        <f>B1825+A1826</f>
        <v/>
      </c>
    </row>
    <row r="1827">
      <c r="A1827">
        <f>IFERROR(IF(AND(INDEX(BASELINE!$A1827:$ZZ1827,CALC!$H$1)&lt;&gt;"",INT(IF(AND(CALC!$F$1&gt;0,N(INDEX(BASELINE!$A1827:$ZZ1827,CALC!$F$1))&gt;0),N(INDEX(BASELINE!$A1827:$ZZ1827,CALC!$F$1)),N(INDEX(BASELINE!$A1827:$ZZ1827,CALC!$P$1))))=INT(SIMOPS!$D$3),IFERROR(UPPER(TRIM(INDEX(BASELINE!$A1827:$ZZ1827,CALC!$R$1)&amp;"")),"")&lt;&gt;"ENCERRADA"),1,0),0)</f>
        <v/>
      </c>
      <c r="B1827">
        <f>B1826+A1827</f>
        <v/>
      </c>
    </row>
    <row r="1828">
      <c r="A1828">
        <f>IFERROR(IF(AND(INDEX(BASELINE!$A1828:$ZZ1828,CALC!$H$1)&lt;&gt;"",INT(IF(AND(CALC!$F$1&gt;0,N(INDEX(BASELINE!$A1828:$ZZ1828,CALC!$F$1))&gt;0),N(INDEX(BASELINE!$A1828:$ZZ1828,CALC!$F$1)),N(INDEX(BASELINE!$A1828:$ZZ1828,CALC!$P$1))))=INT(SIMOPS!$D$3),IFERROR(UPPER(TRIM(INDEX(BASELINE!$A1828:$ZZ1828,CALC!$R$1)&amp;"")),"")&lt;&gt;"ENCERRADA"),1,0),0)</f>
        <v/>
      </c>
      <c r="B1828">
        <f>B1827+A1828</f>
        <v/>
      </c>
    </row>
    <row r="1829">
      <c r="A1829">
        <f>IFERROR(IF(AND(INDEX(BASELINE!$A1829:$ZZ1829,CALC!$H$1)&lt;&gt;"",INT(IF(AND(CALC!$F$1&gt;0,N(INDEX(BASELINE!$A1829:$ZZ1829,CALC!$F$1))&gt;0),N(INDEX(BASELINE!$A1829:$ZZ1829,CALC!$F$1)),N(INDEX(BASELINE!$A1829:$ZZ1829,CALC!$P$1))))=INT(SIMOPS!$D$3),IFERROR(UPPER(TRIM(INDEX(BASELINE!$A1829:$ZZ1829,CALC!$R$1)&amp;"")),"")&lt;&gt;"ENCERRADA"),1,0),0)</f>
        <v/>
      </c>
      <c r="B1829">
        <f>B1828+A1829</f>
        <v/>
      </c>
    </row>
    <row r="1830">
      <c r="A1830">
        <f>IFERROR(IF(AND(INDEX(BASELINE!$A1830:$ZZ1830,CALC!$H$1)&lt;&gt;"",INT(IF(AND(CALC!$F$1&gt;0,N(INDEX(BASELINE!$A1830:$ZZ1830,CALC!$F$1))&gt;0),N(INDEX(BASELINE!$A1830:$ZZ1830,CALC!$F$1)),N(INDEX(BASELINE!$A1830:$ZZ1830,CALC!$P$1))))=INT(SIMOPS!$D$3),IFERROR(UPPER(TRIM(INDEX(BASELINE!$A1830:$ZZ1830,CALC!$R$1)&amp;"")),"")&lt;&gt;"ENCERRADA"),1,0),0)</f>
        <v/>
      </c>
      <c r="B1830">
        <f>B1829+A1830</f>
        <v/>
      </c>
    </row>
    <row r="1831">
      <c r="A1831">
        <f>IFERROR(IF(AND(INDEX(BASELINE!$A1831:$ZZ1831,CALC!$H$1)&lt;&gt;"",INT(IF(AND(CALC!$F$1&gt;0,N(INDEX(BASELINE!$A1831:$ZZ1831,CALC!$F$1))&gt;0),N(INDEX(BASELINE!$A1831:$ZZ1831,CALC!$F$1)),N(INDEX(BASELINE!$A1831:$ZZ1831,CALC!$P$1))))=INT(SIMOPS!$D$3),IFERROR(UPPER(TRIM(INDEX(BASELINE!$A1831:$ZZ1831,CALC!$R$1)&amp;"")),"")&lt;&gt;"ENCERRADA"),1,0),0)</f>
        <v/>
      </c>
      <c r="B1831">
        <f>B1830+A1831</f>
        <v/>
      </c>
    </row>
    <row r="1832">
      <c r="A1832">
        <f>IFERROR(IF(AND(INDEX(BASELINE!$A1832:$ZZ1832,CALC!$H$1)&lt;&gt;"",INT(IF(AND(CALC!$F$1&gt;0,N(INDEX(BASELINE!$A1832:$ZZ1832,CALC!$F$1))&gt;0),N(INDEX(BASELINE!$A1832:$ZZ1832,CALC!$F$1)),N(INDEX(BASELINE!$A1832:$ZZ1832,CALC!$P$1))))=INT(SIMOPS!$D$3),IFERROR(UPPER(TRIM(INDEX(BASELINE!$A1832:$ZZ1832,CALC!$R$1)&amp;"")),"")&lt;&gt;"ENCERRADA"),1,0),0)</f>
        <v/>
      </c>
      <c r="B1832">
        <f>B1831+A1832</f>
        <v/>
      </c>
    </row>
    <row r="1833">
      <c r="A1833">
        <f>IFERROR(IF(AND(INDEX(BASELINE!$A1833:$ZZ1833,CALC!$H$1)&lt;&gt;"",INT(IF(AND(CALC!$F$1&gt;0,N(INDEX(BASELINE!$A1833:$ZZ1833,CALC!$F$1))&gt;0),N(INDEX(BASELINE!$A1833:$ZZ1833,CALC!$F$1)),N(INDEX(BASELINE!$A1833:$ZZ1833,CALC!$P$1))))=INT(SIMOPS!$D$3),IFERROR(UPPER(TRIM(INDEX(BASELINE!$A1833:$ZZ1833,CALC!$R$1)&amp;"")),"")&lt;&gt;"ENCERRADA"),1,0),0)</f>
        <v/>
      </c>
      <c r="B1833">
        <f>B1832+A1833</f>
        <v/>
      </c>
    </row>
    <row r="1834">
      <c r="A1834">
        <f>IFERROR(IF(AND(INDEX(BASELINE!$A1834:$ZZ1834,CALC!$H$1)&lt;&gt;"",INT(IF(AND(CALC!$F$1&gt;0,N(INDEX(BASELINE!$A1834:$ZZ1834,CALC!$F$1))&gt;0),N(INDEX(BASELINE!$A1834:$ZZ1834,CALC!$F$1)),N(INDEX(BASELINE!$A1834:$ZZ1834,CALC!$P$1))))=INT(SIMOPS!$D$3),IFERROR(UPPER(TRIM(INDEX(BASELINE!$A1834:$ZZ1834,CALC!$R$1)&amp;"")),"")&lt;&gt;"ENCERRADA"),1,0),0)</f>
        <v/>
      </c>
      <c r="B1834">
        <f>B1833+A1834</f>
        <v/>
      </c>
    </row>
    <row r="1835">
      <c r="A1835">
        <f>IFERROR(IF(AND(INDEX(BASELINE!$A1835:$ZZ1835,CALC!$H$1)&lt;&gt;"",INT(IF(AND(CALC!$F$1&gt;0,N(INDEX(BASELINE!$A1835:$ZZ1835,CALC!$F$1))&gt;0),N(INDEX(BASELINE!$A1835:$ZZ1835,CALC!$F$1)),N(INDEX(BASELINE!$A1835:$ZZ1835,CALC!$P$1))))=INT(SIMOPS!$D$3),IFERROR(UPPER(TRIM(INDEX(BASELINE!$A1835:$ZZ1835,CALC!$R$1)&amp;"")),"")&lt;&gt;"ENCERRADA"),1,0),0)</f>
        <v/>
      </c>
      <c r="B1835">
        <f>B1834+A1835</f>
        <v/>
      </c>
    </row>
    <row r="1836">
      <c r="A1836">
        <f>IFERROR(IF(AND(INDEX(BASELINE!$A1836:$ZZ1836,CALC!$H$1)&lt;&gt;"",INT(IF(AND(CALC!$F$1&gt;0,N(INDEX(BASELINE!$A1836:$ZZ1836,CALC!$F$1))&gt;0),N(INDEX(BASELINE!$A1836:$ZZ1836,CALC!$F$1)),N(INDEX(BASELINE!$A1836:$ZZ1836,CALC!$P$1))))=INT(SIMOPS!$D$3),IFERROR(UPPER(TRIM(INDEX(BASELINE!$A1836:$ZZ1836,CALC!$R$1)&amp;"")),"")&lt;&gt;"ENCERRADA"),1,0),0)</f>
        <v/>
      </c>
      <c r="B1836">
        <f>B1835+A1836</f>
        <v/>
      </c>
    </row>
    <row r="1837">
      <c r="A1837">
        <f>IFERROR(IF(AND(INDEX(BASELINE!$A1837:$ZZ1837,CALC!$H$1)&lt;&gt;"",INT(IF(AND(CALC!$F$1&gt;0,N(INDEX(BASELINE!$A1837:$ZZ1837,CALC!$F$1))&gt;0),N(INDEX(BASELINE!$A1837:$ZZ1837,CALC!$F$1)),N(INDEX(BASELINE!$A1837:$ZZ1837,CALC!$P$1))))=INT(SIMOPS!$D$3),IFERROR(UPPER(TRIM(INDEX(BASELINE!$A1837:$ZZ1837,CALC!$R$1)&amp;"")),"")&lt;&gt;"ENCERRADA"),1,0),0)</f>
        <v/>
      </c>
      <c r="B1837">
        <f>B1836+A1837</f>
        <v/>
      </c>
    </row>
    <row r="1838">
      <c r="A1838">
        <f>IFERROR(IF(AND(INDEX(BASELINE!$A1838:$ZZ1838,CALC!$H$1)&lt;&gt;"",INT(IF(AND(CALC!$F$1&gt;0,N(INDEX(BASELINE!$A1838:$ZZ1838,CALC!$F$1))&gt;0),N(INDEX(BASELINE!$A1838:$ZZ1838,CALC!$F$1)),N(INDEX(BASELINE!$A1838:$ZZ1838,CALC!$P$1))))=INT(SIMOPS!$D$3),IFERROR(UPPER(TRIM(INDEX(BASELINE!$A1838:$ZZ1838,CALC!$R$1)&amp;"")),"")&lt;&gt;"ENCERRADA"),1,0),0)</f>
        <v/>
      </c>
      <c r="B1838">
        <f>B1837+A1838</f>
        <v/>
      </c>
    </row>
    <row r="1839">
      <c r="A1839">
        <f>IFERROR(IF(AND(INDEX(BASELINE!$A1839:$ZZ1839,CALC!$H$1)&lt;&gt;"",INT(IF(AND(CALC!$F$1&gt;0,N(INDEX(BASELINE!$A1839:$ZZ1839,CALC!$F$1))&gt;0),N(INDEX(BASELINE!$A1839:$ZZ1839,CALC!$F$1)),N(INDEX(BASELINE!$A1839:$ZZ1839,CALC!$P$1))))=INT(SIMOPS!$D$3),IFERROR(UPPER(TRIM(INDEX(BASELINE!$A1839:$ZZ1839,CALC!$R$1)&amp;"")),"")&lt;&gt;"ENCERRADA"),1,0),0)</f>
        <v/>
      </c>
      <c r="B1839">
        <f>B1838+A1839</f>
        <v/>
      </c>
    </row>
    <row r="1840">
      <c r="A1840">
        <f>IFERROR(IF(AND(INDEX(BASELINE!$A1840:$ZZ1840,CALC!$H$1)&lt;&gt;"",INT(IF(AND(CALC!$F$1&gt;0,N(INDEX(BASELINE!$A1840:$ZZ1840,CALC!$F$1))&gt;0),N(INDEX(BASELINE!$A1840:$ZZ1840,CALC!$F$1)),N(INDEX(BASELINE!$A1840:$ZZ1840,CALC!$P$1))))=INT(SIMOPS!$D$3),IFERROR(UPPER(TRIM(INDEX(BASELINE!$A1840:$ZZ1840,CALC!$R$1)&amp;"")),"")&lt;&gt;"ENCERRADA"),1,0),0)</f>
        <v/>
      </c>
      <c r="B1840">
        <f>B1839+A1840</f>
        <v/>
      </c>
    </row>
    <row r="1841">
      <c r="A1841">
        <f>IFERROR(IF(AND(INDEX(BASELINE!$A1841:$ZZ1841,CALC!$H$1)&lt;&gt;"",INT(IF(AND(CALC!$F$1&gt;0,N(INDEX(BASELINE!$A1841:$ZZ1841,CALC!$F$1))&gt;0),N(INDEX(BASELINE!$A1841:$ZZ1841,CALC!$F$1)),N(INDEX(BASELINE!$A1841:$ZZ1841,CALC!$P$1))))=INT(SIMOPS!$D$3),IFERROR(UPPER(TRIM(INDEX(BASELINE!$A1841:$ZZ1841,CALC!$R$1)&amp;"")),"")&lt;&gt;"ENCERRADA"),1,0),0)</f>
        <v/>
      </c>
      <c r="B1841">
        <f>B1840+A1841</f>
        <v/>
      </c>
    </row>
    <row r="1842">
      <c r="A1842">
        <f>IFERROR(IF(AND(INDEX(BASELINE!$A1842:$ZZ1842,CALC!$H$1)&lt;&gt;"",INT(IF(AND(CALC!$F$1&gt;0,N(INDEX(BASELINE!$A1842:$ZZ1842,CALC!$F$1))&gt;0),N(INDEX(BASELINE!$A1842:$ZZ1842,CALC!$F$1)),N(INDEX(BASELINE!$A1842:$ZZ1842,CALC!$P$1))))=INT(SIMOPS!$D$3),IFERROR(UPPER(TRIM(INDEX(BASELINE!$A1842:$ZZ1842,CALC!$R$1)&amp;"")),"")&lt;&gt;"ENCERRADA"),1,0),0)</f>
        <v/>
      </c>
      <c r="B1842">
        <f>B1841+A1842</f>
        <v/>
      </c>
    </row>
    <row r="1843">
      <c r="A1843">
        <f>IFERROR(IF(AND(INDEX(BASELINE!$A1843:$ZZ1843,CALC!$H$1)&lt;&gt;"",INT(IF(AND(CALC!$F$1&gt;0,N(INDEX(BASELINE!$A1843:$ZZ1843,CALC!$F$1))&gt;0),N(INDEX(BASELINE!$A1843:$ZZ1843,CALC!$F$1)),N(INDEX(BASELINE!$A1843:$ZZ1843,CALC!$P$1))))=INT(SIMOPS!$D$3),IFERROR(UPPER(TRIM(INDEX(BASELINE!$A1843:$ZZ1843,CALC!$R$1)&amp;"")),"")&lt;&gt;"ENCERRADA"),1,0),0)</f>
        <v/>
      </c>
      <c r="B1843">
        <f>B1842+A1843</f>
        <v/>
      </c>
    </row>
    <row r="1844">
      <c r="A1844">
        <f>IFERROR(IF(AND(INDEX(BASELINE!$A1844:$ZZ1844,CALC!$H$1)&lt;&gt;"",INT(IF(AND(CALC!$F$1&gt;0,N(INDEX(BASELINE!$A1844:$ZZ1844,CALC!$F$1))&gt;0),N(INDEX(BASELINE!$A1844:$ZZ1844,CALC!$F$1)),N(INDEX(BASELINE!$A1844:$ZZ1844,CALC!$P$1))))=INT(SIMOPS!$D$3),IFERROR(UPPER(TRIM(INDEX(BASELINE!$A1844:$ZZ1844,CALC!$R$1)&amp;"")),"")&lt;&gt;"ENCERRADA"),1,0),0)</f>
        <v/>
      </c>
      <c r="B1844">
        <f>B1843+A1844</f>
        <v/>
      </c>
    </row>
    <row r="1845">
      <c r="A1845">
        <f>IFERROR(IF(AND(INDEX(BASELINE!$A1845:$ZZ1845,CALC!$H$1)&lt;&gt;"",INT(IF(AND(CALC!$F$1&gt;0,N(INDEX(BASELINE!$A1845:$ZZ1845,CALC!$F$1))&gt;0),N(INDEX(BASELINE!$A1845:$ZZ1845,CALC!$F$1)),N(INDEX(BASELINE!$A1845:$ZZ1845,CALC!$P$1))))=INT(SIMOPS!$D$3),IFERROR(UPPER(TRIM(INDEX(BASELINE!$A1845:$ZZ1845,CALC!$R$1)&amp;"")),"")&lt;&gt;"ENCERRADA"),1,0),0)</f>
        <v/>
      </c>
      <c r="B1845">
        <f>B1844+A1845</f>
        <v/>
      </c>
    </row>
    <row r="1846">
      <c r="A1846">
        <f>IFERROR(IF(AND(INDEX(BASELINE!$A1846:$ZZ1846,CALC!$H$1)&lt;&gt;"",INT(IF(AND(CALC!$F$1&gt;0,N(INDEX(BASELINE!$A1846:$ZZ1846,CALC!$F$1))&gt;0),N(INDEX(BASELINE!$A1846:$ZZ1846,CALC!$F$1)),N(INDEX(BASELINE!$A1846:$ZZ1846,CALC!$P$1))))=INT(SIMOPS!$D$3),IFERROR(UPPER(TRIM(INDEX(BASELINE!$A1846:$ZZ1846,CALC!$R$1)&amp;"")),"")&lt;&gt;"ENCERRADA"),1,0),0)</f>
        <v/>
      </c>
      <c r="B1846">
        <f>B1845+A1846</f>
        <v/>
      </c>
    </row>
    <row r="1847">
      <c r="A1847">
        <f>IFERROR(IF(AND(INDEX(BASELINE!$A1847:$ZZ1847,CALC!$H$1)&lt;&gt;"",INT(IF(AND(CALC!$F$1&gt;0,N(INDEX(BASELINE!$A1847:$ZZ1847,CALC!$F$1))&gt;0),N(INDEX(BASELINE!$A1847:$ZZ1847,CALC!$F$1)),N(INDEX(BASELINE!$A1847:$ZZ1847,CALC!$P$1))))=INT(SIMOPS!$D$3),IFERROR(UPPER(TRIM(INDEX(BASELINE!$A1847:$ZZ1847,CALC!$R$1)&amp;"")),"")&lt;&gt;"ENCERRADA"),1,0),0)</f>
        <v/>
      </c>
      <c r="B1847">
        <f>B1846+A1847</f>
        <v/>
      </c>
    </row>
    <row r="1848">
      <c r="A1848">
        <f>IFERROR(IF(AND(INDEX(BASELINE!$A1848:$ZZ1848,CALC!$H$1)&lt;&gt;"",INT(IF(AND(CALC!$F$1&gt;0,N(INDEX(BASELINE!$A1848:$ZZ1848,CALC!$F$1))&gt;0),N(INDEX(BASELINE!$A1848:$ZZ1848,CALC!$F$1)),N(INDEX(BASELINE!$A1848:$ZZ1848,CALC!$P$1))))=INT(SIMOPS!$D$3),IFERROR(UPPER(TRIM(INDEX(BASELINE!$A1848:$ZZ1848,CALC!$R$1)&amp;"")),"")&lt;&gt;"ENCERRADA"),1,0),0)</f>
        <v/>
      </c>
      <c r="B1848">
        <f>B1847+A1848</f>
        <v/>
      </c>
    </row>
    <row r="1849">
      <c r="A1849">
        <f>IFERROR(IF(AND(INDEX(BASELINE!$A1849:$ZZ1849,CALC!$H$1)&lt;&gt;"",INT(IF(AND(CALC!$F$1&gt;0,N(INDEX(BASELINE!$A1849:$ZZ1849,CALC!$F$1))&gt;0),N(INDEX(BASELINE!$A1849:$ZZ1849,CALC!$F$1)),N(INDEX(BASELINE!$A1849:$ZZ1849,CALC!$P$1))))=INT(SIMOPS!$D$3),IFERROR(UPPER(TRIM(INDEX(BASELINE!$A1849:$ZZ1849,CALC!$R$1)&amp;"")),"")&lt;&gt;"ENCERRADA"),1,0),0)</f>
        <v/>
      </c>
      <c r="B1849">
        <f>B1848+A1849</f>
        <v/>
      </c>
    </row>
    <row r="1850">
      <c r="A1850">
        <f>IFERROR(IF(AND(INDEX(BASELINE!$A1850:$ZZ1850,CALC!$H$1)&lt;&gt;"",INT(IF(AND(CALC!$F$1&gt;0,N(INDEX(BASELINE!$A1850:$ZZ1850,CALC!$F$1))&gt;0),N(INDEX(BASELINE!$A1850:$ZZ1850,CALC!$F$1)),N(INDEX(BASELINE!$A1850:$ZZ1850,CALC!$P$1))))=INT(SIMOPS!$D$3),IFERROR(UPPER(TRIM(INDEX(BASELINE!$A1850:$ZZ1850,CALC!$R$1)&amp;"")),"")&lt;&gt;"ENCERRADA"),1,0),0)</f>
        <v/>
      </c>
      <c r="B1850">
        <f>B1849+A1850</f>
        <v/>
      </c>
    </row>
    <row r="1851">
      <c r="A1851">
        <f>IFERROR(IF(AND(INDEX(BASELINE!$A1851:$ZZ1851,CALC!$H$1)&lt;&gt;"",INT(IF(AND(CALC!$F$1&gt;0,N(INDEX(BASELINE!$A1851:$ZZ1851,CALC!$F$1))&gt;0),N(INDEX(BASELINE!$A1851:$ZZ1851,CALC!$F$1)),N(INDEX(BASELINE!$A1851:$ZZ1851,CALC!$P$1))))=INT(SIMOPS!$D$3),IFERROR(UPPER(TRIM(INDEX(BASELINE!$A1851:$ZZ1851,CALC!$R$1)&amp;"")),"")&lt;&gt;"ENCERRADA"),1,0),0)</f>
        <v/>
      </c>
      <c r="B1851">
        <f>B1850+A1851</f>
        <v/>
      </c>
    </row>
    <row r="1852">
      <c r="A1852">
        <f>IFERROR(IF(AND(INDEX(BASELINE!$A1852:$ZZ1852,CALC!$H$1)&lt;&gt;"",INT(IF(AND(CALC!$F$1&gt;0,N(INDEX(BASELINE!$A1852:$ZZ1852,CALC!$F$1))&gt;0),N(INDEX(BASELINE!$A1852:$ZZ1852,CALC!$F$1)),N(INDEX(BASELINE!$A1852:$ZZ1852,CALC!$P$1))))=INT(SIMOPS!$D$3),IFERROR(UPPER(TRIM(INDEX(BASELINE!$A1852:$ZZ1852,CALC!$R$1)&amp;"")),"")&lt;&gt;"ENCERRADA"),1,0),0)</f>
        <v/>
      </c>
      <c r="B1852">
        <f>B1851+A1852</f>
        <v/>
      </c>
    </row>
    <row r="1853">
      <c r="A1853">
        <f>IFERROR(IF(AND(INDEX(BASELINE!$A1853:$ZZ1853,CALC!$H$1)&lt;&gt;"",INT(IF(AND(CALC!$F$1&gt;0,N(INDEX(BASELINE!$A1853:$ZZ1853,CALC!$F$1))&gt;0),N(INDEX(BASELINE!$A1853:$ZZ1853,CALC!$F$1)),N(INDEX(BASELINE!$A1853:$ZZ1853,CALC!$P$1))))=INT(SIMOPS!$D$3),IFERROR(UPPER(TRIM(INDEX(BASELINE!$A1853:$ZZ1853,CALC!$R$1)&amp;"")),"")&lt;&gt;"ENCERRADA"),1,0),0)</f>
        <v/>
      </c>
      <c r="B1853">
        <f>B1852+A1853</f>
        <v/>
      </c>
    </row>
    <row r="1854">
      <c r="A1854">
        <f>IFERROR(IF(AND(INDEX(BASELINE!$A1854:$ZZ1854,CALC!$H$1)&lt;&gt;"",INT(IF(AND(CALC!$F$1&gt;0,N(INDEX(BASELINE!$A1854:$ZZ1854,CALC!$F$1))&gt;0),N(INDEX(BASELINE!$A1854:$ZZ1854,CALC!$F$1)),N(INDEX(BASELINE!$A1854:$ZZ1854,CALC!$P$1))))=INT(SIMOPS!$D$3),IFERROR(UPPER(TRIM(INDEX(BASELINE!$A1854:$ZZ1854,CALC!$R$1)&amp;"")),"")&lt;&gt;"ENCERRADA"),1,0),0)</f>
        <v/>
      </c>
      <c r="B1854">
        <f>B1853+A1854</f>
        <v/>
      </c>
    </row>
    <row r="1855">
      <c r="A1855">
        <f>IFERROR(IF(AND(INDEX(BASELINE!$A1855:$ZZ1855,CALC!$H$1)&lt;&gt;"",INT(IF(AND(CALC!$F$1&gt;0,N(INDEX(BASELINE!$A1855:$ZZ1855,CALC!$F$1))&gt;0),N(INDEX(BASELINE!$A1855:$ZZ1855,CALC!$F$1)),N(INDEX(BASELINE!$A1855:$ZZ1855,CALC!$P$1))))=INT(SIMOPS!$D$3),IFERROR(UPPER(TRIM(INDEX(BASELINE!$A1855:$ZZ1855,CALC!$R$1)&amp;"")),"")&lt;&gt;"ENCERRADA"),1,0),0)</f>
        <v/>
      </c>
      <c r="B1855">
        <f>B1854+A1855</f>
        <v/>
      </c>
    </row>
    <row r="1856">
      <c r="A1856">
        <f>IFERROR(IF(AND(INDEX(BASELINE!$A1856:$ZZ1856,CALC!$H$1)&lt;&gt;"",INT(IF(AND(CALC!$F$1&gt;0,N(INDEX(BASELINE!$A1856:$ZZ1856,CALC!$F$1))&gt;0),N(INDEX(BASELINE!$A1856:$ZZ1856,CALC!$F$1)),N(INDEX(BASELINE!$A1856:$ZZ1856,CALC!$P$1))))=INT(SIMOPS!$D$3),IFERROR(UPPER(TRIM(INDEX(BASELINE!$A1856:$ZZ1856,CALC!$R$1)&amp;"")),"")&lt;&gt;"ENCERRADA"),1,0),0)</f>
        <v/>
      </c>
      <c r="B1856">
        <f>B1855+A1856</f>
        <v/>
      </c>
    </row>
    <row r="1857">
      <c r="A1857">
        <f>IFERROR(IF(AND(INDEX(BASELINE!$A1857:$ZZ1857,CALC!$H$1)&lt;&gt;"",INT(IF(AND(CALC!$F$1&gt;0,N(INDEX(BASELINE!$A1857:$ZZ1857,CALC!$F$1))&gt;0),N(INDEX(BASELINE!$A1857:$ZZ1857,CALC!$F$1)),N(INDEX(BASELINE!$A1857:$ZZ1857,CALC!$P$1))))=INT(SIMOPS!$D$3),IFERROR(UPPER(TRIM(INDEX(BASELINE!$A1857:$ZZ1857,CALC!$R$1)&amp;"")),"")&lt;&gt;"ENCERRADA"),1,0),0)</f>
        <v/>
      </c>
      <c r="B1857">
        <f>B1856+A1857</f>
        <v/>
      </c>
    </row>
    <row r="1858">
      <c r="A1858">
        <f>IFERROR(IF(AND(INDEX(BASELINE!$A1858:$ZZ1858,CALC!$H$1)&lt;&gt;"",INT(IF(AND(CALC!$F$1&gt;0,N(INDEX(BASELINE!$A1858:$ZZ1858,CALC!$F$1))&gt;0),N(INDEX(BASELINE!$A1858:$ZZ1858,CALC!$F$1)),N(INDEX(BASELINE!$A1858:$ZZ1858,CALC!$P$1))))=INT(SIMOPS!$D$3),IFERROR(UPPER(TRIM(INDEX(BASELINE!$A1858:$ZZ1858,CALC!$R$1)&amp;"")),"")&lt;&gt;"ENCERRADA"),1,0),0)</f>
        <v/>
      </c>
      <c r="B1858">
        <f>B1857+A1858</f>
        <v/>
      </c>
    </row>
    <row r="1859">
      <c r="A1859">
        <f>IFERROR(IF(AND(INDEX(BASELINE!$A1859:$ZZ1859,CALC!$H$1)&lt;&gt;"",INT(IF(AND(CALC!$F$1&gt;0,N(INDEX(BASELINE!$A1859:$ZZ1859,CALC!$F$1))&gt;0),N(INDEX(BASELINE!$A1859:$ZZ1859,CALC!$F$1)),N(INDEX(BASELINE!$A1859:$ZZ1859,CALC!$P$1))))=INT(SIMOPS!$D$3),IFERROR(UPPER(TRIM(INDEX(BASELINE!$A1859:$ZZ1859,CALC!$R$1)&amp;"")),"")&lt;&gt;"ENCERRADA"),1,0),0)</f>
        <v/>
      </c>
      <c r="B1859">
        <f>B1858+A1859</f>
        <v/>
      </c>
    </row>
    <row r="1860">
      <c r="A1860">
        <f>IFERROR(IF(AND(INDEX(BASELINE!$A1860:$ZZ1860,CALC!$H$1)&lt;&gt;"",INT(IF(AND(CALC!$F$1&gt;0,N(INDEX(BASELINE!$A1860:$ZZ1860,CALC!$F$1))&gt;0),N(INDEX(BASELINE!$A1860:$ZZ1860,CALC!$F$1)),N(INDEX(BASELINE!$A1860:$ZZ1860,CALC!$P$1))))=INT(SIMOPS!$D$3),IFERROR(UPPER(TRIM(INDEX(BASELINE!$A1860:$ZZ1860,CALC!$R$1)&amp;"")),"")&lt;&gt;"ENCERRADA"),1,0),0)</f>
        <v/>
      </c>
      <c r="B1860">
        <f>B1859+A1860</f>
        <v/>
      </c>
    </row>
    <row r="1861">
      <c r="A1861">
        <f>IFERROR(IF(AND(INDEX(BASELINE!$A1861:$ZZ1861,CALC!$H$1)&lt;&gt;"",INT(IF(AND(CALC!$F$1&gt;0,N(INDEX(BASELINE!$A1861:$ZZ1861,CALC!$F$1))&gt;0),N(INDEX(BASELINE!$A1861:$ZZ1861,CALC!$F$1)),N(INDEX(BASELINE!$A1861:$ZZ1861,CALC!$P$1))))=INT(SIMOPS!$D$3),IFERROR(UPPER(TRIM(INDEX(BASELINE!$A1861:$ZZ1861,CALC!$R$1)&amp;"")),"")&lt;&gt;"ENCERRADA"),1,0),0)</f>
        <v/>
      </c>
      <c r="B1861">
        <f>B1860+A1861</f>
        <v/>
      </c>
    </row>
    <row r="1862">
      <c r="A1862">
        <f>IFERROR(IF(AND(INDEX(BASELINE!$A1862:$ZZ1862,CALC!$H$1)&lt;&gt;"",INT(IF(AND(CALC!$F$1&gt;0,N(INDEX(BASELINE!$A1862:$ZZ1862,CALC!$F$1))&gt;0),N(INDEX(BASELINE!$A1862:$ZZ1862,CALC!$F$1)),N(INDEX(BASELINE!$A1862:$ZZ1862,CALC!$P$1))))=INT(SIMOPS!$D$3),IFERROR(UPPER(TRIM(INDEX(BASELINE!$A1862:$ZZ1862,CALC!$R$1)&amp;"")),"")&lt;&gt;"ENCERRADA"),1,0),0)</f>
        <v/>
      </c>
      <c r="B1862">
        <f>B1861+A1862</f>
        <v/>
      </c>
    </row>
    <row r="1863">
      <c r="A1863">
        <f>IFERROR(IF(AND(INDEX(BASELINE!$A1863:$ZZ1863,CALC!$H$1)&lt;&gt;"",INT(IF(AND(CALC!$F$1&gt;0,N(INDEX(BASELINE!$A1863:$ZZ1863,CALC!$F$1))&gt;0),N(INDEX(BASELINE!$A1863:$ZZ1863,CALC!$F$1)),N(INDEX(BASELINE!$A1863:$ZZ1863,CALC!$P$1))))=INT(SIMOPS!$D$3),IFERROR(UPPER(TRIM(INDEX(BASELINE!$A1863:$ZZ1863,CALC!$R$1)&amp;"")),"")&lt;&gt;"ENCERRADA"),1,0),0)</f>
        <v/>
      </c>
      <c r="B1863">
        <f>B1862+A1863</f>
        <v/>
      </c>
    </row>
    <row r="1864">
      <c r="A1864">
        <f>IFERROR(IF(AND(INDEX(BASELINE!$A1864:$ZZ1864,CALC!$H$1)&lt;&gt;"",INT(IF(AND(CALC!$F$1&gt;0,N(INDEX(BASELINE!$A1864:$ZZ1864,CALC!$F$1))&gt;0),N(INDEX(BASELINE!$A1864:$ZZ1864,CALC!$F$1)),N(INDEX(BASELINE!$A1864:$ZZ1864,CALC!$P$1))))=INT(SIMOPS!$D$3),IFERROR(UPPER(TRIM(INDEX(BASELINE!$A1864:$ZZ1864,CALC!$R$1)&amp;"")),"")&lt;&gt;"ENCERRADA"),1,0),0)</f>
        <v/>
      </c>
      <c r="B1864">
        <f>B1863+A1864</f>
        <v/>
      </c>
    </row>
    <row r="1865">
      <c r="A1865">
        <f>IFERROR(IF(AND(INDEX(BASELINE!$A1865:$ZZ1865,CALC!$H$1)&lt;&gt;"",INT(IF(AND(CALC!$F$1&gt;0,N(INDEX(BASELINE!$A1865:$ZZ1865,CALC!$F$1))&gt;0),N(INDEX(BASELINE!$A1865:$ZZ1865,CALC!$F$1)),N(INDEX(BASELINE!$A1865:$ZZ1865,CALC!$P$1))))=INT(SIMOPS!$D$3),IFERROR(UPPER(TRIM(INDEX(BASELINE!$A1865:$ZZ1865,CALC!$R$1)&amp;"")),"")&lt;&gt;"ENCERRADA"),1,0),0)</f>
        <v/>
      </c>
      <c r="B1865">
        <f>B1864+A1865</f>
        <v/>
      </c>
    </row>
    <row r="1866">
      <c r="A1866">
        <f>IFERROR(IF(AND(INDEX(BASELINE!$A1866:$ZZ1866,CALC!$H$1)&lt;&gt;"",INT(IF(AND(CALC!$F$1&gt;0,N(INDEX(BASELINE!$A1866:$ZZ1866,CALC!$F$1))&gt;0),N(INDEX(BASELINE!$A1866:$ZZ1866,CALC!$F$1)),N(INDEX(BASELINE!$A1866:$ZZ1866,CALC!$P$1))))=INT(SIMOPS!$D$3),IFERROR(UPPER(TRIM(INDEX(BASELINE!$A1866:$ZZ1866,CALC!$R$1)&amp;"")),"")&lt;&gt;"ENCERRADA"),1,0),0)</f>
        <v/>
      </c>
      <c r="B1866">
        <f>B1865+A1866</f>
        <v/>
      </c>
    </row>
    <row r="1867">
      <c r="A1867">
        <f>IFERROR(IF(AND(INDEX(BASELINE!$A1867:$ZZ1867,CALC!$H$1)&lt;&gt;"",INT(IF(AND(CALC!$F$1&gt;0,N(INDEX(BASELINE!$A1867:$ZZ1867,CALC!$F$1))&gt;0),N(INDEX(BASELINE!$A1867:$ZZ1867,CALC!$F$1)),N(INDEX(BASELINE!$A1867:$ZZ1867,CALC!$P$1))))=INT(SIMOPS!$D$3),IFERROR(UPPER(TRIM(INDEX(BASELINE!$A1867:$ZZ1867,CALC!$R$1)&amp;"")),"")&lt;&gt;"ENCERRADA"),1,0),0)</f>
        <v/>
      </c>
      <c r="B1867">
        <f>B1866+A1867</f>
        <v/>
      </c>
    </row>
    <row r="1868">
      <c r="A1868">
        <f>IFERROR(IF(AND(INDEX(BASELINE!$A1868:$ZZ1868,CALC!$H$1)&lt;&gt;"",INT(IF(AND(CALC!$F$1&gt;0,N(INDEX(BASELINE!$A1868:$ZZ1868,CALC!$F$1))&gt;0),N(INDEX(BASELINE!$A1868:$ZZ1868,CALC!$F$1)),N(INDEX(BASELINE!$A1868:$ZZ1868,CALC!$P$1))))=INT(SIMOPS!$D$3),IFERROR(UPPER(TRIM(INDEX(BASELINE!$A1868:$ZZ1868,CALC!$R$1)&amp;"")),"")&lt;&gt;"ENCERRADA"),1,0),0)</f>
        <v/>
      </c>
      <c r="B1868">
        <f>B1867+A1868</f>
        <v/>
      </c>
    </row>
    <row r="1869">
      <c r="A1869">
        <f>IFERROR(IF(AND(INDEX(BASELINE!$A1869:$ZZ1869,CALC!$H$1)&lt;&gt;"",INT(IF(AND(CALC!$F$1&gt;0,N(INDEX(BASELINE!$A1869:$ZZ1869,CALC!$F$1))&gt;0),N(INDEX(BASELINE!$A1869:$ZZ1869,CALC!$F$1)),N(INDEX(BASELINE!$A1869:$ZZ1869,CALC!$P$1))))=INT(SIMOPS!$D$3),IFERROR(UPPER(TRIM(INDEX(BASELINE!$A1869:$ZZ1869,CALC!$R$1)&amp;"")),"")&lt;&gt;"ENCERRADA"),1,0),0)</f>
        <v/>
      </c>
      <c r="B1869">
        <f>B1868+A1869</f>
        <v/>
      </c>
    </row>
    <row r="1870">
      <c r="A1870">
        <f>IFERROR(IF(AND(INDEX(BASELINE!$A1870:$ZZ1870,CALC!$H$1)&lt;&gt;"",INT(IF(AND(CALC!$F$1&gt;0,N(INDEX(BASELINE!$A1870:$ZZ1870,CALC!$F$1))&gt;0),N(INDEX(BASELINE!$A1870:$ZZ1870,CALC!$F$1)),N(INDEX(BASELINE!$A1870:$ZZ1870,CALC!$P$1))))=INT(SIMOPS!$D$3),IFERROR(UPPER(TRIM(INDEX(BASELINE!$A1870:$ZZ1870,CALC!$R$1)&amp;"")),"")&lt;&gt;"ENCERRADA"),1,0),0)</f>
        <v/>
      </c>
      <c r="B1870">
        <f>B1869+A1870</f>
        <v/>
      </c>
    </row>
    <row r="1871">
      <c r="A1871">
        <f>IFERROR(IF(AND(INDEX(BASELINE!$A1871:$ZZ1871,CALC!$H$1)&lt;&gt;"",INT(IF(AND(CALC!$F$1&gt;0,N(INDEX(BASELINE!$A1871:$ZZ1871,CALC!$F$1))&gt;0),N(INDEX(BASELINE!$A1871:$ZZ1871,CALC!$F$1)),N(INDEX(BASELINE!$A1871:$ZZ1871,CALC!$P$1))))=INT(SIMOPS!$D$3),IFERROR(UPPER(TRIM(INDEX(BASELINE!$A1871:$ZZ1871,CALC!$R$1)&amp;"")),"")&lt;&gt;"ENCERRADA"),1,0),0)</f>
        <v/>
      </c>
      <c r="B1871">
        <f>B1870+A1871</f>
        <v/>
      </c>
    </row>
    <row r="1872">
      <c r="A1872">
        <f>IFERROR(IF(AND(INDEX(BASELINE!$A1872:$ZZ1872,CALC!$H$1)&lt;&gt;"",INT(IF(AND(CALC!$F$1&gt;0,N(INDEX(BASELINE!$A1872:$ZZ1872,CALC!$F$1))&gt;0),N(INDEX(BASELINE!$A1872:$ZZ1872,CALC!$F$1)),N(INDEX(BASELINE!$A1872:$ZZ1872,CALC!$P$1))))=INT(SIMOPS!$D$3),IFERROR(UPPER(TRIM(INDEX(BASELINE!$A1872:$ZZ1872,CALC!$R$1)&amp;"")),"")&lt;&gt;"ENCERRADA"),1,0),0)</f>
        <v/>
      </c>
      <c r="B1872">
        <f>B1871+A1872</f>
        <v/>
      </c>
    </row>
    <row r="1873">
      <c r="A1873">
        <f>IFERROR(IF(AND(INDEX(BASELINE!$A1873:$ZZ1873,CALC!$H$1)&lt;&gt;"",INT(IF(AND(CALC!$F$1&gt;0,N(INDEX(BASELINE!$A1873:$ZZ1873,CALC!$F$1))&gt;0),N(INDEX(BASELINE!$A1873:$ZZ1873,CALC!$F$1)),N(INDEX(BASELINE!$A1873:$ZZ1873,CALC!$P$1))))=INT(SIMOPS!$D$3),IFERROR(UPPER(TRIM(INDEX(BASELINE!$A1873:$ZZ1873,CALC!$R$1)&amp;"")),"")&lt;&gt;"ENCERRADA"),1,0),0)</f>
        <v/>
      </c>
      <c r="B1873">
        <f>B1872+A1873</f>
        <v/>
      </c>
    </row>
    <row r="1874">
      <c r="A1874">
        <f>IFERROR(IF(AND(INDEX(BASELINE!$A1874:$ZZ1874,CALC!$H$1)&lt;&gt;"",INT(IF(AND(CALC!$F$1&gt;0,N(INDEX(BASELINE!$A1874:$ZZ1874,CALC!$F$1))&gt;0),N(INDEX(BASELINE!$A1874:$ZZ1874,CALC!$F$1)),N(INDEX(BASELINE!$A1874:$ZZ1874,CALC!$P$1))))=INT(SIMOPS!$D$3),IFERROR(UPPER(TRIM(INDEX(BASELINE!$A1874:$ZZ1874,CALC!$R$1)&amp;"")),"")&lt;&gt;"ENCERRADA"),1,0),0)</f>
        <v/>
      </c>
      <c r="B1874">
        <f>B1873+A1874</f>
        <v/>
      </c>
    </row>
    <row r="1875">
      <c r="A1875">
        <f>IFERROR(IF(AND(INDEX(BASELINE!$A1875:$ZZ1875,CALC!$H$1)&lt;&gt;"",INT(IF(AND(CALC!$F$1&gt;0,N(INDEX(BASELINE!$A1875:$ZZ1875,CALC!$F$1))&gt;0),N(INDEX(BASELINE!$A1875:$ZZ1875,CALC!$F$1)),N(INDEX(BASELINE!$A1875:$ZZ1875,CALC!$P$1))))=INT(SIMOPS!$D$3),IFERROR(UPPER(TRIM(INDEX(BASELINE!$A1875:$ZZ1875,CALC!$R$1)&amp;"")),"")&lt;&gt;"ENCERRADA"),1,0),0)</f>
        <v/>
      </c>
      <c r="B1875">
        <f>B1874+A1875</f>
        <v/>
      </c>
    </row>
    <row r="1876">
      <c r="A1876">
        <f>IFERROR(IF(AND(INDEX(BASELINE!$A1876:$ZZ1876,CALC!$H$1)&lt;&gt;"",INT(IF(AND(CALC!$F$1&gt;0,N(INDEX(BASELINE!$A1876:$ZZ1876,CALC!$F$1))&gt;0),N(INDEX(BASELINE!$A1876:$ZZ1876,CALC!$F$1)),N(INDEX(BASELINE!$A1876:$ZZ1876,CALC!$P$1))))=INT(SIMOPS!$D$3),IFERROR(UPPER(TRIM(INDEX(BASELINE!$A1876:$ZZ1876,CALC!$R$1)&amp;"")),"")&lt;&gt;"ENCERRADA"),1,0),0)</f>
        <v/>
      </c>
      <c r="B1876">
        <f>B1875+A1876</f>
        <v/>
      </c>
    </row>
    <row r="1877">
      <c r="A1877">
        <f>IFERROR(IF(AND(INDEX(BASELINE!$A1877:$ZZ1877,CALC!$H$1)&lt;&gt;"",INT(IF(AND(CALC!$F$1&gt;0,N(INDEX(BASELINE!$A1877:$ZZ1877,CALC!$F$1))&gt;0),N(INDEX(BASELINE!$A1877:$ZZ1877,CALC!$F$1)),N(INDEX(BASELINE!$A1877:$ZZ1877,CALC!$P$1))))=INT(SIMOPS!$D$3),IFERROR(UPPER(TRIM(INDEX(BASELINE!$A1877:$ZZ1877,CALC!$R$1)&amp;"")),"")&lt;&gt;"ENCERRADA"),1,0),0)</f>
        <v/>
      </c>
      <c r="B1877">
        <f>B1876+A1877</f>
        <v/>
      </c>
    </row>
    <row r="1878">
      <c r="A1878">
        <f>IFERROR(IF(AND(INDEX(BASELINE!$A1878:$ZZ1878,CALC!$H$1)&lt;&gt;"",INT(IF(AND(CALC!$F$1&gt;0,N(INDEX(BASELINE!$A1878:$ZZ1878,CALC!$F$1))&gt;0),N(INDEX(BASELINE!$A1878:$ZZ1878,CALC!$F$1)),N(INDEX(BASELINE!$A1878:$ZZ1878,CALC!$P$1))))=INT(SIMOPS!$D$3),IFERROR(UPPER(TRIM(INDEX(BASELINE!$A1878:$ZZ1878,CALC!$R$1)&amp;"")),"")&lt;&gt;"ENCERRADA"),1,0),0)</f>
        <v/>
      </c>
      <c r="B1878">
        <f>B1877+A1878</f>
        <v/>
      </c>
    </row>
    <row r="1879">
      <c r="A1879">
        <f>IFERROR(IF(AND(INDEX(BASELINE!$A1879:$ZZ1879,CALC!$H$1)&lt;&gt;"",INT(IF(AND(CALC!$F$1&gt;0,N(INDEX(BASELINE!$A1879:$ZZ1879,CALC!$F$1))&gt;0),N(INDEX(BASELINE!$A1879:$ZZ1879,CALC!$F$1)),N(INDEX(BASELINE!$A1879:$ZZ1879,CALC!$P$1))))=INT(SIMOPS!$D$3),IFERROR(UPPER(TRIM(INDEX(BASELINE!$A1879:$ZZ1879,CALC!$R$1)&amp;"")),"")&lt;&gt;"ENCERRADA"),1,0),0)</f>
        <v/>
      </c>
      <c r="B1879">
        <f>B1878+A1879</f>
        <v/>
      </c>
    </row>
    <row r="1880">
      <c r="A1880">
        <f>IFERROR(IF(AND(INDEX(BASELINE!$A1880:$ZZ1880,CALC!$H$1)&lt;&gt;"",INT(IF(AND(CALC!$F$1&gt;0,N(INDEX(BASELINE!$A1880:$ZZ1880,CALC!$F$1))&gt;0),N(INDEX(BASELINE!$A1880:$ZZ1880,CALC!$F$1)),N(INDEX(BASELINE!$A1880:$ZZ1880,CALC!$P$1))))=INT(SIMOPS!$D$3),IFERROR(UPPER(TRIM(INDEX(BASELINE!$A1880:$ZZ1880,CALC!$R$1)&amp;"")),"")&lt;&gt;"ENCERRADA"),1,0),0)</f>
        <v/>
      </c>
      <c r="B1880">
        <f>B1879+A1880</f>
        <v/>
      </c>
    </row>
    <row r="1881">
      <c r="A1881">
        <f>IFERROR(IF(AND(INDEX(BASELINE!$A1881:$ZZ1881,CALC!$H$1)&lt;&gt;"",INT(IF(AND(CALC!$F$1&gt;0,N(INDEX(BASELINE!$A1881:$ZZ1881,CALC!$F$1))&gt;0),N(INDEX(BASELINE!$A1881:$ZZ1881,CALC!$F$1)),N(INDEX(BASELINE!$A1881:$ZZ1881,CALC!$P$1))))=INT(SIMOPS!$D$3),IFERROR(UPPER(TRIM(INDEX(BASELINE!$A1881:$ZZ1881,CALC!$R$1)&amp;"")),"")&lt;&gt;"ENCERRADA"),1,0),0)</f>
        <v/>
      </c>
      <c r="B1881">
        <f>B1880+A1881</f>
        <v/>
      </c>
    </row>
    <row r="1882">
      <c r="A1882">
        <f>IFERROR(IF(AND(INDEX(BASELINE!$A1882:$ZZ1882,CALC!$H$1)&lt;&gt;"",INT(IF(AND(CALC!$F$1&gt;0,N(INDEX(BASELINE!$A1882:$ZZ1882,CALC!$F$1))&gt;0),N(INDEX(BASELINE!$A1882:$ZZ1882,CALC!$F$1)),N(INDEX(BASELINE!$A1882:$ZZ1882,CALC!$P$1))))=INT(SIMOPS!$D$3),IFERROR(UPPER(TRIM(INDEX(BASELINE!$A1882:$ZZ1882,CALC!$R$1)&amp;"")),"")&lt;&gt;"ENCERRADA"),1,0),0)</f>
        <v/>
      </c>
      <c r="B1882">
        <f>B1881+A1882</f>
        <v/>
      </c>
    </row>
    <row r="1883">
      <c r="A1883">
        <f>IFERROR(IF(AND(INDEX(BASELINE!$A1883:$ZZ1883,CALC!$H$1)&lt;&gt;"",INT(IF(AND(CALC!$F$1&gt;0,N(INDEX(BASELINE!$A1883:$ZZ1883,CALC!$F$1))&gt;0),N(INDEX(BASELINE!$A1883:$ZZ1883,CALC!$F$1)),N(INDEX(BASELINE!$A1883:$ZZ1883,CALC!$P$1))))=INT(SIMOPS!$D$3),IFERROR(UPPER(TRIM(INDEX(BASELINE!$A1883:$ZZ1883,CALC!$R$1)&amp;"")),"")&lt;&gt;"ENCERRADA"),1,0),0)</f>
        <v/>
      </c>
      <c r="B1883">
        <f>B1882+A1883</f>
        <v/>
      </c>
    </row>
    <row r="1884">
      <c r="A1884">
        <f>IFERROR(IF(AND(INDEX(BASELINE!$A1884:$ZZ1884,CALC!$H$1)&lt;&gt;"",INT(IF(AND(CALC!$F$1&gt;0,N(INDEX(BASELINE!$A1884:$ZZ1884,CALC!$F$1))&gt;0),N(INDEX(BASELINE!$A1884:$ZZ1884,CALC!$F$1)),N(INDEX(BASELINE!$A1884:$ZZ1884,CALC!$P$1))))=INT(SIMOPS!$D$3),IFERROR(UPPER(TRIM(INDEX(BASELINE!$A1884:$ZZ1884,CALC!$R$1)&amp;"")),"")&lt;&gt;"ENCERRADA"),1,0),0)</f>
        <v/>
      </c>
      <c r="B1884">
        <f>B1883+A1884</f>
        <v/>
      </c>
    </row>
    <row r="1885">
      <c r="A1885">
        <f>IFERROR(IF(AND(INDEX(BASELINE!$A1885:$ZZ1885,CALC!$H$1)&lt;&gt;"",INT(IF(AND(CALC!$F$1&gt;0,N(INDEX(BASELINE!$A1885:$ZZ1885,CALC!$F$1))&gt;0),N(INDEX(BASELINE!$A1885:$ZZ1885,CALC!$F$1)),N(INDEX(BASELINE!$A1885:$ZZ1885,CALC!$P$1))))=INT(SIMOPS!$D$3),IFERROR(UPPER(TRIM(INDEX(BASELINE!$A1885:$ZZ1885,CALC!$R$1)&amp;"")),"")&lt;&gt;"ENCERRADA"),1,0),0)</f>
        <v/>
      </c>
      <c r="B1885">
        <f>B1884+A1885</f>
        <v/>
      </c>
    </row>
    <row r="1886">
      <c r="A1886">
        <f>IFERROR(IF(AND(INDEX(BASELINE!$A1886:$ZZ1886,CALC!$H$1)&lt;&gt;"",INT(IF(AND(CALC!$F$1&gt;0,N(INDEX(BASELINE!$A1886:$ZZ1886,CALC!$F$1))&gt;0),N(INDEX(BASELINE!$A1886:$ZZ1886,CALC!$F$1)),N(INDEX(BASELINE!$A1886:$ZZ1886,CALC!$P$1))))=INT(SIMOPS!$D$3),IFERROR(UPPER(TRIM(INDEX(BASELINE!$A1886:$ZZ1886,CALC!$R$1)&amp;"")),"")&lt;&gt;"ENCERRADA"),1,0),0)</f>
        <v/>
      </c>
      <c r="B1886">
        <f>B1885+A1886</f>
        <v/>
      </c>
    </row>
    <row r="1887">
      <c r="A1887">
        <f>IFERROR(IF(AND(INDEX(BASELINE!$A1887:$ZZ1887,CALC!$H$1)&lt;&gt;"",INT(IF(AND(CALC!$F$1&gt;0,N(INDEX(BASELINE!$A1887:$ZZ1887,CALC!$F$1))&gt;0),N(INDEX(BASELINE!$A1887:$ZZ1887,CALC!$F$1)),N(INDEX(BASELINE!$A1887:$ZZ1887,CALC!$P$1))))=INT(SIMOPS!$D$3),IFERROR(UPPER(TRIM(INDEX(BASELINE!$A1887:$ZZ1887,CALC!$R$1)&amp;"")),"")&lt;&gt;"ENCERRADA"),1,0),0)</f>
        <v/>
      </c>
      <c r="B1887">
        <f>B1886+A1887</f>
        <v/>
      </c>
    </row>
    <row r="1888">
      <c r="A1888">
        <f>IFERROR(IF(AND(INDEX(BASELINE!$A1888:$ZZ1888,CALC!$H$1)&lt;&gt;"",INT(IF(AND(CALC!$F$1&gt;0,N(INDEX(BASELINE!$A1888:$ZZ1888,CALC!$F$1))&gt;0),N(INDEX(BASELINE!$A1888:$ZZ1888,CALC!$F$1)),N(INDEX(BASELINE!$A1888:$ZZ1888,CALC!$P$1))))=INT(SIMOPS!$D$3),IFERROR(UPPER(TRIM(INDEX(BASELINE!$A1888:$ZZ1888,CALC!$R$1)&amp;"")),"")&lt;&gt;"ENCERRADA"),1,0),0)</f>
        <v/>
      </c>
      <c r="B1888">
        <f>B1887+A1888</f>
        <v/>
      </c>
    </row>
    <row r="1889">
      <c r="A1889">
        <f>IFERROR(IF(AND(INDEX(BASELINE!$A1889:$ZZ1889,CALC!$H$1)&lt;&gt;"",INT(IF(AND(CALC!$F$1&gt;0,N(INDEX(BASELINE!$A1889:$ZZ1889,CALC!$F$1))&gt;0),N(INDEX(BASELINE!$A1889:$ZZ1889,CALC!$F$1)),N(INDEX(BASELINE!$A1889:$ZZ1889,CALC!$P$1))))=INT(SIMOPS!$D$3),IFERROR(UPPER(TRIM(INDEX(BASELINE!$A1889:$ZZ1889,CALC!$R$1)&amp;"")),"")&lt;&gt;"ENCERRADA"),1,0),0)</f>
        <v/>
      </c>
      <c r="B1889">
        <f>B1888+A1889</f>
        <v/>
      </c>
    </row>
    <row r="1890">
      <c r="A1890">
        <f>IFERROR(IF(AND(INDEX(BASELINE!$A1890:$ZZ1890,CALC!$H$1)&lt;&gt;"",INT(IF(AND(CALC!$F$1&gt;0,N(INDEX(BASELINE!$A1890:$ZZ1890,CALC!$F$1))&gt;0),N(INDEX(BASELINE!$A1890:$ZZ1890,CALC!$F$1)),N(INDEX(BASELINE!$A1890:$ZZ1890,CALC!$P$1))))=INT(SIMOPS!$D$3),IFERROR(UPPER(TRIM(INDEX(BASELINE!$A1890:$ZZ1890,CALC!$R$1)&amp;"")),"")&lt;&gt;"ENCERRADA"),1,0),0)</f>
        <v/>
      </c>
      <c r="B1890">
        <f>B1889+A1890</f>
        <v/>
      </c>
    </row>
    <row r="1891">
      <c r="A1891">
        <f>IFERROR(IF(AND(INDEX(BASELINE!$A1891:$ZZ1891,CALC!$H$1)&lt;&gt;"",INT(IF(AND(CALC!$F$1&gt;0,N(INDEX(BASELINE!$A1891:$ZZ1891,CALC!$F$1))&gt;0),N(INDEX(BASELINE!$A1891:$ZZ1891,CALC!$F$1)),N(INDEX(BASELINE!$A1891:$ZZ1891,CALC!$P$1))))=INT(SIMOPS!$D$3),IFERROR(UPPER(TRIM(INDEX(BASELINE!$A1891:$ZZ1891,CALC!$R$1)&amp;"")),"")&lt;&gt;"ENCERRADA"),1,0),0)</f>
        <v/>
      </c>
      <c r="B1891">
        <f>B1890+A1891</f>
        <v/>
      </c>
    </row>
    <row r="1892">
      <c r="A1892">
        <f>IFERROR(IF(AND(INDEX(BASELINE!$A1892:$ZZ1892,CALC!$H$1)&lt;&gt;"",INT(IF(AND(CALC!$F$1&gt;0,N(INDEX(BASELINE!$A1892:$ZZ1892,CALC!$F$1))&gt;0),N(INDEX(BASELINE!$A1892:$ZZ1892,CALC!$F$1)),N(INDEX(BASELINE!$A1892:$ZZ1892,CALC!$P$1))))=INT(SIMOPS!$D$3),IFERROR(UPPER(TRIM(INDEX(BASELINE!$A1892:$ZZ1892,CALC!$R$1)&amp;"")),"")&lt;&gt;"ENCERRADA"),1,0),0)</f>
        <v/>
      </c>
      <c r="B1892">
        <f>B1891+A1892</f>
        <v/>
      </c>
    </row>
    <row r="1893">
      <c r="A1893">
        <f>IFERROR(IF(AND(INDEX(BASELINE!$A1893:$ZZ1893,CALC!$H$1)&lt;&gt;"",INT(IF(AND(CALC!$F$1&gt;0,N(INDEX(BASELINE!$A1893:$ZZ1893,CALC!$F$1))&gt;0),N(INDEX(BASELINE!$A1893:$ZZ1893,CALC!$F$1)),N(INDEX(BASELINE!$A1893:$ZZ1893,CALC!$P$1))))=INT(SIMOPS!$D$3),IFERROR(UPPER(TRIM(INDEX(BASELINE!$A1893:$ZZ1893,CALC!$R$1)&amp;"")),"")&lt;&gt;"ENCERRADA"),1,0),0)</f>
        <v/>
      </c>
      <c r="B1893">
        <f>B1892+A1893</f>
        <v/>
      </c>
    </row>
    <row r="1894">
      <c r="A1894">
        <f>IFERROR(IF(AND(INDEX(BASELINE!$A1894:$ZZ1894,CALC!$H$1)&lt;&gt;"",INT(IF(AND(CALC!$F$1&gt;0,N(INDEX(BASELINE!$A1894:$ZZ1894,CALC!$F$1))&gt;0),N(INDEX(BASELINE!$A1894:$ZZ1894,CALC!$F$1)),N(INDEX(BASELINE!$A1894:$ZZ1894,CALC!$P$1))))=INT(SIMOPS!$D$3),IFERROR(UPPER(TRIM(INDEX(BASELINE!$A1894:$ZZ1894,CALC!$R$1)&amp;"")),"")&lt;&gt;"ENCERRADA"),1,0),0)</f>
        <v/>
      </c>
      <c r="B1894">
        <f>B1893+A1894</f>
        <v/>
      </c>
    </row>
    <row r="1895">
      <c r="A1895">
        <f>IFERROR(IF(AND(INDEX(BASELINE!$A1895:$ZZ1895,CALC!$H$1)&lt;&gt;"",INT(IF(AND(CALC!$F$1&gt;0,N(INDEX(BASELINE!$A1895:$ZZ1895,CALC!$F$1))&gt;0),N(INDEX(BASELINE!$A1895:$ZZ1895,CALC!$F$1)),N(INDEX(BASELINE!$A1895:$ZZ1895,CALC!$P$1))))=INT(SIMOPS!$D$3),IFERROR(UPPER(TRIM(INDEX(BASELINE!$A1895:$ZZ1895,CALC!$R$1)&amp;"")),"")&lt;&gt;"ENCERRADA"),1,0),0)</f>
        <v/>
      </c>
      <c r="B1895">
        <f>B1894+A1895</f>
        <v/>
      </c>
    </row>
    <row r="1896">
      <c r="A1896">
        <f>IFERROR(IF(AND(INDEX(BASELINE!$A1896:$ZZ1896,CALC!$H$1)&lt;&gt;"",INT(IF(AND(CALC!$F$1&gt;0,N(INDEX(BASELINE!$A1896:$ZZ1896,CALC!$F$1))&gt;0),N(INDEX(BASELINE!$A1896:$ZZ1896,CALC!$F$1)),N(INDEX(BASELINE!$A1896:$ZZ1896,CALC!$P$1))))=INT(SIMOPS!$D$3),IFERROR(UPPER(TRIM(INDEX(BASELINE!$A1896:$ZZ1896,CALC!$R$1)&amp;"")),"")&lt;&gt;"ENCERRADA"),1,0),0)</f>
        <v/>
      </c>
      <c r="B1896">
        <f>B1895+A1896</f>
        <v/>
      </c>
    </row>
    <row r="1897">
      <c r="A1897">
        <f>IFERROR(IF(AND(INDEX(BASELINE!$A1897:$ZZ1897,CALC!$H$1)&lt;&gt;"",INT(IF(AND(CALC!$F$1&gt;0,N(INDEX(BASELINE!$A1897:$ZZ1897,CALC!$F$1))&gt;0),N(INDEX(BASELINE!$A1897:$ZZ1897,CALC!$F$1)),N(INDEX(BASELINE!$A1897:$ZZ1897,CALC!$P$1))))=INT(SIMOPS!$D$3),IFERROR(UPPER(TRIM(INDEX(BASELINE!$A1897:$ZZ1897,CALC!$R$1)&amp;"")),"")&lt;&gt;"ENCERRADA"),1,0),0)</f>
        <v/>
      </c>
      <c r="B1897">
        <f>B1896+A1897</f>
        <v/>
      </c>
    </row>
    <row r="1898">
      <c r="A1898">
        <f>IFERROR(IF(AND(INDEX(BASELINE!$A1898:$ZZ1898,CALC!$H$1)&lt;&gt;"",INT(IF(AND(CALC!$F$1&gt;0,N(INDEX(BASELINE!$A1898:$ZZ1898,CALC!$F$1))&gt;0),N(INDEX(BASELINE!$A1898:$ZZ1898,CALC!$F$1)),N(INDEX(BASELINE!$A1898:$ZZ1898,CALC!$P$1))))=INT(SIMOPS!$D$3),IFERROR(UPPER(TRIM(INDEX(BASELINE!$A1898:$ZZ1898,CALC!$R$1)&amp;"")),"")&lt;&gt;"ENCERRADA"),1,0),0)</f>
        <v/>
      </c>
      <c r="B1898">
        <f>B1897+A1898</f>
        <v/>
      </c>
    </row>
    <row r="1899">
      <c r="A1899">
        <f>IFERROR(IF(AND(INDEX(BASELINE!$A1899:$ZZ1899,CALC!$H$1)&lt;&gt;"",INT(IF(AND(CALC!$F$1&gt;0,N(INDEX(BASELINE!$A1899:$ZZ1899,CALC!$F$1))&gt;0),N(INDEX(BASELINE!$A1899:$ZZ1899,CALC!$F$1)),N(INDEX(BASELINE!$A1899:$ZZ1899,CALC!$P$1))))=INT(SIMOPS!$D$3),IFERROR(UPPER(TRIM(INDEX(BASELINE!$A1899:$ZZ1899,CALC!$R$1)&amp;"")),"")&lt;&gt;"ENCERRADA"),1,0),0)</f>
        <v/>
      </c>
      <c r="B1899">
        <f>B1898+A1899</f>
        <v/>
      </c>
    </row>
    <row r="1900">
      <c r="A1900">
        <f>IFERROR(IF(AND(INDEX(BASELINE!$A1900:$ZZ1900,CALC!$H$1)&lt;&gt;"",INT(IF(AND(CALC!$F$1&gt;0,N(INDEX(BASELINE!$A1900:$ZZ1900,CALC!$F$1))&gt;0),N(INDEX(BASELINE!$A1900:$ZZ1900,CALC!$F$1)),N(INDEX(BASELINE!$A1900:$ZZ1900,CALC!$P$1))))=INT(SIMOPS!$D$3),IFERROR(UPPER(TRIM(INDEX(BASELINE!$A1900:$ZZ1900,CALC!$R$1)&amp;"")),"")&lt;&gt;"ENCERRADA"),1,0),0)</f>
        <v/>
      </c>
      <c r="B1900">
        <f>B1899+A1900</f>
        <v/>
      </c>
    </row>
    <row r="1901">
      <c r="A1901">
        <f>IFERROR(IF(AND(INDEX(BASELINE!$A1901:$ZZ1901,CALC!$H$1)&lt;&gt;"",INT(IF(AND(CALC!$F$1&gt;0,N(INDEX(BASELINE!$A1901:$ZZ1901,CALC!$F$1))&gt;0),N(INDEX(BASELINE!$A1901:$ZZ1901,CALC!$F$1)),N(INDEX(BASELINE!$A1901:$ZZ1901,CALC!$P$1))))=INT(SIMOPS!$D$3),IFERROR(UPPER(TRIM(INDEX(BASELINE!$A1901:$ZZ1901,CALC!$R$1)&amp;"")),"")&lt;&gt;"ENCERRADA"),1,0),0)</f>
        <v/>
      </c>
      <c r="B1901">
        <f>B1900+A1901</f>
        <v/>
      </c>
    </row>
    <row r="1902">
      <c r="A1902">
        <f>IFERROR(IF(AND(INDEX(BASELINE!$A1902:$ZZ1902,CALC!$H$1)&lt;&gt;"",INT(IF(AND(CALC!$F$1&gt;0,N(INDEX(BASELINE!$A1902:$ZZ1902,CALC!$F$1))&gt;0),N(INDEX(BASELINE!$A1902:$ZZ1902,CALC!$F$1)),N(INDEX(BASELINE!$A1902:$ZZ1902,CALC!$P$1))))=INT(SIMOPS!$D$3),IFERROR(UPPER(TRIM(INDEX(BASELINE!$A1902:$ZZ1902,CALC!$R$1)&amp;"")),"")&lt;&gt;"ENCERRADA"),1,0),0)</f>
        <v/>
      </c>
      <c r="B1902">
        <f>B1901+A1902</f>
        <v/>
      </c>
    </row>
    <row r="1903">
      <c r="A1903">
        <f>IFERROR(IF(AND(INDEX(BASELINE!$A1903:$ZZ1903,CALC!$H$1)&lt;&gt;"",INT(IF(AND(CALC!$F$1&gt;0,N(INDEX(BASELINE!$A1903:$ZZ1903,CALC!$F$1))&gt;0),N(INDEX(BASELINE!$A1903:$ZZ1903,CALC!$F$1)),N(INDEX(BASELINE!$A1903:$ZZ1903,CALC!$P$1))))=INT(SIMOPS!$D$3),IFERROR(UPPER(TRIM(INDEX(BASELINE!$A1903:$ZZ1903,CALC!$R$1)&amp;"")),"")&lt;&gt;"ENCERRADA"),1,0),0)</f>
        <v/>
      </c>
      <c r="B1903">
        <f>B1902+A1903</f>
        <v/>
      </c>
    </row>
    <row r="1904">
      <c r="A1904">
        <f>IFERROR(IF(AND(INDEX(BASELINE!$A1904:$ZZ1904,CALC!$H$1)&lt;&gt;"",INT(IF(AND(CALC!$F$1&gt;0,N(INDEX(BASELINE!$A1904:$ZZ1904,CALC!$F$1))&gt;0),N(INDEX(BASELINE!$A1904:$ZZ1904,CALC!$F$1)),N(INDEX(BASELINE!$A1904:$ZZ1904,CALC!$P$1))))=INT(SIMOPS!$D$3),IFERROR(UPPER(TRIM(INDEX(BASELINE!$A1904:$ZZ1904,CALC!$R$1)&amp;"")),"")&lt;&gt;"ENCERRADA"),1,0),0)</f>
        <v/>
      </c>
      <c r="B1904">
        <f>B1903+A1904</f>
        <v/>
      </c>
    </row>
    <row r="1905">
      <c r="A1905">
        <f>IFERROR(IF(AND(INDEX(BASELINE!$A1905:$ZZ1905,CALC!$H$1)&lt;&gt;"",INT(IF(AND(CALC!$F$1&gt;0,N(INDEX(BASELINE!$A1905:$ZZ1905,CALC!$F$1))&gt;0),N(INDEX(BASELINE!$A1905:$ZZ1905,CALC!$F$1)),N(INDEX(BASELINE!$A1905:$ZZ1905,CALC!$P$1))))=INT(SIMOPS!$D$3),IFERROR(UPPER(TRIM(INDEX(BASELINE!$A1905:$ZZ1905,CALC!$R$1)&amp;"")),"")&lt;&gt;"ENCERRADA"),1,0),0)</f>
        <v/>
      </c>
      <c r="B1905">
        <f>B1904+A1905</f>
        <v/>
      </c>
    </row>
    <row r="1906">
      <c r="A1906">
        <f>IFERROR(IF(AND(INDEX(BASELINE!$A1906:$ZZ1906,CALC!$H$1)&lt;&gt;"",INT(IF(AND(CALC!$F$1&gt;0,N(INDEX(BASELINE!$A1906:$ZZ1906,CALC!$F$1))&gt;0),N(INDEX(BASELINE!$A1906:$ZZ1906,CALC!$F$1)),N(INDEX(BASELINE!$A1906:$ZZ1906,CALC!$P$1))))=INT(SIMOPS!$D$3),IFERROR(UPPER(TRIM(INDEX(BASELINE!$A1906:$ZZ1906,CALC!$R$1)&amp;"")),"")&lt;&gt;"ENCERRADA"),1,0),0)</f>
        <v/>
      </c>
      <c r="B1906">
        <f>B1905+A1906</f>
        <v/>
      </c>
    </row>
    <row r="1907">
      <c r="A1907">
        <f>IFERROR(IF(AND(INDEX(BASELINE!$A1907:$ZZ1907,CALC!$H$1)&lt;&gt;"",INT(IF(AND(CALC!$F$1&gt;0,N(INDEX(BASELINE!$A1907:$ZZ1907,CALC!$F$1))&gt;0),N(INDEX(BASELINE!$A1907:$ZZ1907,CALC!$F$1)),N(INDEX(BASELINE!$A1907:$ZZ1907,CALC!$P$1))))=INT(SIMOPS!$D$3),IFERROR(UPPER(TRIM(INDEX(BASELINE!$A1907:$ZZ1907,CALC!$R$1)&amp;"")),"")&lt;&gt;"ENCERRADA"),1,0),0)</f>
        <v/>
      </c>
      <c r="B1907">
        <f>B1906+A1907</f>
        <v/>
      </c>
    </row>
    <row r="1908">
      <c r="A1908">
        <f>IFERROR(IF(AND(INDEX(BASELINE!$A1908:$ZZ1908,CALC!$H$1)&lt;&gt;"",INT(IF(AND(CALC!$F$1&gt;0,N(INDEX(BASELINE!$A1908:$ZZ1908,CALC!$F$1))&gt;0),N(INDEX(BASELINE!$A1908:$ZZ1908,CALC!$F$1)),N(INDEX(BASELINE!$A1908:$ZZ1908,CALC!$P$1))))=INT(SIMOPS!$D$3),IFERROR(UPPER(TRIM(INDEX(BASELINE!$A1908:$ZZ1908,CALC!$R$1)&amp;"")),"")&lt;&gt;"ENCERRADA"),1,0),0)</f>
        <v/>
      </c>
      <c r="B1908">
        <f>B1907+A1908</f>
        <v/>
      </c>
    </row>
    <row r="1909">
      <c r="A1909">
        <f>IFERROR(IF(AND(INDEX(BASELINE!$A1909:$ZZ1909,CALC!$H$1)&lt;&gt;"",INT(IF(AND(CALC!$F$1&gt;0,N(INDEX(BASELINE!$A1909:$ZZ1909,CALC!$F$1))&gt;0),N(INDEX(BASELINE!$A1909:$ZZ1909,CALC!$F$1)),N(INDEX(BASELINE!$A1909:$ZZ1909,CALC!$P$1))))=INT(SIMOPS!$D$3),IFERROR(UPPER(TRIM(INDEX(BASELINE!$A1909:$ZZ1909,CALC!$R$1)&amp;"")),"")&lt;&gt;"ENCERRADA"),1,0),0)</f>
        <v/>
      </c>
      <c r="B1909">
        <f>B1908+A1909</f>
        <v/>
      </c>
    </row>
    <row r="1910">
      <c r="A1910">
        <f>IFERROR(IF(AND(INDEX(BASELINE!$A1910:$ZZ1910,CALC!$H$1)&lt;&gt;"",INT(IF(AND(CALC!$F$1&gt;0,N(INDEX(BASELINE!$A1910:$ZZ1910,CALC!$F$1))&gt;0),N(INDEX(BASELINE!$A1910:$ZZ1910,CALC!$F$1)),N(INDEX(BASELINE!$A1910:$ZZ1910,CALC!$P$1))))=INT(SIMOPS!$D$3),IFERROR(UPPER(TRIM(INDEX(BASELINE!$A1910:$ZZ1910,CALC!$R$1)&amp;"")),"")&lt;&gt;"ENCERRADA"),1,0),0)</f>
        <v/>
      </c>
      <c r="B1910">
        <f>B1909+A1910</f>
        <v/>
      </c>
    </row>
    <row r="1911">
      <c r="A1911">
        <f>IFERROR(IF(AND(INDEX(BASELINE!$A1911:$ZZ1911,CALC!$H$1)&lt;&gt;"",INT(IF(AND(CALC!$F$1&gt;0,N(INDEX(BASELINE!$A1911:$ZZ1911,CALC!$F$1))&gt;0),N(INDEX(BASELINE!$A1911:$ZZ1911,CALC!$F$1)),N(INDEX(BASELINE!$A1911:$ZZ1911,CALC!$P$1))))=INT(SIMOPS!$D$3),IFERROR(UPPER(TRIM(INDEX(BASELINE!$A1911:$ZZ1911,CALC!$R$1)&amp;"")),"")&lt;&gt;"ENCERRADA"),1,0),0)</f>
        <v/>
      </c>
      <c r="B1911">
        <f>B1910+A1911</f>
        <v/>
      </c>
    </row>
    <row r="1912">
      <c r="A1912">
        <f>IFERROR(IF(AND(INDEX(BASELINE!$A1912:$ZZ1912,CALC!$H$1)&lt;&gt;"",INT(IF(AND(CALC!$F$1&gt;0,N(INDEX(BASELINE!$A1912:$ZZ1912,CALC!$F$1))&gt;0),N(INDEX(BASELINE!$A1912:$ZZ1912,CALC!$F$1)),N(INDEX(BASELINE!$A1912:$ZZ1912,CALC!$P$1))))=INT(SIMOPS!$D$3),IFERROR(UPPER(TRIM(INDEX(BASELINE!$A1912:$ZZ1912,CALC!$R$1)&amp;"")),"")&lt;&gt;"ENCERRADA"),1,0),0)</f>
        <v/>
      </c>
      <c r="B1912">
        <f>B1911+A1912</f>
        <v/>
      </c>
    </row>
    <row r="1913">
      <c r="A1913">
        <f>IFERROR(IF(AND(INDEX(BASELINE!$A1913:$ZZ1913,CALC!$H$1)&lt;&gt;"",INT(IF(AND(CALC!$F$1&gt;0,N(INDEX(BASELINE!$A1913:$ZZ1913,CALC!$F$1))&gt;0),N(INDEX(BASELINE!$A1913:$ZZ1913,CALC!$F$1)),N(INDEX(BASELINE!$A1913:$ZZ1913,CALC!$P$1))))=INT(SIMOPS!$D$3),IFERROR(UPPER(TRIM(INDEX(BASELINE!$A1913:$ZZ1913,CALC!$R$1)&amp;"")),"")&lt;&gt;"ENCERRADA"),1,0),0)</f>
        <v/>
      </c>
      <c r="B1913">
        <f>B1912+A1913</f>
        <v/>
      </c>
    </row>
    <row r="1914">
      <c r="A1914">
        <f>IFERROR(IF(AND(INDEX(BASELINE!$A1914:$ZZ1914,CALC!$H$1)&lt;&gt;"",INT(IF(AND(CALC!$F$1&gt;0,N(INDEX(BASELINE!$A1914:$ZZ1914,CALC!$F$1))&gt;0),N(INDEX(BASELINE!$A1914:$ZZ1914,CALC!$F$1)),N(INDEX(BASELINE!$A1914:$ZZ1914,CALC!$P$1))))=INT(SIMOPS!$D$3),IFERROR(UPPER(TRIM(INDEX(BASELINE!$A1914:$ZZ1914,CALC!$R$1)&amp;"")),"")&lt;&gt;"ENCERRADA"),1,0),0)</f>
        <v/>
      </c>
      <c r="B1914">
        <f>B1913+A1914</f>
        <v/>
      </c>
    </row>
    <row r="1915">
      <c r="A1915">
        <f>IFERROR(IF(AND(INDEX(BASELINE!$A1915:$ZZ1915,CALC!$H$1)&lt;&gt;"",INT(IF(AND(CALC!$F$1&gt;0,N(INDEX(BASELINE!$A1915:$ZZ1915,CALC!$F$1))&gt;0),N(INDEX(BASELINE!$A1915:$ZZ1915,CALC!$F$1)),N(INDEX(BASELINE!$A1915:$ZZ1915,CALC!$P$1))))=INT(SIMOPS!$D$3),IFERROR(UPPER(TRIM(INDEX(BASELINE!$A1915:$ZZ1915,CALC!$R$1)&amp;"")),"")&lt;&gt;"ENCERRADA"),1,0),0)</f>
        <v/>
      </c>
      <c r="B1915">
        <f>B1914+A1915</f>
        <v/>
      </c>
    </row>
    <row r="1916">
      <c r="A1916">
        <f>IFERROR(IF(AND(INDEX(BASELINE!$A1916:$ZZ1916,CALC!$H$1)&lt;&gt;"",INT(IF(AND(CALC!$F$1&gt;0,N(INDEX(BASELINE!$A1916:$ZZ1916,CALC!$F$1))&gt;0),N(INDEX(BASELINE!$A1916:$ZZ1916,CALC!$F$1)),N(INDEX(BASELINE!$A1916:$ZZ1916,CALC!$P$1))))=INT(SIMOPS!$D$3),IFERROR(UPPER(TRIM(INDEX(BASELINE!$A1916:$ZZ1916,CALC!$R$1)&amp;"")),"")&lt;&gt;"ENCERRADA"),1,0),0)</f>
        <v/>
      </c>
      <c r="B1916">
        <f>B1915+A1916</f>
        <v/>
      </c>
    </row>
    <row r="1917">
      <c r="A1917">
        <f>IFERROR(IF(AND(INDEX(BASELINE!$A1917:$ZZ1917,CALC!$H$1)&lt;&gt;"",INT(IF(AND(CALC!$F$1&gt;0,N(INDEX(BASELINE!$A1917:$ZZ1917,CALC!$F$1))&gt;0),N(INDEX(BASELINE!$A1917:$ZZ1917,CALC!$F$1)),N(INDEX(BASELINE!$A1917:$ZZ1917,CALC!$P$1))))=INT(SIMOPS!$D$3),IFERROR(UPPER(TRIM(INDEX(BASELINE!$A1917:$ZZ1917,CALC!$R$1)&amp;"")),"")&lt;&gt;"ENCERRADA"),1,0),0)</f>
        <v/>
      </c>
      <c r="B1917">
        <f>B1916+A1917</f>
        <v/>
      </c>
    </row>
    <row r="1918">
      <c r="A1918">
        <f>IFERROR(IF(AND(INDEX(BASELINE!$A1918:$ZZ1918,CALC!$H$1)&lt;&gt;"",INT(IF(AND(CALC!$F$1&gt;0,N(INDEX(BASELINE!$A1918:$ZZ1918,CALC!$F$1))&gt;0),N(INDEX(BASELINE!$A1918:$ZZ1918,CALC!$F$1)),N(INDEX(BASELINE!$A1918:$ZZ1918,CALC!$P$1))))=INT(SIMOPS!$D$3),IFERROR(UPPER(TRIM(INDEX(BASELINE!$A1918:$ZZ1918,CALC!$R$1)&amp;"")),"")&lt;&gt;"ENCERRADA"),1,0),0)</f>
        <v/>
      </c>
      <c r="B1918">
        <f>B1917+A1918</f>
        <v/>
      </c>
    </row>
    <row r="1919">
      <c r="A1919">
        <f>IFERROR(IF(AND(INDEX(BASELINE!$A1919:$ZZ1919,CALC!$H$1)&lt;&gt;"",INT(IF(AND(CALC!$F$1&gt;0,N(INDEX(BASELINE!$A1919:$ZZ1919,CALC!$F$1))&gt;0),N(INDEX(BASELINE!$A1919:$ZZ1919,CALC!$F$1)),N(INDEX(BASELINE!$A1919:$ZZ1919,CALC!$P$1))))=INT(SIMOPS!$D$3),IFERROR(UPPER(TRIM(INDEX(BASELINE!$A1919:$ZZ1919,CALC!$R$1)&amp;"")),"")&lt;&gt;"ENCERRADA"),1,0),0)</f>
        <v/>
      </c>
      <c r="B1919">
        <f>B1918+A1919</f>
        <v/>
      </c>
    </row>
    <row r="1920">
      <c r="A1920">
        <f>IFERROR(IF(AND(INDEX(BASELINE!$A1920:$ZZ1920,CALC!$H$1)&lt;&gt;"",INT(IF(AND(CALC!$F$1&gt;0,N(INDEX(BASELINE!$A1920:$ZZ1920,CALC!$F$1))&gt;0),N(INDEX(BASELINE!$A1920:$ZZ1920,CALC!$F$1)),N(INDEX(BASELINE!$A1920:$ZZ1920,CALC!$P$1))))=INT(SIMOPS!$D$3),IFERROR(UPPER(TRIM(INDEX(BASELINE!$A1920:$ZZ1920,CALC!$R$1)&amp;"")),"")&lt;&gt;"ENCERRADA"),1,0),0)</f>
        <v/>
      </c>
      <c r="B1920">
        <f>B1919+A1920</f>
        <v/>
      </c>
    </row>
    <row r="1921">
      <c r="A1921">
        <f>IFERROR(IF(AND(INDEX(BASELINE!$A1921:$ZZ1921,CALC!$H$1)&lt;&gt;"",INT(IF(AND(CALC!$F$1&gt;0,N(INDEX(BASELINE!$A1921:$ZZ1921,CALC!$F$1))&gt;0),N(INDEX(BASELINE!$A1921:$ZZ1921,CALC!$F$1)),N(INDEX(BASELINE!$A1921:$ZZ1921,CALC!$P$1))))=INT(SIMOPS!$D$3),IFERROR(UPPER(TRIM(INDEX(BASELINE!$A1921:$ZZ1921,CALC!$R$1)&amp;"")),"")&lt;&gt;"ENCERRADA"),1,0),0)</f>
        <v/>
      </c>
      <c r="B1921">
        <f>B1920+A1921</f>
        <v/>
      </c>
    </row>
    <row r="1922">
      <c r="A1922">
        <f>IFERROR(IF(AND(INDEX(BASELINE!$A1922:$ZZ1922,CALC!$H$1)&lt;&gt;"",INT(IF(AND(CALC!$F$1&gt;0,N(INDEX(BASELINE!$A1922:$ZZ1922,CALC!$F$1))&gt;0),N(INDEX(BASELINE!$A1922:$ZZ1922,CALC!$F$1)),N(INDEX(BASELINE!$A1922:$ZZ1922,CALC!$P$1))))=INT(SIMOPS!$D$3),IFERROR(UPPER(TRIM(INDEX(BASELINE!$A1922:$ZZ1922,CALC!$R$1)&amp;"")),"")&lt;&gt;"ENCERRADA"),1,0),0)</f>
        <v/>
      </c>
      <c r="B1922">
        <f>B1921+A1922</f>
        <v/>
      </c>
    </row>
    <row r="1923">
      <c r="A1923">
        <f>IFERROR(IF(AND(INDEX(BASELINE!$A1923:$ZZ1923,CALC!$H$1)&lt;&gt;"",INT(IF(AND(CALC!$F$1&gt;0,N(INDEX(BASELINE!$A1923:$ZZ1923,CALC!$F$1))&gt;0),N(INDEX(BASELINE!$A1923:$ZZ1923,CALC!$F$1)),N(INDEX(BASELINE!$A1923:$ZZ1923,CALC!$P$1))))=INT(SIMOPS!$D$3),IFERROR(UPPER(TRIM(INDEX(BASELINE!$A1923:$ZZ1923,CALC!$R$1)&amp;"")),"")&lt;&gt;"ENCERRADA"),1,0),0)</f>
        <v/>
      </c>
      <c r="B1923">
        <f>B1922+A1923</f>
        <v/>
      </c>
    </row>
    <row r="1924">
      <c r="A1924">
        <f>IFERROR(IF(AND(INDEX(BASELINE!$A1924:$ZZ1924,CALC!$H$1)&lt;&gt;"",INT(IF(AND(CALC!$F$1&gt;0,N(INDEX(BASELINE!$A1924:$ZZ1924,CALC!$F$1))&gt;0),N(INDEX(BASELINE!$A1924:$ZZ1924,CALC!$F$1)),N(INDEX(BASELINE!$A1924:$ZZ1924,CALC!$P$1))))=INT(SIMOPS!$D$3),IFERROR(UPPER(TRIM(INDEX(BASELINE!$A1924:$ZZ1924,CALC!$R$1)&amp;"")),"")&lt;&gt;"ENCERRADA"),1,0),0)</f>
        <v/>
      </c>
      <c r="B1924">
        <f>B1923+A1924</f>
        <v/>
      </c>
    </row>
    <row r="1925">
      <c r="A1925">
        <f>IFERROR(IF(AND(INDEX(BASELINE!$A1925:$ZZ1925,CALC!$H$1)&lt;&gt;"",INT(IF(AND(CALC!$F$1&gt;0,N(INDEX(BASELINE!$A1925:$ZZ1925,CALC!$F$1))&gt;0),N(INDEX(BASELINE!$A1925:$ZZ1925,CALC!$F$1)),N(INDEX(BASELINE!$A1925:$ZZ1925,CALC!$P$1))))=INT(SIMOPS!$D$3),IFERROR(UPPER(TRIM(INDEX(BASELINE!$A1925:$ZZ1925,CALC!$R$1)&amp;"")),"")&lt;&gt;"ENCERRADA"),1,0),0)</f>
        <v/>
      </c>
      <c r="B1925">
        <f>B1924+A1925</f>
        <v/>
      </c>
    </row>
    <row r="1926">
      <c r="A1926">
        <f>IFERROR(IF(AND(INDEX(BASELINE!$A1926:$ZZ1926,CALC!$H$1)&lt;&gt;"",INT(IF(AND(CALC!$F$1&gt;0,N(INDEX(BASELINE!$A1926:$ZZ1926,CALC!$F$1))&gt;0),N(INDEX(BASELINE!$A1926:$ZZ1926,CALC!$F$1)),N(INDEX(BASELINE!$A1926:$ZZ1926,CALC!$P$1))))=INT(SIMOPS!$D$3),IFERROR(UPPER(TRIM(INDEX(BASELINE!$A1926:$ZZ1926,CALC!$R$1)&amp;"")),"")&lt;&gt;"ENCERRADA"),1,0),0)</f>
        <v/>
      </c>
      <c r="B1926">
        <f>B1925+A1926</f>
        <v/>
      </c>
    </row>
    <row r="1927">
      <c r="A1927">
        <f>IFERROR(IF(AND(INDEX(BASELINE!$A1927:$ZZ1927,CALC!$H$1)&lt;&gt;"",INT(IF(AND(CALC!$F$1&gt;0,N(INDEX(BASELINE!$A1927:$ZZ1927,CALC!$F$1))&gt;0),N(INDEX(BASELINE!$A1927:$ZZ1927,CALC!$F$1)),N(INDEX(BASELINE!$A1927:$ZZ1927,CALC!$P$1))))=INT(SIMOPS!$D$3),IFERROR(UPPER(TRIM(INDEX(BASELINE!$A1927:$ZZ1927,CALC!$R$1)&amp;"")),"")&lt;&gt;"ENCERRADA"),1,0),0)</f>
        <v/>
      </c>
      <c r="B1927">
        <f>B1926+A1927</f>
        <v/>
      </c>
    </row>
    <row r="1928">
      <c r="A1928">
        <f>IFERROR(IF(AND(INDEX(BASELINE!$A1928:$ZZ1928,CALC!$H$1)&lt;&gt;"",INT(IF(AND(CALC!$F$1&gt;0,N(INDEX(BASELINE!$A1928:$ZZ1928,CALC!$F$1))&gt;0),N(INDEX(BASELINE!$A1928:$ZZ1928,CALC!$F$1)),N(INDEX(BASELINE!$A1928:$ZZ1928,CALC!$P$1))))=INT(SIMOPS!$D$3),IFERROR(UPPER(TRIM(INDEX(BASELINE!$A1928:$ZZ1928,CALC!$R$1)&amp;"")),"")&lt;&gt;"ENCERRADA"),1,0),0)</f>
        <v/>
      </c>
      <c r="B1928">
        <f>B1927+A1928</f>
        <v/>
      </c>
    </row>
    <row r="1929">
      <c r="A1929">
        <f>IFERROR(IF(AND(INDEX(BASELINE!$A1929:$ZZ1929,CALC!$H$1)&lt;&gt;"",INT(IF(AND(CALC!$F$1&gt;0,N(INDEX(BASELINE!$A1929:$ZZ1929,CALC!$F$1))&gt;0),N(INDEX(BASELINE!$A1929:$ZZ1929,CALC!$F$1)),N(INDEX(BASELINE!$A1929:$ZZ1929,CALC!$P$1))))=INT(SIMOPS!$D$3),IFERROR(UPPER(TRIM(INDEX(BASELINE!$A1929:$ZZ1929,CALC!$R$1)&amp;"")),"")&lt;&gt;"ENCERRADA"),1,0),0)</f>
        <v/>
      </c>
      <c r="B1929">
        <f>B1928+A1929</f>
        <v/>
      </c>
    </row>
    <row r="1930">
      <c r="A1930">
        <f>IFERROR(IF(AND(INDEX(BASELINE!$A1930:$ZZ1930,CALC!$H$1)&lt;&gt;"",INT(IF(AND(CALC!$F$1&gt;0,N(INDEX(BASELINE!$A1930:$ZZ1930,CALC!$F$1))&gt;0),N(INDEX(BASELINE!$A1930:$ZZ1930,CALC!$F$1)),N(INDEX(BASELINE!$A1930:$ZZ1930,CALC!$P$1))))=INT(SIMOPS!$D$3),IFERROR(UPPER(TRIM(INDEX(BASELINE!$A1930:$ZZ1930,CALC!$R$1)&amp;"")),"")&lt;&gt;"ENCERRADA"),1,0),0)</f>
        <v/>
      </c>
      <c r="B1930">
        <f>B1929+A1930</f>
        <v/>
      </c>
    </row>
    <row r="1931">
      <c r="A1931">
        <f>IFERROR(IF(AND(INDEX(BASELINE!$A1931:$ZZ1931,CALC!$H$1)&lt;&gt;"",INT(IF(AND(CALC!$F$1&gt;0,N(INDEX(BASELINE!$A1931:$ZZ1931,CALC!$F$1))&gt;0),N(INDEX(BASELINE!$A1931:$ZZ1931,CALC!$F$1)),N(INDEX(BASELINE!$A1931:$ZZ1931,CALC!$P$1))))=INT(SIMOPS!$D$3),IFERROR(UPPER(TRIM(INDEX(BASELINE!$A1931:$ZZ1931,CALC!$R$1)&amp;"")),"")&lt;&gt;"ENCERRADA"),1,0),0)</f>
        <v/>
      </c>
      <c r="B1931">
        <f>B1930+A1931</f>
        <v/>
      </c>
    </row>
    <row r="1932">
      <c r="A1932">
        <f>IFERROR(IF(AND(INDEX(BASELINE!$A1932:$ZZ1932,CALC!$H$1)&lt;&gt;"",INT(IF(AND(CALC!$F$1&gt;0,N(INDEX(BASELINE!$A1932:$ZZ1932,CALC!$F$1))&gt;0),N(INDEX(BASELINE!$A1932:$ZZ1932,CALC!$F$1)),N(INDEX(BASELINE!$A1932:$ZZ1932,CALC!$P$1))))=INT(SIMOPS!$D$3),IFERROR(UPPER(TRIM(INDEX(BASELINE!$A1932:$ZZ1932,CALC!$R$1)&amp;"")),"")&lt;&gt;"ENCERRADA"),1,0),0)</f>
        <v/>
      </c>
      <c r="B1932">
        <f>B1931+A1932</f>
        <v/>
      </c>
    </row>
    <row r="1933">
      <c r="A1933">
        <f>IFERROR(IF(AND(INDEX(BASELINE!$A1933:$ZZ1933,CALC!$H$1)&lt;&gt;"",INT(IF(AND(CALC!$F$1&gt;0,N(INDEX(BASELINE!$A1933:$ZZ1933,CALC!$F$1))&gt;0),N(INDEX(BASELINE!$A1933:$ZZ1933,CALC!$F$1)),N(INDEX(BASELINE!$A1933:$ZZ1933,CALC!$P$1))))=INT(SIMOPS!$D$3),IFERROR(UPPER(TRIM(INDEX(BASELINE!$A1933:$ZZ1933,CALC!$R$1)&amp;"")),"")&lt;&gt;"ENCERRADA"),1,0),0)</f>
        <v/>
      </c>
      <c r="B1933">
        <f>B1932+A1933</f>
        <v/>
      </c>
    </row>
    <row r="1934">
      <c r="A1934">
        <f>IFERROR(IF(AND(INDEX(BASELINE!$A1934:$ZZ1934,CALC!$H$1)&lt;&gt;"",INT(IF(AND(CALC!$F$1&gt;0,N(INDEX(BASELINE!$A1934:$ZZ1934,CALC!$F$1))&gt;0),N(INDEX(BASELINE!$A1934:$ZZ1934,CALC!$F$1)),N(INDEX(BASELINE!$A1934:$ZZ1934,CALC!$P$1))))=INT(SIMOPS!$D$3),IFERROR(UPPER(TRIM(INDEX(BASELINE!$A1934:$ZZ1934,CALC!$R$1)&amp;"")),"")&lt;&gt;"ENCERRADA"),1,0),0)</f>
        <v/>
      </c>
      <c r="B1934">
        <f>B1933+A1934</f>
        <v/>
      </c>
    </row>
    <row r="1935">
      <c r="A1935">
        <f>IFERROR(IF(AND(INDEX(BASELINE!$A1935:$ZZ1935,CALC!$H$1)&lt;&gt;"",INT(IF(AND(CALC!$F$1&gt;0,N(INDEX(BASELINE!$A1935:$ZZ1935,CALC!$F$1))&gt;0),N(INDEX(BASELINE!$A1935:$ZZ1935,CALC!$F$1)),N(INDEX(BASELINE!$A1935:$ZZ1935,CALC!$P$1))))=INT(SIMOPS!$D$3),IFERROR(UPPER(TRIM(INDEX(BASELINE!$A1935:$ZZ1935,CALC!$R$1)&amp;"")),"")&lt;&gt;"ENCERRADA"),1,0),0)</f>
        <v/>
      </c>
      <c r="B1935">
        <f>B1934+A1935</f>
        <v/>
      </c>
    </row>
    <row r="1936">
      <c r="A1936">
        <f>IFERROR(IF(AND(INDEX(BASELINE!$A1936:$ZZ1936,CALC!$H$1)&lt;&gt;"",INT(IF(AND(CALC!$F$1&gt;0,N(INDEX(BASELINE!$A1936:$ZZ1936,CALC!$F$1))&gt;0),N(INDEX(BASELINE!$A1936:$ZZ1936,CALC!$F$1)),N(INDEX(BASELINE!$A1936:$ZZ1936,CALC!$P$1))))=INT(SIMOPS!$D$3),IFERROR(UPPER(TRIM(INDEX(BASELINE!$A1936:$ZZ1936,CALC!$R$1)&amp;"")),"")&lt;&gt;"ENCERRADA"),1,0),0)</f>
        <v/>
      </c>
      <c r="B1936">
        <f>B1935+A1936</f>
        <v/>
      </c>
    </row>
    <row r="1937">
      <c r="A1937">
        <f>IFERROR(IF(AND(INDEX(BASELINE!$A1937:$ZZ1937,CALC!$H$1)&lt;&gt;"",INT(IF(AND(CALC!$F$1&gt;0,N(INDEX(BASELINE!$A1937:$ZZ1937,CALC!$F$1))&gt;0),N(INDEX(BASELINE!$A1937:$ZZ1937,CALC!$F$1)),N(INDEX(BASELINE!$A1937:$ZZ1937,CALC!$P$1))))=INT(SIMOPS!$D$3),IFERROR(UPPER(TRIM(INDEX(BASELINE!$A1937:$ZZ1937,CALC!$R$1)&amp;"")),"")&lt;&gt;"ENCERRADA"),1,0),0)</f>
        <v/>
      </c>
      <c r="B1937">
        <f>B1936+A1937</f>
        <v/>
      </c>
    </row>
    <row r="1938">
      <c r="A1938">
        <f>IFERROR(IF(AND(INDEX(BASELINE!$A1938:$ZZ1938,CALC!$H$1)&lt;&gt;"",INT(IF(AND(CALC!$F$1&gt;0,N(INDEX(BASELINE!$A1938:$ZZ1938,CALC!$F$1))&gt;0),N(INDEX(BASELINE!$A1938:$ZZ1938,CALC!$F$1)),N(INDEX(BASELINE!$A1938:$ZZ1938,CALC!$P$1))))=INT(SIMOPS!$D$3),IFERROR(UPPER(TRIM(INDEX(BASELINE!$A1938:$ZZ1938,CALC!$R$1)&amp;"")),"")&lt;&gt;"ENCERRADA"),1,0),0)</f>
        <v/>
      </c>
      <c r="B1938">
        <f>B1937+A1938</f>
        <v/>
      </c>
    </row>
    <row r="1939">
      <c r="A1939">
        <f>IFERROR(IF(AND(INDEX(BASELINE!$A1939:$ZZ1939,CALC!$H$1)&lt;&gt;"",INT(IF(AND(CALC!$F$1&gt;0,N(INDEX(BASELINE!$A1939:$ZZ1939,CALC!$F$1))&gt;0),N(INDEX(BASELINE!$A1939:$ZZ1939,CALC!$F$1)),N(INDEX(BASELINE!$A1939:$ZZ1939,CALC!$P$1))))=INT(SIMOPS!$D$3),IFERROR(UPPER(TRIM(INDEX(BASELINE!$A1939:$ZZ1939,CALC!$R$1)&amp;"")),"")&lt;&gt;"ENCERRADA"),1,0),0)</f>
        <v/>
      </c>
      <c r="B1939">
        <f>B1938+A1939</f>
        <v/>
      </c>
    </row>
    <row r="1940">
      <c r="A1940">
        <f>IFERROR(IF(AND(INDEX(BASELINE!$A1940:$ZZ1940,CALC!$H$1)&lt;&gt;"",INT(IF(AND(CALC!$F$1&gt;0,N(INDEX(BASELINE!$A1940:$ZZ1940,CALC!$F$1))&gt;0),N(INDEX(BASELINE!$A1940:$ZZ1940,CALC!$F$1)),N(INDEX(BASELINE!$A1940:$ZZ1940,CALC!$P$1))))=INT(SIMOPS!$D$3),IFERROR(UPPER(TRIM(INDEX(BASELINE!$A1940:$ZZ1940,CALC!$R$1)&amp;"")),"")&lt;&gt;"ENCERRADA"),1,0),0)</f>
        <v/>
      </c>
      <c r="B1940">
        <f>B1939+A1940</f>
        <v/>
      </c>
    </row>
    <row r="1941">
      <c r="A1941">
        <f>IFERROR(IF(AND(INDEX(BASELINE!$A1941:$ZZ1941,CALC!$H$1)&lt;&gt;"",INT(IF(AND(CALC!$F$1&gt;0,N(INDEX(BASELINE!$A1941:$ZZ1941,CALC!$F$1))&gt;0),N(INDEX(BASELINE!$A1941:$ZZ1941,CALC!$F$1)),N(INDEX(BASELINE!$A1941:$ZZ1941,CALC!$P$1))))=INT(SIMOPS!$D$3),IFERROR(UPPER(TRIM(INDEX(BASELINE!$A1941:$ZZ1941,CALC!$R$1)&amp;"")),"")&lt;&gt;"ENCERRADA"),1,0),0)</f>
        <v/>
      </c>
      <c r="B1941">
        <f>B1940+A1941</f>
        <v/>
      </c>
    </row>
    <row r="1942">
      <c r="A1942">
        <f>IFERROR(IF(AND(INDEX(BASELINE!$A1942:$ZZ1942,CALC!$H$1)&lt;&gt;"",INT(IF(AND(CALC!$F$1&gt;0,N(INDEX(BASELINE!$A1942:$ZZ1942,CALC!$F$1))&gt;0),N(INDEX(BASELINE!$A1942:$ZZ1942,CALC!$F$1)),N(INDEX(BASELINE!$A1942:$ZZ1942,CALC!$P$1))))=INT(SIMOPS!$D$3),IFERROR(UPPER(TRIM(INDEX(BASELINE!$A1942:$ZZ1942,CALC!$R$1)&amp;"")),"")&lt;&gt;"ENCERRADA"),1,0),0)</f>
        <v/>
      </c>
      <c r="B1942">
        <f>B1941+A1942</f>
        <v/>
      </c>
    </row>
    <row r="1943">
      <c r="A1943">
        <f>IFERROR(IF(AND(INDEX(BASELINE!$A1943:$ZZ1943,CALC!$H$1)&lt;&gt;"",INT(IF(AND(CALC!$F$1&gt;0,N(INDEX(BASELINE!$A1943:$ZZ1943,CALC!$F$1))&gt;0),N(INDEX(BASELINE!$A1943:$ZZ1943,CALC!$F$1)),N(INDEX(BASELINE!$A1943:$ZZ1943,CALC!$P$1))))=INT(SIMOPS!$D$3),IFERROR(UPPER(TRIM(INDEX(BASELINE!$A1943:$ZZ1943,CALC!$R$1)&amp;"")),"")&lt;&gt;"ENCERRADA"),1,0),0)</f>
        <v/>
      </c>
      <c r="B1943">
        <f>B1942+A1943</f>
        <v/>
      </c>
    </row>
    <row r="1944">
      <c r="A1944">
        <f>IFERROR(IF(AND(INDEX(BASELINE!$A1944:$ZZ1944,CALC!$H$1)&lt;&gt;"",INT(IF(AND(CALC!$F$1&gt;0,N(INDEX(BASELINE!$A1944:$ZZ1944,CALC!$F$1))&gt;0),N(INDEX(BASELINE!$A1944:$ZZ1944,CALC!$F$1)),N(INDEX(BASELINE!$A1944:$ZZ1944,CALC!$P$1))))=INT(SIMOPS!$D$3),IFERROR(UPPER(TRIM(INDEX(BASELINE!$A1944:$ZZ1944,CALC!$R$1)&amp;"")),"")&lt;&gt;"ENCERRADA"),1,0),0)</f>
        <v/>
      </c>
      <c r="B1944">
        <f>B1943+A1944</f>
        <v/>
      </c>
    </row>
    <row r="1945">
      <c r="A1945">
        <f>IFERROR(IF(AND(INDEX(BASELINE!$A1945:$ZZ1945,CALC!$H$1)&lt;&gt;"",INT(IF(AND(CALC!$F$1&gt;0,N(INDEX(BASELINE!$A1945:$ZZ1945,CALC!$F$1))&gt;0),N(INDEX(BASELINE!$A1945:$ZZ1945,CALC!$F$1)),N(INDEX(BASELINE!$A1945:$ZZ1945,CALC!$P$1))))=INT(SIMOPS!$D$3),IFERROR(UPPER(TRIM(INDEX(BASELINE!$A1945:$ZZ1945,CALC!$R$1)&amp;"")),"")&lt;&gt;"ENCERRADA"),1,0),0)</f>
        <v/>
      </c>
      <c r="B1945">
        <f>B1944+A1945</f>
        <v/>
      </c>
    </row>
    <row r="1946">
      <c r="A1946">
        <f>IFERROR(IF(AND(INDEX(BASELINE!$A1946:$ZZ1946,CALC!$H$1)&lt;&gt;"",INT(IF(AND(CALC!$F$1&gt;0,N(INDEX(BASELINE!$A1946:$ZZ1946,CALC!$F$1))&gt;0),N(INDEX(BASELINE!$A1946:$ZZ1946,CALC!$F$1)),N(INDEX(BASELINE!$A1946:$ZZ1946,CALC!$P$1))))=INT(SIMOPS!$D$3),IFERROR(UPPER(TRIM(INDEX(BASELINE!$A1946:$ZZ1946,CALC!$R$1)&amp;"")),"")&lt;&gt;"ENCERRADA"),1,0),0)</f>
        <v/>
      </c>
      <c r="B1946">
        <f>B1945+A1946</f>
        <v/>
      </c>
    </row>
    <row r="1947">
      <c r="A1947">
        <f>IFERROR(IF(AND(INDEX(BASELINE!$A1947:$ZZ1947,CALC!$H$1)&lt;&gt;"",INT(IF(AND(CALC!$F$1&gt;0,N(INDEX(BASELINE!$A1947:$ZZ1947,CALC!$F$1))&gt;0),N(INDEX(BASELINE!$A1947:$ZZ1947,CALC!$F$1)),N(INDEX(BASELINE!$A1947:$ZZ1947,CALC!$P$1))))=INT(SIMOPS!$D$3),IFERROR(UPPER(TRIM(INDEX(BASELINE!$A1947:$ZZ1947,CALC!$R$1)&amp;"")),"")&lt;&gt;"ENCERRADA"),1,0),0)</f>
        <v/>
      </c>
      <c r="B1947">
        <f>B1946+A1947</f>
        <v/>
      </c>
    </row>
    <row r="1948">
      <c r="A1948">
        <f>IFERROR(IF(AND(INDEX(BASELINE!$A1948:$ZZ1948,CALC!$H$1)&lt;&gt;"",INT(IF(AND(CALC!$F$1&gt;0,N(INDEX(BASELINE!$A1948:$ZZ1948,CALC!$F$1))&gt;0),N(INDEX(BASELINE!$A1948:$ZZ1948,CALC!$F$1)),N(INDEX(BASELINE!$A1948:$ZZ1948,CALC!$P$1))))=INT(SIMOPS!$D$3),IFERROR(UPPER(TRIM(INDEX(BASELINE!$A1948:$ZZ1948,CALC!$R$1)&amp;"")),"")&lt;&gt;"ENCERRADA"),1,0),0)</f>
        <v/>
      </c>
      <c r="B1948">
        <f>B1947+A1948</f>
        <v/>
      </c>
    </row>
    <row r="1949">
      <c r="A1949">
        <f>IFERROR(IF(AND(INDEX(BASELINE!$A1949:$ZZ1949,CALC!$H$1)&lt;&gt;"",INT(IF(AND(CALC!$F$1&gt;0,N(INDEX(BASELINE!$A1949:$ZZ1949,CALC!$F$1))&gt;0),N(INDEX(BASELINE!$A1949:$ZZ1949,CALC!$F$1)),N(INDEX(BASELINE!$A1949:$ZZ1949,CALC!$P$1))))=INT(SIMOPS!$D$3),IFERROR(UPPER(TRIM(INDEX(BASELINE!$A1949:$ZZ1949,CALC!$R$1)&amp;"")),"")&lt;&gt;"ENCERRADA"),1,0),0)</f>
        <v/>
      </c>
      <c r="B1949">
        <f>B1948+A1949</f>
        <v/>
      </c>
    </row>
    <row r="1950">
      <c r="A1950">
        <f>IFERROR(IF(AND(INDEX(BASELINE!$A1950:$ZZ1950,CALC!$H$1)&lt;&gt;"",INT(IF(AND(CALC!$F$1&gt;0,N(INDEX(BASELINE!$A1950:$ZZ1950,CALC!$F$1))&gt;0),N(INDEX(BASELINE!$A1950:$ZZ1950,CALC!$F$1)),N(INDEX(BASELINE!$A1950:$ZZ1950,CALC!$P$1))))=INT(SIMOPS!$D$3),IFERROR(UPPER(TRIM(INDEX(BASELINE!$A1950:$ZZ1950,CALC!$R$1)&amp;"")),"")&lt;&gt;"ENCERRADA"),1,0),0)</f>
        <v/>
      </c>
      <c r="B1950">
        <f>B1949+A1950</f>
        <v/>
      </c>
    </row>
    <row r="1951">
      <c r="A1951">
        <f>IFERROR(IF(AND(INDEX(BASELINE!$A1951:$ZZ1951,CALC!$H$1)&lt;&gt;"",INT(IF(AND(CALC!$F$1&gt;0,N(INDEX(BASELINE!$A1951:$ZZ1951,CALC!$F$1))&gt;0),N(INDEX(BASELINE!$A1951:$ZZ1951,CALC!$F$1)),N(INDEX(BASELINE!$A1951:$ZZ1951,CALC!$P$1))))=INT(SIMOPS!$D$3),IFERROR(UPPER(TRIM(INDEX(BASELINE!$A1951:$ZZ1951,CALC!$R$1)&amp;"")),"")&lt;&gt;"ENCERRADA"),1,0),0)</f>
        <v/>
      </c>
      <c r="B1951">
        <f>B1950+A1951</f>
        <v/>
      </c>
    </row>
    <row r="1952">
      <c r="A1952">
        <f>IFERROR(IF(AND(INDEX(BASELINE!$A1952:$ZZ1952,CALC!$H$1)&lt;&gt;"",INT(IF(AND(CALC!$F$1&gt;0,N(INDEX(BASELINE!$A1952:$ZZ1952,CALC!$F$1))&gt;0),N(INDEX(BASELINE!$A1952:$ZZ1952,CALC!$F$1)),N(INDEX(BASELINE!$A1952:$ZZ1952,CALC!$P$1))))=INT(SIMOPS!$D$3),IFERROR(UPPER(TRIM(INDEX(BASELINE!$A1952:$ZZ1952,CALC!$R$1)&amp;"")),"")&lt;&gt;"ENCERRADA"),1,0),0)</f>
        <v/>
      </c>
      <c r="B1952">
        <f>B1951+A1952</f>
        <v/>
      </c>
    </row>
    <row r="1953">
      <c r="A1953">
        <f>IFERROR(IF(AND(INDEX(BASELINE!$A1953:$ZZ1953,CALC!$H$1)&lt;&gt;"",INT(IF(AND(CALC!$F$1&gt;0,N(INDEX(BASELINE!$A1953:$ZZ1953,CALC!$F$1))&gt;0),N(INDEX(BASELINE!$A1953:$ZZ1953,CALC!$F$1)),N(INDEX(BASELINE!$A1953:$ZZ1953,CALC!$P$1))))=INT(SIMOPS!$D$3),IFERROR(UPPER(TRIM(INDEX(BASELINE!$A1953:$ZZ1953,CALC!$R$1)&amp;"")),"")&lt;&gt;"ENCERRADA"),1,0),0)</f>
        <v/>
      </c>
      <c r="B1953">
        <f>B1952+A1953</f>
        <v/>
      </c>
    </row>
    <row r="1954">
      <c r="A1954">
        <f>IFERROR(IF(AND(INDEX(BASELINE!$A1954:$ZZ1954,CALC!$H$1)&lt;&gt;"",INT(IF(AND(CALC!$F$1&gt;0,N(INDEX(BASELINE!$A1954:$ZZ1954,CALC!$F$1))&gt;0),N(INDEX(BASELINE!$A1954:$ZZ1954,CALC!$F$1)),N(INDEX(BASELINE!$A1954:$ZZ1954,CALC!$P$1))))=INT(SIMOPS!$D$3),IFERROR(UPPER(TRIM(INDEX(BASELINE!$A1954:$ZZ1954,CALC!$R$1)&amp;"")),"")&lt;&gt;"ENCERRADA"),1,0),0)</f>
        <v/>
      </c>
      <c r="B1954">
        <f>B1953+A1954</f>
        <v/>
      </c>
    </row>
    <row r="1955">
      <c r="A1955">
        <f>IFERROR(IF(AND(INDEX(BASELINE!$A1955:$ZZ1955,CALC!$H$1)&lt;&gt;"",INT(IF(AND(CALC!$F$1&gt;0,N(INDEX(BASELINE!$A1955:$ZZ1955,CALC!$F$1))&gt;0),N(INDEX(BASELINE!$A1955:$ZZ1955,CALC!$F$1)),N(INDEX(BASELINE!$A1955:$ZZ1955,CALC!$P$1))))=INT(SIMOPS!$D$3),IFERROR(UPPER(TRIM(INDEX(BASELINE!$A1955:$ZZ1955,CALC!$R$1)&amp;"")),"")&lt;&gt;"ENCERRADA"),1,0),0)</f>
        <v/>
      </c>
      <c r="B1955">
        <f>B1954+A1955</f>
        <v/>
      </c>
    </row>
    <row r="1956">
      <c r="A1956">
        <f>IFERROR(IF(AND(INDEX(BASELINE!$A1956:$ZZ1956,CALC!$H$1)&lt;&gt;"",INT(IF(AND(CALC!$F$1&gt;0,N(INDEX(BASELINE!$A1956:$ZZ1956,CALC!$F$1))&gt;0),N(INDEX(BASELINE!$A1956:$ZZ1956,CALC!$F$1)),N(INDEX(BASELINE!$A1956:$ZZ1956,CALC!$P$1))))=INT(SIMOPS!$D$3),IFERROR(UPPER(TRIM(INDEX(BASELINE!$A1956:$ZZ1956,CALC!$R$1)&amp;"")),"")&lt;&gt;"ENCERRADA"),1,0),0)</f>
        <v/>
      </c>
      <c r="B1956">
        <f>B1955+A1956</f>
        <v/>
      </c>
    </row>
    <row r="1957">
      <c r="A1957">
        <f>IFERROR(IF(AND(INDEX(BASELINE!$A1957:$ZZ1957,CALC!$H$1)&lt;&gt;"",INT(IF(AND(CALC!$F$1&gt;0,N(INDEX(BASELINE!$A1957:$ZZ1957,CALC!$F$1))&gt;0),N(INDEX(BASELINE!$A1957:$ZZ1957,CALC!$F$1)),N(INDEX(BASELINE!$A1957:$ZZ1957,CALC!$P$1))))=INT(SIMOPS!$D$3),IFERROR(UPPER(TRIM(INDEX(BASELINE!$A1957:$ZZ1957,CALC!$R$1)&amp;"")),"")&lt;&gt;"ENCERRADA"),1,0),0)</f>
        <v/>
      </c>
      <c r="B1957">
        <f>B1956+A1957</f>
        <v/>
      </c>
    </row>
    <row r="1958">
      <c r="A1958">
        <f>IFERROR(IF(AND(INDEX(BASELINE!$A1958:$ZZ1958,CALC!$H$1)&lt;&gt;"",INT(IF(AND(CALC!$F$1&gt;0,N(INDEX(BASELINE!$A1958:$ZZ1958,CALC!$F$1))&gt;0),N(INDEX(BASELINE!$A1958:$ZZ1958,CALC!$F$1)),N(INDEX(BASELINE!$A1958:$ZZ1958,CALC!$P$1))))=INT(SIMOPS!$D$3),IFERROR(UPPER(TRIM(INDEX(BASELINE!$A1958:$ZZ1958,CALC!$R$1)&amp;"")),"")&lt;&gt;"ENCERRADA"),1,0),0)</f>
        <v/>
      </c>
      <c r="B1958">
        <f>B1957+A1958</f>
        <v/>
      </c>
    </row>
    <row r="1959">
      <c r="A1959">
        <f>IFERROR(IF(AND(INDEX(BASELINE!$A1959:$ZZ1959,CALC!$H$1)&lt;&gt;"",INT(IF(AND(CALC!$F$1&gt;0,N(INDEX(BASELINE!$A1959:$ZZ1959,CALC!$F$1))&gt;0),N(INDEX(BASELINE!$A1959:$ZZ1959,CALC!$F$1)),N(INDEX(BASELINE!$A1959:$ZZ1959,CALC!$P$1))))=INT(SIMOPS!$D$3),IFERROR(UPPER(TRIM(INDEX(BASELINE!$A1959:$ZZ1959,CALC!$R$1)&amp;"")),"")&lt;&gt;"ENCERRADA"),1,0),0)</f>
        <v/>
      </c>
      <c r="B1959">
        <f>B1958+A1959</f>
        <v/>
      </c>
    </row>
    <row r="1960">
      <c r="A1960">
        <f>IFERROR(IF(AND(INDEX(BASELINE!$A1960:$ZZ1960,CALC!$H$1)&lt;&gt;"",INT(IF(AND(CALC!$F$1&gt;0,N(INDEX(BASELINE!$A1960:$ZZ1960,CALC!$F$1))&gt;0),N(INDEX(BASELINE!$A1960:$ZZ1960,CALC!$F$1)),N(INDEX(BASELINE!$A1960:$ZZ1960,CALC!$P$1))))=INT(SIMOPS!$D$3),IFERROR(UPPER(TRIM(INDEX(BASELINE!$A1960:$ZZ1960,CALC!$R$1)&amp;"")),"")&lt;&gt;"ENCERRADA"),1,0),0)</f>
        <v/>
      </c>
      <c r="B1960">
        <f>B1959+A1960</f>
        <v/>
      </c>
    </row>
    <row r="1961">
      <c r="A1961">
        <f>IFERROR(IF(AND(INDEX(BASELINE!$A1961:$ZZ1961,CALC!$H$1)&lt;&gt;"",INT(IF(AND(CALC!$F$1&gt;0,N(INDEX(BASELINE!$A1961:$ZZ1961,CALC!$F$1))&gt;0),N(INDEX(BASELINE!$A1961:$ZZ1961,CALC!$F$1)),N(INDEX(BASELINE!$A1961:$ZZ1961,CALC!$P$1))))=INT(SIMOPS!$D$3),IFERROR(UPPER(TRIM(INDEX(BASELINE!$A1961:$ZZ1961,CALC!$R$1)&amp;"")),"")&lt;&gt;"ENCERRADA"),1,0),0)</f>
        <v/>
      </c>
      <c r="B1961">
        <f>B1960+A1961</f>
        <v/>
      </c>
    </row>
    <row r="1962">
      <c r="A1962">
        <f>IFERROR(IF(AND(INDEX(BASELINE!$A1962:$ZZ1962,CALC!$H$1)&lt;&gt;"",INT(IF(AND(CALC!$F$1&gt;0,N(INDEX(BASELINE!$A1962:$ZZ1962,CALC!$F$1))&gt;0),N(INDEX(BASELINE!$A1962:$ZZ1962,CALC!$F$1)),N(INDEX(BASELINE!$A1962:$ZZ1962,CALC!$P$1))))=INT(SIMOPS!$D$3),IFERROR(UPPER(TRIM(INDEX(BASELINE!$A1962:$ZZ1962,CALC!$R$1)&amp;"")),"")&lt;&gt;"ENCERRADA"),1,0),0)</f>
        <v/>
      </c>
      <c r="B1962">
        <f>B1961+A1962</f>
        <v/>
      </c>
    </row>
    <row r="1963">
      <c r="A1963">
        <f>IFERROR(IF(AND(INDEX(BASELINE!$A1963:$ZZ1963,CALC!$H$1)&lt;&gt;"",INT(IF(AND(CALC!$F$1&gt;0,N(INDEX(BASELINE!$A1963:$ZZ1963,CALC!$F$1))&gt;0),N(INDEX(BASELINE!$A1963:$ZZ1963,CALC!$F$1)),N(INDEX(BASELINE!$A1963:$ZZ1963,CALC!$P$1))))=INT(SIMOPS!$D$3),IFERROR(UPPER(TRIM(INDEX(BASELINE!$A1963:$ZZ1963,CALC!$R$1)&amp;"")),"")&lt;&gt;"ENCERRADA"),1,0),0)</f>
        <v/>
      </c>
      <c r="B1963">
        <f>B1962+A1963</f>
        <v/>
      </c>
    </row>
    <row r="1964">
      <c r="A1964">
        <f>IFERROR(IF(AND(INDEX(BASELINE!$A1964:$ZZ1964,CALC!$H$1)&lt;&gt;"",INT(IF(AND(CALC!$F$1&gt;0,N(INDEX(BASELINE!$A1964:$ZZ1964,CALC!$F$1))&gt;0),N(INDEX(BASELINE!$A1964:$ZZ1964,CALC!$F$1)),N(INDEX(BASELINE!$A1964:$ZZ1964,CALC!$P$1))))=INT(SIMOPS!$D$3),IFERROR(UPPER(TRIM(INDEX(BASELINE!$A1964:$ZZ1964,CALC!$R$1)&amp;"")),"")&lt;&gt;"ENCERRADA"),1,0),0)</f>
        <v/>
      </c>
      <c r="B1964">
        <f>B1963+A1964</f>
        <v/>
      </c>
    </row>
    <row r="1965">
      <c r="A1965">
        <f>IFERROR(IF(AND(INDEX(BASELINE!$A1965:$ZZ1965,CALC!$H$1)&lt;&gt;"",INT(IF(AND(CALC!$F$1&gt;0,N(INDEX(BASELINE!$A1965:$ZZ1965,CALC!$F$1))&gt;0),N(INDEX(BASELINE!$A1965:$ZZ1965,CALC!$F$1)),N(INDEX(BASELINE!$A1965:$ZZ1965,CALC!$P$1))))=INT(SIMOPS!$D$3),IFERROR(UPPER(TRIM(INDEX(BASELINE!$A1965:$ZZ1965,CALC!$R$1)&amp;"")),"")&lt;&gt;"ENCERRADA"),1,0),0)</f>
        <v/>
      </c>
      <c r="B1965">
        <f>B1964+A1965</f>
        <v/>
      </c>
    </row>
    <row r="1966">
      <c r="A1966">
        <f>IFERROR(IF(AND(INDEX(BASELINE!$A1966:$ZZ1966,CALC!$H$1)&lt;&gt;"",INT(IF(AND(CALC!$F$1&gt;0,N(INDEX(BASELINE!$A1966:$ZZ1966,CALC!$F$1))&gt;0),N(INDEX(BASELINE!$A1966:$ZZ1966,CALC!$F$1)),N(INDEX(BASELINE!$A1966:$ZZ1966,CALC!$P$1))))=INT(SIMOPS!$D$3),IFERROR(UPPER(TRIM(INDEX(BASELINE!$A1966:$ZZ1966,CALC!$R$1)&amp;"")),"")&lt;&gt;"ENCERRADA"),1,0),0)</f>
        <v/>
      </c>
      <c r="B1966">
        <f>B1965+A1966</f>
        <v/>
      </c>
    </row>
    <row r="1967">
      <c r="A1967">
        <f>IFERROR(IF(AND(INDEX(BASELINE!$A1967:$ZZ1967,CALC!$H$1)&lt;&gt;"",INT(IF(AND(CALC!$F$1&gt;0,N(INDEX(BASELINE!$A1967:$ZZ1967,CALC!$F$1))&gt;0),N(INDEX(BASELINE!$A1967:$ZZ1967,CALC!$F$1)),N(INDEX(BASELINE!$A1967:$ZZ1967,CALC!$P$1))))=INT(SIMOPS!$D$3),IFERROR(UPPER(TRIM(INDEX(BASELINE!$A1967:$ZZ1967,CALC!$R$1)&amp;"")),"")&lt;&gt;"ENCERRADA"),1,0),0)</f>
        <v/>
      </c>
      <c r="B1967">
        <f>B1966+A1967</f>
        <v/>
      </c>
    </row>
    <row r="1968">
      <c r="A1968">
        <f>IFERROR(IF(AND(INDEX(BASELINE!$A1968:$ZZ1968,CALC!$H$1)&lt;&gt;"",INT(IF(AND(CALC!$F$1&gt;0,N(INDEX(BASELINE!$A1968:$ZZ1968,CALC!$F$1))&gt;0),N(INDEX(BASELINE!$A1968:$ZZ1968,CALC!$F$1)),N(INDEX(BASELINE!$A1968:$ZZ1968,CALC!$P$1))))=INT(SIMOPS!$D$3),IFERROR(UPPER(TRIM(INDEX(BASELINE!$A1968:$ZZ1968,CALC!$R$1)&amp;"")),"")&lt;&gt;"ENCERRADA"),1,0),0)</f>
        <v/>
      </c>
      <c r="B1968">
        <f>B1967+A1968</f>
        <v/>
      </c>
    </row>
    <row r="1969">
      <c r="A1969">
        <f>IFERROR(IF(AND(INDEX(BASELINE!$A1969:$ZZ1969,CALC!$H$1)&lt;&gt;"",INT(IF(AND(CALC!$F$1&gt;0,N(INDEX(BASELINE!$A1969:$ZZ1969,CALC!$F$1))&gt;0),N(INDEX(BASELINE!$A1969:$ZZ1969,CALC!$F$1)),N(INDEX(BASELINE!$A1969:$ZZ1969,CALC!$P$1))))=INT(SIMOPS!$D$3),IFERROR(UPPER(TRIM(INDEX(BASELINE!$A1969:$ZZ1969,CALC!$R$1)&amp;"")),"")&lt;&gt;"ENCERRADA"),1,0),0)</f>
        <v/>
      </c>
      <c r="B1969">
        <f>B1968+A1969</f>
        <v/>
      </c>
    </row>
    <row r="1970">
      <c r="A1970">
        <f>IFERROR(IF(AND(INDEX(BASELINE!$A1970:$ZZ1970,CALC!$H$1)&lt;&gt;"",INT(IF(AND(CALC!$F$1&gt;0,N(INDEX(BASELINE!$A1970:$ZZ1970,CALC!$F$1))&gt;0),N(INDEX(BASELINE!$A1970:$ZZ1970,CALC!$F$1)),N(INDEX(BASELINE!$A1970:$ZZ1970,CALC!$P$1))))=INT(SIMOPS!$D$3),IFERROR(UPPER(TRIM(INDEX(BASELINE!$A1970:$ZZ1970,CALC!$R$1)&amp;"")),"")&lt;&gt;"ENCERRADA"),1,0),0)</f>
        <v/>
      </c>
      <c r="B1970">
        <f>B1969+A1970</f>
        <v/>
      </c>
    </row>
    <row r="1971">
      <c r="A1971">
        <f>IFERROR(IF(AND(INDEX(BASELINE!$A1971:$ZZ1971,CALC!$H$1)&lt;&gt;"",INT(IF(AND(CALC!$F$1&gt;0,N(INDEX(BASELINE!$A1971:$ZZ1971,CALC!$F$1))&gt;0),N(INDEX(BASELINE!$A1971:$ZZ1971,CALC!$F$1)),N(INDEX(BASELINE!$A1971:$ZZ1971,CALC!$P$1))))=INT(SIMOPS!$D$3),IFERROR(UPPER(TRIM(INDEX(BASELINE!$A1971:$ZZ1971,CALC!$R$1)&amp;"")),"")&lt;&gt;"ENCERRADA"),1,0),0)</f>
        <v/>
      </c>
      <c r="B1971">
        <f>B1970+A1971</f>
        <v/>
      </c>
    </row>
    <row r="1972">
      <c r="A1972">
        <f>IFERROR(IF(AND(INDEX(BASELINE!$A1972:$ZZ1972,CALC!$H$1)&lt;&gt;"",INT(IF(AND(CALC!$F$1&gt;0,N(INDEX(BASELINE!$A1972:$ZZ1972,CALC!$F$1))&gt;0),N(INDEX(BASELINE!$A1972:$ZZ1972,CALC!$F$1)),N(INDEX(BASELINE!$A1972:$ZZ1972,CALC!$P$1))))=INT(SIMOPS!$D$3),IFERROR(UPPER(TRIM(INDEX(BASELINE!$A1972:$ZZ1972,CALC!$R$1)&amp;"")),"")&lt;&gt;"ENCERRADA"),1,0),0)</f>
        <v/>
      </c>
      <c r="B1972">
        <f>B1971+A1972</f>
        <v/>
      </c>
    </row>
    <row r="1973">
      <c r="A1973">
        <f>IFERROR(IF(AND(INDEX(BASELINE!$A1973:$ZZ1973,CALC!$H$1)&lt;&gt;"",INT(IF(AND(CALC!$F$1&gt;0,N(INDEX(BASELINE!$A1973:$ZZ1973,CALC!$F$1))&gt;0),N(INDEX(BASELINE!$A1973:$ZZ1973,CALC!$F$1)),N(INDEX(BASELINE!$A1973:$ZZ1973,CALC!$P$1))))=INT(SIMOPS!$D$3),IFERROR(UPPER(TRIM(INDEX(BASELINE!$A1973:$ZZ1973,CALC!$R$1)&amp;"")),"")&lt;&gt;"ENCERRADA"),1,0),0)</f>
        <v/>
      </c>
      <c r="B1973">
        <f>B1972+A1973</f>
        <v/>
      </c>
    </row>
    <row r="1974">
      <c r="A1974">
        <f>IFERROR(IF(AND(INDEX(BASELINE!$A1974:$ZZ1974,CALC!$H$1)&lt;&gt;"",INT(IF(AND(CALC!$F$1&gt;0,N(INDEX(BASELINE!$A1974:$ZZ1974,CALC!$F$1))&gt;0),N(INDEX(BASELINE!$A1974:$ZZ1974,CALC!$F$1)),N(INDEX(BASELINE!$A1974:$ZZ1974,CALC!$P$1))))=INT(SIMOPS!$D$3),IFERROR(UPPER(TRIM(INDEX(BASELINE!$A1974:$ZZ1974,CALC!$R$1)&amp;"")),"")&lt;&gt;"ENCERRADA"),1,0),0)</f>
        <v/>
      </c>
      <c r="B1974">
        <f>B1973+A1974</f>
        <v/>
      </c>
    </row>
    <row r="1975">
      <c r="A1975">
        <f>IFERROR(IF(AND(INDEX(BASELINE!$A1975:$ZZ1975,CALC!$H$1)&lt;&gt;"",INT(IF(AND(CALC!$F$1&gt;0,N(INDEX(BASELINE!$A1975:$ZZ1975,CALC!$F$1))&gt;0),N(INDEX(BASELINE!$A1975:$ZZ1975,CALC!$F$1)),N(INDEX(BASELINE!$A1975:$ZZ1975,CALC!$P$1))))=INT(SIMOPS!$D$3),IFERROR(UPPER(TRIM(INDEX(BASELINE!$A1975:$ZZ1975,CALC!$R$1)&amp;"")),"")&lt;&gt;"ENCERRADA"),1,0),0)</f>
        <v/>
      </c>
      <c r="B1975">
        <f>B1974+A1975</f>
        <v/>
      </c>
    </row>
    <row r="1976">
      <c r="A1976">
        <f>IFERROR(IF(AND(INDEX(BASELINE!$A1976:$ZZ1976,CALC!$H$1)&lt;&gt;"",INT(IF(AND(CALC!$F$1&gt;0,N(INDEX(BASELINE!$A1976:$ZZ1976,CALC!$F$1))&gt;0),N(INDEX(BASELINE!$A1976:$ZZ1976,CALC!$F$1)),N(INDEX(BASELINE!$A1976:$ZZ1976,CALC!$P$1))))=INT(SIMOPS!$D$3),IFERROR(UPPER(TRIM(INDEX(BASELINE!$A1976:$ZZ1976,CALC!$R$1)&amp;"")),"")&lt;&gt;"ENCERRADA"),1,0),0)</f>
        <v/>
      </c>
      <c r="B1976">
        <f>B1975+A1976</f>
        <v/>
      </c>
    </row>
    <row r="1977">
      <c r="A1977">
        <f>IFERROR(IF(AND(INDEX(BASELINE!$A1977:$ZZ1977,CALC!$H$1)&lt;&gt;"",INT(IF(AND(CALC!$F$1&gt;0,N(INDEX(BASELINE!$A1977:$ZZ1977,CALC!$F$1))&gt;0),N(INDEX(BASELINE!$A1977:$ZZ1977,CALC!$F$1)),N(INDEX(BASELINE!$A1977:$ZZ1977,CALC!$P$1))))=INT(SIMOPS!$D$3),IFERROR(UPPER(TRIM(INDEX(BASELINE!$A1977:$ZZ1977,CALC!$R$1)&amp;"")),"")&lt;&gt;"ENCERRADA"),1,0),0)</f>
        <v/>
      </c>
      <c r="B1977">
        <f>B1976+A1977</f>
        <v/>
      </c>
    </row>
    <row r="1978">
      <c r="A1978">
        <f>IFERROR(IF(AND(INDEX(BASELINE!$A1978:$ZZ1978,CALC!$H$1)&lt;&gt;"",INT(IF(AND(CALC!$F$1&gt;0,N(INDEX(BASELINE!$A1978:$ZZ1978,CALC!$F$1))&gt;0),N(INDEX(BASELINE!$A1978:$ZZ1978,CALC!$F$1)),N(INDEX(BASELINE!$A1978:$ZZ1978,CALC!$P$1))))=INT(SIMOPS!$D$3),IFERROR(UPPER(TRIM(INDEX(BASELINE!$A1978:$ZZ1978,CALC!$R$1)&amp;"")),"")&lt;&gt;"ENCERRADA"),1,0),0)</f>
        <v/>
      </c>
      <c r="B1978">
        <f>B1977+A1978</f>
        <v/>
      </c>
    </row>
    <row r="1979">
      <c r="A1979">
        <f>IFERROR(IF(AND(INDEX(BASELINE!$A1979:$ZZ1979,CALC!$H$1)&lt;&gt;"",INT(IF(AND(CALC!$F$1&gt;0,N(INDEX(BASELINE!$A1979:$ZZ1979,CALC!$F$1))&gt;0),N(INDEX(BASELINE!$A1979:$ZZ1979,CALC!$F$1)),N(INDEX(BASELINE!$A1979:$ZZ1979,CALC!$P$1))))=INT(SIMOPS!$D$3),IFERROR(UPPER(TRIM(INDEX(BASELINE!$A1979:$ZZ1979,CALC!$R$1)&amp;"")),"")&lt;&gt;"ENCERRADA"),1,0),0)</f>
        <v/>
      </c>
      <c r="B1979">
        <f>B1978+A1979</f>
        <v/>
      </c>
    </row>
    <row r="1980">
      <c r="A1980">
        <f>IFERROR(IF(AND(INDEX(BASELINE!$A1980:$ZZ1980,CALC!$H$1)&lt;&gt;"",INT(IF(AND(CALC!$F$1&gt;0,N(INDEX(BASELINE!$A1980:$ZZ1980,CALC!$F$1))&gt;0),N(INDEX(BASELINE!$A1980:$ZZ1980,CALC!$F$1)),N(INDEX(BASELINE!$A1980:$ZZ1980,CALC!$P$1))))=INT(SIMOPS!$D$3),IFERROR(UPPER(TRIM(INDEX(BASELINE!$A1980:$ZZ1980,CALC!$R$1)&amp;"")),"")&lt;&gt;"ENCERRADA"),1,0),0)</f>
        <v/>
      </c>
      <c r="B1980">
        <f>B1979+A1980</f>
        <v/>
      </c>
    </row>
    <row r="1981">
      <c r="A1981">
        <f>IFERROR(IF(AND(INDEX(BASELINE!$A1981:$ZZ1981,CALC!$H$1)&lt;&gt;"",INT(IF(AND(CALC!$F$1&gt;0,N(INDEX(BASELINE!$A1981:$ZZ1981,CALC!$F$1))&gt;0),N(INDEX(BASELINE!$A1981:$ZZ1981,CALC!$F$1)),N(INDEX(BASELINE!$A1981:$ZZ1981,CALC!$P$1))))=INT(SIMOPS!$D$3),IFERROR(UPPER(TRIM(INDEX(BASELINE!$A1981:$ZZ1981,CALC!$R$1)&amp;"")),"")&lt;&gt;"ENCERRADA"),1,0),0)</f>
        <v/>
      </c>
      <c r="B1981">
        <f>B1980+A1981</f>
        <v/>
      </c>
    </row>
    <row r="1982">
      <c r="A1982">
        <f>IFERROR(IF(AND(INDEX(BASELINE!$A1982:$ZZ1982,CALC!$H$1)&lt;&gt;"",INT(IF(AND(CALC!$F$1&gt;0,N(INDEX(BASELINE!$A1982:$ZZ1982,CALC!$F$1))&gt;0),N(INDEX(BASELINE!$A1982:$ZZ1982,CALC!$F$1)),N(INDEX(BASELINE!$A1982:$ZZ1982,CALC!$P$1))))=INT(SIMOPS!$D$3),IFERROR(UPPER(TRIM(INDEX(BASELINE!$A1982:$ZZ1982,CALC!$R$1)&amp;"")),"")&lt;&gt;"ENCERRADA"),1,0),0)</f>
        <v/>
      </c>
      <c r="B1982">
        <f>B1981+A1982</f>
        <v/>
      </c>
    </row>
    <row r="1983">
      <c r="A1983">
        <f>IFERROR(IF(AND(INDEX(BASELINE!$A1983:$ZZ1983,CALC!$H$1)&lt;&gt;"",INT(IF(AND(CALC!$F$1&gt;0,N(INDEX(BASELINE!$A1983:$ZZ1983,CALC!$F$1))&gt;0),N(INDEX(BASELINE!$A1983:$ZZ1983,CALC!$F$1)),N(INDEX(BASELINE!$A1983:$ZZ1983,CALC!$P$1))))=INT(SIMOPS!$D$3),IFERROR(UPPER(TRIM(INDEX(BASELINE!$A1983:$ZZ1983,CALC!$R$1)&amp;"")),"")&lt;&gt;"ENCERRADA"),1,0),0)</f>
        <v/>
      </c>
      <c r="B1983">
        <f>B1982+A1983</f>
        <v/>
      </c>
    </row>
    <row r="1984">
      <c r="A1984">
        <f>IFERROR(IF(AND(INDEX(BASELINE!$A1984:$ZZ1984,CALC!$H$1)&lt;&gt;"",INT(IF(AND(CALC!$F$1&gt;0,N(INDEX(BASELINE!$A1984:$ZZ1984,CALC!$F$1))&gt;0),N(INDEX(BASELINE!$A1984:$ZZ1984,CALC!$F$1)),N(INDEX(BASELINE!$A1984:$ZZ1984,CALC!$P$1))))=INT(SIMOPS!$D$3),IFERROR(UPPER(TRIM(INDEX(BASELINE!$A1984:$ZZ1984,CALC!$R$1)&amp;"")),"")&lt;&gt;"ENCERRADA"),1,0),0)</f>
        <v/>
      </c>
      <c r="B1984">
        <f>B1983+A1984</f>
        <v/>
      </c>
    </row>
    <row r="1985">
      <c r="A1985">
        <f>IFERROR(IF(AND(INDEX(BASELINE!$A1985:$ZZ1985,CALC!$H$1)&lt;&gt;"",INT(IF(AND(CALC!$F$1&gt;0,N(INDEX(BASELINE!$A1985:$ZZ1985,CALC!$F$1))&gt;0),N(INDEX(BASELINE!$A1985:$ZZ1985,CALC!$F$1)),N(INDEX(BASELINE!$A1985:$ZZ1985,CALC!$P$1))))=INT(SIMOPS!$D$3),IFERROR(UPPER(TRIM(INDEX(BASELINE!$A1985:$ZZ1985,CALC!$R$1)&amp;"")),"")&lt;&gt;"ENCERRADA"),1,0),0)</f>
        <v/>
      </c>
      <c r="B1985">
        <f>B1984+A1985</f>
        <v/>
      </c>
    </row>
    <row r="1986">
      <c r="A1986">
        <f>IFERROR(IF(AND(INDEX(BASELINE!$A1986:$ZZ1986,CALC!$H$1)&lt;&gt;"",INT(IF(AND(CALC!$F$1&gt;0,N(INDEX(BASELINE!$A1986:$ZZ1986,CALC!$F$1))&gt;0),N(INDEX(BASELINE!$A1986:$ZZ1986,CALC!$F$1)),N(INDEX(BASELINE!$A1986:$ZZ1986,CALC!$P$1))))=INT(SIMOPS!$D$3),IFERROR(UPPER(TRIM(INDEX(BASELINE!$A1986:$ZZ1986,CALC!$R$1)&amp;"")),"")&lt;&gt;"ENCERRADA"),1,0),0)</f>
        <v/>
      </c>
      <c r="B1986">
        <f>B1985+A1986</f>
        <v/>
      </c>
    </row>
    <row r="1987">
      <c r="A1987">
        <f>IFERROR(IF(AND(INDEX(BASELINE!$A1987:$ZZ1987,CALC!$H$1)&lt;&gt;"",INT(IF(AND(CALC!$F$1&gt;0,N(INDEX(BASELINE!$A1987:$ZZ1987,CALC!$F$1))&gt;0),N(INDEX(BASELINE!$A1987:$ZZ1987,CALC!$F$1)),N(INDEX(BASELINE!$A1987:$ZZ1987,CALC!$P$1))))=INT(SIMOPS!$D$3),IFERROR(UPPER(TRIM(INDEX(BASELINE!$A1987:$ZZ1987,CALC!$R$1)&amp;"")),"")&lt;&gt;"ENCERRADA"),1,0),0)</f>
        <v/>
      </c>
      <c r="B1987">
        <f>B1986+A1987</f>
        <v/>
      </c>
    </row>
    <row r="1988">
      <c r="A1988">
        <f>IFERROR(IF(AND(INDEX(BASELINE!$A1988:$ZZ1988,CALC!$H$1)&lt;&gt;"",INT(IF(AND(CALC!$F$1&gt;0,N(INDEX(BASELINE!$A1988:$ZZ1988,CALC!$F$1))&gt;0),N(INDEX(BASELINE!$A1988:$ZZ1988,CALC!$F$1)),N(INDEX(BASELINE!$A1988:$ZZ1988,CALC!$P$1))))=INT(SIMOPS!$D$3),IFERROR(UPPER(TRIM(INDEX(BASELINE!$A1988:$ZZ1988,CALC!$R$1)&amp;"")),"")&lt;&gt;"ENCERRADA"),1,0),0)</f>
        <v/>
      </c>
      <c r="B1988">
        <f>B1987+A1988</f>
        <v/>
      </c>
    </row>
    <row r="1989">
      <c r="A1989">
        <f>IFERROR(IF(AND(INDEX(BASELINE!$A1989:$ZZ1989,CALC!$H$1)&lt;&gt;"",INT(IF(AND(CALC!$F$1&gt;0,N(INDEX(BASELINE!$A1989:$ZZ1989,CALC!$F$1))&gt;0),N(INDEX(BASELINE!$A1989:$ZZ1989,CALC!$F$1)),N(INDEX(BASELINE!$A1989:$ZZ1989,CALC!$P$1))))=INT(SIMOPS!$D$3),IFERROR(UPPER(TRIM(INDEX(BASELINE!$A1989:$ZZ1989,CALC!$R$1)&amp;"")),"")&lt;&gt;"ENCERRADA"),1,0),0)</f>
        <v/>
      </c>
      <c r="B1989">
        <f>B1988+A1989</f>
        <v/>
      </c>
    </row>
    <row r="1990">
      <c r="A1990">
        <f>IFERROR(IF(AND(INDEX(BASELINE!$A1990:$ZZ1990,CALC!$H$1)&lt;&gt;"",INT(IF(AND(CALC!$F$1&gt;0,N(INDEX(BASELINE!$A1990:$ZZ1990,CALC!$F$1))&gt;0),N(INDEX(BASELINE!$A1990:$ZZ1990,CALC!$F$1)),N(INDEX(BASELINE!$A1990:$ZZ1990,CALC!$P$1))))=INT(SIMOPS!$D$3),IFERROR(UPPER(TRIM(INDEX(BASELINE!$A1990:$ZZ1990,CALC!$R$1)&amp;"")),"")&lt;&gt;"ENCERRADA"),1,0),0)</f>
        <v/>
      </c>
      <c r="B1990">
        <f>B1989+A1990</f>
        <v/>
      </c>
    </row>
    <row r="1991">
      <c r="A1991">
        <f>IFERROR(IF(AND(INDEX(BASELINE!$A1991:$ZZ1991,CALC!$H$1)&lt;&gt;"",INT(IF(AND(CALC!$F$1&gt;0,N(INDEX(BASELINE!$A1991:$ZZ1991,CALC!$F$1))&gt;0),N(INDEX(BASELINE!$A1991:$ZZ1991,CALC!$F$1)),N(INDEX(BASELINE!$A1991:$ZZ1991,CALC!$P$1))))=INT(SIMOPS!$D$3),IFERROR(UPPER(TRIM(INDEX(BASELINE!$A1991:$ZZ1991,CALC!$R$1)&amp;"")),"")&lt;&gt;"ENCERRADA"),1,0),0)</f>
        <v/>
      </c>
      <c r="B1991">
        <f>B1990+A1991</f>
        <v/>
      </c>
    </row>
    <row r="1992">
      <c r="A1992">
        <f>IFERROR(IF(AND(INDEX(BASELINE!$A1992:$ZZ1992,CALC!$H$1)&lt;&gt;"",INT(IF(AND(CALC!$F$1&gt;0,N(INDEX(BASELINE!$A1992:$ZZ1992,CALC!$F$1))&gt;0),N(INDEX(BASELINE!$A1992:$ZZ1992,CALC!$F$1)),N(INDEX(BASELINE!$A1992:$ZZ1992,CALC!$P$1))))=INT(SIMOPS!$D$3),IFERROR(UPPER(TRIM(INDEX(BASELINE!$A1992:$ZZ1992,CALC!$R$1)&amp;"")),"")&lt;&gt;"ENCERRADA"),1,0),0)</f>
        <v/>
      </c>
      <c r="B1992">
        <f>B1991+A1992</f>
        <v/>
      </c>
    </row>
    <row r="1993">
      <c r="A1993">
        <f>IFERROR(IF(AND(INDEX(BASELINE!$A1993:$ZZ1993,CALC!$H$1)&lt;&gt;"",INT(IF(AND(CALC!$F$1&gt;0,N(INDEX(BASELINE!$A1993:$ZZ1993,CALC!$F$1))&gt;0),N(INDEX(BASELINE!$A1993:$ZZ1993,CALC!$F$1)),N(INDEX(BASELINE!$A1993:$ZZ1993,CALC!$P$1))))=INT(SIMOPS!$D$3),IFERROR(UPPER(TRIM(INDEX(BASELINE!$A1993:$ZZ1993,CALC!$R$1)&amp;"")),"")&lt;&gt;"ENCERRADA"),1,0),0)</f>
        <v/>
      </c>
      <c r="B1993">
        <f>B1992+A1993</f>
        <v/>
      </c>
    </row>
    <row r="1994">
      <c r="A1994">
        <f>IFERROR(IF(AND(INDEX(BASELINE!$A1994:$ZZ1994,CALC!$H$1)&lt;&gt;"",INT(IF(AND(CALC!$F$1&gt;0,N(INDEX(BASELINE!$A1994:$ZZ1994,CALC!$F$1))&gt;0),N(INDEX(BASELINE!$A1994:$ZZ1994,CALC!$F$1)),N(INDEX(BASELINE!$A1994:$ZZ1994,CALC!$P$1))))=INT(SIMOPS!$D$3),IFERROR(UPPER(TRIM(INDEX(BASELINE!$A1994:$ZZ1994,CALC!$R$1)&amp;"")),"")&lt;&gt;"ENCERRADA"),1,0),0)</f>
        <v/>
      </c>
      <c r="B1994">
        <f>B1993+A1994</f>
        <v/>
      </c>
    </row>
    <row r="1995">
      <c r="A1995">
        <f>IFERROR(IF(AND(INDEX(BASELINE!$A1995:$ZZ1995,CALC!$H$1)&lt;&gt;"",INT(IF(AND(CALC!$F$1&gt;0,N(INDEX(BASELINE!$A1995:$ZZ1995,CALC!$F$1))&gt;0),N(INDEX(BASELINE!$A1995:$ZZ1995,CALC!$F$1)),N(INDEX(BASELINE!$A1995:$ZZ1995,CALC!$P$1))))=INT(SIMOPS!$D$3),IFERROR(UPPER(TRIM(INDEX(BASELINE!$A1995:$ZZ1995,CALC!$R$1)&amp;"")),"")&lt;&gt;"ENCERRADA"),1,0),0)</f>
        <v/>
      </c>
      <c r="B1995">
        <f>B1994+A1995</f>
        <v/>
      </c>
    </row>
    <row r="1996">
      <c r="A1996">
        <f>IFERROR(IF(AND(INDEX(BASELINE!$A1996:$ZZ1996,CALC!$H$1)&lt;&gt;"",INT(IF(AND(CALC!$F$1&gt;0,N(INDEX(BASELINE!$A1996:$ZZ1996,CALC!$F$1))&gt;0),N(INDEX(BASELINE!$A1996:$ZZ1996,CALC!$F$1)),N(INDEX(BASELINE!$A1996:$ZZ1996,CALC!$P$1))))=INT(SIMOPS!$D$3),IFERROR(UPPER(TRIM(INDEX(BASELINE!$A1996:$ZZ1996,CALC!$R$1)&amp;"")),"")&lt;&gt;"ENCERRADA"),1,0),0)</f>
        <v/>
      </c>
      <c r="B1996">
        <f>B1995+A1996</f>
        <v/>
      </c>
    </row>
    <row r="1997">
      <c r="A1997">
        <f>IFERROR(IF(AND(INDEX(BASELINE!$A1997:$ZZ1997,CALC!$H$1)&lt;&gt;"",INT(IF(AND(CALC!$F$1&gt;0,N(INDEX(BASELINE!$A1997:$ZZ1997,CALC!$F$1))&gt;0),N(INDEX(BASELINE!$A1997:$ZZ1997,CALC!$F$1)),N(INDEX(BASELINE!$A1997:$ZZ1997,CALC!$P$1))))=INT(SIMOPS!$D$3),IFERROR(UPPER(TRIM(INDEX(BASELINE!$A1997:$ZZ1997,CALC!$R$1)&amp;"")),"")&lt;&gt;"ENCERRADA"),1,0),0)</f>
        <v/>
      </c>
      <c r="B1997">
        <f>B1996+A1997</f>
        <v/>
      </c>
    </row>
    <row r="1998">
      <c r="A1998">
        <f>IFERROR(IF(AND(INDEX(BASELINE!$A1998:$ZZ1998,CALC!$H$1)&lt;&gt;"",INT(IF(AND(CALC!$F$1&gt;0,N(INDEX(BASELINE!$A1998:$ZZ1998,CALC!$F$1))&gt;0),N(INDEX(BASELINE!$A1998:$ZZ1998,CALC!$F$1)),N(INDEX(BASELINE!$A1998:$ZZ1998,CALC!$P$1))))=INT(SIMOPS!$D$3),IFERROR(UPPER(TRIM(INDEX(BASELINE!$A1998:$ZZ1998,CALC!$R$1)&amp;"")),"")&lt;&gt;"ENCERRADA"),1,0),0)</f>
        <v/>
      </c>
      <c r="B1998">
        <f>B1997+A1998</f>
        <v/>
      </c>
    </row>
    <row r="1999">
      <c r="A1999">
        <f>IFERROR(IF(AND(INDEX(BASELINE!$A1999:$ZZ1999,CALC!$H$1)&lt;&gt;"",INT(IF(AND(CALC!$F$1&gt;0,N(INDEX(BASELINE!$A1999:$ZZ1999,CALC!$F$1))&gt;0),N(INDEX(BASELINE!$A1999:$ZZ1999,CALC!$F$1)),N(INDEX(BASELINE!$A1999:$ZZ1999,CALC!$P$1))))=INT(SIMOPS!$D$3),IFERROR(UPPER(TRIM(INDEX(BASELINE!$A1999:$ZZ1999,CALC!$R$1)&amp;"")),"")&lt;&gt;"ENCERRADA"),1,0),0)</f>
        <v/>
      </c>
      <c r="B1999">
        <f>B1998+A1999</f>
        <v/>
      </c>
    </row>
    <row r="2000">
      <c r="A2000">
        <f>IFERROR(IF(AND(INDEX(BASELINE!$A2000:$ZZ2000,CALC!$H$1)&lt;&gt;"",INT(IF(AND(CALC!$F$1&gt;0,N(INDEX(BASELINE!$A2000:$ZZ2000,CALC!$F$1))&gt;0),N(INDEX(BASELINE!$A2000:$ZZ2000,CALC!$F$1)),N(INDEX(BASELINE!$A2000:$ZZ2000,CALC!$P$1))))=INT(SIMOPS!$D$3),IFERROR(UPPER(TRIM(INDEX(BASELINE!$A2000:$ZZ2000,CALC!$R$1)&amp;"")),"")&lt;&gt;"ENCERRADA"),1,0),0)</f>
        <v/>
      </c>
      <c r="B2000">
        <f>B1999+A2000</f>
        <v/>
      </c>
    </row>
    <row r="2001">
      <c r="A2001">
        <f>IFERROR(IF(AND(INDEX(BASELINE!$A2001:$ZZ2001,CALC!$H$1)&lt;&gt;"",INT(IF(AND(CALC!$F$1&gt;0,N(INDEX(BASELINE!$A2001:$ZZ2001,CALC!$F$1))&gt;0),N(INDEX(BASELINE!$A2001:$ZZ2001,CALC!$F$1)),N(INDEX(BASELINE!$A2001:$ZZ2001,CALC!$P$1))))=INT(SIMOPS!$D$3),IFERROR(UPPER(TRIM(INDEX(BASELINE!$A2001:$ZZ2001,CALC!$R$1)&amp;"")),"")&lt;&gt;"ENCERRADA"),1,0),0)</f>
        <v/>
      </c>
      <c r="B2001">
        <f>B2000+A2001</f>
        <v/>
      </c>
    </row>
    <row r="2002">
      <c r="A2002">
        <f>IFERROR(IF(AND(INDEX(BASELINE!$A2002:$ZZ2002,CALC!$H$1)&lt;&gt;"",INT(IF(AND(CALC!$F$1&gt;0,N(INDEX(BASELINE!$A2002:$ZZ2002,CALC!$F$1))&gt;0),N(INDEX(BASELINE!$A2002:$ZZ2002,CALC!$F$1)),N(INDEX(BASELINE!$A2002:$ZZ2002,CALC!$P$1))))=INT(SIMOPS!$D$3),IFERROR(UPPER(TRIM(INDEX(BASELINE!$A2002:$ZZ2002,CALC!$R$1)&amp;"")),"")&lt;&gt;"ENCERRADA"),1,0),0)</f>
        <v/>
      </c>
      <c r="B2002">
        <f>B2001+A2002</f>
        <v/>
      </c>
    </row>
    <row r="2003">
      <c r="A2003">
        <f>IFERROR(IF(AND(INDEX(BASELINE!$A2003:$ZZ2003,CALC!$H$1)&lt;&gt;"",INT(IF(AND(CALC!$F$1&gt;0,N(INDEX(BASELINE!$A2003:$ZZ2003,CALC!$F$1))&gt;0),N(INDEX(BASELINE!$A2003:$ZZ2003,CALC!$F$1)),N(INDEX(BASELINE!$A2003:$ZZ2003,CALC!$P$1))))=INT(SIMOPS!$D$3),IFERROR(UPPER(TRIM(INDEX(BASELINE!$A2003:$ZZ2003,CALC!$R$1)&amp;"")),"")&lt;&gt;"ENCERRADA"),1,0),0)</f>
        <v/>
      </c>
      <c r="B2003">
        <f>B2002+A2003</f>
        <v/>
      </c>
    </row>
    <row r="2004">
      <c r="A2004">
        <f>IFERROR(IF(AND(INDEX(BASELINE!$A2004:$ZZ2004,CALC!$H$1)&lt;&gt;"",INT(IF(AND(CALC!$F$1&gt;0,N(INDEX(BASELINE!$A2004:$ZZ2004,CALC!$F$1))&gt;0),N(INDEX(BASELINE!$A2004:$ZZ2004,CALC!$F$1)),N(INDEX(BASELINE!$A2004:$ZZ2004,CALC!$P$1))))=INT(SIMOPS!$D$3),IFERROR(UPPER(TRIM(INDEX(BASELINE!$A2004:$ZZ2004,CALC!$R$1)&amp;"")),"")&lt;&gt;"ENCERRADA"),1,0),0)</f>
        <v/>
      </c>
      <c r="B2004">
        <f>B2003+A2004</f>
        <v/>
      </c>
    </row>
    <row r="2005">
      <c r="A2005">
        <f>IFERROR(IF(AND(INDEX(BASELINE!$A2005:$ZZ2005,CALC!$H$1)&lt;&gt;"",INT(IF(AND(CALC!$F$1&gt;0,N(INDEX(BASELINE!$A2005:$ZZ2005,CALC!$F$1))&gt;0),N(INDEX(BASELINE!$A2005:$ZZ2005,CALC!$F$1)),N(INDEX(BASELINE!$A2005:$ZZ2005,CALC!$P$1))))=INT(SIMOPS!$D$3),IFERROR(UPPER(TRIM(INDEX(BASELINE!$A2005:$ZZ2005,CALC!$R$1)&amp;"")),"")&lt;&gt;"ENCERRADA"),1,0),0)</f>
        <v/>
      </c>
      <c r="B2005">
        <f>B2004+A2005</f>
        <v/>
      </c>
    </row>
    <row r="2006">
      <c r="A2006">
        <f>IFERROR(IF(AND(INDEX(BASELINE!$A2006:$ZZ2006,CALC!$H$1)&lt;&gt;"",INT(IF(AND(CALC!$F$1&gt;0,N(INDEX(BASELINE!$A2006:$ZZ2006,CALC!$F$1))&gt;0),N(INDEX(BASELINE!$A2006:$ZZ2006,CALC!$F$1)),N(INDEX(BASELINE!$A2006:$ZZ2006,CALC!$P$1))))=INT(SIMOPS!$D$3),IFERROR(UPPER(TRIM(INDEX(BASELINE!$A2006:$ZZ2006,CALC!$R$1)&amp;"")),"")&lt;&gt;"ENCERRADA"),1,0),0)</f>
        <v/>
      </c>
      <c r="B2006">
        <f>B2005+A2006</f>
        <v/>
      </c>
    </row>
    <row r="2007">
      <c r="A2007">
        <f>IFERROR(IF(AND(INDEX(BASELINE!$A2007:$ZZ2007,CALC!$H$1)&lt;&gt;"",INT(IF(AND(CALC!$F$1&gt;0,N(INDEX(BASELINE!$A2007:$ZZ2007,CALC!$F$1))&gt;0),N(INDEX(BASELINE!$A2007:$ZZ2007,CALC!$F$1)),N(INDEX(BASELINE!$A2007:$ZZ2007,CALC!$P$1))))=INT(SIMOPS!$D$3),IFERROR(UPPER(TRIM(INDEX(BASELINE!$A2007:$ZZ2007,CALC!$R$1)&amp;"")),"")&lt;&gt;"ENCERRADA"),1,0),0)</f>
        <v/>
      </c>
      <c r="B2007">
        <f>B2006+A2007</f>
        <v/>
      </c>
    </row>
    <row r="2008">
      <c r="A2008">
        <f>IFERROR(IF(AND(INDEX(BASELINE!$A2008:$ZZ2008,CALC!$H$1)&lt;&gt;"",INT(IF(AND(CALC!$F$1&gt;0,N(INDEX(BASELINE!$A2008:$ZZ2008,CALC!$F$1))&gt;0),N(INDEX(BASELINE!$A2008:$ZZ2008,CALC!$F$1)),N(INDEX(BASELINE!$A2008:$ZZ2008,CALC!$P$1))))=INT(SIMOPS!$D$3),IFERROR(UPPER(TRIM(INDEX(BASELINE!$A2008:$ZZ2008,CALC!$R$1)&amp;"")),"")&lt;&gt;"ENCERRADA"),1,0),0)</f>
        <v/>
      </c>
      <c r="B2008">
        <f>B2007+A2008</f>
        <v/>
      </c>
    </row>
    <row r="2009">
      <c r="A2009">
        <f>IFERROR(IF(AND(INDEX(BASELINE!$A2009:$ZZ2009,CALC!$H$1)&lt;&gt;"",INT(IF(AND(CALC!$F$1&gt;0,N(INDEX(BASELINE!$A2009:$ZZ2009,CALC!$F$1))&gt;0),N(INDEX(BASELINE!$A2009:$ZZ2009,CALC!$F$1)),N(INDEX(BASELINE!$A2009:$ZZ2009,CALC!$P$1))))=INT(SIMOPS!$D$3),IFERROR(UPPER(TRIM(INDEX(BASELINE!$A2009:$ZZ2009,CALC!$R$1)&amp;"")),"")&lt;&gt;"ENCERRADA"),1,0),0)</f>
        <v/>
      </c>
      <c r="B2009">
        <f>B2008+A2009</f>
        <v/>
      </c>
    </row>
    <row r="2010">
      <c r="A2010">
        <f>IFERROR(IF(AND(INDEX(BASELINE!$A2010:$ZZ2010,CALC!$H$1)&lt;&gt;"",INT(IF(AND(CALC!$F$1&gt;0,N(INDEX(BASELINE!$A2010:$ZZ2010,CALC!$F$1))&gt;0),N(INDEX(BASELINE!$A2010:$ZZ2010,CALC!$F$1)),N(INDEX(BASELINE!$A2010:$ZZ2010,CALC!$P$1))))=INT(SIMOPS!$D$3),IFERROR(UPPER(TRIM(INDEX(BASELINE!$A2010:$ZZ2010,CALC!$R$1)&amp;"")),"")&lt;&gt;"ENCERRADA"),1,0),0)</f>
        <v/>
      </c>
      <c r="B2010">
        <f>B2009+A2010</f>
        <v/>
      </c>
    </row>
    <row r="2011">
      <c r="A2011">
        <f>IFERROR(IF(AND(INDEX(BASELINE!$A2011:$ZZ2011,CALC!$H$1)&lt;&gt;"",INT(IF(AND(CALC!$F$1&gt;0,N(INDEX(BASELINE!$A2011:$ZZ2011,CALC!$F$1))&gt;0),N(INDEX(BASELINE!$A2011:$ZZ2011,CALC!$F$1)),N(INDEX(BASELINE!$A2011:$ZZ2011,CALC!$P$1))))=INT(SIMOPS!$D$3),IFERROR(UPPER(TRIM(INDEX(BASELINE!$A2011:$ZZ2011,CALC!$R$1)&amp;"")),"")&lt;&gt;"ENCERRADA"),1,0),0)</f>
        <v/>
      </c>
      <c r="B2011">
        <f>B2010+A2011</f>
        <v/>
      </c>
    </row>
    <row r="2012">
      <c r="A2012">
        <f>IFERROR(IF(AND(INDEX(BASELINE!$A2012:$ZZ2012,CALC!$H$1)&lt;&gt;"",INT(IF(AND(CALC!$F$1&gt;0,N(INDEX(BASELINE!$A2012:$ZZ2012,CALC!$F$1))&gt;0),N(INDEX(BASELINE!$A2012:$ZZ2012,CALC!$F$1)),N(INDEX(BASELINE!$A2012:$ZZ2012,CALC!$P$1))))=INT(SIMOPS!$D$3),IFERROR(UPPER(TRIM(INDEX(BASELINE!$A2012:$ZZ2012,CALC!$R$1)&amp;"")),"")&lt;&gt;"ENCERRADA"),1,0),0)</f>
        <v/>
      </c>
      <c r="B2012">
        <f>B2011+A2012</f>
        <v/>
      </c>
    </row>
    <row r="2013">
      <c r="A2013">
        <f>IFERROR(IF(AND(INDEX(BASELINE!$A2013:$ZZ2013,CALC!$H$1)&lt;&gt;"",INT(IF(AND(CALC!$F$1&gt;0,N(INDEX(BASELINE!$A2013:$ZZ2013,CALC!$F$1))&gt;0),N(INDEX(BASELINE!$A2013:$ZZ2013,CALC!$F$1)),N(INDEX(BASELINE!$A2013:$ZZ2013,CALC!$P$1))))=INT(SIMOPS!$D$3),IFERROR(UPPER(TRIM(INDEX(BASELINE!$A2013:$ZZ2013,CALC!$R$1)&amp;"")),"")&lt;&gt;"ENCERRADA"),1,0),0)</f>
        <v/>
      </c>
      <c r="B2013">
        <f>B2012+A2013</f>
        <v/>
      </c>
    </row>
    <row r="2014">
      <c r="A2014">
        <f>IFERROR(IF(AND(INDEX(BASELINE!$A2014:$ZZ2014,CALC!$H$1)&lt;&gt;"",INT(IF(AND(CALC!$F$1&gt;0,N(INDEX(BASELINE!$A2014:$ZZ2014,CALC!$F$1))&gt;0),N(INDEX(BASELINE!$A2014:$ZZ2014,CALC!$F$1)),N(INDEX(BASELINE!$A2014:$ZZ2014,CALC!$P$1))))=INT(SIMOPS!$D$3),IFERROR(UPPER(TRIM(INDEX(BASELINE!$A2014:$ZZ2014,CALC!$R$1)&amp;"")),"")&lt;&gt;"ENCERRADA"),1,0),0)</f>
        <v/>
      </c>
      <c r="B2014">
        <f>B2013+A2014</f>
        <v/>
      </c>
    </row>
    <row r="2015">
      <c r="A2015">
        <f>IFERROR(IF(AND(INDEX(BASELINE!$A2015:$ZZ2015,CALC!$H$1)&lt;&gt;"",INT(IF(AND(CALC!$F$1&gt;0,N(INDEX(BASELINE!$A2015:$ZZ2015,CALC!$F$1))&gt;0),N(INDEX(BASELINE!$A2015:$ZZ2015,CALC!$F$1)),N(INDEX(BASELINE!$A2015:$ZZ2015,CALC!$P$1))))=INT(SIMOPS!$D$3),IFERROR(UPPER(TRIM(INDEX(BASELINE!$A2015:$ZZ2015,CALC!$R$1)&amp;"")),"")&lt;&gt;"ENCERRADA"),1,0),0)</f>
        <v/>
      </c>
      <c r="B2015">
        <f>B2014+A2015</f>
        <v/>
      </c>
    </row>
    <row r="2016">
      <c r="A2016">
        <f>IFERROR(IF(AND(INDEX(BASELINE!$A2016:$ZZ2016,CALC!$H$1)&lt;&gt;"",INT(IF(AND(CALC!$F$1&gt;0,N(INDEX(BASELINE!$A2016:$ZZ2016,CALC!$F$1))&gt;0),N(INDEX(BASELINE!$A2016:$ZZ2016,CALC!$F$1)),N(INDEX(BASELINE!$A2016:$ZZ2016,CALC!$P$1))))=INT(SIMOPS!$D$3),IFERROR(UPPER(TRIM(INDEX(BASELINE!$A2016:$ZZ2016,CALC!$R$1)&amp;"")),"")&lt;&gt;"ENCERRADA"),1,0),0)</f>
        <v/>
      </c>
      <c r="B2016">
        <f>B2015+A2016</f>
        <v/>
      </c>
    </row>
    <row r="2017">
      <c r="A2017">
        <f>IFERROR(IF(AND(INDEX(BASELINE!$A2017:$ZZ2017,CALC!$H$1)&lt;&gt;"",INT(IF(AND(CALC!$F$1&gt;0,N(INDEX(BASELINE!$A2017:$ZZ2017,CALC!$F$1))&gt;0),N(INDEX(BASELINE!$A2017:$ZZ2017,CALC!$F$1)),N(INDEX(BASELINE!$A2017:$ZZ2017,CALC!$P$1))))=INT(SIMOPS!$D$3),IFERROR(UPPER(TRIM(INDEX(BASELINE!$A2017:$ZZ2017,CALC!$R$1)&amp;"")),"")&lt;&gt;"ENCERRADA"),1,0),0)</f>
        <v/>
      </c>
      <c r="B2017">
        <f>B2016+A2017</f>
        <v/>
      </c>
    </row>
    <row r="2018">
      <c r="A2018">
        <f>IFERROR(IF(AND(INDEX(BASELINE!$A2018:$ZZ2018,CALC!$H$1)&lt;&gt;"",INT(IF(AND(CALC!$F$1&gt;0,N(INDEX(BASELINE!$A2018:$ZZ2018,CALC!$F$1))&gt;0),N(INDEX(BASELINE!$A2018:$ZZ2018,CALC!$F$1)),N(INDEX(BASELINE!$A2018:$ZZ2018,CALC!$P$1))))=INT(SIMOPS!$D$3),IFERROR(UPPER(TRIM(INDEX(BASELINE!$A2018:$ZZ2018,CALC!$R$1)&amp;"")),"")&lt;&gt;"ENCERRADA"),1,0),0)</f>
        <v/>
      </c>
      <c r="B2018">
        <f>B2017+A2018</f>
        <v/>
      </c>
    </row>
    <row r="2019">
      <c r="A2019">
        <f>IFERROR(IF(AND(INDEX(BASELINE!$A2019:$ZZ2019,CALC!$H$1)&lt;&gt;"",INT(IF(AND(CALC!$F$1&gt;0,N(INDEX(BASELINE!$A2019:$ZZ2019,CALC!$F$1))&gt;0),N(INDEX(BASELINE!$A2019:$ZZ2019,CALC!$F$1)),N(INDEX(BASELINE!$A2019:$ZZ2019,CALC!$P$1))))=INT(SIMOPS!$D$3),IFERROR(UPPER(TRIM(INDEX(BASELINE!$A2019:$ZZ2019,CALC!$R$1)&amp;"")),"")&lt;&gt;"ENCERRADA"),1,0),0)</f>
        <v/>
      </c>
      <c r="B2019">
        <f>B2018+A2019</f>
        <v/>
      </c>
    </row>
    <row r="2020">
      <c r="A2020">
        <f>IFERROR(IF(AND(INDEX(BASELINE!$A2020:$ZZ2020,CALC!$H$1)&lt;&gt;"",INT(IF(AND(CALC!$F$1&gt;0,N(INDEX(BASELINE!$A2020:$ZZ2020,CALC!$F$1))&gt;0),N(INDEX(BASELINE!$A2020:$ZZ2020,CALC!$F$1)),N(INDEX(BASELINE!$A2020:$ZZ2020,CALC!$P$1))))=INT(SIMOPS!$D$3),IFERROR(UPPER(TRIM(INDEX(BASELINE!$A2020:$ZZ2020,CALC!$R$1)&amp;"")),"")&lt;&gt;"ENCERRADA"),1,0),0)</f>
        <v/>
      </c>
      <c r="B2020">
        <f>B2019+A2020</f>
        <v/>
      </c>
    </row>
    <row r="2021">
      <c r="A2021">
        <f>IFERROR(IF(AND(INDEX(BASELINE!$A2021:$ZZ2021,CALC!$H$1)&lt;&gt;"",INT(IF(AND(CALC!$F$1&gt;0,N(INDEX(BASELINE!$A2021:$ZZ2021,CALC!$F$1))&gt;0),N(INDEX(BASELINE!$A2021:$ZZ2021,CALC!$F$1)),N(INDEX(BASELINE!$A2021:$ZZ2021,CALC!$P$1))))=INT(SIMOPS!$D$3),IFERROR(UPPER(TRIM(INDEX(BASELINE!$A2021:$ZZ2021,CALC!$R$1)&amp;"")),"")&lt;&gt;"ENCERRADA"),1,0),0)</f>
        <v/>
      </c>
      <c r="B2021">
        <f>B2020+A2021</f>
        <v/>
      </c>
    </row>
    <row r="2022">
      <c r="A2022">
        <f>IFERROR(IF(AND(INDEX(BASELINE!$A2022:$ZZ2022,CALC!$H$1)&lt;&gt;"",INT(IF(AND(CALC!$F$1&gt;0,N(INDEX(BASELINE!$A2022:$ZZ2022,CALC!$F$1))&gt;0),N(INDEX(BASELINE!$A2022:$ZZ2022,CALC!$F$1)),N(INDEX(BASELINE!$A2022:$ZZ2022,CALC!$P$1))))=INT(SIMOPS!$D$3),IFERROR(UPPER(TRIM(INDEX(BASELINE!$A2022:$ZZ2022,CALC!$R$1)&amp;"")),"")&lt;&gt;"ENCERRADA"),1,0),0)</f>
        <v/>
      </c>
      <c r="B2022">
        <f>B2021+A2022</f>
        <v/>
      </c>
    </row>
    <row r="2023">
      <c r="A2023">
        <f>IFERROR(IF(AND(INDEX(BASELINE!$A2023:$ZZ2023,CALC!$H$1)&lt;&gt;"",INT(IF(AND(CALC!$F$1&gt;0,N(INDEX(BASELINE!$A2023:$ZZ2023,CALC!$F$1))&gt;0),N(INDEX(BASELINE!$A2023:$ZZ2023,CALC!$F$1)),N(INDEX(BASELINE!$A2023:$ZZ2023,CALC!$P$1))))=INT(SIMOPS!$D$3),IFERROR(UPPER(TRIM(INDEX(BASELINE!$A2023:$ZZ2023,CALC!$R$1)&amp;"")),"")&lt;&gt;"ENCERRADA"),1,0),0)</f>
        <v/>
      </c>
      <c r="B2023">
        <f>B2022+A2023</f>
        <v/>
      </c>
    </row>
    <row r="2024">
      <c r="A2024">
        <f>IFERROR(IF(AND(INDEX(BASELINE!$A2024:$ZZ2024,CALC!$H$1)&lt;&gt;"",INT(IF(AND(CALC!$F$1&gt;0,N(INDEX(BASELINE!$A2024:$ZZ2024,CALC!$F$1))&gt;0),N(INDEX(BASELINE!$A2024:$ZZ2024,CALC!$F$1)),N(INDEX(BASELINE!$A2024:$ZZ2024,CALC!$P$1))))=INT(SIMOPS!$D$3),IFERROR(UPPER(TRIM(INDEX(BASELINE!$A2024:$ZZ2024,CALC!$R$1)&amp;"")),"")&lt;&gt;"ENCERRADA"),1,0),0)</f>
        <v/>
      </c>
      <c r="B2024">
        <f>B2023+A2024</f>
        <v/>
      </c>
    </row>
    <row r="2025">
      <c r="A2025">
        <f>IFERROR(IF(AND(INDEX(BASELINE!$A2025:$ZZ2025,CALC!$H$1)&lt;&gt;"",INT(IF(AND(CALC!$F$1&gt;0,N(INDEX(BASELINE!$A2025:$ZZ2025,CALC!$F$1))&gt;0),N(INDEX(BASELINE!$A2025:$ZZ2025,CALC!$F$1)),N(INDEX(BASELINE!$A2025:$ZZ2025,CALC!$P$1))))=INT(SIMOPS!$D$3),IFERROR(UPPER(TRIM(INDEX(BASELINE!$A2025:$ZZ2025,CALC!$R$1)&amp;"")),"")&lt;&gt;"ENCERRADA"),1,0),0)</f>
        <v/>
      </c>
      <c r="B2025">
        <f>B2024+A2025</f>
        <v/>
      </c>
    </row>
    <row r="2026">
      <c r="A2026">
        <f>IFERROR(IF(AND(INDEX(BASELINE!$A2026:$ZZ2026,CALC!$H$1)&lt;&gt;"",INT(IF(AND(CALC!$F$1&gt;0,N(INDEX(BASELINE!$A2026:$ZZ2026,CALC!$F$1))&gt;0),N(INDEX(BASELINE!$A2026:$ZZ2026,CALC!$F$1)),N(INDEX(BASELINE!$A2026:$ZZ2026,CALC!$P$1))))=INT(SIMOPS!$D$3),IFERROR(UPPER(TRIM(INDEX(BASELINE!$A2026:$ZZ2026,CALC!$R$1)&amp;"")),"")&lt;&gt;"ENCERRADA"),1,0),0)</f>
        <v/>
      </c>
      <c r="B2026">
        <f>B2025+A2026</f>
        <v/>
      </c>
    </row>
    <row r="2027">
      <c r="A2027">
        <f>IFERROR(IF(AND(INDEX(BASELINE!$A2027:$ZZ2027,CALC!$H$1)&lt;&gt;"",INT(IF(AND(CALC!$F$1&gt;0,N(INDEX(BASELINE!$A2027:$ZZ2027,CALC!$F$1))&gt;0),N(INDEX(BASELINE!$A2027:$ZZ2027,CALC!$F$1)),N(INDEX(BASELINE!$A2027:$ZZ2027,CALC!$P$1))))=INT(SIMOPS!$D$3),IFERROR(UPPER(TRIM(INDEX(BASELINE!$A2027:$ZZ2027,CALC!$R$1)&amp;"")),"")&lt;&gt;"ENCERRADA"),1,0),0)</f>
        <v/>
      </c>
      <c r="B2027">
        <f>B2026+A2027</f>
        <v/>
      </c>
    </row>
    <row r="2028">
      <c r="A2028">
        <f>IFERROR(IF(AND(INDEX(BASELINE!$A2028:$ZZ2028,CALC!$H$1)&lt;&gt;"",INT(IF(AND(CALC!$F$1&gt;0,N(INDEX(BASELINE!$A2028:$ZZ2028,CALC!$F$1))&gt;0),N(INDEX(BASELINE!$A2028:$ZZ2028,CALC!$F$1)),N(INDEX(BASELINE!$A2028:$ZZ2028,CALC!$P$1))))=INT(SIMOPS!$D$3),IFERROR(UPPER(TRIM(INDEX(BASELINE!$A2028:$ZZ2028,CALC!$R$1)&amp;"")),"")&lt;&gt;"ENCERRADA"),1,0),0)</f>
        <v/>
      </c>
      <c r="B2028">
        <f>B2027+A2028</f>
        <v/>
      </c>
    </row>
    <row r="2029">
      <c r="A2029">
        <f>IFERROR(IF(AND(INDEX(BASELINE!$A2029:$ZZ2029,CALC!$H$1)&lt;&gt;"",INT(IF(AND(CALC!$F$1&gt;0,N(INDEX(BASELINE!$A2029:$ZZ2029,CALC!$F$1))&gt;0),N(INDEX(BASELINE!$A2029:$ZZ2029,CALC!$F$1)),N(INDEX(BASELINE!$A2029:$ZZ2029,CALC!$P$1))))=INT(SIMOPS!$D$3),IFERROR(UPPER(TRIM(INDEX(BASELINE!$A2029:$ZZ2029,CALC!$R$1)&amp;"")),"")&lt;&gt;"ENCERRADA"),1,0),0)</f>
        <v/>
      </c>
      <c r="B2029">
        <f>B2028+A2029</f>
        <v/>
      </c>
    </row>
    <row r="2030">
      <c r="A2030">
        <f>IFERROR(IF(AND(INDEX(BASELINE!$A2030:$ZZ2030,CALC!$H$1)&lt;&gt;"",INT(IF(AND(CALC!$F$1&gt;0,N(INDEX(BASELINE!$A2030:$ZZ2030,CALC!$F$1))&gt;0),N(INDEX(BASELINE!$A2030:$ZZ2030,CALC!$F$1)),N(INDEX(BASELINE!$A2030:$ZZ2030,CALC!$P$1))))=INT(SIMOPS!$D$3),IFERROR(UPPER(TRIM(INDEX(BASELINE!$A2030:$ZZ2030,CALC!$R$1)&amp;"")),"")&lt;&gt;"ENCERRADA"),1,0),0)</f>
        <v/>
      </c>
      <c r="B2030">
        <f>B2029+A2030</f>
        <v/>
      </c>
    </row>
    <row r="2031">
      <c r="A2031">
        <f>IFERROR(IF(AND(INDEX(BASELINE!$A2031:$ZZ2031,CALC!$H$1)&lt;&gt;"",INT(IF(AND(CALC!$F$1&gt;0,N(INDEX(BASELINE!$A2031:$ZZ2031,CALC!$F$1))&gt;0),N(INDEX(BASELINE!$A2031:$ZZ2031,CALC!$F$1)),N(INDEX(BASELINE!$A2031:$ZZ2031,CALC!$P$1))))=INT(SIMOPS!$D$3),IFERROR(UPPER(TRIM(INDEX(BASELINE!$A2031:$ZZ2031,CALC!$R$1)&amp;"")),"")&lt;&gt;"ENCERRADA"),1,0),0)</f>
        <v/>
      </c>
      <c r="B2031">
        <f>B2030+A2031</f>
        <v/>
      </c>
    </row>
    <row r="2032">
      <c r="A2032">
        <f>IFERROR(IF(AND(INDEX(BASELINE!$A2032:$ZZ2032,CALC!$H$1)&lt;&gt;"",INT(IF(AND(CALC!$F$1&gt;0,N(INDEX(BASELINE!$A2032:$ZZ2032,CALC!$F$1))&gt;0),N(INDEX(BASELINE!$A2032:$ZZ2032,CALC!$F$1)),N(INDEX(BASELINE!$A2032:$ZZ2032,CALC!$P$1))))=INT(SIMOPS!$D$3),IFERROR(UPPER(TRIM(INDEX(BASELINE!$A2032:$ZZ2032,CALC!$R$1)&amp;"")),"")&lt;&gt;"ENCERRADA"),1,0),0)</f>
        <v/>
      </c>
      <c r="B2032">
        <f>B2031+A2032</f>
        <v/>
      </c>
    </row>
    <row r="2033">
      <c r="A2033">
        <f>IFERROR(IF(AND(INDEX(BASELINE!$A2033:$ZZ2033,CALC!$H$1)&lt;&gt;"",INT(IF(AND(CALC!$F$1&gt;0,N(INDEX(BASELINE!$A2033:$ZZ2033,CALC!$F$1))&gt;0),N(INDEX(BASELINE!$A2033:$ZZ2033,CALC!$F$1)),N(INDEX(BASELINE!$A2033:$ZZ2033,CALC!$P$1))))=INT(SIMOPS!$D$3),IFERROR(UPPER(TRIM(INDEX(BASELINE!$A2033:$ZZ2033,CALC!$R$1)&amp;"")),"")&lt;&gt;"ENCERRADA"),1,0),0)</f>
        <v/>
      </c>
      <c r="B2033">
        <f>B2032+A2033</f>
        <v/>
      </c>
    </row>
    <row r="2034">
      <c r="A2034">
        <f>IFERROR(IF(AND(INDEX(BASELINE!$A2034:$ZZ2034,CALC!$H$1)&lt;&gt;"",INT(IF(AND(CALC!$F$1&gt;0,N(INDEX(BASELINE!$A2034:$ZZ2034,CALC!$F$1))&gt;0),N(INDEX(BASELINE!$A2034:$ZZ2034,CALC!$F$1)),N(INDEX(BASELINE!$A2034:$ZZ2034,CALC!$P$1))))=INT(SIMOPS!$D$3),IFERROR(UPPER(TRIM(INDEX(BASELINE!$A2034:$ZZ2034,CALC!$R$1)&amp;"")),"")&lt;&gt;"ENCERRADA"),1,0),0)</f>
        <v/>
      </c>
      <c r="B2034">
        <f>B2033+A2034</f>
        <v/>
      </c>
    </row>
    <row r="2035">
      <c r="A2035">
        <f>IFERROR(IF(AND(INDEX(BASELINE!$A2035:$ZZ2035,CALC!$H$1)&lt;&gt;"",INT(IF(AND(CALC!$F$1&gt;0,N(INDEX(BASELINE!$A2035:$ZZ2035,CALC!$F$1))&gt;0),N(INDEX(BASELINE!$A2035:$ZZ2035,CALC!$F$1)),N(INDEX(BASELINE!$A2035:$ZZ2035,CALC!$P$1))))=INT(SIMOPS!$D$3),IFERROR(UPPER(TRIM(INDEX(BASELINE!$A2035:$ZZ2035,CALC!$R$1)&amp;"")),"")&lt;&gt;"ENCERRADA"),1,0),0)</f>
        <v/>
      </c>
      <c r="B2035">
        <f>B2034+A2035</f>
        <v/>
      </c>
    </row>
    <row r="2036">
      <c r="A2036">
        <f>IFERROR(IF(AND(INDEX(BASELINE!$A2036:$ZZ2036,CALC!$H$1)&lt;&gt;"",INT(IF(AND(CALC!$F$1&gt;0,N(INDEX(BASELINE!$A2036:$ZZ2036,CALC!$F$1))&gt;0),N(INDEX(BASELINE!$A2036:$ZZ2036,CALC!$F$1)),N(INDEX(BASELINE!$A2036:$ZZ2036,CALC!$P$1))))=INT(SIMOPS!$D$3),IFERROR(UPPER(TRIM(INDEX(BASELINE!$A2036:$ZZ2036,CALC!$R$1)&amp;"")),"")&lt;&gt;"ENCERRADA"),1,0),0)</f>
        <v/>
      </c>
      <c r="B2036">
        <f>B2035+A2036</f>
        <v/>
      </c>
    </row>
    <row r="2037">
      <c r="A2037">
        <f>IFERROR(IF(AND(INDEX(BASELINE!$A2037:$ZZ2037,CALC!$H$1)&lt;&gt;"",INT(IF(AND(CALC!$F$1&gt;0,N(INDEX(BASELINE!$A2037:$ZZ2037,CALC!$F$1))&gt;0),N(INDEX(BASELINE!$A2037:$ZZ2037,CALC!$F$1)),N(INDEX(BASELINE!$A2037:$ZZ2037,CALC!$P$1))))=INT(SIMOPS!$D$3),IFERROR(UPPER(TRIM(INDEX(BASELINE!$A2037:$ZZ2037,CALC!$R$1)&amp;"")),"")&lt;&gt;"ENCERRADA"),1,0),0)</f>
        <v/>
      </c>
      <c r="B2037">
        <f>B2036+A2037</f>
        <v/>
      </c>
    </row>
    <row r="2038">
      <c r="A2038">
        <f>IFERROR(IF(AND(INDEX(BASELINE!$A2038:$ZZ2038,CALC!$H$1)&lt;&gt;"",INT(IF(AND(CALC!$F$1&gt;0,N(INDEX(BASELINE!$A2038:$ZZ2038,CALC!$F$1))&gt;0),N(INDEX(BASELINE!$A2038:$ZZ2038,CALC!$F$1)),N(INDEX(BASELINE!$A2038:$ZZ2038,CALC!$P$1))))=INT(SIMOPS!$D$3),IFERROR(UPPER(TRIM(INDEX(BASELINE!$A2038:$ZZ2038,CALC!$R$1)&amp;"")),"")&lt;&gt;"ENCERRADA"),1,0),0)</f>
        <v/>
      </c>
      <c r="B2038">
        <f>B2037+A2038</f>
        <v/>
      </c>
    </row>
    <row r="2039">
      <c r="A2039">
        <f>IFERROR(IF(AND(INDEX(BASELINE!$A2039:$ZZ2039,CALC!$H$1)&lt;&gt;"",INT(IF(AND(CALC!$F$1&gt;0,N(INDEX(BASELINE!$A2039:$ZZ2039,CALC!$F$1))&gt;0),N(INDEX(BASELINE!$A2039:$ZZ2039,CALC!$F$1)),N(INDEX(BASELINE!$A2039:$ZZ2039,CALC!$P$1))))=INT(SIMOPS!$D$3),IFERROR(UPPER(TRIM(INDEX(BASELINE!$A2039:$ZZ2039,CALC!$R$1)&amp;"")),"")&lt;&gt;"ENCERRADA"),1,0),0)</f>
        <v/>
      </c>
      <c r="B2039">
        <f>B2038+A2039</f>
        <v/>
      </c>
    </row>
    <row r="2040">
      <c r="A2040">
        <f>IFERROR(IF(AND(INDEX(BASELINE!$A2040:$ZZ2040,CALC!$H$1)&lt;&gt;"",INT(IF(AND(CALC!$F$1&gt;0,N(INDEX(BASELINE!$A2040:$ZZ2040,CALC!$F$1))&gt;0),N(INDEX(BASELINE!$A2040:$ZZ2040,CALC!$F$1)),N(INDEX(BASELINE!$A2040:$ZZ2040,CALC!$P$1))))=INT(SIMOPS!$D$3),IFERROR(UPPER(TRIM(INDEX(BASELINE!$A2040:$ZZ2040,CALC!$R$1)&amp;"")),"")&lt;&gt;"ENCERRADA"),1,0),0)</f>
        <v/>
      </c>
      <c r="B2040">
        <f>B2039+A2040</f>
        <v/>
      </c>
    </row>
    <row r="2041">
      <c r="A2041">
        <f>IFERROR(IF(AND(INDEX(BASELINE!$A2041:$ZZ2041,CALC!$H$1)&lt;&gt;"",INT(IF(AND(CALC!$F$1&gt;0,N(INDEX(BASELINE!$A2041:$ZZ2041,CALC!$F$1))&gt;0),N(INDEX(BASELINE!$A2041:$ZZ2041,CALC!$F$1)),N(INDEX(BASELINE!$A2041:$ZZ2041,CALC!$P$1))))=INT(SIMOPS!$D$3),IFERROR(UPPER(TRIM(INDEX(BASELINE!$A2041:$ZZ2041,CALC!$R$1)&amp;"")),"")&lt;&gt;"ENCERRADA"),1,0),0)</f>
        <v/>
      </c>
      <c r="B2041">
        <f>B2040+A2041</f>
        <v/>
      </c>
    </row>
    <row r="2042">
      <c r="A2042">
        <f>IFERROR(IF(AND(INDEX(BASELINE!$A2042:$ZZ2042,CALC!$H$1)&lt;&gt;"",INT(IF(AND(CALC!$F$1&gt;0,N(INDEX(BASELINE!$A2042:$ZZ2042,CALC!$F$1))&gt;0),N(INDEX(BASELINE!$A2042:$ZZ2042,CALC!$F$1)),N(INDEX(BASELINE!$A2042:$ZZ2042,CALC!$P$1))))=INT(SIMOPS!$D$3),IFERROR(UPPER(TRIM(INDEX(BASELINE!$A2042:$ZZ2042,CALC!$R$1)&amp;"")),"")&lt;&gt;"ENCERRADA"),1,0),0)</f>
        <v/>
      </c>
      <c r="B2042">
        <f>B2041+A2042</f>
        <v/>
      </c>
    </row>
    <row r="2043">
      <c r="A2043">
        <f>IFERROR(IF(AND(INDEX(BASELINE!$A2043:$ZZ2043,CALC!$H$1)&lt;&gt;"",INT(IF(AND(CALC!$F$1&gt;0,N(INDEX(BASELINE!$A2043:$ZZ2043,CALC!$F$1))&gt;0),N(INDEX(BASELINE!$A2043:$ZZ2043,CALC!$F$1)),N(INDEX(BASELINE!$A2043:$ZZ2043,CALC!$P$1))))=INT(SIMOPS!$D$3),IFERROR(UPPER(TRIM(INDEX(BASELINE!$A2043:$ZZ2043,CALC!$R$1)&amp;"")),"")&lt;&gt;"ENCERRADA"),1,0),0)</f>
        <v/>
      </c>
      <c r="B2043">
        <f>B2042+A2043</f>
        <v/>
      </c>
    </row>
    <row r="2044">
      <c r="A2044">
        <f>IFERROR(IF(AND(INDEX(BASELINE!$A2044:$ZZ2044,CALC!$H$1)&lt;&gt;"",INT(IF(AND(CALC!$F$1&gt;0,N(INDEX(BASELINE!$A2044:$ZZ2044,CALC!$F$1))&gt;0),N(INDEX(BASELINE!$A2044:$ZZ2044,CALC!$F$1)),N(INDEX(BASELINE!$A2044:$ZZ2044,CALC!$P$1))))=INT(SIMOPS!$D$3),IFERROR(UPPER(TRIM(INDEX(BASELINE!$A2044:$ZZ2044,CALC!$R$1)&amp;"")),"")&lt;&gt;"ENCERRADA"),1,0),0)</f>
        <v/>
      </c>
      <c r="B2044">
        <f>B2043+A2044</f>
        <v/>
      </c>
    </row>
    <row r="2045">
      <c r="A2045">
        <f>IFERROR(IF(AND(INDEX(BASELINE!$A2045:$ZZ2045,CALC!$H$1)&lt;&gt;"",INT(IF(AND(CALC!$F$1&gt;0,N(INDEX(BASELINE!$A2045:$ZZ2045,CALC!$F$1))&gt;0),N(INDEX(BASELINE!$A2045:$ZZ2045,CALC!$F$1)),N(INDEX(BASELINE!$A2045:$ZZ2045,CALC!$P$1))))=INT(SIMOPS!$D$3),IFERROR(UPPER(TRIM(INDEX(BASELINE!$A2045:$ZZ2045,CALC!$R$1)&amp;"")),"")&lt;&gt;"ENCERRADA"),1,0),0)</f>
        <v/>
      </c>
      <c r="B2045">
        <f>B2044+A2045</f>
        <v/>
      </c>
    </row>
    <row r="2046">
      <c r="A2046">
        <f>IFERROR(IF(AND(INDEX(BASELINE!$A2046:$ZZ2046,CALC!$H$1)&lt;&gt;"",INT(IF(AND(CALC!$F$1&gt;0,N(INDEX(BASELINE!$A2046:$ZZ2046,CALC!$F$1))&gt;0),N(INDEX(BASELINE!$A2046:$ZZ2046,CALC!$F$1)),N(INDEX(BASELINE!$A2046:$ZZ2046,CALC!$P$1))))=INT(SIMOPS!$D$3),IFERROR(UPPER(TRIM(INDEX(BASELINE!$A2046:$ZZ2046,CALC!$R$1)&amp;"")),"")&lt;&gt;"ENCERRADA"),1,0),0)</f>
        <v/>
      </c>
      <c r="B2046">
        <f>B2045+A2046</f>
        <v/>
      </c>
    </row>
    <row r="2047">
      <c r="A2047">
        <f>IFERROR(IF(AND(INDEX(BASELINE!$A2047:$ZZ2047,CALC!$H$1)&lt;&gt;"",INT(IF(AND(CALC!$F$1&gt;0,N(INDEX(BASELINE!$A2047:$ZZ2047,CALC!$F$1))&gt;0),N(INDEX(BASELINE!$A2047:$ZZ2047,CALC!$F$1)),N(INDEX(BASELINE!$A2047:$ZZ2047,CALC!$P$1))))=INT(SIMOPS!$D$3),IFERROR(UPPER(TRIM(INDEX(BASELINE!$A2047:$ZZ2047,CALC!$R$1)&amp;"")),"")&lt;&gt;"ENCERRADA"),1,0),0)</f>
        <v/>
      </c>
      <c r="B2047">
        <f>B2046+A2047</f>
        <v/>
      </c>
    </row>
    <row r="2048">
      <c r="A2048">
        <f>IFERROR(IF(AND(INDEX(BASELINE!$A2048:$ZZ2048,CALC!$H$1)&lt;&gt;"",INT(IF(AND(CALC!$F$1&gt;0,N(INDEX(BASELINE!$A2048:$ZZ2048,CALC!$F$1))&gt;0),N(INDEX(BASELINE!$A2048:$ZZ2048,CALC!$F$1)),N(INDEX(BASELINE!$A2048:$ZZ2048,CALC!$P$1))))=INT(SIMOPS!$D$3),IFERROR(UPPER(TRIM(INDEX(BASELINE!$A2048:$ZZ2048,CALC!$R$1)&amp;"")),"")&lt;&gt;"ENCERRADA"),1,0),0)</f>
        <v/>
      </c>
      <c r="B2048">
        <f>B2047+A2048</f>
        <v/>
      </c>
    </row>
    <row r="2049">
      <c r="A2049">
        <f>IFERROR(IF(AND(INDEX(BASELINE!$A2049:$ZZ2049,CALC!$H$1)&lt;&gt;"",INT(IF(AND(CALC!$F$1&gt;0,N(INDEX(BASELINE!$A2049:$ZZ2049,CALC!$F$1))&gt;0),N(INDEX(BASELINE!$A2049:$ZZ2049,CALC!$F$1)),N(INDEX(BASELINE!$A2049:$ZZ2049,CALC!$P$1))))=INT(SIMOPS!$D$3),IFERROR(UPPER(TRIM(INDEX(BASELINE!$A2049:$ZZ2049,CALC!$R$1)&amp;"")),"")&lt;&gt;"ENCERRADA"),1,0),0)</f>
        <v/>
      </c>
      <c r="B2049">
        <f>B2048+A2049</f>
        <v/>
      </c>
    </row>
    <row r="2050">
      <c r="A2050">
        <f>IFERROR(IF(AND(INDEX(BASELINE!$A2050:$ZZ2050,CALC!$H$1)&lt;&gt;"",INT(IF(AND(CALC!$F$1&gt;0,N(INDEX(BASELINE!$A2050:$ZZ2050,CALC!$F$1))&gt;0),N(INDEX(BASELINE!$A2050:$ZZ2050,CALC!$F$1)),N(INDEX(BASELINE!$A2050:$ZZ2050,CALC!$P$1))))=INT(SIMOPS!$D$3),IFERROR(UPPER(TRIM(INDEX(BASELINE!$A2050:$ZZ2050,CALC!$R$1)&amp;"")),"")&lt;&gt;"ENCERRADA"),1,0),0)</f>
        <v/>
      </c>
      <c r="B2050">
        <f>B2049+A2050</f>
        <v/>
      </c>
    </row>
    <row r="2051">
      <c r="A2051">
        <f>IFERROR(IF(AND(INDEX(BASELINE!$A2051:$ZZ2051,CALC!$H$1)&lt;&gt;"",INT(IF(AND(CALC!$F$1&gt;0,N(INDEX(BASELINE!$A2051:$ZZ2051,CALC!$F$1))&gt;0),N(INDEX(BASELINE!$A2051:$ZZ2051,CALC!$F$1)),N(INDEX(BASELINE!$A2051:$ZZ2051,CALC!$P$1))))=INT(SIMOPS!$D$3),IFERROR(UPPER(TRIM(INDEX(BASELINE!$A2051:$ZZ2051,CALC!$R$1)&amp;"")),"")&lt;&gt;"ENCERRADA"),1,0),0)</f>
        <v/>
      </c>
      <c r="B2051">
        <f>B2050+A2051</f>
        <v/>
      </c>
    </row>
    <row r="2052">
      <c r="A2052">
        <f>IFERROR(IF(AND(INDEX(BASELINE!$A2052:$ZZ2052,CALC!$H$1)&lt;&gt;"",INT(IF(AND(CALC!$F$1&gt;0,N(INDEX(BASELINE!$A2052:$ZZ2052,CALC!$F$1))&gt;0),N(INDEX(BASELINE!$A2052:$ZZ2052,CALC!$F$1)),N(INDEX(BASELINE!$A2052:$ZZ2052,CALC!$P$1))))=INT(SIMOPS!$D$3),IFERROR(UPPER(TRIM(INDEX(BASELINE!$A2052:$ZZ2052,CALC!$R$1)&amp;"")),"")&lt;&gt;"ENCERRADA"),1,0),0)</f>
        <v/>
      </c>
      <c r="B2052">
        <f>B2051+A2052</f>
        <v/>
      </c>
    </row>
    <row r="2053">
      <c r="A2053">
        <f>IFERROR(IF(AND(INDEX(BASELINE!$A2053:$ZZ2053,CALC!$H$1)&lt;&gt;"",INT(IF(AND(CALC!$F$1&gt;0,N(INDEX(BASELINE!$A2053:$ZZ2053,CALC!$F$1))&gt;0),N(INDEX(BASELINE!$A2053:$ZZ2053,CALC!$F$1)),N(INDEX(BASELINE!$A2053:$ZZ2053,CALC!$P$1))))=INT(SIMOPS!$D$3),IFERROR(UPPER(TRIM(INDEX(BASELINE!$A2053:$ZZ2053,CALC!$R$1)&amp;"")),"")&lt;&gt;"ENCERRADA"),1,0),0)</f>
        <v/>
      </c>
      <c r="B2053">
        <f>B2052+A2053</f>
        <v/>
      </c>
    </row>
    <row r="2054">
      <c r="A2054">
        <f>IFERROR(IF(AND(INDEX(BASELINE!$A2054:$ZZ2054,CALC!$H$1)&lt;&gt;"",INT(IF(AND(CALC!$F$1&gt;0,N(INDEX(BASELINE!$A2054:$ZZ2054,CALC!$F$1))&gt;0),N(INDEX(BASELINE!$A2054:$ZZ2054,CALC!$F$1)),N(INDEX(BASELINE!$A2054:$ZZ2054,CALC!$P$1))))=INT(SIMOPS!$D$3),IFERROR(UPPER(TRIM(INDEX(BASELINE!$A2054:$ZZ2054,CALC!$R$1)&amp;"")),"")&lt;&gt;"ENCERRADA"),1,0),0)</f>
        <v/>
      </c>
      <c r="B2054">
        <f>B2053+A2054</f>
        <v/>
      </c>
    </row>
    <row r="2055">
      <c r="A2055">
        <f>IFERROR(IF(AND(INDEX(BASELINE!$A2055:$ZZ2055,CALC!$H$1)&lt;&gt;"",INT(IF(AND(CALC!$F$1&gt;0,N(INDEX(BASELINE!$A2055:$ZZ2055,CALC!$F$1))&gt;0),N(INDEX(BASELINE!$A2055:$ZZ2055,CALC!$F$1)),N(INDEX(BASELINE!$A2055:$ZZ2055,CALC!$P$1))))=INT(SIMOPS!$D$3),IFERROR(UPPER(TRIM(INDEX(BASELINE!$A2055:$ZZ2055,CALC!$R$1)&amp;"")),"")&lt;&gt;"ENCERRADA"),1,0),0)</f>
        <v/>
      </c>
      <c r="B2055">
        <f>B2054+A2055</f>
        <v/>
      </c>
    </row>
    <row r="2056">
      <c r="A2056">
        <f>IFERROR(IF(AND(INDEX(BASELINE!$A2056:$ZZ2056,CALC!$H$1)&lt;&gt;"",INT(IF(AND(CALC!$F$1&gt;0,N(INDEX(BASELINE!$A2056:$ZZ2056,CALC!$F$1))&gt;0),N(INDEX(BASELINE!$A2056:$ZZ2056,CALC!$F$1)),N(INDEX(BASELINE!$A2056:$ZZ2056,CALC!$P$1))))=INT(SIMOPS!$D$3),IFERROR(UPPER(TRIM(INDEX(BASELINE!$A2056:$ZZ2056,CALC!$R$1)&amp;"")),"")&lt;&gt;"ENCERRADA"),1,0),0)</f>
        <v/>
      </c>
      <c r="B2056">
        <f>B2055+A2056</f>
        <v/>
      </c>
    </row>
    <row r="2057">
      <c r="A2057">
        <f>IFERROR(IF(AND(INDEX(BASELINE!$A2057:$ZZ2057,CALC!$H$1)&lt;&gt;"",INT(IF(AND(CALC!$F$1&gt;0,N(INDEX(BASELINE!$A2057:$ZZ2057,CALC!$F$1))&gt;0),N(INDEX(BASELINE!$A2057:$ZZ2057,CALC!$F$1)),N(INDEX(BASELINE!$A2057:$ZZ2057,CALC!$P$1))))=INT(SIMOPS!$D$3),IFERROR(UPPER(TRIM(INDEX(BASELINE!$A2057:$ZZ2057,CALC!$R$1)&amp;"")),"")&lt;&gt;"ENCERRADA"),1,0),0)</f>
        <v/>
      </c>
      <c r="B2057">
        <f>B2056+A2057</f>
        <v/>
      </c>
    </row>
    <row r="2058">
      <c r="A2058">
        <f>IFERROR(IF(AND(INDEX(BASELINE!$A2058:$ZZ2058,CALC!$H$1)&lt;&gt;"",INT(IF(AND(CALC!$F$1&gt;0,N(INDEX(BASELINE!$A2058:$ZZ2058,CALC!$F$1))&gt;0),N(INDEX(BASELINE!$A2058:$ZZ2058,CALC!$F$1)),N(INDEX(BASELINE!$A2058:$ZZ2058,CALC!$P$1))))=INT(SIMOPS!$D$3),IFERROR(UPPER(TRIM(INDEX(BASELINE!$A2058:$ZZ2058,CALC!$R$1)&amp;"")),"")&lt;&gt;"ENCERRADA"),1,0),0)</f>
        <v/>
      </c>
      <c r="B2058">
        <f>B2057+A2058</f>
        <v/>
      </c>
    </row>
    <row r="2059">
      <c r="A2059">
        <f>IFERROR(IF(AND(INDEX(BASELINE!$A2059:$ZZ2059,CALC!$H$1)&lt;&gt;"",INT(IF(AND(CALC!$F$1&gt;0,N(INDEX(BASELINE!$A2059:$ZZ2059,CALC!$F$1))&gt;0),N(INDEX(BASELINE!$A2059:$ZZ2059,CALC!$F$1)),N(INDEX(BASELINE!$A2059:$ZZ2059,CALC!$P$1))))=INT(SIMOPS!$D$3),IFERROR(UPPER(TRIM(INDEX(BASELINE!$A2059:$ZZ2059,CALC!$R$1)&amp;"")),"")&lt;&gt;"ENCERRADA"),1,0),0)</f>
        <v/>
      </c>
      <c r="B2059">
        <f>B2058+A2059</f>
        <v/>
      </c>
    </row>
    <row r="2060">
      <c r="A2060">
        <f>IFERROR(IF(AND(INDEX(BASELINE!$A2060:$ZZ2060,CALC!$H$1)&lt;&gt;"",INT(IF(AND(CALC!$F$1&gt;0,N(INDEX(BASELINE!$A2060:$ZZ2060,CALC!$F$1))&gt;0),N(INDEX(BASELINE!$A2060:$ZZ2060,CALC!$F$1)),N(INDEX(BASELINE!$A2060:$ZZ2060,CALC!$P$1))))=INT(SIMOPS!$D$3),IFERROR(UPPER(TRIM(INDEX(BASELINE!$A2060:$ZZ2060,CALC!$R$1)&amp;"")),"")&lt;&gt;"ENCERRADA"),1,0),0)</f>
        <v/>
      </c>
      <c r="B2060">
        <f>B2059+A2060</f>
        <v/>
      </c>
    </row>
    <row r="2061">
      <c r="A2061">
        <f>IFERROR(IF(AND(INDEX(BASELINE!$A2061:$ZZ2061,CALC!$H$1)&lt;&gt;"",INT(IF(AND(CALC!$F$1&gt;0,N(INDEX(BASELINE!$A2061:$ZZ2061,CALC!$F$1))&gt;0),N(INDEX(BASELINE!$A2061:$ZZ2061,CALC!$F$1)),N(INDEX(BASELINE!$A2061:$ZZ2061,CALC!$P$1))))=INT(SIMOPS!$D$3),IFERROR(UPPER(TRIM(INDEX(BASELINE!$A2061:$ZZ2061,CALC!$R$1)&amp;"")),"")&lt;&gt;"ENCERRADA"),1,0),0)</f>
        <v/>
      </c>
      <c r="B2061">
        <f>B2060+A2061</f>
        <v/>
      </c>
    </row>
    <row r="2062">
      <c r="A2062">
        <f>IFERROR(IF(AND(INDEX(BASELINE!$A2062:$ZZ2062,CALC!$H$1)&lt;&gt;"",INT(IF(AND(CALC!$F$1&gt;0,N(INDEX(BASELINE!$A2062:$ZZ2062,CALC!$F$1))&gt;0),N(INDEX(BASELINE!$A2062:$ZZ2062,CALC!$F$1)),N(INDEX(BASELINE!$A2062:$ZZ2062,CALC!$P$1))))=INT(SIMOPS!$D$3),IFERROR(UPPER(TRIM(INDEX(BASELINE!$A2062:$ZZ2062,CALC!$R$1)&amp;"")),"")&lt;&gt;"ENCERRADA"),1,0),0)</f>
        <v/>
      </c>
      <c r="B2062">
        <f>B2061+A2062</f>
        <v/>
      </c>
    </row>
    <row r="2063">
      <c r="A2063">
        <f>IFERROR(IF(AND(INDEX(BASELINE!$A2063:$ZZ2063,CALC!$H$1)&lt;&gt;"",INT(IF(AND(CALC!$F$1&gt;0,N(INDEX(BASELINE!$A2063:$ZZ2063,CALC!$F$1))&gt;0),N(INDEX(BASELINE!$A2063:$ZZ2063,CALC!$F$1)),N(INDEX(BASELINE!$A2063:$ZZ2063,CALC!$P$1))))=INT(SIMOPS!$D$3),IFERROR(UPPER(TRIM(INDEX(BASELINE!$A2063:$ZZ2063,CALC!$R$1)&amp;"")),"")&lt;&gt;"ENCERRADA"),1,0),0)</f>
        <v/>
      </c>
      <c r="B2063">
        <f>B2062+A2063</f>
        <v/>
      </c>
    </row>
    <row r="2064">
      <c r="A2064">
        <f>IFERROR(IF(AND(INDEX(BASELINE!$A2064:$ZZ2064,CALC!$H$1)&lt;&gt;"",INT(IF(AND(CALC!$F$1&gt;0,N(INDEX(BASELINE!$A2064:$ZZ2064,CALC!$F$1))&gt;0),N(INDEX(BASELINE!$A2064:$ZZ2064,CALC!$F$1)),N(INDEX(BASELINE!$A2064:$ZZ2064,CALC!$P$1))))=INT(SIMOPS!$D$3),IFERROR(UPPER(TRIM(INDEX(BASELINE!$A2064:$ZZ2064,CALC!$R$1)&amp;"")),"")&lt;&gt;"ENCERRADA"),1,0),0)</f>
        <v/>
      </c>
      <c r="B2064">
        <f>B2063+A2064</f>
        <v/>
      </c>
    </row>
    <row r="2065">
      <c r="A2065">
        <f>IFERROR(IF(AND(INDEX(BASELINE!$A2065:$ZZ2065,CALC!$H$1)&lt;&gt;"",INT(IF(AND(CALC!$F$1&gt;0,N(INDEX(BASELINE!$A2065:$ZZ2065,CALC!$F$1))&gt;0),N(INDEX(BASELINE!$A2065:$ZZ2065,CALC!$F$1)),N(INDEX(BASELINE!$A2065:$ZZ2065,CALC!$P$1))))=INT(SIMOPS!$D$3),IFERROR(UPPER(TRIM(INDEX(BASELINE!$A2065:$ZZ2065,CALC!$R$1)&amp;"")),"")&lt;&gt;"ENCERRADA"),1,0),0)</f>
        <v/>
      </c>
      <c r="B2065">
        <f>B2064+A2065</f>
        <v/>
      </c>
    </row>
    <row r="2066">
      <c r="A2066">
        <f>IFERROR(IF(AND(INDEX(BASELINE!$A2066:$ZZ2066,CALC!$H$1)&lt;&gt;"",INT(IF(AND(CALC!$F$1&gt;0,N(INDEX(BASELINE!$A2066:$ZZ2066,CALC!$F$1))&gt;0),N(INDEX(BASELINE!$A2066:$ZZ2066,CALC!$F$1)),N(INDEX(BASELINE!$A2066:$ZZ2066,CALC!$P$1))))=INT(SIMOPS!$D$3),IFERROR(UPPER(TRIM(INDEX(BASELINE!$A2066:$ZZ2066,CALC!$R$1)&amp;"")),"")&lt;&gt;"ENCERRADA"),1,0),0)</f>
        <v/>
      </c>
      <c r="B2066">
        <f>B2065+A2066</f>
        <v/>
      </c>
    </row>
    <row r="2067">
      <c r="A2067">
        <f>IFERROR(IF(AND(INDEX(BASELINE!$A2067:$ZZ2067,CALC!$H$1)&lt;&gt;"",INT(IF(AND(CALC!$F$1&gt;0,N(INDEX(BASELINE!$A2067:$ZZ2067,CALC!$F$1))&gt;0),N(INDEX(BASELINE!$A2067:$ZZ2067,CALC!$F$1)),N(INDEX(BASELINE!$A2067:$ZZ2067,CALC!$P$1))))=INT(SIMOPS!$D$3),IFERROR(UPPER(TRIM(INDEX(BASELINE!$A2067:$ZZ2067,CALC!$R$1)&amp;"")),"")&lt;&gt;"ENCERRADA"),1,0),0)</f>
        <v/>
      </c>
      <c r="B2067">
        <f>B2066+A2067</f>
        <v/>
      </c>
    </row>
    <row r="2068">
      <c r="A2068">
        <f>IFERROR(IF(AND(INDEX(BASELINE!$A2068:$ZZ2068,CALC!$H$1)&lt;&gt;"",INT(IF(AND(CALC!$F$1&gt;0,N(INDEX(BASELINE!$A2068:$ZZ2068,CALC!$F$1))&gt;0),N(INDEX(BASELINE!$A2068:$ZZ2068,CALC!$F$1)),N(INDEX(BASELINE!$A2068:$ZZ2068,CALC!$P$1))))=INT(SIMOPS!$D$3),IFERROR(UPPER(TRIM(INDEX(BASELINE!$A2068:$ZZ2068,CALC!$R$1)&amp;"")),"")&lt;&gt;"ENCERRADA"),1,0),0)</f>
        <v/>
      </c>
      <c r="B2068">
        <f>B2067+A2068</f>
        <v/>
      </c>
    </row>
    <row r="2069">
      <c r="A2069">
        <f>IFERROR(IF(AND(INDEX(BASELINE!$A2069:$ZZ2069,CALC!$H$1)&lt;&gt;"",INT(IF(AND(CALC!$F$1&gt;0,N(INDEX(BASELINE!$A2069:$ZZ2069,CALC!$F$1))&gt;0),N(INDEX(BASELINE!$A2069:$ZZ2069,CALC!$F$1)),N(INDEX(BASELINE!$A2069:$ZZ2069,CALC!$P$1))))=INT(SIMOPS!$D$3),IFERROR(UPPER(TRIM(INDEX(BASELINE!$A2069:$ZZ2069,CALC!$R$1)&amp;"")),"")&lt;&gt;"ENCERRADA"),1,0),0)</f>
        <v/>
      </c>
      <c r="B2069">
        <f>B2068+A2069</f>
        <v/>
      </c>
    </row>
    <row r="2070">
      <c r="A2070">
        <f>IFERROR(IF(AND(INDEX(BASELINE!$A2070:$ZZ2070,CALC!$H$1)&lt;&gt;"",INT(IF(AND(CALC!$F$1&gt;0,N(INDEX(BASELINE!$A2070:$ZZ2070,CALC!$F$1))&gt;0),N(INDEX(BASELINE!$A2070:$ZZ2070,CALC!$F$1)),N(INDEX(BASELINE!$A2070:$ZZ2070,CALC!$P$1))))=INT(SIMOPS!$D$3),IFERROR(UPPER(TRIM(INDEX(BASELINE!$A2070:$ZZ2070,CALC!$R$1)&amp;"")),"")&lt;&gt;"ENCERRADA"),1,0),0)</f>
        <v/>
      </c>
      <c r="B2070">
        <f>B2069+A2070</f>
        <v/>
      </c>
    </row>
    <row r="2071">
      <c r="A2071">
        <f>IFERROR(IF(AND(INDEX(BASELINE!$A2071:$ZZ2071,CALC!$H$1)&lt;&gt;"",INT(IF(AND(CALC!$F$1&gt;0,N(INDEX(BASELINE!$A2071:$ZZ2071,CALC!$F$1))&gt;0),N(INDEX(BASELINE!$A2071:$ZZ2071,CALC!$F$1)),N(INDEX(BASELINE!$A2071:$ZZ2071,CALC!$P$1))))=INT(SIMOPS!$D$3),IFERROR(UPPER(TRIM(INDEX(BASELINE!$A2071:$ZZ2071,CALC!$R$1)&amp;"")),"")&lt;&gt;"ENCERRADA"),1,0),0)</f>
        <v/>
      </c>
      <c r="B2071">
        <f>B2070+A2071</f>
        <v/>
      </c>
    </row>
    <row r="2072">
      <c r="A2072">
        <f>IFERROR(IF(AND(INDEX(BASELINE!$A2072:$ZZ2072,CALC!$H$1)&lt;&gt;"",INT(IF(AND(CALC!$F$1&gt;0,N(INDEX(BASELINE!$A2072:$ZZ2072,CALC!$F$1))&gt;0),N(INDEX(BASELINE!$A2072:$ZZ2072,CALC!$F$1)),N(INDEX(BASELINE!$A2072:$ZZ2072,CALC!$P$1))))=INT(SIMOPS!$D$3),IFERROR(UPPER(TRIM(INDEX(BASELINE!$A2072:$ZZ2072,CALC!$R$1)&amp;"")),"")&lt;&gt;"ENCERRADA"),1,0),0)</f>
        <v/>
      </c>
      <c r="B2072">
        <f>B2071+A2072</f>
        <v/>
      </c>
    </row>
    <row r="2073">
      <c r="A2073">
        <f>IFERROR(IF(AND(INDEX(BASELINE!$A2073:$ZZ2073,CALC!$H$1)&lt;&gt;"",INT(IF(AND(CALC!$F$1&gt;0,N(INDEX(BASELINE!$A2073:$ZZ2073,CALC!$F$1))&gt;0),N(INDEX(BASELINE!$A2073:$ZZ2073,CALC!$F$1)),N(INDEX(BASELINE!$A2073:$ZZ2073,CALC!$P$1))))=INT(SIMOPS!$D$3),IFERROR(UPPER(TRIM(INDEX(BASELINE!$A2073:$ZZ2073,CALC!$R$1)&amp;"")),"")&lt;&gt;"ENCERRADA"),1,0),0)</f>
        <v/>
      </c>
      <c r="B2073">
        <f>B2072+A2073</f>
        <v/>
      </c>
    </row>
    <row r="2074">
      <c r="A2074">
        <f>IFERROR(IF(AND(INDEX(BASELINE!$A2074:$ZZ2074,CALC!$H$1)&lt;&gt;"",INT(IF(AND(CALC!$F$1&gt;0,N(INDEX(BASELINE!$A2074:$ZZ2074,CALC!$F$1))&gt;0),N(INDEX(BASELINE!$A2074:$ZZ2074,CALC!$F$1)),N(INDEX(BASELINE!$A2074:$ZZ2074,CALC!$P$1))))=INT(SIMOPS!$D$3),IFERROR(UPPER(TRIM(INDEX(BASELINE!$A2074:$ZZ2074,CALC!$R$1)&amp;"")),"")&lt;&gt;"ENCERRADA"),1,0),0)</f>
        <v/>
      </c>
      <c r="B2074">
        <f>B2073+A2074</f>
        <v/>
      </c>
    </row>
    <row r="2075">
      <c r="A2075">
        <f>IFERROR(IF(AND(INDEX(BASELINE!$A2075:$ZZ2075,CALC!$H$1)&lt;&gt;"",INT(IF(AND(CALC!$F$1&gt;0,N(INDEX(BASELINE!$A2075:$ZZ2075,CALC!$F$1))&gt;0),N(INDEX(BASELINE!$A2075:$ZZ2075,CALC!$F$1)),N(INDEX(BASELINE!$A2075:$ZZ2075,CALC!$P$1))))=INT(SIMOPS!$D$3),IFERROR(UPPER(TRIM(INDEX(BASELINE!$A2075:$ZZ2075,CALC!$R$1)&amp;"")),"")&lt;&gt;"ENCERRADA"),1,0),0)</f>
        <v/>
      </c>
      <c r="B2075">
        <f>B2074+A2075</f>
        <v/>
      </c>
    </row>
    <row r="2076">
      <c r="A2076">
        <f>IFERROR(IF(AND(INDEX(BASELINE!$A2076:$ZZ2076,CALC!$H$1)&lt;&gt;"",INT(IF(AND(CALC!$F$1&gt;0,N(INDEX(BASELINE!$A2076:$ZZ2076,CALC!$F$1))&gt;0),N(INDEX(BASELINE!$A2076:$ZZ2076,CALC!$F$1)),N(INDEX(BASELINE!$A2076:$ZZ2076,CALC!$P$1))))=INT(SIMOPS!$D$3),IFERROR(UPPER(TRIM(INDEX(BASELINE!$A2076:$ZZ2076,CALC!$R$1)&amp;"")),"")&lt;&gt;"ENCERRADA"),1,0),0)</f>
        <v/>
      </c>
      <c r="B2076">
        <f>B2075+A2076</f>
        <v/>
      </c>
    </row>
    <row r="2077">
      <c r="A2077">
        <f>IFERROR(IF(AND(INDEX(BASELINE!$A2077:$ZZ2077,CALC!$H$1)&lt;&gt;"",INT(IF(AND(CALC!$F$1&gt;0,N(INDEX(BASELINE!$A2077:$ZZ2077,CALC!$F$1))&gt;0),N(INDEX(BASELINE!$A2077:$ZZ2077,CALC!$F$1)),N(INDEX(BASELINE!$A2077:$ZZ2077,CALC!$P$1))))=INT(SIMOPS!$D$3),IFERROR(UPPER(TRIM(INDEX(BASELINE!$A2077:$ZZ2077,CALC!$R$1)&amp;"")),"")&lt;&gt;"ENCERRADA"),1,0),0)</f>
        <v/>
      </c>
      <c r="B2077">
        <f>B2076+A2077</f>
        <v/>
      </c>
    </row>
    <row r="2078">
      <c r="A2078">
        <f>IFERROR(IF(AND(INDEX(BASELINE!$A2078:$ZZ2078,CALC!$H$1)&lt;&gt;"",INT(IF(AND(CALC!$F$1&gt;0,N(INDEX(BASELINE!$A2078:$ZZ2078,CALC!$F$1))&gt;0),N(INDEX(BASELINE!$A2078:$ZZ2078,CALC!$F$1)),N(INDEX(BASELINE!$A2078:$ZZ2078,CALC!$P$1))))=INT(SIMOPS!$D$3),IFERROR(UPPER(TRIM(INDEX(BASELINE!$A2078:$ZZ2078,CALC!$R$1)&amp;"")),"")&lt;&gt;"ENCERRADA"),1,0),0)</f>
        <v/>
      </c>
      <c r="B2078">
        <f>B2077+A2078</f>
        <v/>
      </c>
    </row>
    <row r="2079">
      <c r="A2079">
        <f>IFERROR(IF(AND(INDEX(BASELINE!$A2079:$ZZ2079,CALC!$H$1)&lt;&gt;"",INT(IF(AND(CALC!$F$1&gt;0,N(INDEX(BASELINE!$A2079:$ZZ2079,CALC!$F$1))&gt;0),N(INDEX(BASELINE!$A2079:$ZZ2079,CALC!$F$1)),N(INDEX(BASELINE!$A2079:$ZZ2079,CALC!$P$1))))=INT(SIMOPS!$D$3),IFERROR(UPPER(TRIM(INDEX(BASELINE!$A2079:$ZZ2079,CALC!$R$1)&amp;"")),"")&lt;&gt;"ENCERRADA"),1,0),0)</f>
        <v/>
      </c>
      <c r="B2079">
        <f>B2078+A2079</f>
        <v/>
      </c>
    </row>
    <row r="2080">
      <c r="A2080">
        <f>IFERROR(IF(AND(INDEX(BASELINE!$A2080:$ZZ2080,CALC!$H$1)&lt;&gt;"",INT(IF(AND(CALC!$F$1&gt;0,N(INDEX(BASELINE!$A2080:$ZZ2080,CALC!$F$1))&gt;0),N(INDEX(BASELINE!$A2080:$ZZ2080,CALC!$F$1)),N(INDEX(BASELINE!$A2080:$ZZ2080,CALC!$P$1))))=INT(SIMOPS!$D$3),IFERROR(UPPER(TRIM(INDEX(BASELINE!$A2080:$ZZ2080,CALC!$R$1)&amp;"")),"")&lt;&gt;"ENCERRADA"),1,0),0)</f>
        <v/>
      </c>
      <c r="B2080">
        <f>B2079+A2080</f>
        <v/>
      </c>
    </row>
    <row r="2081">
      <c r="A2081">
        <f>IFERROR(IF(AND(INDEX(BASELINE!$A2081:$ZZ2081,CALC!$H$1)&lt;&gt;"",INT(IF(AND(CALC!$F$1&gt;0,N(INDEX(BASELINE!$A2081:$ZZ2081,CALC!$F$1))&gt;0),N(INDEX(BASELINE!$A2081:$ZZ2081,CALC!$F$1)),N(INDEX(BASELINE!$A2081:$ZZ2081,CALC!$P$1))))=INT(SIMOPS!$D$3),IFERROR(UPPER(TRIM(INDEX(BASELINE!$A2081:$ZZ2081,CALC!$R$1)&amp;"")),"")&lt;&gt;"ENCERRADA"),1,0),0)</f>
        <v/>
      </c>
      <c r="B2081">
        <f>B2080+A2081</f>
        <v/>
      </c>
    </row>
    <row r="2082">
      <c r="A2082">
        <f>IFERROR(IF(AND(INDEX(BASELINE!$A2082:$ZZ2082,CALC!$H$1)&lt;&gt;"",INT(IF(AND(CALC!$F$1&gt;0,N(INDEX(BASELINE!$A2082:$ZZ2082,CALC!$F$1))&gt;0),N(INDEX(BASELINE!$A2082:$ZZ2082,CALC!$F$1)),N(INDEX(BASELINE!$A2082:$ZZ2082,CALC!$P$1))))=INT(SIMOPS!$D$3),IFERROR(UPPER(TRIM(INDEX(BASELINE!$A2082:$ZZ2082,CALC!$R$1)&amp;"")),"")&lt;&gt;"ENCERRADA"),1,0),0)</f>
        <v/>
      </c>
      <c r="B2082">
        <f>B2081+A2082</f>
        <v/>
      </c>
    </row>
    <row r="2083">
      <c r="A2083">
        <f>IFERROR(IF(AND(INDEX(BASELINE!$A2083:$ZZ2083,CALC!$H$1)&lt;&gt;"",INT(IF(AND(CALC!$F$1&gt;0,N(INDEX(BASELINE!$A2083:$ZZ2083,CALC!$F$1))&gt;0),N(INDEX(BASELINE!$A2083:$ZZ2083,CALC!$F$1)),N(INDEX(BASELINE!$A2083:$ZZ2083,CALC!$P$1))))=INT(SIMOPS!$D$3),IFERROR(UPPER(TRIM(INDEX(BASELINE!$A2083:$ZZ2083,CALC!$R$1)&amp;"")),"")&lt;&gt;"ENCERRADA"),1,0),0)</f>
        <v/>
      </c>
      <c r="B2083">
        <f>B2082+A2083</f>
        <v/>
      </c>
    </row>
    <row r="2084">
      <c r="A2084">
        <f>IFERROR(IF(AND(INDEX(BASELINE!$A2084:$ZZ2084,CALC!$H$1)&lt;&gt;"",INT(IF(AND(CALC!$F$1&gt;0,N(INDEX(BASELINE!$A2084:$ZZ2084,CALC!$F$1))&gt;0),N(INDEX(BASELINE!$A2084:$ZZ2084,CALC!$F$1)),N(INDEX(BASELINE!$A2084:$ZZ2084,CALC!$P$1))))=INT(SIMOPS!$D$3),IFERROR(UPPER(TRIM(INDEX(BASELINE!$A2084:$ZZ2084,CALC!$R$1)&amp;"")),"")&lt;&gt;"ENCERRADA"),1,0),0)</f>
        <v/>
      </c>
      <c r="B2084">
        <f>B2083+A2084</f>
        <v/>
      </c>
    </row>
    <row r="2085">
      <c r="A2085">
        <f>IFERROR(IF(AND(INDEX(BASELINE!$A2085:$ZZ2085,CALC!$H$1)&lt;&gt;"",INT(IF(AND(CALC!$F$1&gt;0,N(INDEX(BASELINE!$A2085:$ZZ2085,CALC!$F$1))&gt;0),N(INDEX(BASELINE!$A2085:$ZZ2085,CALC!$F$1)),N(INDEX(BASELINE!$A2085:$ZZ2085,CALC!$P$1))))=INT(SIMOPS!$D$3),IFERROR(UPPER(TRIM(INDEX(BASELINE!$A2085:$ZZ2085,CALC!$R$1)&amp;"")),"")&lt;&gt;"ENCERRADA"),1,0),0)</f>
        <v/>
      </c>
      <c r="B2085">
        <f>B2084+A2085</f>
        <v/>
      </c>
    </row>
    <row r="2086">
      <c r="A2086">
        <f>IFERROR(IF(AND(INDEX(BASELINE!$A2086:$ZZ2086,CALC!$H$1)&lt;&gt;"",INT(IF(AND(CALC!$F$1&gt;0,N(INDEX(BASELINE!$A2086:$ZZ2086,CALC!$F$1))&gt;0),N(INDEX(BASELINE!$A2086:$ZZ2086,CALC!$F$1)),N(INDEX(BASELINE!$A2086:$ZZ2086,CALC!$P$1))))=INT(SIMOPS!$D$3),IFERROR(UPPER(TRIM(INDEX(BASELINE!$A2086:$ZZ2086,CALC!$R$1)&amp;"")),"")&lt;&gt;"ENCERRADA"),1,0),0)</f>
        <v/>
      </c>
      <c r="B2086">
        <f>B2085+A2086</f>
        <v/>
      </c>
    </row>
    <row r="2087">
      <c r="A2087">
        <f>IFERROR(IF(AND(INDEX(BASELINE!$A2087:$ZZ2087,CALC!$H$1)&lt;&gt;"",INT(IF(AND(CALC!$F$1&gt;0,N(INDEX(BASELINE!$A2087:$ZZ2087,CALC!$F$1))&gt;0),N(INDEX(BASELINE!$A2087:$ZZ2087,CALC!$F$1)),N(INDEX(BASELINE!$A2087:$ZZ2087,CALC!$P$1))))=INT(SIMOPS!$D$3),IFERROR(UPPER(TRIM(INDEX(BASELINE!$A2087:$ZZ2087,CALC!$R$1)&amp;"")),"")&lt;&gt;"ENCERRADA"),1,0),0)</f>
        <v/>
      </c>
      <c r="B2087">
        <f>B2086+A2087</f>
        <v/>
      </c>
    </row>
    <row r="2088">
      <c r="A2088">
        <f>IFERROR(IF(AND(INDEX(BASELINE!$A2088:$ZZ2088,CALC!$H$1)&lt;&gt;"",INT(IF(AND(CALC!$F$1&gt;0,N(INDEX(BASELINE!$A2088:$ZZ2088,CALC!$F$1))&gt;0),N(INDEX(BASELINE!$A2088:$ZZ2088,CALC!$F$1)),N(INDEX(BASELINE!$A2088:$ZZ2088,CALC!$P$1))))=INT(SIMOPS!$D$3),IFERROR(UPPER(TRIM(INDEX(BASELINE!$A2088:$ZZ2088,CALC!$R$1)&amp;"")),"")&lt;&gt;"ENCERRADA"),1,0),0)</f>
        <v/>
      </c>
      <c r="B2088">
        <f>B2087+A2088</f>
        <v/>
      </c>
    </row>
    <row r="2089">
      <c r="A2089">
        <f>IFERROR(IF(AND(INDEX(BASELINE!$A2089:$ZZ2089,CALC!$H$1)&lt;&gt;"",INT(IF(AND(CALC!$F$1&gt;0,N(INDEX(BASELINE!$A2089:$ZZ2089,CALC!$F$1))&gt;0),N(INDEX(BASELINE!$A2089:$ZZ2089,CALC!$F$1)),N(INDEX(BASELINE!$A2089:$ZZ2089,CALC!$P$1))))=INT(SIMOPS!$D$3),IFERROR(UPPER(TRIM(INDEX(BASELINE!$A2089:$ZZ2089,CALC!$R$1)&amp;"")),"")&lt;&gt;"ENCERRADA"),1,0),0)</f>
        <v/>
      </c>
      <c r="B2089">
        <f>B2088+A2089</f>
        <v/>
      </c>
    </row>
    <row r="2090">
      <c r="A2090">
        <f>IFERROR(IF(AND(INDEX(BASELINE!$A2090:$ZZ2090,CALC!$H$1)&lt;&gt;"",INT(IF(AND(CALC!$F$1&gt;0,N(INDEX(BASELINE!$A2090:$ZZ2090,CALC!$F$1))&gt;0),N(INDEX(BASELINE!$A2090:$ZZ2090,CALC!$F$1)),N(INDEX(BASELINE!$A2090:$ZZ2090,CALC!$P$1))))=INT(SIMOPS!$D$3),IFERROR(UPPER(TRIM(INDEX(BASELINE!$A2090:$ZZ2090,CALC!$R$1)&amp;"")),"")&lt;&gt;"ENCERRADA"),1,0),0)</f>
        <v/>
      </c>
      <c r="B2090">
        <f>B2089+A2090</f>
        <v/>
      </c>
    </row>
    <row r="2091">
      <c r="A2091">
        <f>IFERROR(IF(AND(INDEX(BASELINE!$A2091:$ZZ2091,CALC!$H$1)&lt;&gt;"",INT(IF(AND(CALC!$F$1&gt;0,N(INDEX(BASELINE!$A2091:$ZZ2091,CALC!$F$1))&gt;0),N(INDEX(BASELINE!$A2091:$ZZ2091,CALC!$F$1)),N(INDEX(BASELINE!$A2091:$ZZ2091,CALC!$P$1))))=INT(SIMOPS!$D$3),IFERROR(UPPER(TRIM(INDEX(BASELINE!$A2091:$ZZ2091,CALC!$R$1)&amp;"")),"")&lt;&gt;"ENCERRADA"),1,0),0)</f>
        <v/>
      </c>
      <c r="B2091">
        <f>B2090+A2091</f>
        <v/>
      </c>
    </row>
    <row r="2092">
      <c r="A2092">
        <f>IFERROR(IF(AND(INDEX(BASELINE!$A2092:$ZZ2092,CALC!$H$1)&lt;&gt;"",INT(IF(AND(CALC!$F$1&gt;0,N(INDEX(BASELINE!$A2092:$ZZ2092,CALC!$F$1))&gt;0),N(INDEX(BASELINE!$A2092:$ZZ2092,CALC!$F$1)),N(INDEX(BASELINE!$A2092:$ZZ2092,CALC!$P$1))))=INT(SIMOPS!$D$3),IFERROR(UPPER(TRIM(INDEX(BASELINE!$A2092:$ZZ2092,CALC!$R$1)&amp;"")),"")&lt;&gt;"ENCERRADA"),1,0),0)</f>
        <v/>
      </c>
      <c r="B2092">
        <f>B2091+A2092</f>
        <v/>
      </c>
    </row>
    <row r="2093">
      <c r="A2093">
        <f>IFERROR(IF(AND(INDEX(BASELINE!$A2093:$ZZ2093,CALC!$H$1)&lt;&gt;"",INT(IF(AND(CALC!$F$1&gt;0,N(INDEX(BASELINE!$A2093:$ZZ2093,CALC!$F$1))&gt;0),N(INDEX(BASELINE!$A2093:$ZZ2093,CALC!$F$1)),N(INDEX(BASELINE!$A2093:$ZZ2093,CALC!$P$1))))=INT(SIMOPS!$D$3),IFERROR(UPPER(TRIM(INDEX(BASELINE!$A2093:$ZZ2093,CALC!$R$1)&amp;"")),"")&lt;&gt;"ENCERRADA"),1,0),0)</f>
        <v/>
      </c>
      <c r="B2093">
        <f>B2092+A2093</f>
        <v/>
      </c>
    </row>
    <row r="2094">
      <c r="A2094">
        <f>IFERROR(IF(AND(INDEX(BASELINE!$A2094:$ZZ2094,CALC!$H$1)&lt;&gt;"",INT(IF(AND(CALC!$F$1&gt;0,N(INDEX(BASELINE!$A2094:$ZZ2094,CALC!$F$1))&gt;0),N(INDEX(BASELINE!$A2094:$ZZ2094,CALC!$F$1)),N(INDEX(BASELINE!$A2094:$ZZ2094,CALC!$P$1))))=INT(SIMOPS!$D$3),IFERROR(UPPER(TRIM(INDEX(BASELINE!$A2094:$ZZ2094,CALC!$R$1)&amp;"")),"")&lt;&gt;"ENCERRADA"),1,0),0)</f>
        <v/>
      </c>
      <c r="B2094">
        <f>B2093+A2094</f>
        <v/>
      </c>
    </row>
    <row r="2095">
      <c r="A2095">
        <f>IFERROR(IF(AND(INDEX(BASELINE!$A2095:$ZZ2095,CALC!$H$1)&lt;&gt;"",INT(IF(AND(CALC!$F$1&gt;0,N(INDEX(BASELINE!$A2095:$ZZ2095,CALC!$F$1))&gt;0),N(INDEX(BASELINE!$A2095:$ZZ2095,CALC!$F$1)),N(INDEX(BASELINE!$A2095:$ZZ2095,CALC!$P$1))))=INT(SIMOPS!$D$3),IFERROR(UPPER(TRIM(INDEX(BASELINE!$A2095:$ZZ2095,CALC!$R$1)&amp;"")),"")&lt;&gt;"ENCERRADA"),1,0),0)</f>
        <v/>
      </c>
      <c r="B2095">
        <f>B2094+A2095</f>
        <v/>
      </c>
    </row>
    <row r="2096">
      <c r="A2096">
        <f>IFERROR(IF(AND(INDEX(BASELINE!$A2096:$ZZ2096,CALC!$H$1)&lt;&gt;"",INT(IF(AND(CALC!$F$1&gt;0,N(INDEX(BASELINE!$A2096:$ZZ2096,CALC!$F$1))&gt;0),N(INDEX(BASELINE!$A2096:$ZZ2096,CALC!$F$1)),N(INDEX(BASELINE!$A2096:$ZZ2096,CALC!$P$1))))=INT(SIMOPS!$D$3),IFERROR(UPPER(TRIM(INDEX(BASELINE!$A2096:$ZZ2096,CALC!$R$1)&amp;"")),"")&lt;&gt;"ENCERRADA"),1,0),0)</f>
        <v/>
      </c>
      <c r="B2096">
        <f>B2095+A2096</f>
        <v/>
      </c>
    </row>
    <row r="2097">
      <c r="A2097">
        <f>IFERROR(IF(AND(INDEX(BASELINE!$A2097:$ZZ2097,CALC!$H$1)&lt;&gt;"",INT(IF(AND(CALC!$F$1&gt;0,N(INDEX(BASELINE!$A2097:$ZZ2097,CALC!$F$1))&gt;0),N(INDEX(BASELINE!$A2097:$ZZ2097,CALC!$F$1)),N(INDEX(BASELINE!$A2097:$ZZ2097,CALC!$P$1))))=INT(SIMOPS!$D$3),IFERROR(UPPER(TRIM(INDEX(BASELINE!$A2097:$ZZ2097,CALC!$R$1)&amp;"")),"")&lt;&gt;"ENCERRADA"),1,0),0)</f>
        <v/>
      </c>
      <c r="B2097">
        <f>B2096+A2097</f>
        <v/>
      </c>
    </row>
    <row r="2098">
      <c r="A2098">
        <f>IFERROR(IF(AND(INDEX(BASELINE!$A2098:$ZZ2098,CALC!$H$1)&lt;&gt;"",INT(IF(AND(CALC!$F$1&gt;0,N(INDEX(BASELINE!$A2098:$ZZ2098,CALC!$F$1))&gt;0),N(INDEX(BASELINE!$A2098:$ZZ2098,CALC!$F$1)),N(INDEX(BASELINE!$A2098:$ZZ2098,CALC!$P$1))))=INT(SIMOPS!$D$3),IFERROR(UPPER(TRIM(INDEX(BASELINE!$A2098:$ZZ2098,CALC!$R$1)&amp;"")),"")&lt;&gt;"ENCERRADA"),1,0),0)</f>
        <v/>
      </c>
      <c r="B2098">
        <f>B2097+A2098</f>
        <v/>
      </c>
    </row>
    <row r="2099">
      <c r="A2099">
        <f>IFERROR(IF(AND(INDEX(BASELINE!$A2099:$ZZ2099,CALC!$H$1)&lt;&gt;"",INT(IF(AND(CALC!$F$1&gt;0,N(INDEX(BASELINE!$A2099:$ZZ2099,CALC!$F$1))&gt;0),N(INDEX(BASELINE!$A2099:$ZZ2099,CALC!$F$1)),N(INDEX(BASELINE!$A2099:$ZZ2099,CALC!$P$1))))=INT(SIMOPS!$D$3),IFERROR(UPPER(TRIM(INDEX(BASELINE!$A2099:$ZZ2099,CALC!$R$1)&amp;"")),"")&lt;&gt;"ENCERRADA"),1,0),0)</f>
        <v/>
      </c>
      <c r="B2099">
        <f>B2098+A2099</f>
        <v/>
      </c>
    </row>
    <row r="2100">
      <c r="A2100">
        <f>IFERROR(IF(AND(INDEX(BASELINE!$A2100:$ZZ2100,CALC!$H$1)&lt;&gt;"",INT(IF(AND(CALC!$F$1&gt;0,N(INDEX(BASELINE!$A2100:$ZZ2100,CALC!$F$1))&gt;0),N(INDEX(BASELINE!$A2100:$ZZ2100,CALC!$F$1)),N(INDEX(BASELINE!$A2100:$ZZ2100,CALC!$P$1))))=INT(SIMOPS!$D$3),IFERROR(UPPER(TRIM(INDEX(BASELINE!$A2100:$ZZ2100,CALC!$R$1)&amp;"")),"")&lt;&gt;"ENCERRADA"),1,0),0)</f>
        <v/>
      </c>
      <c r="B2100">
        <f>B2099+A2100</f>
        <v/>
      </c>
    </row>
    <row r="2101">
      <c r="A2101">
        <f>IFERROR(IF(AND(INDEX(BASELINE!$A2101:$ZZ2101,CALC!$H$1)&lt;&gt;"",INT(IF(AND(CALC!$F$1&gt;0,N(INDEX(BASELINE!$A2101:$ZZ2101,CALC!$F$1))&gt;0),N(INDEX(BASELINE!$A2101:$ZZ2101,CALC!$F$1)),N(INDEX(BASELINE!$A2101:$ZZ2101,CALC!$P$1))))=INT(SIMOPS!$D$3),IFERROR(UPPER(TRIM(INDEX(BASELINE!$A2101:$ZZ2101,CALC!$R$1)&amp;"")),"")&lt;&gt;"ENCERRADA"),1,0),0)</f>
        <v/>
      </c>
      <c r="B2101">
        <f>B2100+A2101</f>
        <v/>
      </c>
    </row>
    <row r="2102">
      <c r="A2102">
        <f>IFERROR(IF(AND(INDEX(BASELINE!$A2102:$ZZ2102,CALC!$H$1)&lt;&gt;"",INT(IF(AND(CALC!$F$1&gt;0,N(INDEX(BASELINE!$A2102:$ZZ2102,CALC!$F$1))&gt;0),N(INDEX(BASELINE!$A2102:$ZZ2102,CALC!$F$1)),N(INDEX(BASELINE!$A2102:$ZZ2102,CALC!$P$1))))=INT(SIMOPS!$D$3),IFERROR(UPPER(TRIM(INDEX(BASELINE!$A2102:$ZZ2102,CALC!$R$1)&amp;"")),"")&lt;&gt;"ENCERRADA"),1,0),0)</f>
        <v/>
      </c>
      <c r="B2102">
        <f>B2101+A2102</f>
        <v/>
      </c>
    </row>
    <row r="2103">
      <c r="A2103">
        <f>IFERROR(IF(AND(INDEX(BASELINE!$A2103:$ZZ2103,CALC!$H$1)&lt;&gt;"",INT(IF(AND(CALC!$F$1&gt;0,N(INDEX(BASELINE!$A2103:$ZZ2103,CALC!$F$1))&gt;0),N(INDEX(BASELINE!$A2103:$ZZ2103,CALC!$F$1)),N(INDEX(BASELINE!$A2103:$ZZ2103,CALC!$P$1))))=INT(SIMOPS!$D$3),IFERROR(UPPER(TRIM(INDEX(BASELINE!$A2103:$ZZ2103,CALC!$R$1)&amp;"")),"")&lt;&gt;"ENCERRADA"),1,0),0)</f>
        <v/>
      </c>
      <c r="B2103">
        <f>B2102+A2103</f>
        <v/>
      </c>
    </row>
    <row r="2104">
      <c r="A2104">
        <f>IFERROR(IF(AND(INDEX(BASELINE!$A2104:$ZZ2104,CALC!$H$1)&lt;&gt;"",INT(IF(AND(CALC!$F$1&gt;0,N(INDEX(BASELINE!$A2104:$ZZ2104,CALC!$F$1))&gt;0),N(INDEX(BASELINE!$A2104:$ZZ2104,CALC!$F$1)),N(INDEX(BASELINE!$A2104:$ZZ2104,CALC!$P$1))))=INT(SIMOPS!$D$3),IFERROR(UPPER(TRIM(INDEX(BASELINE!$A2104:$ZZ2104,CALC!$R$1)&amp;"")),"")&lt;&gt;"ENCERRADA"),1,0),0)</f>
        <v/>
      </c>
      <c r="B2104">
        <f>B2103+A2104</f>
        <v/>
      </c>
    </row>
    <row r="2105">
      <c r="A2105">
        <f>IFERROR(IF(AND(INDEX(BASELINE!$A2105:$ZZ2105,CALC!$H$1)&lt;&gt;"",INT(IF(AND(CALC!$F$1&gt;0,N(INDEX(BASELINE!$A2105:$ZZ2105,CALC!$F$1))&gt;0),N(INDEX(BASELINE!$A2105:$ZZ2105,CALC!$F$1)),N(INDEX(BASELINE!$A2105:$ZZ2105,CALC!$P$1))))=INT(SIMOPS!$D$3),IFERROR(UPPER(TRIM(INDEX(BASELINE!$A2105:$ZZ2105,CALC!$R$1)&amp;"")),"")&lt;&gt;"ENCERRADA"),1,0),0)</f>
        <v/>
      </c>
      <c r="B2105">
        <f>B2104+A2105</f>
        <v/>
      </c>
    </row>
    <row r="2106">
      <c r="A2106">
        <f>IFERROR(IF(AND(INDEX(BASELINE!$A2106:$ZZ2106,CALC!$H$1)&lt;&gt;"",INT(IF(AND(CALC!$F$1&gt;0,N(INDEX(BASELINE!$A2106:$ZZ2106,CALC!$F$1))&gt;0),N(INDEX(BASELINE!$A2106:$ZZ2106,CALC!$F$1)),N(INDEX(BASELINE!$A2106:$ZZ2106,CALC!$P$1))))=INT(SIMOPS!$D$3),IFERROR(UPPER(TRIM(INDEX(BASELINE!$A2106:$ZZ2106,CALC!$R$1)&amp;"")),"")&lt;&gt;"ENCERRADA"),1,0),0)</f>
        <v/>
      </c>
      <c r="B2106">
        <f>B2105+A2106</f>
        <v/>
      </c>
    </row>
    <row r="2107">
      <c r="A2107">
        <f>IFERROR(IF(AND(INDEX(BASELINE!$A2107:$ZZ2107,CALC!$H$1)&lt;&gt;"",INT(IF(AND(CALC!$F$1&gt;0,N(INDEX(BASELINE!$A2107:$ZZ2107,CALC!$F$1))&gt;0),N(INDEX(BASELINE!$A2107:$ZZ2107,CALC!$F$1)),N(INDEX(BASELINE!$A2107:$ZZ2107,CALC!$P$1))))=INT(SIMOPS!$D$3),IFERROR(UPPER(TRIM(INDEX(BASELINE!$A2107:$ZZ2107,CALC!$R$1)&amp;"")),"")&lt;&gt;"ENCERRADA"),1,0),0)</f>
        <v/>
      </c>
      <c r="B2107">
        <f>B2106+A2107</f>
        <v/>
      </c>
    </row>
    <row r="2108">
      <c r="A2108">
        <f>IFERROR(IF(AND(INDEX(BASELINE!$A2108:$ZZ2108,CALC!$H$1)&lt;&gt;"",INT(IF(AND(CALC!$F$1&gt;0,N(INDEX(BASELINE!$A2108:$ZZ2108,CALC!$F$1))&gt;0),N(INDEX(BASELINE!$A2108:$ZZ2108,CALC!$F$1)),N(INDEX(BASELINE!$A2108:$ZZ2108,CALC!$P$1))))=INT(SIMOPS!$D$3),IFERROR(UPPER(TRIM(INDEX(BASELINE!$A2108:$ZZ2108,CALC!$R$1)&amp;"")),"")&lt;&gt;"ENCERRADA"),1,0),0)</f>
        <v/>
      </c>
      <c r="B2108">
        <f>B2107+A2108</f>
        <v/>
      </c>
    </row>
    <row r="2109">
      <c r="A2109">
        <f>IFERROR(IF(AND(INDEX(BASELINE!$A2109:$ZZ2109,CALC!$H$1)&lt;&gt;"",INT(IF(AND(CALC!$F$1&gt;0,N(INDEX(BASELINE!$A2109:$ZZ2109,CALC!$F$1))&gt;0),N(INDEX(BASELINE!$A2109:$ZZ2109,CALC!$F$1)),N(INDEX(BASELINE!$A2109:$ZZ2109,CALC!$P$1))))=INT(SIMOPS!$D$3),IFERROR(UPPER(TRIM(INDEX(BASELINE!$A2109:$ZZ2109,CALC!$R$1)&amp;"")),"")&lt;&gt;"ENCERRADA"),1,0),0)</f>
        <v/>
      </c>
      <c r="B2109">
        <f>B2108+A2109</f>
        <v/>
      </c>
    </row>
    <row r="2110">
      <c r="A2110">
        <f>IFERROR(IF(AND(INDEX(BASELINE!$A2110:$ZZ2110,CALC!$H$1)&lt;&gt;"",INT(IF(AND(CALC!$F$1&gt;0,N(INDEX(BASELINE!$A2110:$ZZ2110,CALC!$F$1))&gt;0),N(INDEX(BASELINE!$A2110:$ZZ2110,CALC!$F$1)),N(INDEX(BASELINE!$A2110:$ZZ2110,CALC!$P$1))))=INT(SIMOPS!$D$3),IFERROR(UPPER(TRIM(INDEX(BASELINE!$A2110:$ZZ2110,CALC!$R$1)&amp;"")),"")&lt;&gt;"ENCERRADA"),1,0),0)</f>
        <v/>
      </c>
      <c r="B2110">
        <f>B2109+A2110</f>
        <v/>
      </c>
    </row>
    <row r="2111">
      <c r="A2111">
        <f>IFERROR(IF(AND(INDEX(BASELINE!$A2111:$ZZ2111,CALC!$H$1)&lt;&gt;"",INT(IF(AND(CALC!$F$1&gt;0,N(INDEX(BASELINE!$A2111:$ZZ2111,CALC!$F$1))&gt;0),N(INDEX(BASELINE!$A2111:$ZZ2111,CALC!$F$1)),N(INDEX(BASELINE!$A2111:$ZZ2111,CALC!$P$1))))=INT(SIMOPS!$D$3),IFERROR(UPPER(TRIM(INDEX(BASELINE!$A2111:$ZZ2111,CALC!$R$1)&amp;"")),"")&lt;&gt;"ENCERRADA"),1,0),0)</f>
        <v/>
      </c>
      <c r="B2111">
        <f>B2110+A2111</f>
        <v/>
      </c>
    </row>
    <row r="2112">
      <c r="A2112">
        <f>IFERROR(IF(AND(INDEX(BASELINE!$A2112:$ZZ2112,CALC!$H$1)&lt;&gt;"",INT(IF(AND(CALC!$F$1&gt;0,N(INDEX(BASELINE!$A2112:$ZZ2112,CALC!$F$1))&gt;0),N(INDEX(BASELINE!$A2112:$ZZ2112,CALC!$F$1)),N(INDEX(BASELINE!$A2112:$ZZ2112,CALC!$P$1))))=INT(SIMOPS!$D$3),IFERROR(UPPER(TRIM(INDEX(BASELINE!$A2112:$ZZ2112,CALC!$R$1)&amp;"")),"")&lt;&gt;"ENCERRADA"),1,0),0)</f>
        <v/>
      </c>
      <c r="B2112">
        <f>B2111+A2112</f>
        <v/>
      </c>
    </row>
    <row r="2113">
      <c r="A2113">
        <f>IFERROR(IF(AND(INDEX(BASELINE!$A2113:$ZZ2113,CALC!$H$1)&lt;&gt;"",INT(IF(AND(CALC!$F$1&gt;0,N(INDEX(BASELINE!$A2113:$ZZ2113,CALC!$F$1))&gt;0),N(INDEX(BASELINE!$A2113:$ZZ2113,CALC!$F$1)),N(INDEX(BASELINE!$A2113:$ZZ2113,CALC!$P$1))))=INT(SIMOPS!$D$3),IFERROR(UPPER(TRIM(INDEX(BASELINE!$A2113:$ZZ2113,CALC!$R$1)&amp;"")),"")&lt;&gt;"ENCERRADA"),1,0),0)</f>
        <v/>
      </c>
      <c r="B2113">
        <f>B2112+A2113</f>
        <v/>
      </c>
    </row>
    <row r="2114">
      <c r="A2114">
        <f>IFERROR(IF(AND(INDEX(BASELINE!$A2114:$ZZ2114,CALC!$H$1)&lt;&gt;"",INT(IF(AND(CALC!$F$1&gt;0,N(INDEX(BASELINE!$A2114:$ZZ2114,CALC!$F$1))&gt;0),N(INDEX(BASELINE!$A2114:$ZZ2114,CALC!$F$1)),N(INDEX(BASELINE!$A2114:$ZZ2114,CALC!$P$1))))=INT(SIMOPS!$D$3),IFERROR(UPPER(TRIM(INDEX(BASELINE!$A2114:$ZZ2114,CALC!$R$1)&amp;"")),"")&lt;&gt;"ENCERRADA"),1,0),0)</f>
        <v/>
      </c>
      <c r="B2114">
        <f>B2113+A2114</f>
        <v/>
      </c>
    </row>
    <row r="2115">
      <c r="A2115">
        <f>IFERROR(IF(AND(INDEX(BASELINE!$A2115:$ZZ2115,CALC!$H$1)&lt;&gt;"",INT(IF(AND(CALC!$F$1&gt;0,N(INDEX(BASELINE!$A2115:$ZZ2115,CALC!$F$1))&gt;0),N(INDEX(BASELINE!$A2115:$ZZ2115,CALC!$F$1)),N(INDEX(BASELINE!$A2115:$ZZ2115,CALC!$P$1))))=INT(SIMOPS!$D$3),IFERROR(UPPER(TRIM(INDEX(BASELINE!$A2115:$ZZ2115,CALC!$R$1)&amp;"")),"")&lt;&gt;"ENCERRADA"),1,0),0)</f>
        <v/>
      </c>
      <c r="B2115">
        <f>B2114+A2115</f>
        <v/>
      </c>
    </row>
    <row r="2116">
      <c r="A2116">
        <f>IFERROR(IF(AND(INDEX(BASELINE!$A2116:$ZZ2116,CALC!$H$1)&lt;&gt;"",INT(IF(AND(CALC!$F$1&gt;0,N(INDEX(BASELINE!$A2116:$ZZ2116,CALC!$F$1))&gt;0),N(INDEX(BASELINE!$A2116:$ZZ2116,CALC!$F$1)),N(INDEX(BASELINE!$A2116:$ZZ2116,CALC!$P$1))))=INT(SIMOPS!$D$3),IFERROR(UPPER(TRIM(INDEX(BASELINE!$A2116:$ZZ2116,CALC!$R$1)&amp;"")),"")&lt;&gt;"ENCERRADA"),1,0),0)</f>
        <v/>
      </c>
      <c r="B2116">
        <f>B2115+A2116</f>
        <v/>
      </c>
    </row>
    <row r="2117">
      <c r="A2117">
        <f>IFERROR(IF(AND(INDEX(BASELINE!$A2117:$ZZ2117,CALC!$H$1)&lt;&gt;"",INT(IF(AND(CALC!$F$1&gt;0,N(INDEX(BASELINE!$A2117:$ZZ2117,CALC!$F$1))&gt;0),N(INDEX(BASELINE!$A2117:$ZZ2117,CALC!$F$1)),N(INDEX(BASELINE!$A2117:$ZZ2117,CALC!$P$1))))=INT(SIMOPS!$D$3),IFERROR(UPPER(TRIM(INDEX(BASELINE!$A2117:$ZZ2117,CALC!$R$1)&amp;"")),"")&lt;&gt;"ENCERRADA"),1,0),0)</f>
        <v/>
      </c>
      <c r="B2117">
        <f>B2116+A2117</f>
        <v/>
      </c>
    </row>
    <row r="2118">
      <c r="A2118">
        <f>IFERROR(IF(AND(INDEX(BASELINE!$A2118:$ZZ2118,CALC!$H$1)&lt;&gt;"",INT(IF(AND(CALC!$F$1&gt;0,N(INDEX(BASELINE!$A2118:$ZZ2118,CALC!$F$1))&gt;0),N(INDEX(BASELINE!$A2118:$ZZ2118,CALC!$F$1)),N(INDEX(BASELINE!$A2118:$ZZ2118,CALC!$P$1))))=INT(SIMOPS!$D$3),IFERROR(UPPER(TRIM(INDEX(BASELINE!$A2118:$ZZ2118,CALC!$R$1)&amp;"")),"")&lt;&gt;"ENCERRADA"),1,0),0)</f>
        <v/>
      </c>
      <c r="B2118">
        <f>B2117+A2118</f>
        <v/>
      </c>
    </row>
    <row r="2119">
      <c r="A2119">
        <f>IFERROR(IF(AND(INDEX(BASELINE!$A2119:$ZZ2119,CALC!$H$1)&lt;&gt;"",INT(IF(AND(CALC!$F$1&gt;0,N(INDEX(BASELINE!$A2119:$ZZ2119,CALC!$F$1))&gt;0),N(INDEX(BASELINE!$A2119:$ZZ2119,CALC!$F$1)),N(INDEX(BASELINE!$A2119:$ZZ2119,CALC!$P$1))))=INT(SIMOPS!$D$3),IFERROR(UPPER(TRIM(INDEX(BASELINE!$A2119:$ZZ2119,CALC!$R$1)&amp;"")),"")&lt;&gt;"ENCERRADA"),1,0),0)</f>
        <v/>
      </c>
      <c r="B2119">
        <f>B2118+A2119</f>
        <v/>
      </c>
    </row>
    <row r="2120">
      <c r="A2120">
        <f>IFERROR(IF(AND(INDEX(BASELINE!$A2120:$ZZ2120,CALC!$H$1)&lt;&gt;"",INT(IF(AND(CALC!$F$1&gt;0,N(INDEX(BASELINE!$A2120:$ZZ2120,CALC!$F$1))&gt;0),N(INDEX(BASELINE!$A2120:$ZZ2120,CALC!$F$1)),N(INDEX(BASELINE!$A2120:$ZZ2120,CALC!$P$1))))=INT(SIMOPS!$D$3),IFERROR(UPPER(TRIM(INDEX(BASELINE!$A2120:$ZZ2120,CALC!$R$1)&amp;"")),"")&lt;&gt;"ENCERRADA"),1,0),0)</f>
        <v/>
      </c>
      <c r="B2120">
        <f>B2119+A2120</f>
        <v/>
      </c>
    </row>
    <row r="2121">
      <c r="A2121">
        <f>IFERROR(IF(AND(INDEX(BASELINE!$A2121:$ZZ2121,CALC!$H$1)&lt;&gt;"",INT(IF(AND(CALC!$F$1&gt;0,N(INDEX(BASELINE!$A2121:$ZZ2121,CALC!$F$1))&gt;0),N(INDEX(BASELINE!$A2121:$ZZ2121,CALC!$F$1)),N(INDEX(BASELINE!$A2121:$ZZ2121,CALC!$P$1))))=INT(SIMOPS!$D$3),IFERROR(UPPER(TRIM(INDEX(BASELINE!$A2121:$ZZ2121,CALC!$R$1)&amp;"")),"")&lt;&gt;"ENCERRADA"),1,0),0)</f>
        <v/>
      </c>
      <c r="B2121">
        <f>B2120+A2121</f>
        <v/>
      </c>
    </row>
    <row r="2122">
      <c r="A2122">
        <f>IFERROR(IF(AND(INDEX(BASELINE!$A2122:$ZZ2122,CALC!$H$1)&lt;&gt;"",INT(IF(AND(CALC!$F$1&gt;0,N(INDEX(BASELINE!$A2122:$ZZ2122,CALC!$F$1))&gt;0),N(INDEX(BASELINE!$A2122:$ZZ2122,CALC!$F$1)),N(INDEX(BASELINE!$A2122:$ZZ2122,CALC!$P$1))))=INT(SIMOPS!$D$3),IFERROR(UPPER(TRIM(INDEX(BASELINE!$A2122:$ZZ2122,CALC!$R$1)&amp;"")),"")&lt;&gt;"ENCERRADA"),1,0),0)</f>
        <v/>
      </c>
      <c r="B2122">
        <f>B2121+A2122</f>
        <v/>
      </c>
    </row>
    <row r="2123">
      <c r="A2123">
        <f>IFERROR(IF(AND(INDEX(BASELINE!$A2123:$ZZ2123,CALC!$H$1)&lt;&gt;"",INT(IF(AND(CALC!$F$1&gt;0,N(INDEX(BASELINE!$A2123:$ZZ2123,CALC!$F$1))&gt;0),N(INDEX(BASELINE!$A2123:$ZZ2123,CALC!$F$1)),N(INDEX(BASELINE!$A2123:$ZZ2123,CALC!$P$1))))=INT(SIMOPS!$D$3),IFERROR(UPPER(TRIM(INDEX(BASELINE!$A2123:$ZZ2123,CALC!$R$1)&amp;"")),"")&lt;&gt;"ENCERRADA"),1,0),0)</f>
        <v/>
      </c>
      <c r="B2123">
        <f>B2122+A2123</f>
        <v/>
      </c>
    </row>
    <row r="2124">
      <c r="A2124">
        <f>IFERROR(IF(AND(INDEX(BASELINE!$A2124:$ZZ2124,CALC!$H$1)&lt;&gt;"",INT(IF(AND(CALC!$F$1&gt;0,N(INDEX(BASELINE!$A2124:$ZZ2124,CALC!$F$1))&gt;0),N(INDEX(BASELINE!$A2124:$ZZ2124,CALC!$F$1)),N(INDEX(BASELINE!$A2124:$ZZ2124,CALC!$P$1))))=INT(SIMOPS!$D$3),IFERROR(UPPER(TRIM(INDEX(BASELINE!$A2124:$ZZ2124,CALC!$R$1)&amp;"")),"")&lt;&gt;"ENCERRADA"),1,0),0)</f>
        <v/>
      </c>
      <c r="B2124">
        <f>B2123+A2124</f>
        <v/>
      </c>
    </row>
    <row r="2125">
      <c r="A2125">
        <f>IFERROR(IF(AND(INDEX(BASELINE!$A2125:$ZZ2125,CALC!$H$1)&lt;&gt;"",INT(IF(AND(CALC!$F$1&gt;0,N(INDEX(BASELINE!$A2125:$ZZ2125,CALC!$F$1))&gt;0),N(INDEX(BASELINE!$A2125:$ZZ2125,CALC!$F$1)),N(INDEX(BASELINE!$A2125:$ZZ2125,CALC!$P$1))))=INT(SIMOPS!$D$3),IFERROR(UPPER(TRIM(INDEX(BASELINE!$A2125:$ZZ2125,CALC!$R$1)&amp;"")),"")&lt;&gt;"ENCERRADA"),1,0),0)</f>
        <v/>
      </c>
      <c r="B2125">
        <f>B2124+A2125</f>
        <v/>
      </c>
    </row>
    <row r="2126">
      <c r="A2126">
        <f>IFERROR(IF(AND(INDEX(BASELINE!$A2126:$ZZ2126,CALC!$H$1)&lt;&gt;"",INT(IF(AND(CALC!$F$1&gt;0,N(INDEX(BASELINE!$A2126:$ZZ2126,CALC!$F$1))&gt;0),N(INDEX(BASELINE!$A2126:$ZZ2126,CALC!$F$1)),N(INDEX(BASELINE!$A2126:$ZZ2126,CALC!$P$1))))=INT(SIMOPS!$D$3),IFERROR(UPPER(TRIM(INDEX(BASELINE!$A2126:$ZZ2126,CALC!$R$1)&amp;"")),"")&lt;&gt;"ENCERRADA"),1,0),0)</f>
        <v/>
      </c>
      <c r="B2126">
        <f>B2125+A2126</f>
        <v/>
      </c>
    </row>
    <row r="2127">
      <c r="A2127">
        <f>IFERROR(IF(AND(INDEX(BASELINE!$A2127:$ZZ2127,CALC!$H$1)&lt;&gt;"",INT(IF(AND(CALC!$F$1&gt;0,N(INDEX(BASELINE!$A2127:$ZZ2127,CALC!$F$1))&gt;0),N(INDEX(BASELINE!$A2127:$ZZ2127,CALC!$F$1)),N(INDEX(BASELINE!$A2127:$ZZ2127,CALC!$P$1))))=INT(SIMOPS!$D$3),IFERROR(UPPER(TRIM(INDEX(BASELINE!$A2127:$ZZ2127,CALC!$R$1)&amp;"")),"")&lt;&gt;"ENCERRADA"),1,0),0)</f>
        <v/>
      </c>
      <c r="B2127">
        <f>B2126+A2127</f>
        <v/>
      </c>
    </row>
    <row r="2128">
      <c r="A2128">
        <f>IFERROR(IF(AND(INDEX(BASELINE!$A2128:$ZZ2128,CALC!$H$1)&lt;&gt;"",INT(IF(AND(CALC!$F$1&gt;0,N(INDEX(BASELINE!$A2128:$ZZ2128,CALC!$F$1))&gt;0),N(INDEX(BASELINE!$A2128:$ZZ2128,CALC!$F$1)),N(INDEX(BASELINE!$A2128:$ZZ2128,CALC!$P$1))))=INT(SIMOPS!$D$3),IFERROR(UPPER(TRIM(INDEX(BASELINE!$A2128:$ZZ2128,CALC!$R$1)&amp;"")),"")&lt;&gt;"ENCERRADA"),1,0),0)</f>
        <v/>
      </c>
      <c r="B2128">
        <f>B2127+A2128</f>
        <v/>
      </c>
    </row>
    <row r="2129">
      <c r="A2129">
        <f>IFERROR(IF(AND(INDEX(BASELINE!$A2129:$ZZ2129,CALC!$H$1)&lt;&gt;"",INT(IF(AND(CALC!$F$1&gt;0,N(INDEX(BASELINE!$A2129:$ZZ2129,CALC!$F$1))&gt;0),N(INDEX(BASELINE!$A2129:$ZZ2129,CALC!$F$1)),N(INDEX(BASELINE!$A2129:$ZZ2129,CALC!$P$1))))=INT(SIMOPS!$D$3),IFERROR(UPPER(TRIM(INDEX(BASELINE!$A2129:$ZZ2129,CALC!$R$1)&amp;"")),"")&lt;&gt;"ENCERRADA"),1,0),0)</f>
        <v/>
      </c>
      <c r="B2129">
        <f>B2128+A2129</f>
        <v/>
      </c>
    </row>
    <row r="2130">
      <c r="A2130">
        <f>IFERROR(IF(AND(INDEX(BASELINE!$A2130:$ZZ2130,CALC!$H$1)&lt;&gt;"",INT(IF(AND(CALC!$F$1&gt;0,N(INDEX(BASELINE!$A2130:$ZZ2130,CALC!$F$1))&gt;0),N(INDEX(BASELINE!$A2130:$ZZ2130,CALC!$F$1)),N(INDEX(BASELINE!$A2130:$ZZ2130,CALC!$P$1))))=INT(SIMOPS!$D$3),IFERROR(UPPER(TRIM(INDEX(BASELINE!$A2130:$ZZ2130,CALC!$R$1)&amp;"")),"")&lt;&gt;"ENCERRADA"),1,0),0)</f>
        <v/>
      </c>
      <c r="B2130">
        <f>B2129+A2130</f>
        <v/>
      </c>
    </row>
    <row r="2131">
      <c r="A2131">
        <f>IFERROR(IF(AND(INDEX(BASELINE!$A2131:$ZZ2131,CALC!$H$1)&lt;&gt;"",INT(IF(AND(CALC!$F$1&gt;0,N(INDEX(BASELINE!$A2131:$ZZ2131,CALC!$F$1))&gt;0),N(INDEX(BASELINE!$A2131:$ZZ2131,CALC!$F$1)),N(INDEX(BASELINE!$A2131:$ZZ2131,CALC!$P$1))))=INT(SIMOPS!$D$3),IFERROR(UPPER(TRIM(INDEX(BASELINE!$A2131:$ZZ2131,CALC!$R$1)&amp;"")),"")&lt;&gt;"ENCERRADA"),1,0),0)</f>
        <v/>
      </c>
      <c r="B2131">
        <f>B2130+A2131</f>
        <v/>
      </c>
    </row>
    <row r="2132">
      <c r="A2132">
        <f>IFERROR(IF(AND(INDEX(BASELINE!$A2132:$ZZ2132,CALC!$H$1)&lt;&gt;"",INT(IF(AND(CALC!$F$1&gt;0,N(INDEX(BASELINE!$A2132:$ZZ2132,CALC!$F$1))&gt;0),N(INDEX(BASELINE!$A2132:$ZZ2132,CALC!$F$1)),N(INDEX(BASELINE!$A2132:$ZZ2132,CALC!$P$1))))=INT(SIMOPS!$D$3),IFERROR(UPPER(TRIM(INDEX(BASELINE!$A2132:$ZZ2132,CALC!$R$1)&amp;"")),"")&lt;&gt;"ENCERRADA"),1,0),0)</f>
        <v/>
      </c>
      <c r="B2132">
        <f>B2131+A2132</f>
        <v/>
      </c>
    </row>
    <row r="2133">
      <c r="A2133">
        <f>IFERROR(IF(AND(INDEX(BASELINE!$A2133:$ZZ2133,CALC!$H$1)&lt;&gt;"",INT(IF(AND(CALC!$F$1&gt;0,N(INDEX(BASELINE!$A2133:$ZZ2133,CALC!$F$1))&gt;0),N(INDEX(BASELINE!$A2133:$ZZ2133,CALC!$F$1)),N(INDEX(BASELINE!$A2133:$ZZ2133,CALC!$P$1))))=INT(SIMOPS!$D$3),IFERROR(UPPER(TRIM(INDEX(BASELINE!$A2133:$ZZ2133,CALC!$R$1)&amp;"")),"")&lt;&gt;"ENCERRADA"),1,0),0)</f>
        <v/>
      </c>
      <c r="B2133">
        <f>B2132+A2133</f>
        <v/>
      </c>
    </row>
    <row r="2134">
      <c r="A2134">
        <f>IFERROR(IF(AND(INDEX(BASELINE!$A2134:$ZZ2134,CALC!$H$1)&lt;&gt;"",INT(IF(AND(CALC!$F$1&gt;0,N(INDEX(BASELINE!$A2134:$ZZ2134,CALC!$F$1))&gt;0),N(INDEX(BASELINE!$A2134:$ZZ2134,CALC!$F$1)),N(INDEX(BASELINE!$A2134:$ZZ2134,CALC!$P$1))))=INT(SIMOPS!$D$3),IFERROR(UPPER(TRIM(INDEX(BASELINE!$A2134:$ZZ2134,CALC!$R$1)&amp;"")),"")&lt;&gt;"ENCERRADA"),1,0),0)</f>
        <v/>
      </c>
      <c r="B2134">
        <f>B2133+A2134</f>
        <v/>
      </c>
    </row>
    <row r="2135">
      <c r="A2135">
        <f>IFERROR(IF(AND(INDEX(BASELINE!$A2135:$ZZ2135,CALC!$H$1)&lt;&gt;"",INT(IF(AND(CALC!$F$1&gt;0,N(INDEX(BASELINE!$A2135:$ZZ2135,CALC!$F$1))&gt;0),N(INDEX(BASELINE!$A2135:$ZZ2135,CALC!$F$1)),N(INDEX(BASELINE!$A2135:$ZZ2135,CALC!$P$1))))=INT(SIMOPS!$D$3),IFERROR(UPPER(TRIM(INDEX(BASELINE!$A2135:$ZZ2135,CALC!$R$1)&amp;"")),"")&lt;&gt;"ENCERRADA"),1,0),0)</f>
        <v/>
      </c>
      <c r="B2135">
        <f>B2134+A2135</f>
        <v/>
      </c>
    </row>
    <row r="2136">
      <c r="A2136">
        <f>IFERROR(IF(AND(INDEX(BASELINE!$A2136:$ZZ2136,CALC!$H$1)&lt;&gt;"",INT(IF(AND(CALC!$F$1&gt;0,N(INDEX(BASELINE!$A2136:$ZZ2136,CALC!$F$1))&gt;0),N(INDEX(BASELINE!$A2136:$ZZ2136,CALC!$F$1)),N(INDEX(BASELINE!$A2136:$ZZ2136,CALC!$P$1))))=INT(SIMOPS!$D$3),IFERROR(UPPER(TRIM(INDEX(BASELINE!$A2136:$ZZ2136,CALC!$R$1)&amp;"")),"")&lt;&gt;"ENCERRADA"),1,0),0)</f>
        <v/>
      </c>
      <c r="B2136">
        <f>B2135+A2136</f>
        <v/>
      </c>
    </row>
    <row r="2137">
      <c r="A2137">
        <f>IFERROR(IF(AND(INDEX(BASELINE!$A2137:$ZZ2137,CALC!$H$1)&lt;&gt;"",INT(IF(AND(CALC!$F$1&gt;0,N(INDEX(BASELINE!$A2137:$ZZ2137,CALC!$F$1))&gt;0),N(INDEX(BASELINE!$A2137:$ZZ2137,CALC!$F$1)),N(INDEX(BASELINE!$A2137:$ZZ2137,CALC!$P$1))))=INT(SIMOPS!$D$3),IFERROR(UPPER(TRIM(INDEX(BASELINE!$A2137:$ZZ2137,CALC!$R$1)&amp;"")),"")&lt;&gt;"ENCERRADA"),1,0),0)</f>
        <v/>
      </c>
      <c r="B2137">
        <f>B2136+A2137</f>
        <v/>
      </c>
    </row>
    <row r="2138">
      <c r="A2138">
        <f>IFERROR(IF(AND(INDEX(BASELINE!$A2138:$ZZ2138,CALC!$H$1)&lt;&gt;"",INT(IF(AND(CALC!$F$1&gt;0,N(INDEX(BASELINE!$A2138:$ZZ2138,CALC!$F$1))&gt;0),N(INDEX(BASELINE!$A2138:$ZZ2138,CALC!$F$1)),N(INDEX(BASELINE!$A2138:$ZZ2138,CALC!$P$1))))=INT(SIMOPS!$D$3),IFERROR(UPPER(TRIM(INDEX(BASELINE!$A2138:$ZZ2138,CALC!$R$1)&amp;"")),"")&lt;&gt;"ENCERRADA"),1,0),0)</f>
        <v/>
      </c>
      <c r="B2138">
        <f>B2137+A2138</f>
        <v/>
      </c>
    </row>
    <row r="2139">
      <c r="A2139">
        <f>IFERROR(IF(AND(INDEX(BASELINE!$A2139:$ZZ2139,CALC!$H$1)&lt;&gt;"",INT(IF(AND(CALC!$F$1&gt;0,N(INDEX(BASELINE!$A2139:$ZZ2139,CALC!$F$1))&gt;0),N(INDEX(BASELINE!$A2139:$ZZ2139,CALC!$F$1)),N(INDEX(BASELINE!$A2139:$ZZ2139,CALC!$P$1))))=INT(SIMOPS!$D$3),IFERROR(UPPER(TRIM(INDEX(BASELINE!$A2139:$ZZ2139,CALC!$R$1)&amp;"")),"")&lt;&gt;"ENCERRADA"),1,0),0)</f>
        <v/>
      </c>
      <c r="B2139">
        <f>B2138+A2139</f>
        <v/>
      </c>
    </row>
    <row r="2140">
      <c r="A2140">
        <f>IFERROR(IF(AND(INDEX(BASELINE!$A2140:$ZZ2140,CALC!$H$1)&lt;&gt;"",INT(IF(AND(CALC!$F$1&gt;0,N(INDEX(BASELINE!$A2140:$ZZ2140,CALC!$F$1))&gt;0),N(INDEX(BASELINE!$A2140:$ZZ2140,CALC!$F$1)),N(INDEX(BASELINE!$A2140:$ZZ2140,CALC!$P$1))))=INT(SIMOPS!$D$3),IFERROR(UPPER(TRIM(INDEX(BASELINE!$A2140:$ZZ2140,CALC!$R$1)&amp;"")),"")&lt;&gt;"ENCERRADA"),1,0),0)</f>
        <v/>
      </c>
      <c r="B2140">
        <f>B2139+A2140</f>
        <v/>
      </c>
    </row>
    <row r="2141">
      <c r="A2141">
        <f>IFERROR(IF(AND(INDEX(BASELINE!$A2141:$ZZ2141,CALC!$H$1)&lt;&gt;"",INT(IF(AND(CALC!$F$1&gt;0,N(INDEX(BASELINE!$A2141:$ZZ2141,CALC!$F$1))&gt;0),N(INDEX(BASELINE!$A2141:$ZZ2141,CALC!$F$1)),N(INDEX(BASELINE!$A2141:$ZZ2141,CALC!$P$1))))=INT(SIMOPS!$D$3),IFERROR(UPPER(TRIM(INDEX(BASELINE!$A2141:$ZZ2141,CALC!$R$1)&amp;"")),"")&lt;&gt;"ENCERRADA"),1,0),0)</f>
        <v/>
      </c>
      <c r="B2141">
        <f>B2140+A2141</f>
        <v/>
      </c>
    </row>
    <row r="2142">
      <c r="A2142">
        <f>IFERROR(IF(AND(INDEX(BASELINE!$A2142:$ZZ2142,CALC!$H$1)&lt;&gt;"",INT(IF(AND(CALC!$F$1&gt;0,N(INDEX(BASELINE!$A2142:$ZZ2142,CALC!$F$1))&gt;0),N(INDEX(BASELINE!$A2142:$ZZ2142,CALC!$F$1)),N(INDEX(BASELINE!$A2142:$ZZ2142,CALC!$P$1))))=INT(SIMOPS!$D$3),IFERROR(UPPER(TRIM(INDEX(BASELINE!$A2142:$ZZ2142,CALC!$R$1)&amp;"")),"")&lt;&gt;"ENCERRADA"),1,0),0)</f>
        <v/>
      </c>
      <c r="B2142">
        <f>B2141+A2142</f>
        <v/>
      </c>
    </row>
    <row r="2143">
      <c r="A2143">
        <f>IFERROR(IF(AND(INDEX(BASELINE!$A2143:$ZZ2143,CALC!$H$1)&lt;&gt;"",INT(IF(AND(CALC!$F$1&gt;0,N(INDEX(BASELINE!$A2143:$ZZ2143,CALC!$F$1))&gt;0),N(INDEX(BASELINE!$A2143:$ZZ2143,CALC!$F$1)),N(INDEX(BASELINE!$A2143:$ZZ2143,CALC!$P$1))))=INT(SIMOPS!$D$3),IFERROR(UPPER(TRIM(INDEX(BASELINE!$A2143:$ZZ2143,CALC!$R$1)&amp;"")),"")&lt;&gt;"ENCERRADA"),1,0),0)</f>
        <v/>
      </c>
      <c r="B2143">
        <f>B2142+A2143</f>
        <v/>
      </c>
    </row>
    <row r="2144">
      <c r="A2144">
        <f>IFERROR(IF(AND(INDEX(BASELINE!$A2144:$ZZ2144,CALC!$H$1)&lt;&gt;"",INT(IF(AND(CALC!$F$1&gt;0,N(INDEX(BASELINE!$A2144:$ZZ2144,CALC!$F$1))&gt;0),N(INDEX(BASELINE!$A2144:$ZZ2144,CALC!$F$1)),N(INDEX(BASELINE!$A2144:$ZZ2144,CALC!$P$1))))=INT(SIMOPS!$D$3),IFERROR(UPPER(TRIM(INDEX(BASELINE!$A2144:$ZZ2144,CALC!$R$1)&amp;"")),"")&lt;&gt;"ENCERRADA"),1,0),0)</f>
        <v/>
      </c>
      <c r="B2144">
        <f>B2143+A2144</f>
        <v/>
      </c>
    </row>
    <row r="2145">
      <c r="A2145">
        <f>IFERROR(IF(AND(INDEX(BASELINE!$A2145:$ZZ2145,CALC!$H$1)&lt;&gt;"",INT(IF(AND(CALC!$F$1&gt;0,N(INDEX(BASELINE!$A2145:$ZZ2145,CALC!$F$1))&gt;0),N(INDEX(BASELINE!$A2145:$ZZ2145,CALC!$F$1)),N(INDEX(BASELINE!$A2145:$ZZ2145,CALC!$P$1))))=INT(SIMOPS!$D$3),IFERROR(UPPER(TRIM(INDEX(BASELINE!$A2145:$ZZ2145,CALC!$R$1)&amp;"")),"")&lt;&gt;"ENCERRADA"),1,0),0)</f>
        <v/>
      </c>
      <c r="B2145">
        <f>B2144+A2145</f>
        <v/>
      </c>
    </row>
    <row r="2146">
      <c r="A2146">
        <f>IFERROR(IF(AND(INDEX(BASELINE!$A2146:$ZZ2146,CALC!$H$1)&lt;&gt;"",INT(IF(AND(CALC!$F$1&gt;0,N(INDEX(BASELINE!$A2146:$ZZ2146,CALC!$F$1))&gt;0),N(INDEX(BASELINE!$A2146:$ZZ2146,CALC!$F$1)),N(INDEX(BASELINE!$A2146:$ZZ2146,CALC!$P$1))))=INT(SIMOPS!$D$3),IFERROR(UPPER(TRIM(INDEX(BASELINE!$A2146:$ZZ2146,CALC!$R$1)&amp;"")),"")&lt;&gt;"ENCERRADA"),1,0),0)</f>
        <v/>
      </c>
      <c r="B2146">
        <f>B2145+A2146</f>
        <v/>
      </c>
    </row>
    <row r="2147">
      <c r="A2147">
        <f>IFERROR(IF(AND(INDEX(BASELINE!$A2147:$ZZ2147,CALC!$H$1)&lt;&gt;"",INT(IF(AND(CALC!$F$1&gt;0,N(INDEX(BASELINE!$A2147:$ZZ2147,CALC!$F$1))&gt;0),N(INDEX(BASELINE!$A2147:$ZZ2147,CALC!$F$1)),N(INDEX(BASELINE!$A2147:$ZZ2147,CALC!$P$1))))=INT(SIMOPS!$D$3),IFERROR(UPPER(TRIM(INDEX(BASELINE!$A2147:$ZZ2147,CALC!$R$1)&amp;"")),"")&lt;&gt;"ENCERRADA"),1,0),0)</f>
        <v/>
      </c>
      <c r="B2147">
        <f>B2146+A2147</f>
        <v/>
      </c>
    </row>
    <row r="2148">
      <c r="A2148">
        <f>IFERROR(IF(AND(INDEX(BASELINE!$A2148:$ZZ2148,CALC!$H$1)&lt;&gt;"",INT(IF(AND(CALC!$F$1&gt;0,N(INDEX(BASELINE!$A2148:$ZZ2148,CALC!$F$1))&gt;0),N(INDEX(BASELINE!$A2148:$ZZ2148,CALC!$F$1)),N(INDEX(BASELINE!$A2148:$ZZ2148,CALC!$P$1))))=INT(SIMOPS!$D$3),IFERROR(UPPER(TRIM(INDEX(BASELINE!$A2148:$ZZ2148,CALC!$R$1)&amp;"")),"")&lt;&gt;"ENCERRADA"),1,0),0)</f>
        <v/>
      </c>
      <c r="B2148">
        <f>B2147+A2148</f>
        <v/>
      </c>
    </row>
    <row r="2149">
      <c r="A2149">
        <f>IFERROR(IF(AND(INDEX(BASELINE!$A2149:$ZZ2149,CALC!$H$1)&lt;&gt;"",INT(IF(AND(CALC!$F$1&gt;0,N(INDEX(BASELINE!$A2149:$ZZ2149,CALC!$F$1))&gt;0),N(INDEX(BASELINE!$A2149:$ZZ2149,CALC!$F$1)),N(INDEX(BASELINE!$A2149:$ZZ2149,CALC!$P$1))))=INT(SIMOPS!$D$3),IFERROR(UPPER(TRIM(INDEX(BASELINE!$A2149:$ZZ2149,CALC!$R$1)&amp;"")),"")&lt;&gt;"ENCERRADA"),1,0),0)</f>
        <v/>
      </c>
      <c r="B2149">
        <f>B2148+A2149</f>
        <v/>
      </c>
    </row>
    <row r="2150">
      <c r="A2150">
        <f>IFERROR(IF(AND(INDEX(BASELINE!$A2150:$ZZ2150,CALC!$H$1)&lt;&gt;"",INT(IF(AND(CALC!$F$1&gt;0,N(INDEX(BASELINE!$A2150:$ZZ2150,CALC!$F$1))&gt;0),N(INDEX(BASELINE!$A2150:$ZZ2150,CALC!$F$1)),N(INDEX(BASELINE!$A2150:$ZZ2150,CALC!$P$1))))=INT(SIMOPS!$D$3),IFERROR(UPPER(TRIM(INDEX(BASELINE!$A2150:$ZZ2150,CALC!$R$1)&amp;"")),"")&lt;&gt;"ENCERRADA"),1,0),0)</f>
        <v/>
      </c>
      <c r="B2150">
        <f>B2149+A2150</f>
        <v/>
      </c>
    </row>
    <row r="2151">
      <c r="A2151">
        <f>IFERROR(IF(AND(INDEX(BASELINE!$A2151:$ZZ2151,CALC!$H$1)&lt;&gt;"",INT(IF(AND(CALC!$F$1&gt;0,N(INDEX(BASELINE!$A2151:$ZZ2151,CALC!$F$1))&gt;0),N(INDEX(BASELINE!$A2151:$ZZ2151,CALC!$F$1)),N(INDEX(BASELINE!$A2151:$ZZ2151,CALC!$P$1))))=INT(SIMOPS!$D$3),IFERROR(UPPER(TRIM(INDEX(BASELINE!$A2151:$ZZ2151,CALC!$R$1)&amp;"")),"")&lt;&gt;"ENCERRADA"),1,0),0)</f>
        <v/>
      </c>
      <c r="B2151">
        <f>B2150+A2151</f>
        <v/>
      </c>
    </row>
    <row r="2152">
      <c r="A2152">
        <f>IFERROR(IF(AND(INDEX(BASELINE!$A2152:$ZZ2152,CALC!$H$1)&lt;&gt;"",INT(IF(AND(CALC!$F$1&gt;0,N(INDEX(BASELINE!$A2152:$ZZ2152,CALC!$F$1))&gt;0),N(INDEX(BASELINE!$A2152:$ZZ2152,CALC!$F$1)),N(INDEX(BASELINE!$A2152:$ZZ2152,CALC!$P$1))))=INT(SIMOPS!$D$3),IFERROR(UPPER(TRIM(INDEX(BASELINE!$A2152:$ZZ2152,CALC!$R$1)&amp;"")),"")&lt;&gt;"ENCERRADA"),1,0),0)</f>
        <v/>
      </c>
      <c r="B2152">
        <f>B2151+A2152</f>
        <v/>
      </c>
    </row>
    <row r="2153">
      <c r="A2153">
        <f>IFERROR(IF(AND(INDEX(BASELINE!$A2153:$ZZ2153,CALC!$H$1)&lt;&gt;"",INT(IF(AND(CALC!$F$1&gt;0,N(INDEX(BASELINE!$A2153:$ZZ2153,CALC!$F$1))&gt;0),N(INDEX(BASELINE!$A2153:$ZZ2153,CALC!$F$1)),N(INDEX(BASELINE!$A2153:$ZZ2153,CALC!$P$1))))=INT(SIMOPS!$D$3),IFERROR(UPPER(TRIM(INDEX(BASELINE!$A2153:$ZZ2153,CALC!$R$1)&amp;"")),"")&lt;&gt;"ENCERRADA"),1,0),0)</f>
        <v/>
      </c>
      <c r="B2153">
        <f>B2152+A2153</f>
        <v/>
      </c>
    </row>
    <row r="2154">
      <c r="A2154">
        <f>IFERROR(IF(AND(INDEX(BASELINE!$A2154:$ZZ2154,CALC!$H$1)&lt;&gt;"",INT(IF(AND(CALC!$F$1&gt;0,N(INDEX(BASELINE!$A2154:$ZZ2154,CALC!$F$1))&gt;0),N(INDEX(BASELINE!$A2154:$ZZ2154,CALC!$F$1)),N(INDEX(BASELINE!$A2154:$ZZ2154,CALC!$P$1))))=INT(SIMOPS!$D$3),IFERROR(UPPER(TRIM(INDEX(BASELINE!$A2154:$ZZ2154,CALC!$R$1)&amp;"")),"")&lt;&gt;"ENCERRADA"),1,0),0)</f>
        <v/>
      </c>
      <c r="B2154">
        <f>B2153+A2154</f>
        <v/>
      </c>
    </row>
    <row r="2155">
      <c r="A2155">
        <f>IFERROR(IF(AND(INDEX(BASELINE!$A2155:$ZZ2155,CALC!$H$1)&lt;&gt;"",INT(IF(AND(CALC!$F$1&gt;0,N(INDEX(BASELINE!$A2155:$ZZ2155,CALC!$F$1))&gt;0),N(INDEX(BASELINE!$A2155:$ZZ2155,CALC!$F$1)),N(INDEX(BASELINE!$A2155:$ZZ2155,CALC!$P$1))))=INT(SIMOPS!$D$3),IFERROR(UPPER(TRIM(INDEX(BASELINE!$A2155:$ZZ2155,CALC!$R$1)&amp;"")),"")&lt;&gt;"ENCERRADA"),1,0),0)</f>
        <v/>
      </c>
      <c r="B2155">
        <f>B2154+A2155</f>
        <v/>
      </c>
    </row>
    <row r="2156">
      <c r="A2156">
        <f>IFERROR(IF(AND(INDEX(BASELINE!$A2156:$ZZ2156,CALC!$H$1)&lt;&gt;"",INT(IF(AND(CALC!$F$1&gt;0,N(INDEX(BASELINE!$A2156:$ZZ2156,CALC!$F$1))&gt;0),N(INDEX(BASELINE!$A2156:$ZZ2156,CALC!$F$1)),N(INDEX(BASELINE!$A2156:$ZZ2156,CALC!$P$1))))=INT(SIMOPS!$D$3),IFERROR(UPPER(TRIM(INDEX(BASELINE!$A2156:$ZZ2156,CALC!$R$1)&amp;"")),"")&lt;&gt;"ENCERRADA"),1,0),0)</f>
        <v/>
      </c>
      <c r="B2156">
        <f>B2155+A2156</f>
        <v/>
      </c>
    </row>
    <row r="2157">
      <c r="A2157">
        <f>IFERROR(IF(AND(INDEX(BASELINE!$A2157:$ZZ2157,CALC!$H$1)&lt;&gt;"",INT(IF(AND(CALC!$F$1&gt;0,N(INDEX(BASELINE!$A2157:$ZZ2157,CALC!$F$1))&gt;0),N(INDEX(BASELINE!$A2157:$ZZ2157,CALC!$F$1)),N(INDEX(BASELINE!$A2157:$ZZ2157,CALC!$P$1))))=INT(SIMOPS!$D$3),IFERROR(UPPER(TRIM(INDEX(BASELINE!$A2157:$ZZ2157,CALC!$R$1)&amp;"")),"")&lt;&gt;"ENCERRADA"),1,0),0)</f>
        <v/>
      </c>
      <c r="B2157">
        <f>B2156+A2157</f>
        <v/>
      </c>
    </row>
    <row r="2158">
      <c r="A2158">
        <f>IFERROR(IF(AND(INDEX(BASELINE!$A2158:$ZZ2158,CALC!$H$1)&lt;&gt;"",INT(IF(AND(CALC!$F$1&gt;0,N(INDEX(BASELINE!$A2158:$ZZ2158,CALC!$F$1))&gt;0),N(INDEX(BASELINE!$A2158:$ZZ2158,CALC!$F$1)),N(INDEX(BASELINE!$A2158:$ZZ2158,CALC!$P$1))))=INT(SIMOPS!$D$3),IFERROR(UPPER(TRIM(INDEX(BASELINE!$A2158:$ZZ2158,CALC!$R$1)&amp;"")),"")&lt;&gt;"ENCERRADA"),1,0),0)</f>
        <v/>
      </c>
      <c r="B2158">
        <f>B2157+A2158</f>
        <v/>
      </c>
    </row>
    <row r="2159">
      <c r="A2159">
        <f>IFERROR(IF(AND(INDEX(BASELINE!$A2159:$ZZ2159,CALC!$H$1)&lt;&gt;"",INT(IF(AND(CALC!$F$1&gt;0,N(INDEX(BASELINE!$A2159:$ZZ2159,CALC!$F$1))&gt;0),N(INDEX(BASELINE!$A2159:$ZZ2159,CALC!$F$1)),N(INDEX(BASELINE!$A2159:$ZZ2159,CALC!$P$1))))=INT(SIMOPS!$D$3),IFERROR(UPPER(TRIM(INDEX(BASELINE!$A2159:$ZZ2159,CALC!$R$1)&amp;"")),"")&lt;&gt;"ENCERRADA"),1,0),0)</f>
        <v/>
      </c>
      <c r="B2159">
        <f>B2158+A2159</f>
        <v/>
      </c>
    </row>
    <row r="2160">
      <c r="A2160">
        <f>IFERROR(IF(AND(INDEX(BASELINE!$A2160:$ZZ2160,CALC!$H$1)&lt;&gt;"",INT(IF(AND(CALC!$F$1&gt;0,N(INDEX(BASELINE!$A2160:$ZZ2160,CALC!$F$1))&gt;0),N(INDEX(BASELINE!$A2160:$ZZ2160,CALC!$F$1)),N(INDEX(BASELINE!$A2160:$ZZ2160,CALC!$P$1))))=INT(SIMOPS!$D$3),IFERROR(UPPER(TRIM(INDEX(BASELINE!$A2160:$ZZ2160,CALC!$R$1)&amp;"")),"")&lt;&gt;"ENCERRADA"),1,0),0)</f>
        <v/>
      </c>
      <c r="B2160">
        <f>B2159+A2160</f>
        <v/>
      </c>
    </row>
    <row r="2161">
      <c r="A2161">
        <f>IFERROR(IF(AND(INDEX(BASELINE!$A2161:$ZZ2161,CALC!$H$1)&lt;&gt;"",INT(IF(AND(CALC!$F$1&gt;0,N(INDEX(BASELINE!$A2161:$ZZ2161,CALC!$F$1))&gt;0),N(INDEX(BASELINE!$A2161:$ZZ2161,CALC!$F$1)),N(INDEX(BASELINE!$A2161:$ZZ2161,CALC!$P$1))))=INT(SIMOPS!$D$3),IFERROR(UPPER(TRIM(INDEX(BASELINE!$A2161:$ZZ2161,CALC!$R$1)&amp;"")),"")&lt;&gt;"ENCERRADA"),1,0),0)</f>
        <v/>
      </c>
      <c r="B2161">
        <f>B2160+A2161</f>
        <v/>
      </c>
    </row>
    <row r="2162">
      <c r="A2162">
        <f>IFERROR(IF(AND(INDEX(BASELINE!$A2162:$ZZ2162,CALC!$H$1)&lt;&gt;"",INT(IF(AND(CALC!$F$1&gt;0,N(INDEX(BASELINE!$A2162:$ZZ2162,CALC!$F$1))&gt;0),N(INDEX(BASELINE!$A2162:$ZZ2162,CALC!$F$1)),N(INDEX(BASELINE!$A2162:$ZZ2162,CALC!$P$1))))=INT(SIMOPS!$D$3),IFERROR(UPPER(TRIM(INDEX(BASELINE!$A2162:$ZZ2162,CALC!$R$1)&amp;"")),"")&lt;&gt;"ENCERRADA"),1,0),0)</f>
        <v/>
      </c>
      <c r="B2162">
        <f>B2161+A2162</f>
        <v/>
      </c>
    </row>
    <row r="2163">
      <c r="A2163">
        <f>IFERROR(IF(AND(INDEX(BASELINE!$A2163:$ZZ2163,CALC!$H$1)&lt;&gt;"",INT(IF(AND(CALC!$F$1&gt;0,N(INDEX(BASELINE!$A2163:$ZZ2163,CALC!$F$1))&gt;0),N(INDEX(BASELINE!$A2163:$ZZ2163,CALC!$F$1)),N(INDEX(BASELINE!$A2163:$ZZ2163,CALC!$P$1))))=INT(SIMOPS!$D$3),IFERROR(UPPER(TRIM(INDEX(BASELINE!$A2163:$ZZ2163,CALC!$R$1)&amp;"")),"")&lt;&gt;"ENCERRADA"),1,0),0)</f>
        <v/>
      </c>
      <c r="B2163">
        <f>B2162+A2163</f>
        <v/>
      </c>
    </row>
    <row r="2164">
      <c r="A2164">
        <f>IFERROR(IF(AND(INDEX(BASELINE!$A2164:$ZZ2164,CALC!$H$1)&lt;&gt;"",INT(IF(AND(CALC!$F$1&gt;0,N(INDEX(BASELINE!$A2164:$ZZ2164,CALC!$F$1))&gt;0),N(INDEX(BASELINE!$A2164:$ZZ2164,CALC!$F$1)),N(INDEX(BASELINE!$A2164:$ZZ2164,CALC!$P$1))))=INT(SIMOPS!$D$3),IFERROR(UPPER(TRIM(INDEX(BASELINE!$A2164:$ZZ2164,CALC!$R$1)&amp;"")),"")&lt;&gt;"ENCERRADA"),1,0),0)</f>
        <v/>
      </c>
      <c r="B2164">
        <f>B2163+A2164</f>
        <v/>
      </c>
    </row>
    <row r="2165">
      <c r="A2165">
        <f>IFERROR(IF(AND(INDEX(BASELINE!$A2165:$ZZ2165,CALC!$H$1)&lt;&gt;"",INT(IF(AND(CALC!$F$1&gt;0,N(INDEX(BASELINE!$A2165:$ZZ2165,CALC!$F$1))&gt;0),N(INDEX(BASELINE!$A2165:$ZZ2165,CALC!$F$1)),N(INDEX(BASELINE!$A2165:$ZZ2165,CALC!$P$1))))=INT(SIMOPS!$D$3),IFERROR(UPPER(TRIM(INDEX(BASELINE!$A2165:$ZZ2165,CALC!$R$1)&amp;"")),"")&lt;&gt;"ENCERRADA"),1,0),0)</f>
        <v/>
      </c>
      <c r="B2165">
        <f>B2164+A2165</f>
        <v/>
      </c>
    </row>
    <row r="2166">
      <c r="A2166">
        <f>IFERROR(IF(AND(INDEX(BASELINE!$A2166:$ZZ2166,CALC!$H$1)&lt;&gt;"",INT(IF(AND(CALC!$F$1&gt;0,N(INDEX(BASELINE!$A2166:$ZZ2166,CALC!$F$1))&gt;0),N(INDEX(BASELINE!$A2166:$ZZ2166,CALC!$F$1)),N(INDEX(BASELINE!$A2166:$ZZ2166,CALC!$P$1))))=INT(SIMOPS!$D$3),IFERROR(UPPER(TRIM(INDEX(BASELINE!$A2166:$ZZ2166,CALC!$R$1)&amp;"")),"")&lt;&gt;"ENCERRADA"),1,0),0)</f>
        <v/>
      </c>
      <c r="B2166">
        <f>B2165+A2166</f>
        <v/>
      </c>
    </row>
    <row r="2167">
      <c r="A2167">
        <f>IFERROR(IF(AND(INDEX(BASELINE!$A2167:$ZZ2167,CALC!$H$1)&lt;&gt;"",INT(IF(AND(CALC!$F$1&gt;0,N(INDEX(BASELINE!$A2167:$ZZ2167,CALC!$F$1))&gt;0),N(INDEX(BASELINE!$A2167:$ZZ2167,CALC!$F$1)),N(INDEX(BASELINE!$A2167:$ZZ2167,CALC!$P$1))))=INT(SIMOPS!$D$3),IFERROR(UPPER(TRIM(INDEX(BASELINE!$A2167:$ZZ2167,CALC!$R$1)&amp;"")),"")&lt;&gt;"ENCERRADA"),1,0),0)</f>
        <v/>
      </c>
      <c r="B2167">
        <f>B2166+A2167</f>
        <v/>
      </c>
    </row>
    <row r="2168">
      <c r="A2168">
        <f>IFERROR(IF(AND(INDEX(BASELINE!$A2168:$ZZ2168,CALC!$H$1)&lt;&gt;"",INT(IF(AND(CALC!$F$1&gt;0,N(INDEX(BASELINE!$A2168:$ZZ2168,CALC!$F$1))&gt;0),N(INDEX(BASELINE!$A2168:$ZZ2168,CALC!$F$1)),N(INDEX(BASELINE!$A2168:$ZZ2168,CALC!$P$1))))=INT(SIMOPS!$D$3),IFERROR(UPPER(TRIM(INDEX(BASELINE!$A2168:$ZZ2168,CALC!$R$1)&amp;"")),"")&lt;&gt;"ENCERRADA"),1,0),0)</f>
        <v/>
      </c>
      <c r="B2168">
        <f>B2167+A2168</f>
        <v/>
      </c>
    </row>
    <row r="2169">
      <c r="A2169">
        <f>IFERROR(IF(AND(INDEX(BASELINE!$A2169:$ZZ2169,CALC!$H$1)&lt;&gt;"",INT(IF(AND(CALC!$F$1&gt;0,N(INDEX(BASELINE!$A2169:$ZZ2169,CALC!$F$1))&gt;0),N(INDEX(BASELINE!$A2169:$ZZ2169,CALC!$F$1)),N(INDEX(BASELINE!$A2169:$ZZ2169,CALC!$P$1))))=INT(SIMOPS!$D$3),IFERROR(UPPER(TRIM(INDEX(BASELINE!$A2169:$ZZ2169,CALC!$R$1)&amp;"")),"")&lt;&gt;"ENCERRADA"),1,0),0)</f>
        <v/>
      </c>
      <c r="B2169">
        <f>B2168+A2169</f>
        <v/>
      </c>
    </row>
    <row r="2170">
      <c r="A2170">
        <f>IFERROR(IF(AND(INDEX(BASELINE!$A2170:$ZZ2170,CALC!$H$1)&lt;&gt;"",INT(IF(AND(CALC!$F$1&gt;0,N(INDEX(BASELINE!$A2170:$ZZ2170,CALC!$F$1))&gt;0),N(INDEX(BASELINE!$A2170:$ZZ2170,CALC!$F$1)),N(INDEX(BASELINE!$A2170:$ZZ2170,CALC!$P$1))))=INT(SIMOPS!$D$3),IFERROR(UPPER(TRIM(INDEX(BASELINE!$A2170:$ZZ2170,CALC!$R$1)&amp;"")),"")&lt;&gt;"ENCERRADA"),1,0),0)</f>
        <v/>
      </c>
      <c r="B2170">
        <f>B2169+A2170</f>
        <v/>
      </c>
    </row>
    <row r="2171">
      <c r="A2171">
        <f>IFERROR(IF(AND(INDEX(BASELINE!$A2171:$ZZ2171,CALC!$H$1)&lt;&gt;"",INT(IF(AND(CALC!$F$1&gt;0,N(INDEX(BASELINE!$A2171:$ZZ2171,CALC!$F$1))&gt;0),N(INDEX(BASELINE!$A2171:$ZZ2171,CALC!$F$1)),N(INDEX(BASELINE!$A2171:$ZZ2171,CALC!$P$1))))=INT(SIMOPS!$D$3),IFERROR(UPPER(TRIM(INDEX(BASELINE!$A2171:$ZZ2171,CALC!$R$1)&amp;"")),"")&lt;&gt;"ENCERRADA"),1,0),0)</f>
        <v/>
      </c>
      <c r="B2171">
        <f>B2170+A2171</f>
        <v/>
      </c>
    </row>
    <row r="2172">
      <c r="A2172">
        <f>IFERROR(IF(AND(INDEX(BASELINE!$A2172:$ZZ2172,CALC!$H$1)&lt;&gt;"",INT(IF(AND(CALC!$F$1&gt;0,N(INDEX(BASELINE!$A2172:$ZZ2172,CALC!$F$1))&gt;0),N(INDEX(BASELINE!$A2172:$ZZ2172,CALC!$F$1)),N(INDEX(BASELINE!$A2172:$ZZ2172,CALC!$P$1))))=INT(SIMOPS!$D$3),IFERROR(UPPER(TRIM(INDEX(BASELINE!$A2172:$ZZ2172,CALC!$R$1)&amp;"")),"")&lt;&gt;"ENCERRADA"),1,0),0)</f>
        <v/>
      </c>
      <c r="B2172">
        <f>B2171+A2172</f>
        <v/>
      </c>
    </row>
    <row r="2173">
      <c r="A2173">
        <f>IFERROR(IF(AND(INDEX(BASELINE!$A2173:$ZZ2173,CALC!$H$1)&lt;&gt;"",INT(IF(AND(CALC!$F$1&gt;0,N(INDEX(BASELINE!$A2173:$ZZ2173,CALC!$F$1))&gt;0),N(INDEX(BASELINE!$A2173:$ZZ2173,CALC!$F$1)),N(INDEX(BASELINE!$A2173:$ZZ2173,CALC!$P$1))))=INT(SIMOPS!$D$3),IFERROR(UPPER(TRIM(INDEX(BASELINE!$A2173:$ZZ2173,CALC!$R$1)&amp;"")),"")&lt;&gt;"ENCERRADA"),1,0),0)</f>
        <v/>
      </c>
      <c r="B2173">
        <f>B2172+A2173</f>
        <v/>
      </c>
    </row>
    <row r="2174">
      <c r="A2174">
        <f>IFERROR(IF(AND(INDEX(BASELINE!$A2174:$ZZ2174,CALC!$H$1)&lt;&gt;"",INT(IF(AND(CALC!$F$1&gt;0,N(INDEX(BASELINE!$A2174:$ZZ2174,CALC!$F$1))&gt;0),N(INDEX(BASELINE!$A2174:$ZZ2174,CALC!$F$1)),N(INDEX(BASELINE!$A2174:$ZZ2174,CALC!$P$1))))=INT(SIMOPS!$D$3),IFERROR(UPPER(TRIM(INDEX(BASELINE!$A2174:$ZZ2174,CALC!$R$1)&amp;"")),"")&lt;&gt;"ENCERRADA"),1,0),0)</f>
        <v/>
      </c>
      <c r="B2174">
        <f>B2173+A2174</f>
        <v/>
      </c>
    </row>
    <row r="2175">
      <c r="A2175">
        <f>IFERROR(IF(AND(INDEX(BASELINE!$A2175:$ZZ2175,CALC!$H$1)&lt;&gt;"",INT(IF(AND(CALC!$F$1&gt;0,N(INDEX(BASELINE!$A2175:$ZZ2175,CALC!$F$1))&gt;0),N(INDEX(BASELINE!$A2175:$ZZ2175,CALC!$F$1)),N(INDEX(BASELINE!$A2175:$ZZ2175,CALC!$P$1))))=INT(SIMOPS!$D$3),IFERROR(UPPER(TRIM(INDEX(BASELINE!$A2175:$ZZ2175,CALC!$R$1)&amp;"")),"")&lt;&gt;"ENCERRADA"),1,0),0)</f>
        <v/>
      </c>
      <c r="B2175">
        <f>B2174+A2175</f>
        <v/>
      </c>
    </row>
    <row r="2176">
      <c r="A2176">
        <f>IFERROR(IF(AND(INDEX(BASELINE!$A2176:$ZZ2176,CALC!$H$1)&lt;&gt;"",INT(IF(AND(CALC!$F$1&gt;0,N(INDEX(BASELINE!$A2176:$ZZ2176,CALC!$F$1))&gt;0),N(INDEX(BASELINE!$A2176:$ZZ2176,CALC!$F$1)),N(INDEX(BASELINE!$A2176:$ZZ2176,CALC!$P$1))))=INT(SIMOPS!$D$3),IFERROR(UPPER(TRIM(INDEX(BASELINE!$A2176:$ZZ2176,CALC!$R$1)&amp;"")),"")&lt;&gt;"ENCERRADA"),1,0),0)</f>
        <v/>
      </c>
      <c r="B2176">
        <f>B2175+A2176</f>
        <v/>
      </c>
    </row>
    <row r="2177">
      <c r="A2177">
        <f>IFERROR(IF(AND(INDEX(BASELINE!$A2177:$ZZ2177,CALC!$H$1)&lt;&gt;"",INT(IF(AND(CALC!$F$1&gt;0,N(INDEX(BASELINE!$A2177:$ZZ2177,CALC!$F$1))&gt;0),N(INDEX(BASELINE!$A2177:$ZZ2177,CALC!$F$1)),N(INDEX(BASELINE!$A2177:$ZZ2177,CALC!$P$1))))=INT(SIMOPS!$D$3),IFERROR(UPPER(TRIM(INDEX(BASELINE!$A2177:$ZZ2177,CALC!$R$1)&amp;"")),"")&lt;&gt;"ENCERRADA"),1,0),0)</f>
        <v/>
      </c>
      <c r="B2177">
        <f>B2176+A2177</f>
        <v/>
      </c>
    </row>
    <row r="2178">
      <c r="A2178">
        <f>IFERROR(IF(AND(INDEX(BASELINE!$A2178:$ZZ2178,CALC!$H$1)&lt;&gt;"",INT(IF(AND(CALC!$F$1&gt;0,N(INDEX(BASELINE!$A2178:$ZZ2178,CALC!$F$1))&gt;0),N(INDEX(BASELINE!$A2178:$ZZ2178,CALC!$F$1)),N(INDEX(BASELINE!$A2178:$ZZ2178,CALC!$P$1))))=INT(SIMOPS!$D$3),IFERROR(UPPER(TRIM(INDEX(BASELINE!$A2178:$ZZ2178,CALC!$R$1)&amp;"")),"")&lt;&gt;"ENCERRADA"),1,0),0)</f>
        <v/>
      </c>
      <c r="B2178">
        <f>B2177+A2178</f>
        <v/>
      </c>
    </row>
    <row r="2179">
      <c r="A2179">
        <f>IFERROR(IF(AND(INDEX(BASELINE!$A2179:$ZZ2179,CALC!$H$1)&lt;&gt;"",INT(IF(AND(CALC!$F$1&gt;0,N(INDEX(BASELINE!$A2179:$ZZ2179,CALC!$F$1))&gt;0),N(INDEX(BASELINE!$A2179:$ZZ2179,CALC!$F$1)),N(INDEX(BASELINE!$A2179:$ZZ2179,CALC!$P$1))))=INT(SIMOPS!$D$3),IFERROR(UPPER(TRIM(INDEX(BASELINE!$A2179:$ZZ2179,CALC!$R$1)&amp;"")),"")&lt;&gt;"ENCERRADA"),1,0),0)</f>
        <v/>
      </c>
      <c r="B2179">
        <f>B2178+A2179</f>
        <v/>
      </c>
    </row>
    <row r="2180">
      <c r="A2180">
        <f>IFERROR(IF(AND(INDEX(BASELINE!$A2180:$ZZ2180,CALC!$H$1)&lt;&gt;"",INT(IF(AND(CALC!$F$1&gt;0,N(INDEX(BASELINE!$A2180:$ZZ2180,CALC!$F$1))&gt;0),N(INDEX(BASELINE!$A2180:$ZZ2180,CALC!$F$1)),N(INDEX(BASELINE!$A2180:$ZZ2180,CALC!$P$1))))=INT(SIMOPS!$D$3),IFERROR(UPPER(TRIM(INDEX(BASELINE!$A2180:$ZZ2180,CALC!$R$1)&amp;"")),"")&lt;&gt;"ENCERRADA"),1,0),0)</f>
        <v/>
      </c>
      <c r="B2180">
        <f>B2179+A2180</f>
        <v/>
      </c>
    </row>
    <row r="2181">
      <c r="A2181">
        <f>IFERROR(IF(AND(INDEX(BASELINE!$A2181:$ZZ2181,CALC!$H$1)&lt;&gt;"",INT(IF(AND(CALC!$F$1&gt;0,N(INDEX(BASELINE!$A2181:$ZZ2181,CALC!$F$1))&gt;0),N(INDEX(BASELINE!$A2181:$ZZ2181,CALC!$F$1)),N(INDEX(BASELINE!$A2181:$ZZ2181,CALC!$P$1))))=INT(SIMOPS!$D$3),IFERROR(UPPER(TRIM(INDEX(BASELINE!$A2181:$ZZ2181,CALC!$R$1)&amp;"")),"")&lt;&gt;"ENCERRADA"),1,0),0)</f>
        <v/>
      </c>
      <c r="B2181">
        <f>B2180+A2181</f>
        <v/>
      </c>
    </row>
    <row r="2182">
      <c r="A2182">
        <f>IFERROR(IF(AND(INDEX(BASELINE!$A2182:$ZZ2182,CALC!$H$1)&lt;&gt;"",INT(IF(AND(CALC!$F$1&gt;0,N(INDEX(BASELINE!$A2182:$ZZ2182,CALC!$F$1))&gt;0),N(INDEX(BASELINE!$A2182:$ZZ2182,CALC!$F$1)),N(INDEX(BASELINE!$A2182:$ZZ2182,CALC!$P$1))))=INT(SIMOPS!$D$3),IFERROR(UPPER(TRIM(INDEX(BASELINE!$A2182:$ZZ2182,CALC!$R$1)&amp;"")),"")&lt;&gt;"ENCERRADA"),1,0),0)</f>
        <v/>
      </c>
      <c r="B2182">
        <f>B2181+A2182</f>
        <v/>
      </c>
    </row>
    <row r="2183">
      <c r="A2183">
        <f>IFERROR(IF(AND(INDEX(BASELINE!$A2183:$ZZ2183,CALC!$H$1)&lt;&gt;"",INT(IF(AND(CALC!$F$1&gt;0,N(INDEX(BASELINE!$A2183:$ZZ2183,CALC!$F$1))&gt;0),N(INDEX(BASELINE!$A2183:$ZZ2183,CALC!$F$1)),N(INDEX(BASELINE!$A2183:$ZZ2183,CALC!$P$1))))=INT(SIMOPS!$D$3),IFERROR(UPPER(TRIM(INDEX(BASELINE!$A2183:$ZZ2183,CALC!$R$1)&amp;"")),"")&lt;&gt;"ENCERRADA"),1,0),0)</f>
        <v/>
      </c>
      <c r="B2183">
        <f>B2182+A2183</f>
        <v/>
      </c>
    </row>
    <row r="2184">
      <c r="A2184">
        <f>IFERROR(IF(AND(INDEX(BASELINE!$A2184:$ZZ2184,CALC!$H$1)&lt;&gt;"",INT(IF(AND(CALC!$F$1&gt;0,N(INDEX(BASELINE!$A2184:$ZZ2184,CALC!$F$1))&gt;0),N(INDEX(BASELINE!$A2184:$ZZ2184,CALC!$F$1)),N(INDEX(BASELINE!$A2184:$ZZ2184,CALC!$P$1))))=INT(SIMOPS!$D$3),IFERROR(UPPER(TRIM(INDEX(BASELINE!$A2184:$ZZ2184,CALC!$R$1)&amp;"")),"")&lt;&gt;"ENCERRADA"),1,0),0)</f>
        <v/>
      </c>
      <c r="B2184">
        <f>B2183+A2184</f>
        <v/>
      </c>
    </row>
    <row r="2185">
      <c r="A2185">
        <f>IFERROR(IF(AND(INDEX(BASELINE!$A2185:$ZZ2185,CALC!$H$1)&lt;&gt;"",INT(IF(AND(CALC!$F$1&gt;0,N(INDEX(BASELINE!$A2185:$ZZ2185,CALC!$F$1))&gt;0),N(INDEX(BASELINE!$A2185:$ZZ2185,CALC!$F$1)),N(INDEX(BASELINE!$A2185:$ZZ2185,CALC!$P$1))))=INT(SIMOPS!$D$3),IFERROR(UPPER(TRIM(INDEX(BASELINE!$A2185:$ZZ2185,CALC!$R$1)&amp;"")),"")&lt;&gt;"ENCERRADA"),1,0),0)</f>
        <v/>
      </c>
      <c r="B2185">
        <f>B2184+A2185</f>
        <v/>
      </c>
    </row>
    <row r="2186">
      <c r="A2186">
        <f>IFERROR(IF(AND(INDEX(BASELINE!$A2186:$ZZ2186,CALC!$H$1)&lt;&gt;"",INT(IF(AND(CALC!$F$1&gt;0,N(INDEX(BASELINE!$A2186:$ZZ2186,CALC!$F$1))&gt;0),N(INDEX(BASELINE!$A2186:$ZZ2186,CALC!$F$1)),N(INDEX(BASELINE!$A2186:$ZZ2186,CALC!$P$1))))=INT(SIMOPS!$D$3),IFERROR(UPPER(TRIM(INDEX(BASELINE!$A2186:$ZZ2186,CALC!$R$1)&amp;"")),"")&lt;&gt;"ENCERRADA"),1,0),0)</f>
        <v/>
      </c>
      <c r="B2186">
        <f>B2185+A2186</f>
        <v/>
      </c>
    </row>
    <row r="2187">
      <c r="A2187">
        <f>IFERROR(IF(AND(INDEX(BASELINE!$A2187:$ZZ2187,CALC!$H$1)&lt;&gt;"",INT(IF(AND(CALC!$F$1&gt;0,N(INDEX(BASELINE!$A2187:$ZZ2187,CALC!$F$1))&gt;0),N(INDEX(BASELINE!$A2187:$ZZ2187,CALC!$F$1)),N(INDEX(BASELINE!$A2187:$ZZ2187,CALC!$P$1))))=INT(SIMOPS!$D$3),IFERROR(UPPER(TRIM(INDEX(BASELINE!$A2187:$ZZ2187,CALC!$R$1)&amp;"")),"")&lt;&gt;"ENCERRADA"),1,0),0)</f>
        <v/>
      </c>
      <c r="B2187">
        <f>B2186+A2187</f>
        <v/>
      </c>
    </row>
    <row r="2188">
      <c r="A2188">
        <f>IFERROR(IF(AND(INDEX(BASELINE!$A2188:$ZZ2188,CALC!$H$1)&lt;&gt;"",INT(IF(AND(CALC!$F$1&gt;0,N(INDEX(BASELINE!$A2188:$ZZ2188,CALC!$F$1))&gt;0),N(INDEX(BASELINE!$A2188:$ZZ2188,CALC!$F$1)),N(INDEX(BASELINE!$A2188:$ZZ2188,CALC!$P$1))))=INT(SIMOPS!$D$3),IFERROR(UPPER(TRIM(INDEX(BASELINE!$A2188:$ZZ2188,CALC!$R$1)&amp;"")),"")&lt;&gt;"ENCERRADA"),1,0),0)</f>
        <v/>
      </c>
      <c r="B2188">
        <f>B2187+A2188</f>
        <v/>
      </c>
    </row>
    <row r="2189">
      <c r="A2189">
        <f>IFERROR(IF(AND(INDEX(BASELINE!$A2189:$ZZ2189,CALC!$H$1)&lt;&gt;"",INT(IF(AND(CALC!$F$1&gt;0,N(INDEX(BASELINE!$A2189:$ZZ2189,CALC!$F$1))&gt;0),N(INDEX(BASELINE!$A2189:$ZZ2189,CALC!$F$1)),N(INDEX(BASELINE!$A2189:$ZZ2189,CALC!$P$1))))=INT(SIMOPS!$D$3),IFERROR(UPPER(TRIM(INDEX(BASELINE!$A2189:$ZZ2189,CALC!$R$1)&amp;"")),"")&lt;&gt;"ENCERRADA"),1,0),0)</f>
        <v/>
      </c>
      <c r="B2189">
        <f>B2188+A2189</f>
        <v/>
      </c>
    </row>
    <row r="2190">
      <c r="A2190">
        <f>IFERROR(IF(AND(INDEX(BASELINE!$A2190:$ZZ2190,CALC!$H$1)&lt;&gt;"",INT(IF(AND(CALC!$F$1&gt;0,N(INDEX(BASELINE!$A2190:$ZZ2190,CALC!$F$1))&gt;0),N(INDEX(BASELINE!$A2190:$ZZ2190,CALC!$F$1)),N(INDEX(BASELINE!$A2190:$ZZ2190,CALC!$P$1))))=INT(SIMOPS!$D$3),IFERROR(UPPER(TRIM(INDEX(BASELINE!$A2190:$ZZ2190,CALC!$R$1)&amp;"")),"")&lt;&gt;"ENCERRADA"),1,0),0)</f>
        <v/>
      </c>
      <c r="B2190">
        <f>B2189+A2190</f>
        <v/>
      </c>
    </row>
    <row r="2191">
      <c r="A2191">
        <f>IFERROR(IF(AND(INDEX(BASELINE!$A2191:$ZZ2191,CALC!$H$1)&lt;&gt;"",INT(IF(AND(CALC!$F$1&gt;0,N(INDEX(BASELINE!$A2191:$ZZ2191,CALC!$F$1))&gt;0),N(INDEX(BASELINE!$A2191:$ZZ2191,CALC!$F$1)),N(INDEX(BASELINE!$A2191:$ZZ2191,CALC!$P$1))))=INT(SIMOPS!$D$3),IFERROR(UPPER(TRIM(INDEX(BASELINE!$A2191:$ZZ2191,CALC!$R$1)&amp;"")),"")&lt;&gt;"ENCERRADA"),1,0),0)</f>
        <v/>
      </c>
      <c r="B2191">
        <f>B2190+A2191</f>
        <v/>
      </c>
    </row>
    <row r="2192">
      <c r="A2192">
        <f>IFERROR(IF(AND(INDEX(BASELINE!$A2192:$ZZ2192,CALC!$H$1)&lt;&gt;"",INT(IF(AND(CALC!$F$1&gt;0,N(INDEX(BASELINE!$A2192:$ZZ2192,CALC!$F$1))&gt;0),N(INDEX(BASELINE!$A2192:$ZZ2192,CALC!$F$1)),N(INDEX(BASELINE!$A2192:$ZZ2192,CALC!$P$1))))=INT(SIMOPS!$D$3),IFERROR(UPPER(TRIM(INDEX(BASELINE!$A2192:$ZZ2192,CALC!$R$1)&amp;"")),"")&lt;&gt;"ENCERRADA"),1,0),0)</f>
        <v/>
      </c>
      <c r="B2192">
        <f>B2191+A2192</f>
        <v/>
      </c>
    </row>
    <row r="2193">
      <c r="A2193">
        <f>IFERROR(IF(AND(INDEX(BASELINE!$A2193:$ZZ2193,CALC!$H$1)&lt;&gt;"",INT(IF(AND(CALC!$F$1&gt;0,N(INDEX(BASELINE!$A2193:$ZZ2193,CALC!$F$1))&gt;0),N(INDEX(BASELINE!$A2193:$ZZ2193,CALC!$F$1)),N(INDEX(BASELINE!$A2193:$ZZ2193,CALC!$P$1))))=INT(SIMOPS!$D$3),IFERROR(UPPER(TRIM(INDEX(BASELINE!$A2193:$ZZ2193,CALC!$R$1)&amp;"")),"")&lt;&gt;"ENCERRADA"),1,0),0)</f>
        <v/>
      </c>
      <c r="B2193">
        <f>B2192+A2193</f>
        <v/>
      </c>
    </row>
    <row r="2194">
      <c r="A2194">
        <f>IFERROR(IF(AND(INDEX(BASELINE!$A2194:$ZZ2194,CALC!$H$1)&lt;&gt;"",INT(IF(AND(CALC!$F$1&gt;0,N(INDEX(BASELINE!$A2194:$ZZ2194,CALC!$F$1))&gt;0),N(INDEX(BASELINE!$A2194:$ZZ2194,CALC!$F$1)),N(INDEX(BASELINE!$A2194:$ZZ2194,CALC!$P$1))))=INT(SIMOPS!$D$3),IFERROR(UPPER(TRIM(INDEX(BASELINE!$A2194:$ZZ2194,CALC!$R$1)&amp;"")),"")&lt;&gt;"ENCERRADA"),1,0),0)</f>
        <v/>
      </c>
      <c r="B2194">
        <f>B2193+A2194</f>
        <v/>
      </c>
    </row>
    <row r="2195">
      <c r="A2195">
        <f>IFERROR(IF(AND(INDEX(BASELINE!$A2195:$ZZ2195,CALC!$H$1)&lt;&gt;"",INT(IF(AND(CALC!$F$1&gt;0,N(INDEX(BASELINE!$A2195:$ZZ2195,CALC!$F$1))&gt;0),N(INDEX(BASELINE!$A2195:$ZZ2195,CALC!$F$1)),N(INDEX(BASELINE!$A2195:$ZZ2195,CALC!$P$1))))=INT(SIMOPS!$D$3),IFERROR(UPPER(TRIM(INDEX(BASELINE!$A2195:$ZZ2195,CALC!$R$1)&amp;"")),"")&lt;&gt;"ENCERRADA"),1,0),0)</f>
        <v/>
      </c>
      <c r="B2195">
        <f>B2194+A2195</f>
        <v/>
      </c>
    </row>
    <row r="2196">
      <c r="A2196">
        <f>IFERROR(IF(AND(INDEX(BASELINE!$A2196:$ZZ2196,CALC!$H$1)&lt;&gt;"",INT(IF(AND(CALC!$F$1&gt;0,N(INDEX(BASELINE!$A2196:$ZZ2196,CALC!$F$1))&gt;0),N(INDEX(BASELINE!$A2196:$ZZ2196,CALC!$F$1)),N(INDEX(BASELINE!$A2196:$ZZ2196,CALC!$P$1))))=INT(SIMOPS!$D$3),IFERROR(UPPER(TRIM(INDEX(BASELINE!$A2196:$ZZ2196,CALC!$R$1)&amp;"")),"")&lt;&gt;"ENCERRADA"),1,0),0)</f>
        <v/>
      </c>
      <c r="B2196">
        <f>B2195+A2196</f>
        <v/>
      </c>
    </row>
    <row r="2197">
      <c r="A2197">
        <f>IFERROR(IF(AND(INDEX(BASELINE!$A2197:$ZZ2197,CALC!$H$1)&lt;&gt;"",INT(IF(AND(CALC!$F$1&gt;0,N(INDEX(BASELINE!$A2197:$ZZ2197,CALC!$F$1))&gt;0),N(INDEX(BASELINE!$A2197:$ZZ2197,CALC!$F$1)),N(INDEX(BASELINE!$A2197:$ZZ2197,CALC!$P$1))))=INT(SIMOPS!$D$3),IFERROR(UPPER(TRIM(INDEX(BASELINE!$A2197:$ZZ2197,CALC!$R$1)&amp;"")),"")&lt;&gt;"ENCERRADA"),1,0),0)</f>
        <v/>
      </c>
      <c r="B2197">
        <f>B2196+A2197</f>
        <v/>
      </c>
    </row>
    <row r="2198">
      <c r="A2198">
        <f>IFERROR(IF(AND(INDEX(BASELINE!$A2198:$ZZ2198,CALC!$H$1)&lt;&gt;"",INT(IF(AND(CALC!$F$1&gt;0,N(INDEX(BASELINE!$A2198:$ZZ2198,CALC!$F$1))&gt;0),N(INDEX(BASELINE!$A2198:$ZZ2198,CALC!$F$1)),N(INDEX(BASELINE!$A2198:$ZZ2198,CALC!$P$1))))=INT(SIMOPS!$D$3),IFERROR(UPPER(TRIM(INDEX(BASELINE!$A2198:$ZZ2198,CALC!$R$1)&amp;"")),"")&lt;&gt;"ENCERRADA"),1,0),0)</f>
        <v/>
      </c>
      <c r="B2198">
        <f>B2197+A2198</f>
        <v/>
      </c>
    </row>
    <row r="2199">
      <c r="A2199">
        <f>IFERROR(IF(AND(INDEX(BASELINE!$A2199:$ZZ2199,CALC!$H$1)&lt;&gt;"",INT(IF(AND(CALC!$F$1&gt;0,N(INDEX(BASELINE!$A2199:$ZZ2199,CALC!$F$1))&gt;0),N(INDEX(BASELINE!$A2199:$ZZ2199,CALC!$F$1)),N(INDEX(BASELINE!$A2199:$ZZ2199,CALC!$P$1))))=INT(SIMOPS!$D$3),IFERROR(UPPER(TRIM(INDEX(BASELINE!$A2199:$ZZ2199,CALC!$R$1)&amp;"")),"")&lt;&gt;"ENCERRADA"),1,0),0)</f>
        <v/>
      </c>
      <c r="B2199">
        <f>B2198+A2199</f>
        <v/>
      </c>
    </row>
    <row r="2200">
      <c r="A2200">
        <f>IFERROR(IF(AND(INDEX(BASELINE!$A2200:$ZZ2200,CALC!$H$1)&lt;&gt;"",INT(IF(AND(CALC!$F$1&gt;0,N(INDEX(BASELINE!$A2200:$ZZ2200,CALC!$F$1))&gt;0),N(INDEX(BASELINE!$A2200:$ZZ2200,CALC!$F$1)),N(INDEX(BASELINE!$A2200:$ZZ2200,CALC!$P$1))))=INT(SIMOPS!$D$3),IFERROR(UPPER(TRIM(INDEX(BASELINE!$A2200:$ZZ2200,CALC!$R$1)&amp;"")),"")&lt;&gt;"ENCERRADA"),1,0),0)</f>
        <v/>
      </c>
      <c r="B2200">
        <f>B2199+A2200</f>
        <v/>
      </c>
    </row>
    <row r="2201">
      <c r="A2201">
        <f>IFERROR(IF(AND(INDEX(BASELINE!$A2201:$ZZ2201,CALC!$H$1)&lt;&gt;"",INT(IF(AND(CALC!$F$1&gt;0,N(INDEX(BASELINE!$A2201:$ZZ2201,CALC!$F$1))&gt;0),N(INDEX(BASELINE!$A2201:$ZZ2201,CALC!$F$1)),N(INDEX(BASELINE!$A2201:$ZZ2201,CALC!$P$1))))=INT(SIMOPS!$D$3),IFERROR(UPPER(TRIM(INDEX(BASELINE!$A2201:$ZZ2201,CALC!$R$1)&amp;"")),"")&lt;&gt;"ENCERRADA"),1,0),0)</f>
        <v/>
      </c>
      <c r="B2201">
        <f>B2200+A2201</f>
        <v/>
      </c>
    </row>
    <row r="2202">
      <c r="A2202">
        <f>IFERROR(IF(AND(INDEX(BASELINE!$A2202:$ZZ2202,CALC!$H$1)&lt;&gt;"",INT(IF(AND(CALC!$F$1&gt;0,N(INDEX(BASELINE!$A2202:$ZZ2202,CALC!$F$1))&gt;0),N(INDEX(BASELINE!$A2202:$ZZ2202,CALC!$F$1)),N(INDEX(BASELINE!$A2202:$ZZ2202,CALC!$P$1))))=INT(SIMOPS!$D$3),IFERROR(UPPER(TRIM(INDEX(BASELINE!$A2202:$ZZ2202,CALC!$R$1)&amp;"")),"")&lt;&gt;"ENCERRADA"),1,0),0)</f>
        <v/>
      </c>
      <c r="B2202">
        <f>B2201+A2202</f>
        <v/>
      </c>
    </row>
    <row r="2203">
      <c r="A2203">
        <f>IFERROR(IF(AND(INDEX(BASELINE!$A2203:$ZZ2203,CALC!$H$1)&lt;&gt;"",INT(IF(AND(CALC!$F$1&gt;0,N(INDEX(BASELINE!$A2203:$ZZ2203,CALC!$F$1))&gt;0),N(INDEX(BASELINE!$A2203:$ZZ2203,CALC!$F$1)),N(INDEX(BASELINE!$A2203:$ZZ2203,CALC!$P$1))))=INT(SIMOPS!$D$3),IFERROR(UPPER(TRIM(INDEX(BASELINE!$A2203:$ZZ2203,CALC!$R$1)&amp;"")),"")&lt;&gt;"ENCERRADA"),1,0),0)</f>
        <v/>
      </c>
      <c r="B2203">
        <f>B2202+A2203</f>
        <v/>
      </c>
    </row>
    <row r="2204">
      <c r="A2204">
        <f>IFERROR(IF(AND(INDEX(BASELINE!$A2204:$ZZ2204,CALC!$H$1)&lt;&gt;"",INT(IF(AND(CALC!$F$1&gt;0,N(INDEX(BASELINE!$A2204:$ZZ2204,CALC!$F$1))&gt;0),N(INDEX(BASELINE!$A2204:$ZZ2204,CALC!$F$1)),N(INDEX(BASELINE!$A2204:$ZZ2204,CALC!$P$1))))=INT(SIMOPS!$D$3),IFERROR(UPPER(TRIM(INDEX(BASELINE!$A2204:$ZZ2204,CALC!$R$1)&amp;"")),"")&lt;&gt;"ENCERRADA"),1,0),0)</f>
        <v/>
      </c>
      <c r="B2204">
        <f>B2203+A2204</f>
        <v/>
      </c>
    </row>
    <row r="2205">
      <c r="A2205">
        <f>IFERROR(IF(AND(INDEX(BASELINE!$A2205:$ZZ2205,CALC!$H$1)&lt;&gt;"",INT(IF(AND(CALC!$F$1&gt;0,N(INDEX(BASELINE!$A2205:$ZZ2205,CALC!$F$1))&gt;0),N(INDEX(BASELINE!$A2205:$ZZ2205,CALC!$F$1)),N(INDEX(BASELINE!$A2205:$ZZ2205,CALC!$P$1))))=INT(SIMOPS!$D$3),IFERROR(UPPER(TRIM(INDEX(BASELINE!$A2205:$ZZ2205,CALC!$R$1)&amp;"")),"")&lt;&gt;"ENCERRADA"),1,0),0)</f>
        <v/>
      </c>
      <c r="B2205">
        <f>B2204+A2205</f>
        <v/>
      </c>
    </row>
    <row r="2206">
      <c r="A2206">
        <f>IFERROR(IF(AND(INDEX(BASELINE!$A2206:$ZZ2206,CALC!$H$1)&lt;&gt;"",INT(IF(AND(CALC!$F$1&gt;0,N(INDEX(BASELINE!$A2206:$ZZ2206,CALC!$F$1))&gt;0),N(INDEX(BASELINE!$A2206:$ZZ2206,CALC!$F$1)),N(INDEX(BASELINE!$A2206:$ZZ2206,CALC!$P$1))))=INT(SIMOPS!$D$3),IFERROR(UPPER(TRIM(INDEX(BASELINE!$A2206:$ZZ2206,CALC!$R$1)&amp;"")),"")&lt;&gt;"ENCERRADA"),1,0),0)</f>
        <v/>
      </c>
      <c r="B2206">
        <f>B2205+A2206</f>
        <v/>
      </c>
    </row>
    <row r="2207">
      <c r="A2207">
        <f>IFERROR(IF(AND(INDEX(BASELINE!$A2207:$ZZ2207,CALC!$H$1)&lt;&gt;"",INT(IF(AND(CALC!$F$1&gt;0,N(INDEX(BASELINE!$A2207:$ZZ2207,CALC!$F$1))&gt;0),N(INDEX(BASELINE!$A2207:$ZZ2207,CALC!$F$1)),N(INDEX(BASELINE!$A2207:$ZZ2207,CALC!$P$1))))=INT(SIMOPS!$D$3),IFERROR(UPPER(TRIM(INDEX(BASELINE!$A2207:$ZZ2207,CALC!$R$1)&amp;"")),"")&lt;&gt;"ENCERRADA"),1,0),0)</f>
        <v/>
      </c>
      <c r="B2207">
        <f>B2206+A2207</f>
        <v/>
      </c>
    </row>
    <row r="2208">
      <c r="A2208">
        <f>IFERROR(IF(AND(INDEX(BASELINE!$A2208:$ZZ2208,CALC!$H$1)&lt;&gt;"",INT(IF(AND(CALC!$F$1&gt;0,N(INDEX(BASELINE!$A2208:$ZZ2208,CALC!$F$1))&gt;0),N(INDEX(BASELINE!$A2208:$ZZ2208,CALC!$F$1)),N(INDEX(BASELINE!$A2208:$ZZ2208,CALC!$P$1))))=INT(SIMOPS!$D$3),IFERROR(UPPER(TRIM(INDEX(BASELINE!$A2208:$ZZ2208,CALC!$R$1)&amp;"")),"")&lt;&gt;"ENCERRADA"),1,0),0)</f>
        <v/>
      </c>
      <c r="B2208">
        <f>B2207+A2208</f>
        <v/>
      </c>
    </row>
    <row r="2209">
      <c r="A2209">
        <f>IFERROR(IF(AND(INDEX(BASELINE!$A2209:$ZZ2209,CALC!$H$1)&lt;&gt;"",INT(IF(AND(CALC!$F$1&gt;0,N(INDEX(BASELINE!$A2209:$ZZ2209,CALC!$F$1))&gt;0),N(INDEX(BASELINE!$A2209:$ZZ2209,CALC!$F$1)),N(INDEX(BASELINE!$A2209:$ZZ2209,CALC!$P$1))))=INT(SIMOPS!$D$3),IFERROR(UPPER(TRIM(INDEX(BASELINE!$A2209:$ZZ2209,CALC!$R$1)&amp;"")),"")&lt;&gt;"ENCERRADA"),1,0),0)</f>
        <v/>
      </c>
      <c r="B2209">
        <f>B2208+A2209</f>
        <v/>
      </c>
    </row>
    <row r="2210">
      <c r="A2210">
        <f>IFERROR(IF(AND(INDEX(BASELINE!$A2210:$ZZ2210,CALC!$H$1)&lt;&gt;"",INT(IF(AND(CALC!$F$1&gt;0,N(INDEX(BASELINE!$A2210:$ZZ2210,CALC!$F$1))&gt;0),N(INDEX(BASELINE!$A2210:$ZZ2210,CALC!$F$1)),N(INDEX(BASELINE!$A2210:$ZZ2210,CALC!$P$1))))=INT(SIMOPS!$D$3),IFERROR(UPPER(TRIM(INDEX(BASELINE!$A2210:$ZZ2210,CALC!$R$1)&amp;"")),"")&lt;&gt;"ENCERRADA"),1,0),0)</f>
        <v/>
      </c>
      <c r="B2210">
        <f>B2209+A2210</f>
        <v/>
      </c>
    </row>
    <row r="2211">
      <c r="A2211">
        <f>IFERROR(IF(AND(INDEX(BASELINE!$A2211:$ZZ2211,CALC!$H$1)&lt;&gt;"",INT(IF(AND(CALC!$F$1&gt;0,N(INDEX(BASELINE!$A2211:$ZZ2211,CALC!$F$1))&gt;0),N(INDEX(BASELINE!$A2211:$ZZ2211,CALC!$F$1)),N(INDEX(BASELINE!$A2211:$ZZ2211,CALC!$P$1))))=INT(SIMOPS!$D$3),IFERROR(UPPER(TRIM(INDEX(BASELINE!$A2211:$ZZ2211,CALC!$R$1)&amp;"")),"")&lt;&gt;"ENCERRADA"),1,0),0)</f>
        <v/>
      </c>
      <c r="B2211">
        <f>B2210+A2211</f>
        <v/>
      </c>
    </row>
    <row r="2212">
      <c r="A2212">
        <f>IFERROR(IF(AND(INDEX(BASELINE!$A2212:$ZZ2212,CALC!$H$1)&lt;&gt;"",INT(IF(AND(CALC!$F$1&gt;0,N(INDEX(BASELINE!$A2212:$ZZ2212,CALC!$F$1))&gt;0),N(INDEX(BASELINE!$A2212:$ZZ2212,CALC!$F$1)),N(INDEX(BASELINE!$A2212:$ZZ2212,CALC!$P$1))))=INT(SIMOPS!$D$3),IFERROR(UPPER(TRIM(INDEX(BASELINE!$A2212:$ZZ2212,CALC!$R$1)&amp;"")),"")&lt;&gt;"ENCERRADA"),1,0),0)</f>
        <v/>
      </c>
      <c r="B2212">
        <f>B2211+A2212</f>
        <v/>
      </c>
    </row>
    <row r="2213">
      <c r="A2213">
        <f>IFERROR(IF(AND(INDEX(BASELINE!$A2213:$ZZ2213,CALC!$H$1)&lt;&gt;"",INT(IF(AND(CALC!$F$1&gt;0,N(INDEX(BASELINE!$A2213:$ZZ2213,CALC!$F$1))&gt;0),N(INDEX(BASELINE!$A2213:$ZZ2213,CALC!$F$1)),N(INDEX(BASELINE!$A2213:$ZZ2213,CALC!$P$1))))=INT(SIMOPS!$D$3),IFERROR(UPPER(TRIM(INDEX(BASELINE!$A2213:$ZZ2213,CALC!$R$1)&amp;"")),"")&lt;&gt;"ENCERRADA"),1,0),0)</f>
        <v/>
      </c>
      <c r="B2213">
        <f>B2212+A2213</f>
        <v/>
      </c>
    </row>
    <row r="2214">
      <c r="A2214">
        <f>IFERROR(IF(AND(INDEX(BASELINE!$A2214:$ZZ2214,CALC!$H$1)&lt;&gt;"",INT(IF(AND(CALC!$F$1&gt;0,N(INDEX(BASELINE!$A2214:$ZZ2214,CALC!$F$1))&gt;0),N(INDEX(BASELINE!$A2214:$ZZ2214,CALC!$F$1)),N(INDEX(BASELINE!$A2214:$ZZ2214,CALC!$P$1))))=INT(SIMOPS!$D$3),IFERROR(UPPER(TRIM(INDEX(BASELINE!$A2214:$ZZ2214,CALC!$R$1)&amp;"")),"")&lt;&gt;"ENCERRADA"),1,0),0)</f>
        <v/>
      </c>
      <c r="B2214">
        <f>B2213+A2214</f>
        <v/>
      </c>
    </row>
    <row r="2215">
      <c r="A2215">
        <f>IFERROR(IF(AND(INDEX(BASELINE!$A2215:$ZZ2215,CALC!$H$1)&lt;&gt;"",INT(IF(AND(CALC!$F$1&gt;0,N(INDEX(BASELINE!$A2215:$ZZ2215,CALC!$F$1))&gt;0),N(INDEX(BASELINE!$A2215:$ZZ2215,CALC!$F$1)),N(INDEX(BASELINE!$A2215:$ZZ2215,CALC!$P$1))))=INT(SIMOPS!$D$3),IFERROR(UPPER(TRIM(INDEX(BASELINE!$A2215:$ZZ2215,CALC!$R$1)&amp;"")),"")&lt;&gt;"ENCERRADA"),1,0),0)</f>
        <v/>
      </c>
      <c r="B2215">
        <f>B2214+A2215</f>
        <v/>
      </c>
    </row>
    <row r="2216">
      <c r="A2216">
        <f>IFERROR(IF(AND(INDEX(BASELINE!$A2216:$ZZ2216,CALC!$H$1)&lt;&gt;"",INT(IF(AND(CALC!$F$1&gt;0,N(INDEX(BASELINE!$A2216:$ZZ2216,CALC!$F$1))&gt;0),N(INDEX(BASELINE!$A2216:$ZZ2216,CALC!$F$1)),N(INDEX(BASELINE!$A2216:$ZZ2216,CALC!$P$1))))=INT(SIMOPS!$D$3),IFERROR(UPPER(TRIM(INDEX(BASELINE!$A2216:$ZZ2216,CALC!$R$1)&amp;"")),"")&lt;&gt;"ENCERRADA"),1,0),0)</f>
        <v/>
      </c>
      <c r="B2216">
        <f>B2215+A2216</f>
        <v/>
      </c>
    </row>
    <row r="2217">
      <c r="A2217">
        <f>IFERROR(IF(AND(INDEX(BASELINE!$A2217:$ZZ2217,CALC!$H$1)&lt;&gt;"",INT(IF(AND(CALC!$F$1&gt;0,N(INDEX(BASELINE!$A2217:$ZZ2217,CALC!$F$1))&gt;0),N(INDEX(BASELINE!$A2217:$ZZ2217,CALC!$F$1)),N(INDEX(BASELINE!$A2217:$ZZ2217,CALC!$P$1))))=INT(SIMOPS!$D$3),IFERROR(UPPER(TRIM(INDEX(BASELINE!$A2217:$ZZ2217,CALC!$R$1)&amp;"")),"")&lt;&gt;"ENCERRADA"),1,0),0)</f>
        <v/>
      </c>
      <c r="B2217">
        <f>B2216+A2217</f>
        <v/>
      </c>
    </row>
    <row r="2218">
      <c r="A2218">
        <f>IFERROR(IF(AND(INDEX(BASELINE!$A2218:$ZZ2218,CALC!$H$1)&lt;&gt;"",INT(IF(AND(CALC!$F$1&gt;0,N(INDEX(BASELINE!$A2218:$ZZ2218,CALC!$F$1))&gt;0),N(INDEX(BASELINE!$A2218:$ZZ2218,CALC!$F$1)),N(INDEX(BASELINE!$A2218:$ZZ2218,CALC!$P$1))))=INT(SIMOPS!$D$3),IFERROR(UPPER(TRIM(INDEX(BASELINE!$A2218:$ZZ2218,CALC!$R$1)&amp;"")),"")&lt;&gt;"ENCERRADA"),1,0),0)</f>
        <v/>
      </c>
      <c r="B2218">
        <f>B2217+A2218</f>
        <v/>
      </c>
    </row>
    <row r="2219">
      <c r="A2219">
        <f>IFERROR(IF(AND(INDEX(BASELINE!$A2219:$ZZ2219,CALC!$H$1)&lt;&gt;"",INT(IF(AND(CALC!$F$1&gt;0,N(INDEX(BASELINE!$A2219:$ZZ2219,CALC!$F$1))&gt;0),N(INDEX(BASELINE!$A2219:$ZZ2219,CALC!$F$1)),N(INDEX(BASELINE!$A2219:$ZZ2219,CALC!$P$1))))=INT(SIMOPS!$D$3),IFERROR(UPPER(TRIM(INDEX(BASELINE!$A2219:$ZZ2219,CALC!$R$1)&amp;"")),"")&lt;&gt;"ENCERRADA"),1,0),0)</f>
        <v/>
      </c>
      <c r="B2219">
        <f>B2218+A2219</f>
        <v/>
      </c>
    </row>
    <row r="2220">
      <c r="A2220">
        <f>IFERROR(IF(AND(INDEX(BASELINE!$A2220:$ZZ2220,CALC!$H$1)&lt;&gt;"",INT(IF(AND(CALC!$F$1&gt;0,N(INDEX(BASELINE!$A2220:$ZZ2220,CALC!$F$1))&gt;0),N(INDEX(BASELINE!$A2220:$ZZ2220,CALC!$F$1)),N(INDEX(BASELINE!$A2220:$ZZ2220,CALC!$P$1))))=INT(SIMOPS!$D$3),IFERROR(UPPER(TRIM(INDEX(BASELINE!$A2220:$ZZ2220,CALC!$R$1)&amp;"")),"")&lt;&gt;"ENCERRADA"),1,0),0)</f>
        <v/>
      </c>
      <c r="B2220">
        <f>B2219+A2220</f>
        <v/>
      </c>
    </row>
    <row r="2221">
      <c r="A2221">
        <f>IFERROR(IF(AND(INDEX(BASELINE!$A2221:$ZZ2221,CALC!$H$1)&lt;&gt;"",INT(IF(AND(CALC!$F$1&gt;0,N(INDEX(BASELINE!$A2221:$ZZ2221,CALC!$F$1))&gt;0),N(INDEX(BASELINE!$A2221:$ZZ2221,CALC!$F$1)),N(INDEX(BASELINE!$A2221:$ZZ2221,CALC!$P$1))))=INT(SIMOPS!$D$3),IFERROR(UPPER(TRIM(INDEX(BASELINE!$A2221:$ZZ2221,CALC!$R$1)&amp;"")),"")&lt;&gt;"ENCERRADA"),1,0),0)</f>
        <v/>
      </c>
      <c r="B2221">
        <f>B2220+A2221</f>
        <v/>
      </c>
    </row>
    <row r="2222">
      <c r="A2222">
        <f>IFERROR(IF(AND(INDEX(BASELINE!$A2222:$ZZ2222,CALC!$H$1)&lt;&gt;"",INT(IF(AND(CALC!$F$1&gt;0,N(INDEX(BASELINE!$A2222:$ZZ2222,CALC!$F$1))&gt;0),N(INDEX(BASELINE!$A2222:$ZZ2222,CALC!$F$1)),N(INDEX(BASELINE!$A2222:$ZZ2222,CALC!$P$1))))=INT(SIMOPS!$D$3),IFERROR(UPPER(TRIM(INDEX(BASELINE!$A2222:$ZZ2222,CALC!$R$1)&amp;"")),"")&lt;&gt;"ENCERRADA"),1,0),0)</f>
        <v/>
      </c>
      <c r="B2222">
        <f>B2221+A2222</f>
        <v/>
      </c>
    </row>
    <row r="2223">
      <c r="A2223">
        <f>IFERROR(IF(AND(INDEX(BASELINE!$A2223:$ZZ2223,CALC!$H$1)&lt;&gt;"",INT(IF(AND(CALC!$F$1&gt;0,N(INDEX(BASELINE!$A2223:$ZZ2223,CALC!$F$1))&gt;0),N(INDEX(BASELINE!$A2223:$ZZ2223,CALC!$F$1)),N(INDEX(BASELINE!$A2223:$ZZ2223,CALC!$P$1))))=INT(SIMOPS!$D$3),IFERROR(UPPER(TRIM(INDEX(BASELINE!$A2223:$ZZ2223,CALC!$R$1)&amp;"")),"")&lt;&gt;"ENCERRADA"),1,0),0)</f>
        <v/>
      </c>
      <c r="B2223">
        <f>B2222+A2223</f>
        <v/>
      </c>
    </row>
    <row r="2224">
      <c r="A2224">
        <f>IFERROR(IF(AND(INDEX(BASELINE!$A2224:$ZZ2224,CALC!$H$1)&lt;&gt;"",INT(IF(AND(CALC!$F$1&gt;0,N(INDEX(BASELINE!$A2224:$ZZ2224,CALC!$F$1))&gt;0),N(INDEX(BASELINE!$A2224:$ZZ2224,CALC!$F$1)),N(INDEX(BASELINE!$A2224:$ZZ2224,CALC!$P$1))))=INT(SIMOPS!$D$3),IFERROR(UPPER(TRIM(INDEX(BASELINE!$A2224:$ZZ2224,CALC!$R$1)&amp;"")),"")&lt;&gt;"ENCERRADA"),1,0),0)</f>
        <v/>
      </c>
      <c r="B2224">
        <f>B2223+A2224</f>
        <v/>
      </c>
    </row>
    <row r="2225">
      <c r="A2225">
        <f>IFERROR(IF(AND(INDEX(BASELINE!$A2225:$ZZ2225,CALC!$H$1)&lt;&gt;"",INT(IF(AND(CALC!$F$1&gt;0,N(INDEX(BASELINE!$A2225:$ZZ2225,CALC!$F$1))&gt;0),N(INDEX(BASELINE!$A2225:$ZZ2225,CALC!$F$1)),N(INDEX(BASELINE!$A2225:$ZZ2225,CALC!$P$1))))=INT(SIMOPS!$D$3),IFERROR(UPPER(TRIM(INDEX(BASELINE!$A2225:$ZZ2225,CALC!$R$1)&amp;"")),"")&lt;&gt;"ENCERRADA"),1,0),0)</f>
        <v/>
      </c>
      <c r="B2225">
        <f>B2224+A2225</f>
        <v/>
      </c>
    </row>
    <row r="2226">
      <c r="A2226">
        <f>IFERROR(IF(AND(INDEX(BASELINE!$A2226:$ZZ2226,CALC!$H$1)&lt;&gt;"",INT(IF(AND(CALC!$F$1&gt;0,N(INDEX(BASELINE!$A2226:$ZZ2226,CALC!$F$1))&gt;0),N(INDEX(BASELINE!$A2226:$ZZ2226,CALC!$F$1)),N(INDEX(BASELINE!$A2226:$ZZ2226,CALC!$P$1))))=INT(SIMOPS!$D$3),IFERROR(UPPER(TRIM(INDEX(BASELINE!$A2226:$ZZ2226,CALC!$R$1)&amp;"")),"")&lt;&gt;"ENCERRADA"),1,0),0)</f>
        <v/>
      </c>
      <c r="B2226">
        <f>B2225+A2226</f>
        <v/>
      </c>
    </row>
    <row r="2227">
      <c r="A2227">
        <f>IFERROR(IF(AND(INDEX(BASELINE!$A2227:$ZZ2227,CALC!$H$1)&lt;&gt;"",INT(IF(AND(CALC!$F$1&gt;0,N(INDEX(BASELINE!$A2227:$ZZ2227,CALC!$F$1))&gt;0),N(INDEX(BASELINE!$A2227:$ZZ2227,CALC!$F$1)),N(INDEX(BASELINE!$A2227:$ZZ2227,CALC!$P$1))))=INT(SIMOPS!$D$3),IFERROR(UPPER(TRIM(INDEX(BASELINE!$A2227:$ZZ2227,CALC!$R$1)&amp;"")),"")&lt;&gt;"ENCERRADA"),1,0),0)</f>
        <v/>
      </c>
      <c r="B2227">
        <f>B2226+A2227</f>
        <v/>
      </c>
    </row>
    <row r="2228">
      <c r="A2228">
        <f>IFERROR(IF(AND(INDEX(BASELINE!$A2228:$ZZ2228,CALC!$H$1)&lt;&gt;"",INT(IF(AND(CALC!$F$1&gt;0,N(INDEX(BASELINE!$A2228:$ZZ2228,CALC!$F$1))&gt;0),N(INDEX(BASELINE!$A2228:$ZZ2228,CALC!$F$1)),N(INDEX(BASELINE!$A2228:$ZZ2228,CALC!$P$1))))=INT(SIMOPS!$D$3),IFERROR(UPPER(TRIM(INDEX(BASELINE!$A2228:$ZZ2228,CALC!$R$1)&amp;"")),"")&lt;&gt;"ENCERRADA"),1,0),0)</f>
        <v/>
      </c>
      <c r="B2228">
        <f>B2227+A2228</f>
        <v/>
      </c>
    </row>
    <row r="2229">
      <c r="A2229">
        <f>IFERROR(IF(AND(INDEX(BASELINE!$A2229:$ZZ2229,CALC!$H$1)&lt;&gt;"",INT(IF(AND(CALC!$F$1&gt;0,N(INDEX(BASELINE!$A2229:$ZZ2229,CALC!$F$1))&gt;0),N(INDEX(BASELINE!$A2229:$ZZ2229,CALC!$F$1)),N(INDEX(BASELINE!$A2229:$ZZ2229,CALC!$P$1))))=INT(SIMOPS!$D$3),IFERROR(UPPER(TRIM(INDEX(BASELINE!$A2229:$ZZ2229,CALC!$R$1)&amp;"")),"")&lt;&gt;"ENCERRADA"),1,0),0)</f>
        <v/>
      </c>
      <c r="B2229">
        <f>B2228+A2229</f>
        <v/>
      </c>
    </row>
    <row r="2230">
      <c r="A2230">
        <f>IFERROR(IF(AND(INDEX(BASELINE!$A2230:$ZZ2230,CALC!$H$1)&lt;&gt;"",INT(IF(AND(CALC!$F$1&gt;0,N(INDEX(BASELINE!$A2230:$ZZ2230,CALC!$F$1))&gt;0),N(INDEX(BASELINE!$A2230:$ZZ2230,CALC!$F$1)),N(INDEX(BASELINE!$A2230:$ZZ2230,CALC!$P$1))))=INT(SIMOPS!$D$3),IFERROR(UPPER(TRIM(INDEX(BASELINE!$A2230:$ZZ2230,CALC!$R$1)&amp;"")),"")&lt;&gt;"ENCERRADA"),1,0),0)</f>
        <v/>
      </c>
      <c r="B2230">
        <f>B2229+A2230</f>
        <v/>
      </c>
    </row>
    <row r="2231">
      <c r="A2231">
        <f>IFERROR(IF(AND(INDEX(BASELINE!$A2231:$ZZ2231,CALC!$H$1)&lt;&gt;"",INT(IF(AND(CALC!$F$1&gt;0,N(INDEX(BASELINE!$A2231:$ZZ2231,CALC!$F$1))&gt;0),N(INDEX(BASELINE!$A2231:$ZZ2231,CALC!$F$1)),N(INDEX(BASELINE!$A2231:$ZZ2231,CALC!$P$1))))=INT(SIMOPS!$D$3),IFERROR(UPPER(TRIM(INDEX(BASELINE!$A2231:$ZZ2231,CALC!$R$1)&amp;"")),"")&lt;&gt;"ENCERRADA"),1,0),0)</f>
        <v/>
      </c>
      <c r="B2231">
        <f>B2230+A2231</f>
        <v/>
      </c>
    </row>
    <row r="2232">
      <c r="A2232">
        <f>IFERROR(IF(AND(INDEX(BASELINE!$A2232:$ZZ2232,CALC!$H$1)&lt;&gt;"",INT(IF(AND(CALC!$F$1&gt;0,N(INDEX(BASELINE!$A2232:$ZZ2232,CALC!$F$1))&gt;0),N(INDEX(BASELINE!$A2232:$ZZ2232,CALC!$F$1)),N(INDEX(BASELINE!$A2232:$ZZ2232,CALC!$P$1))))=INT(SIMOPS!$D$3),IFERROR(UPPER(TRIM(INDEX(BASELINE!$A2232:$ZZ2232,CALC!$R$1)&amp;"")),"")&lt;&gt;"ENCERRADA"),1,0),0)</f>
        <v/>
      </c>
      <c r="B2232">
        <f>B2231+A2232</f>
        <v/>
      </c>
    </row>
    <row r="2233">
      <c r="A2233">
        <f>IFERROR(IF(AND(INDEX(BASELINE!$A2233:$ZZ2233,CALC!$H$1)&lt;&gt;"",INT(IF(AND(CALC!$F$1&gt;0,N(INDEX(BASELINE!$A2233:$ZZ2233,CALC!$F$1))&gt;0),N(INDEX(BASELINE!$A2233:$ZZ2233,CALC!$F$1)),N(INDEX(BASELINE!$A2233:$ZZ2233,CALC!$P$1))))=INT(SIMOPS!$D$3),IFERROR(UPPER(TRIM(INDEX(BASELINE!$A2233:$ZZ2233,CALC!$R$1)&amp;"")),"")&lt;&gt;"ENCERRADA"),1,0),0)</f>
        <v/>
      </c>
      <c r="B2233">
        <f>B2232+A2233</f>
        <v/>
      </c>
    </row>
    <row r="2234">
      <c r="A2234">
        <f>IFERROR(IF(AND(INDEX(BASELINE!$A2234:$ZZ2234,CALC!$H$1)&lt;&gt;"",INT(IF(AND(CALC!$F$1&gt;0,N(INDEX(BASELINE!$A2234:$ZZ2234,CALC!$F$1))&gt;0),N(INDEX(BASELINE!$A2234:$ZZ2234,CALC!$F$1)),N(INDEX(BASELINE!$A2234:$ZZ2234,CALC!$P$1))))=INT(SIMOPS!$D$3),IFERROR(UPPER(TRIM(INDEX(BASELINE!$A2234:$ZZ2234,CALC!$R$1)&amp;"")),"")&lt;&gt;"ENCERRADA"),1,0),0)</f>
        <v/>
      </c>
      <c r="B2234">
        <f>B2233+A2234</f>
        <v/>
      </c>
    </row>
    <row r="2235">
      <c r="A2235">
        <f>IFERROR(IF(AND(INDEX(BASELINE!$A2235:$ZZ2235,CALC!$H$1)&lt;&gt;"",INT(IF(AND(CALC!$F$1&gt;0,N(INDEX(BASELINE!$A2235:$ZZ2235,CALC!$F$1))&gt;0),N(INDEX(BASELINE!$A2235:$ZZ2235,CALC!$F$1)),N(INDEX(BASELINE!$A2235:$ZZ2235,CALC!$P$1))))=INT(SIMOPS!$D$3),IFERROR(UPPER(TRIM(INDEX(BASELINE!$A2235:$ZZ2235,CALC!$R$1)&amp;"")),"")&lt;&gt;"ENCERRADA"),1,0),0)</f>
        <v/>
      </c>
      <c r="B2235">
        <f>B2234+A2235</f>
        <v/>
      </c>
    </row>
    <row r="2236">
      <c r="A2236">
        <f>IFERROR(IF(AND(INDEX(BASELINE!$A2236:$ZZ2236,CALC!$H$1)&lt;&gt;"",INT(IF(AND(CALC!$F$1&gt;0,N(INDEX(BASELINE!$A2236:$ZZ2236,CALC!$F$1))&gt;0),N(INDEX(BASELINE!$A2236:$ZZ2236,CALC!$F$1)),N(INDEX(BASELINE!$A2236:$ZZ2236,CALC!$P$1))))=INT(SIMOPS!$D$3),IFERROR(UPPER(TRIM(INDEX(BASELINE!$A2236:$ZZ2236,CALC!$R$1)&amp;"")),"")&lt;&gt;"ENCERRADA"),1,0),0)</f>
        <v/>
      </c>
      <c r="B2236">
        <f>B2235+A2236</f>
        <v/>
      </c>
    </row>
    <row r="2237">
      <c r="A2237">
        <f>IFERROR(IF(AND(INDEX(BASELINE!$A2237:$ZZ2237,CALC!$H$1)&lt;&gt;"",INT(IF(AND(CALC!$F$1&gt;0,N(INDEX(BASELINE!$A2237:$ZZ2237,CALC!$F$1))&gt;0),N(INDEX(BASELINE!$A2237:$ZZ2237,CALC!$F$1)),N(INDEX(BASELINE!$A2237:$ZZ2237,CALC!$P$1))))=INT(SIMOPS!$D$3),IFERROR(UPPER(TRIM(INDEX(BASELINE!$A2237:$ZZ2237,CALC!$R$1)&amp;"")),"")&lt;&gt;"ENCERRADA"),1,0),0)</f>
        <v/>
      </c>
      <c r="B2237">
        <f>B2236+A2237</f>
        <v/>
      </c>
    </row>
    <row r="2238">
      <c r="A2238">
        <f>IFERROR(IF(AND(INDEX(BASELINE!$A2238:$ZZ2238,CALC!$H$1)&lt;&gt;"",INT(IF(AND(CALC!$F$1&gt;0,N(INDEX(BASELINE!$A2238:$ZZ2238,CALC!$F$1))&gt;0),N(INDEX(BASELINE!$A2238:$ZZ2238,CALC!$F$1)),N(INDEX(BASELINE!$A2238:$ZZ2238,CALC!$P$1))))=INT(SIMOPS!$D$3),IFERROR(UPPER(TRIM(INDEX(BASELINE!$A2238:$ZZ2238,CALC!$R$1)&amp;"")),"")&lt;&gt;"ENCERRADA"),1,0),0)</f>
        <v/>
      </c>
      <c r="B2238">
        <f>B2237+A2238</f>
        <v/>
      </c>
    </row>
    <row r="2239">
      <c r="A2239">
        <f>IFERROR(IF(AND(INDEX(BASELINE!$A2239:$ZZ2239,CALC!$H$1)&lt;&gt;"",INT(IF(AND(CALC!$F$1&gt;0,N(INDEX(BASELINE!$A2239:$ZZ2239,CALC!$F$1))&gt;0),N(INDEX(BASELINE!$A2239:$ZZ2239,CALC!$F$1)),N(INDEX(BASELINE!$A2239:$ZZ2239,CALC!$P$1))))=INT(SIMOPS!$D$3),IFERROR(UPPER(TRIM(INDEX(BASELINE!$A2239:$ZZ2239,CALC!$R$1)&amp;"")),"")&lt;&gt;"ENCERRADA"),1,0),0)</f>
        <v/>
      </c>
      <c r="B2239">
        <f>B2238+A2239</f>
        <v/>
      </c>
    </row>
    <row r="2240">
      <c r="A2240">
        <f>IFERROR(IF(AND(INDEX(BASELINE!$A2240:$ZZ2240,CALC!$H$1)&lt;&gt;"",INT(IF(AND(CALC!$F$1&gt;0,N(INDEX(BASELINE!$A2240:$ZZ2240,CALC!$F$1))&gt;0),N(INDEX(BASELINE!$A2240:$ZZ2240,CALC!$F$1)),N(INDEX(BASELINE!$A2240:$ZZ2240,CALC!$P$1))))=INT(SIMOPS!$D$3),IFERROR(UPPER(TRIM(INDEX(BASELINE!$A2240:$ZZ2240,CALC!$R$1)&amp;"")),"")&lt;&gt;"ENCERRADA"),1,0),0)</f>
        <v/>
      </c>
      <c r="B2240">
        <f>B2239+A2240</f>
        <v/>
      </c>
    </row>
    <row r="2241">
      <c r="A2241">
        <f>IFERROR(IF(AND(INDEX(BASELINE!$A2241:$ZZ2241,CALC!$H$1)&lt;&gt;"",INT(IF(AND(CALC!$F$1&gt;0,N(INDEX(BASELINE!$A2241:$ZZ2241,CALC!$F$1))&gt;0),N(INDEX(BASELINE!$A2241:$ZZ2241,CALC!$F$1)),N(INDEX(BASELINE!$A2241:$ZZ2241,CALC!$P$1))))=INT(SIMOPS!$D$3),IFERROR(UPPER(TRIM(INDEX(BASELINE!$A2241:$ZZ2241,CALC!$R$1)&amp;"")),"")&lt;&gt;"ENCERRADA"),1,0),0)</f>
        <v/>
      </c>
      <c r="B2241">
        <f>B2240+A2241</f>
        <v/>
      </c>
    </row>
    <row r="2242">
      <c r="A2242">
        <f>IFERROR(IF(AND(INDEX(BASELINE!$A2242:$ZZ2242,CALC!$H$1)&lt;&gt;"",INT(IF(AND(CALC!$F$1&gt;0,N(INDEX(BASELINE!$A2242:$ZZ2242,CALC!$F$1))&gt;0),N(INDEX(BASELINE!$A2242:$ZZ2242,CALC!$F$1)),N(INDEX(BASELINE!$A2242:$ZZ2242,CALC!$P$1))))=INT(SIMOPS!$D$3),IFERROR(UPPER(TRIM(INDEX(BASELINE!$A2242:$ZZ2242,CALC!$R$1)&amp;"")),"")&lt;&gt;"ENCERRADA"),1,0),0)</f>
        <v/>
      </c>
      <c r="B2242">
        <f>B2241+A2242</f>
        <v/>
      </c>
    </row>
    <row r="2243">
      <c r="A2243">
        <f>IFERROR(IF(AND(INDEX(BASELINE!$A2243:$ZZ2243,CALC!$H$1)&lt;&gt;"",INT(IF(AND(CALC!$F$1&gt;0,N(INDEX(BASELINE!$A2243:$ZZ2243,CALC!$F$1))&gt;0),N(INDEX(BASELINE!$A2243:$ZZ2243,CALC!$F$1)),N(INDEX(BASELINE!$A2243:$ZZ2243,CALC!$P$1))))=INT(SIMOPS!$D$3),IFERROR(UPPER(TRIM(INDEX(BASELINE!$A2243:$ZZ2243,CALC!$R$1)&amp;"")),"")&lt;&gt;"ENCERRADA"),1,0),0)</f>
        <v/>
      </c>
      <c r="B2243">
        <f>B2242+A2243</f>
        <v/>
      </c>
    </row>
    <row r="2244">
      <c r="A2244">
        <f>IFERROR(IF(AND(INDEX(BASELINE!$A2244:$ZZ2244,CALC!$H$1)&lt;&gt;"",INT(IF(AND(CALC!$F$1&gt;0,N(INDEX(BASELINE!$A2244:$ZZ2244,CALC!$F$1))&gt;0),N(INDEX(BASELINE!$A2244:$ZZ2244,CALC!$F$1)),N(INDEX(BASELINE!$A2244:$ZZ2244,CALC!$P$1))))=INT(SIMOPS!$D$3),IFERROR(UPPER(TRIM(INDEX(BASELINE!$A2244:$ZZ2244,CALC!$R$1)&amp;"")),"")&lt;&gt;"ENCERRADA"),1,0),0)</f>
        <v/>
      </c>
      <c r="B2244">
        <f>B2243+A2244</f>
        <v/>
      </c>
    </row>
    <row r="2245">
      <c r="A2245">
        <f>IFERROR(IF(AND(INDEX(BASELINE!$A2245:$ZZ2245,CALC!$H$1)&lt;&gt;"",INT(IF(AND(CALC!$F$1&gt;0,N(INDEX(BASELINE!$A2245:$ZZ2245,CALC!$F$1))&gt;0),N(INDEX(BASELINE!$A2245:$ZZ2245,CALC!$F$1)),N(INDEX(BASELINE!$A2245:$ZZ2245,CALC!$P$1))))=INT(SIMOPS!$D$3),IFERROR(UPPER(TRIM(INDEX(BASELINE!$A2245:$ZZ2245,CALC!$R$1)&amp;"")),"")&lt;&gt;"ENCERRADA"),1,0),0)</f>
        <v/>
      </c>
      <c r="B2245">
        <f>B2244+A2245</f>
        <v/>
      </c>
    </row>
    <row r="2246">
      <c r="A2246">
        <f>IFERROR(IF(AND(INDEX(BASELINE!$A2246:$ZZ2246,CALC!$H$1)&lt;&gt;"",INT(IF(AND(CALC!$F$1&gt;0,N(INDEX(BASELINE!$A2246:$ZZ2246,CALC!$F$1))&gt;0),N(INDEX(BASELINE!$A2246:$ZZ2246,CALC!$F$1)),N(INDEX(BASELINE!$A2246:$ZZ2246,CALC!$P$1))))=INT(SIMOPS!$D$3),IFERROR(UPPER(TRIM(INDEX(BASELINE!$A2246:$ZZ2246,CALC!$R$1)&amp;"")),"")&lt;&gt;"ENCERRADA"),1,0),0)</f>
        <v/>
      </c>
      <c r="B2246">
        <f>B2245+A2246</f>
        <v/>
      </c>
    </row>
    <row r="2247">
      <c r="A2247">
        <f>IFERROR(IF(AND(INDEX(BASELINE!$A2247:$ZZ2247,CALC!$H$1)&lt;&gt;"",INT(IF(AND(CALC!$F$1&gt;0,N(INDEX(BASELINE!$A2247:$ZZ2247,CALC!$F$1))&gt;0),N(INDEX(BASELINE!$A2247:$ZZ2247,CALC!$F$1)),N(INDEX(BASELINE!$A2247:$ZZ2247,CALC!$P$1))))=INT(SIMOPS!$D$3),IFERROR(UPPER(TRIM(INDEX(BASELINE!$A2247:$ZZ2247,CALC!$R$1)&amp;"")),"")&lt;&gt;"ENCERRADA"),1,0),0)</f>
        <v/>
      </c>
      <c r="B2247">
        <f>B2246+A2247</f>
        <v/>
      </c>
    </row>
    <row r="2248">
      <c r="A2248">
        <f>IFERROR(IF(AND(INDEX(BASELINE!$A2248:$ZZ2248,CALC!$H$1)&lt;&gt;"",INT(IF(AND(CALC!$F$1&gt;0,N(INDEX(BASELINE!$A2248:$ZZ2248,CALC!$F$1))&gt;0),N(INDEX(BASELINE!$A2248:$ZZ2248,CALC!$F$1)),N(INDEX(BASELINE!$A2248:$ZZ2248,CALC!$P$1))))=INT(SIMOPS!$D$3),IFERROR(UPPER(TRIM(INDEX(BASELINE!$A2248:$ZZ2248,CALC!$R$1)&amp;"")),"")&lt;&gt;"ENCERRADA"),1,0),0)</f>
        <v/>
      </c>
      <c r="B2248">
        <f>B2247+A2248</f>
        <v/>
      </c>
    </row>
    <row r="2249">
      <c r="A2249">
        <f>IFERROR(IF(AND(INDEX(BASELINE!$A2249:$ZZ2249,CALC!$H$1)&lt;&gt;"",INT(IF(AND(CALC!$F$1&gt;0,N(INDEX(BASELINE!$A2249:$ZZ2249,CALC!$F$1))&gt;0),N(INDEX(BASELINE!$A2249:$ZZ2249,CALC!$F$1)),N(INDEX(BASELINE!$A2249:$ZZ2249,CALC!$P$1))))=INT(SIMOPS!$D$3),IFERROR(UPPER(TRIM(INDEX(BASELINE!$A2249:$ZZ2249,CALC!$R$1)&amp;"")),"")&lt;&gt;"ENCERRADA"),1,0),0)</f>
        <v/>
      </c>
      <c r="B2249">
        <f>B2248+A2249</f>
        <v/>
      </c>
    </row>
    <row r="2250">
      <c r="A2250">
        <f>IFERROR(IF(AND(INDEX(BASELINE!$A2250:$ZZ2250,CALC!$H$1)&lt;&gt;"",INT(IF(AND(CALC!$F$1&gt;0,N(INDEX(BASELINE!$A2250:$ZZ2250,CALC!$F$1))&gt;0),N(INDEX(BASELINE!$A2250:$ZZ2250,CALC!$F$1)),N(INDEX(BASELINE!$A2250:$ZZ2250,CALC!$P$1))))=INT(SIMOPS!$D$3),IFERROR(UPPER(TRIM(INDEX(BASELINE!$A2250:$ZZ2250,CALC!$R$1)&amp;"")),"")&lt;&gt;"ENCERRADA"),1,0),0)</f>
        <v/>
      </c>
      <c r="B2250">
        <f>B2249+A2250</f>
        <v/>
      </c>
    </row>
    <row r="2251">
      <c r="A2251">
        <f>IFERROR(IF(AND(INDEX(BASELINE!$A2251:$ZZ2251,CALC!$H$1)&lt;&gt;"",INT(IF(AND(CALC!$F$1&gt;0,N(INDEX(BASELINE!$A2251:$ZZ2251,CALC!$F$1))&gt;0),N(INDEX(BASELINE!$A2251:$ZZ2251,CALC!$F$1)),N(INDEX(BASELINE!$A2251:$ZZ2251,CALC!$P$1))))=INT(SIMOPS!$D$3),IFERROR(UPPER(TRIM(INDEX(BASELINE!$A2251:$ZZ2251,CALC!$R$1)&amp;"")),"")&lt;&gt;"ENCERRADA"),1,0),0)</f>
        <v/>
      </c>
      <c r="B2251">
        <f>B2250+A2251</f>
        <v/>
      </c>
    </row>
    <row r="2252">
      <c r="A2252">
        <f>IFERROR(IF(AND(INDEX(BASELINE!$A2252:$ZZ2252,CALC!$H$1)&lt;&gt;"",INT(IF(AND(CALC!$F$1&gt;0,N(INDEX(BASELINE!$A2252:$ZZ2252,CALC!$F$1))&gt;0),N(INDEX(BASELINE!$A2252:$ZZ2252,CALC!$F$1)),N(INDEX(BASELINE!$A2252:$ZZ2252,CALC!$P$1))))=INT(SIMOPS!$D$3),IFERROR(UPPER(TRIM(INDEX(BASELINE!$A2252:$ZZ2252,CALC!$R$1)&amp;"")),"")&lt;&gt;"ENCERRADA"),1,0),0)</f>
        <v/>
      </c>
      <c r="B2252">
        <f>B2251+A2252</f>
        <v/>
      </c>
    </row>
    <row r="2253">
      <c r="A2253">
        <f>IFERROR(IF(AND(INDEX(BASELINE!$A2253:$ZZ2253,CALC!$H$1)&lt;&gt;"",INT(IF(AND(CALC!$F$1&gt;0,N(INDEX(BASELINE!$A2253:$ZZ2253,CALC!$F$1))&gt;0),N(INDEX(BASELINE!$A2253:$ZZ2253,CALC!$F$1)),N(INDEX(BASELINE!$A2253:$ZZ2253,CALC!$P$1))))=INT(SIMOPS!$D$3),IFERROR(UPPER(TRIM(INDEX(BASELINE!$A2253:$ZZ2253,CALC!$R$1)&amp;"")),"")&lt;&gt;"ENCERRADA"),1,0),0)</f>
        <v/>
      </c>
      <c r="B2253">
        <f>B2252+A2253</f>
        <v/>
      </c>
    </row>
    <row r="2254">
      <c r="A2254">
        <f>IFERROR(IF(AND(INDEX(BASELINE!$A2254:$ZZ2254,CALC!$H$1)&lt;&gt;"",INT(IF(AND(CALC!$F$1&gt;0,N(INDEX(BASELINE!$A2254:$ZZ2254,CALC!$F$1))&gt;0),N(INDEX(BASELINE!$A2254:$ZZ2254,CALC!$F$1)),N(INDEX(BASELINE!$A2254:$ZZ2254,CALC!$P$1))))=INT(SIMOPS!$D$3),IFERROR(UPPER(TRIM(INDEX(BASELINE!$A2254:$ZZ2254,CALC!$R$1)&amp;"")),"")&lt;&gt;"ENCERRADA"),1,0),0)</f>
        <v/>
      </c>
      <c r="B2254">
        <f>B2253+A2254</f>
        <v/>
      </c>
    </row>
    <row r="2255">
      <c r="A2255">
        <f>IFERROR(IF(AND(INDEX(BASELINE!$A2255:$ZZ2255,CALC!$H$1)&lt;&gt;"",INT(IF(AND(CALC!$F$1&gt;0,N(INDEX(BASELINE!$A2255:$ZZ2255,CALC!$F$1))&gt;0),N(INDEX(BASELINE!$A2255:$ZZ2255,CALC!$F$1)),N(INDEX(BASELINE!$A2255:$ZZ2255,CALC!$P$1))))=INT(SIMOPS!$D$3),IFERROR(UPPER(TRIM(INDEX(BASELINE!$A2255:$ZZ2255,CALC!$R$1)&amp;"")),"")&lt;&gt;"ENCERRADA"),1,0),0)</f>
        <v/>
      </c>
      <c r="B2255">
        <f>B2254+A2255</f>
        <v/>
      </c>
    </row>
    <row r="2256">
      <c r="A2256">
        <f>IFERROR(IF(AND(INDEX(BASELINE!$A2256:$ZZ2256,CALC!$H$1)&lt;&gt;"",INT(IF(AND(CALC!$F$1&gt;0,N(INDEX(BASELINE!$A2256:$ZZ2256,CALC!$F$1))&gt;0),N(INDEX(BASELINE!$A2256:$ZZ2256,CALC!$F$1)),N(INDEX(BASELINE!$A2256:$ZZ2256,CALC!$P$1))))=INT(SIMOPS!$D$3),IFERROR(UPPER(TRIM(INDEX(BASELINE!$A2256:$ZZ2256,CALC!$R$1)&amp;"")),"")&lt;&gt;"ENCERRADA"),1,0),0)</f>
        <v/>
      </c>
      <c r="B2256">
        <f>B2255+A2256</f>
        <v/>
      </c>
    </row>
    <row r="2257">
      <c r="A2257">
        <f>IFERROR(IF(AND(INDEX(BASELINE!$A2257:$ZZ2257,CALC!$H$1)&lt;&gt;"",INT(IF(AND(CALC!$F$1&gt;0,N(INDEX(BASELINE!$A2257:$ZZ2257,CALC!$F$1))&gt;0),N(INDEX(BASELINE!$A2257:$ZZ2257,CALC!$F$1)),N(INDEX(BASELINE!$A2257:$ZZ2257,CALC!$P$1))))=INT(SIMOPS!$D$3),IFERROR(UPPER(TRIM(INDEX(BASELINE!$A2257:$ZZ2257,CALC!$R$1)&amp;"")),"")&lt;&gt;"ENCERRADA"),1,0),0)</f>
        <v/>
      </c>
      <c r="B2257">
        <f>B2256+A2257</f>
        <v/>
      </c>
    </row>
    <row r="2258">
      <c r="A2258">
        <f>IFERROR(IF(AND(INDEX(BASELINE!$A2258:$ZZ2258,CALC!$H$1)&lt;&gt;"",INT(IF(AND(CALC!$F$1&gt;0,N(INDEX(BASELINE!$A2258:$ZZ2258,CALC!$F$1))&gt;0),N(INDEX(BASELINE!$A2258:$ZZ2258,CALC!$F$1)),N(INDEX(BASELINE!$A2258:$ZZ2258,CALC!$P$1))))=INT(SIMOPS!$D$3),IFERROR(UPPER(TRIM(INDEX(BASELINE!$A2258:$ZZ2258,CALC!$R$1)&amp;"")),"")&lt;&gt;"ENCERRADA"),1,0),0)</f>
        <v/>
      </c>
      <c r="B2258">
        <f>B2257+A2258</f>
        <v/>
      </c>
    </row>
    <row r="2259">
      <c r="A2259">
        <f>IFERROR(IF(AND(INDEX(BASELINE!$A2259:$ZZ2259,CALC!$H$1)&lt;&gt;"",INT(IF(AND(CALC!$F$1&gt;0,N(INDEX(BASELINE!$A2259:$ZZ2259,CALC!$F$1))&gt;0),N(INDEX(BASELINE!$A2259:$ZZ2259,CALC!$F$1)),N(INDEX(BASELINE!$A2259:$ZZ2259,CALC!$P$1))))=INT(SIMOPS!$D$3),IFERROR(UPPER(TRIM(INDEX(BASELINE!$A2259:$ZZ2259,CALC!$R$1)&amp;"")),"")&lt;&gt;"ENCERRADA"),1,0),0)</f>
        <v/>
      </c>
      <c r="B2259">
        <f>B2258+A2259</f>
        <v/>
      </c>
    </row>
    <row r="2260">
      <c r="A2260">
        <f>IFERROR(IF(AND(INDEX(BASELINE!$A2260:$ZZ2260,CALC!$H$1)&lt;&gt;"",INT(IF(AND(CALC!$F$1&gt;0,N(INDEX(BASELINE!$A2260:$ZZ2260,CALC!$F$1))&gt;0),N(INDEX(BASELINE!$A2260:$ZZ2260,CALC!$F$1)),N(INDEX(BASELINE!$A2260:$ZZ2260,CALC!$P$1))))=INT(SIMOPS!$D$3),IFERROR(UPPER(TRIM(INDEX(BASELINE!$A2260:$ZZ2260,CALC!$R$1)&amp;"")),"")&lt;&gt;"ENCERRADA"),1,0),0)</f>
        <v/>
      </c>
      <c r="B2260">
        <f>B2259+A2260</f>
        <v/>
      </c>
    </row>
    <row r="2261">
      <c r="A2261">
        <f>IFERROR(IF(AND(INDEX(BASELINE!$A2261:$ZZ2261,CALC!$H$1)&lt;&gt;"",INT(IF(AND(CALC!$F$1&gt;0,N(INDEX(BASELINE!$A2261:$ZZ2261,CALC!$F$1))&gt;0),N(INDEX(BASELINE!$A2261:$ZZ2261,CALC!$F$1)),N(INDEX(BASELINE!$A2261:$ZZ2261,CALC!$P$1))))=INT(SIMOPS!$D$3),IFERROR(UPPER(TRIM(INDEX(BASELINE!$A2261:$ZZ2261,CALC!$R$1)&amp;"")),"")&lt;&gt;"ENCERRADA"),1,0),0)</f>
        <v/>
      </c>
      <c r="B2261">
        <f>B2260+A2261</f>
        <v/>
      </c>
    </row>
    <row r="2262">
      <c r="A2262">
        <f>IFERROR(IF(AND(INDEX(BASELINE!$A2262:$ZZ2262,CALC!$H$1)&lt;&gt;"",INT(IF(AND(CALC!$F$1&gt;0,N(INDEX(BASELINE!$A2262:$ZZ2262,CALC!$F$1))&gt;0),N(INDEX(BASELINE!$A2262:$ZZ2262,CALC!$F$1)),N(INDEX(BASELINE!$A2262:$ZZ2262,CALC!$P$1))))=INT(SIMOPS!$D$3),IFERROR(UPPER(TRIM(INDEX(BASELINE!$A2262:$ZZ2262,CALC!$R$1)&amp;"")),"")&lt;&gt;"ENCERRADA"),1,0),0)</f>
        <v/>
      </c>
      <c r="B2262">
        <f>B2261+A2262</f>
        <v/>
      </c>
    </row>
    <row r="2263">
      <c r="A2263">
        <f>IFERROR(IF(AND(INDEX(BASELINE!$A2263:$ZZ2263,CALC!$H$1)&lt;&gt;"",INT(IF(AND(CALC!$F$1&gt;0,N(INDEX(BASELINE!$A2263:$ZZ2263,CALC!$F$1))&gt;0),N(INDEX(BASELINE!$A2263:$ZZ2263,CALC!$F$1)),N(INDEX(BASELINE!$A2263:$ZZ2263,CALC!$P$1))))=INT(SIMOPS!$D$3),IFERROR(UPPER(TRIM(INDEX(BASELINE!$A2263:$ZZ2263,CALC!$R$1)&amp;"")),"")&lt;&gt;"ENCERRADA"),1,0),0)</f>
        <v/>
      </c>
      <c r="B2263">
        <f>B2262+A2263</f>
        <v/>
      </c>
    </row>
    <row r="2264">
      <c r="A2264">
        <f>IFERROR(IF(AND(INDEX(BASELINE!$A2264:$ZZ2264,CALC!$H$1)&lt;&gt;"",INT(IF(AND(CALC!$F$1&gt;0,N(INDEX(BASELINE!$A2264:$ZZ2264,CALC!$F$1))&gt;0),N(INDEX(BASELINE!$A2264:$ZZ2264,CALC!$F$1)),N(INDEX(BASELINE!$A2264:$ZZ2264,CALC!$P$1))))=INT(SIMOPS!$D$3),IFERROR(UPPER(TRIM(INDEX(BASELINE!$A2264:$ZZ2264,CALC!$R$1)&amp;"")),"")&lt;&gt;"ENCERRADA"),1,0),0)</f>
        <v/>
      </c>
      <c r="B2264">
        <f>B2263+A2264</f>
        <v/>
      </c>
    </row>
    <row r="2265">
      <c r="A2265">
        <f>IFERROR(IF(AND(INDEX(BASELINE!$A2265:$ZZ2265,CALC!$H$1)&lt;&gt;"",INT(IF(AND(CALC!$F$1&gt;0,N(INDEX(BASELINE!$A2265:$ZZ2265,CALC!$F$1))&gt;0),N(INDEX(BASELINE!$A2265:$ZZ2265,CALC!$F$1)),N(INDEX(BASELINE!$A2265:$ZZ2265,CALC!$P$1))))=INT(SIMOPS!$D$3),IFERROR(UPPER(TRIM(INDEX(BASELINE!$A2265:$ZZ2265,CALC!$R$1)&amp;"")),"")&lt;&gt;"ENCERRADA"),1,0),0)</f>
        <v/>
      </c>
      <c r="B2265">
        <f>B2264+A2265</f>
        <v/>
      </c>
    </row>
    <row r="2266">
      <c r="A2266">
        <f>IFERROR(IF(AND(INDEX(BASELINE!$A2266:$ZZ2266,CALC!$H$1)&lt;&gt;"",INT(IF(AND(CALC!$F$1&gt;0,N(INDEX(BASELINE!$A2266:$ZZ2266,CALC!$F$1))&gt;0),N(INDEX(BASELINE!$A2266:$ZZ2266,CALC!$F$1)),N(INDEX(BASELINE!$A2266:$ZZ2266,CALC!$P$1))))=INT(SIMOPS!$D$3),IFERROR(UPPER(TRIM(INDEX(BASELINE!$A2266:$ZZ2266,CALC!$R$1)&amp;"")),"")&lt;&gt;"ENCERRADA"),1,0),0)</f>
        <v/>
      </c>
      <c r="B2266">
        <f>B2265+A2266</f>
        <v/>
      </c>
    </row>
    <row r="2267">
      <c r="A2267">
        <f>IFERROR(IF(AND(INDEX(BASELINE!$A2267:$ZZ2267,CALC!$H$1)&lt;&gt;"",INT(IF(AND(CALC!$F$1&gt;0,N(INDEX(BASELINE!$A2267:$ZZ2267,CALC!$F$1))&gt;0),N(INDEX(BASELINE!$A2267:$ZZ2267,CALC!$F$1)),N(INDEX(BASELINE!$A2267:$ZZ2267,CALC!$P$1))))=INT(SIMOPS!$D$3),IFERROR(UPPER(TRIM(INDEX(BASELINE!$A2267:$ZZ2267,CALC!$R$1)&amp;"")),"")&lt;&gt;"ENCERRADA"),1,0),0)</f>
        <v/>
      </c>
      <c r="B2267">
        <f>B2266+A2267</f>
        <v/>
      </c>
    </row>
    <row r="2268">
      <c r="A2268">
        <f>IFERROR(IF(AND(INDEX(BASELINE!$A2268:$ZZ2268,CALC!$H$1)&lt;&gt;"",INT(IF(AND(CALC!$F$1&gt;0,N(INDEX(BASELINE!$A2268:$ZZ2268,CALC!$F$1))&gt;0),N(INDEX(BASELINE!$A2268:$ZZ2268,CALC!$F$1)),N(INDEX(BASELINE!$A2268:$ZZ2268,CALC!$P$1))))=INT(SIMOPS!$D$3),IFERROR(UPPER(TRIM(INDEX(BASELINE!$A2268:$ZZ2268,CALC!$R$1)&amp;"")),"")&lt;&gt;"ENCERRADA"),1,0),0)</f>
        <v/>
      </c>
      <c r="B2268">
        <f>B2267+A2268</f>
        <v/>
      </c>
    </row>
    <row r="2269">
      <c r="A2269">
        <f>IFERROR(IF(AND(INDEX(BASELINE!$A2269:$ZZ2269,CALC!$H$1)&lt;&gt;"",INT(IF(AND(CALC!$F$1&gt;0,N(INDEX(BASELINE!$A2269:$ZZ2269,CALC!$F$1))&gt;0),N(INDEX(BASELINE!$A2269:$ZZ2269,CALC!$F$1)),N(INDEX(BASELINE!$A2269:$ZZ2269,CALC!$P$1))))=INT(SIMOPS!$D$3),IFERROR(UPPER(TRIM(INDEX(BASELINE!$A2269:$ZZ2269,CALC!$R$1)&amp;"")),"")&lt;&gt;"ENCERRADA"),1,0),0)</f>
        <v/>
      </c>
      <c r="B2269">
        <f>B2268+A2269</f>
        <v/>
      </c>
    </row>
    <row r="2270">
      <c r="A2270">
        <f>IFERROR(IF(AND(INDEX(BASELINE!$A2270:$ZZ2270,CALC!$H$1)&lt;&gt;"",INT(IF(AND(CALC!$F$1&gt;0,N(INDEX(BASELINE!$A2270:$ZZ2270,CALC!$F$1))&gt;0),N(INDEX(BASELINE!$A2270:$ZZ2270,CALC!$F$1)),N(INDEX(BASELINE!$A2270:$ZZ2270,CALC!$P$1))))=INT(SIMOPS!$D$3),IFERROR(UPPER(TRIM(INDEX(BASELINE!$A2270:$ZZ2270,CALC!$R$1)&amp;"")),"")&lt;&gt;"ENCERRADA"),1,0),0)</f>
        <v/>
      </c>
      <c r="B2270">
        <f>B2269+A2270</f>
        <v/>
      </c>
    </row>
    <row r="2271">
      <c r="A2271">
        <f>IFERROR(IF(AND(INDEX(BASELINE!$A2271:$ZZ2271,CALC!$H$1)&lt;&gt;"",INT(IF(AND(CALC!$F$1&gt;0,N(INDEX(BASELINE!$A2271:$ZZ2271,CALC!$F$1))&gt;0),N(INDEX(BASELINE!$A2271:$ZZ2271,CALC!$F$1)),N(INDEX(BASELINE!$A2271:$ZZ2271,CALC!$P$1))))=INT(SIMOPS!$D$3),IFERROR(UPPER(TRIM(INDEX(BASELINE!$A2271:$ZZ2271,CALC!$R$1)&amp;"")),"")&lt;&gt;"ENCERRADA"),1,0),0)</f>
        <v/>
      </c>
      <c r="B2271">
        <f>B2270+A2271</f>
        <v/>
      </c>
    </row>
    <row r="2272">
      <c r="A2272">
        <f>IFERROR(IF(AND(INDEX(BASELINE!$A2272:$ZZ2272,CALC!$H$1)&lt;&gt;"",INT(IF(AND(CALC!$F$1&gt;0,N(INDEX(BASELINE!$A2272:$ZZ2272,CALC!$F$1))&gt;0),N(INDEX(BASELINE!$A2272:$ZZ2272,CALC!$F$1)),N(INDEX(BASELINE!$A2272:$ZZ2272,CALC!$P$1))))=INT(SIMOPS!$D$3),IFERROR(UPPER(TRIM(INDEX(BASELINE!$A2272:$ZZ2272,CALC!$R$1)&amp;"")),"")&lt;&gt;"ENCERRADA"),1,0),0)</f>
        <v/>
      </c>
      <c r="B2272">
        <f>B2271+A2272</f>
        <v/>
      </c>
    </row>
    <row r="2273">
      <c r="A2273">
        <f>IFERROR(IF(AND(INDEX(BASELINE!$A2273:$ZZ2273,CALC!$H$1)&lt;&gt;"",INT(IF(AND(CALC!$F$1&gt;0,N(INDEX(BASELINE!$A2273:$ZZ2273,CALC!$F$1))&gt;0),N(INDEX(BASELINE!$A2273:$ZZ2273,CALC!$F$1)),N(INDEX(BASELINE!$A2273:$ZZ2273,CALC!$P$1))))=INT(SIMOPS!$D$3),IFERROR(UPPER(TRIM(INDEX(BASELINE!$A2273:$ZZ2273,CALC!$R$1)&amp;"")),"")&lt;&gt;"ENCERRADA"),1,0),0)</f>
        <v/>
      </c>
      <c r="B2273">
        <f>B2272+A2273</f>
        <v/>
      </c>
    </row>
    <row r="2274">
      <c r="A2274">
        <f>IFERROR(IF(AND(INDEX(BASELINE!$A2274:$ZZ2274,CALC!$H$1)&lt;&gt;"",INT(IF(AND(CALC!$F$1&gt;0,N(INDEX(BASELINE!$A2274:$ZZ2274,CALC!$F$1))&gt;0),N(INDEX(BASELINE!$A2274:$ZZ2274,CALC!$F$1)),N(INDEX(BASELINE!$A2274:$ZZ2274,CALC!$P$1))))=INT(SIMOPS!$D$3),IFERROR(UPPER(TRIM(INDEX(BASELINE!$A2274:$ZZ2274,CALC!$R$1)&amp;"")),"")&lt;&gt;"ENCERRADA"),1,0),0)</f>
        <v/>
      </c>
      <c r="B2274">
        <f>B2273+A2274</f>
        <v/>
      </c>
    </row>
    <row r="2275">
      <c r="A2275">
        <f>IFERROR(IF(AND(INDEX(BASELINE!$A2275:$ZZ2275,CALC!$H$1)&lt;&gt;"",INT(IF(AND(CALC!$F$1&gt;0,N(INDEX(BASELINE!$A2275:$ZZ2275,CALC!$F$1))&gt;0),N(INDEX(BASELINE!$A2275:$ZZ2275,CALC!$F$1)),N(INDEX(BASELINE!$A2275:$ZZ2275,CALC!$P$1))))=INT(SIMOPS!$D$3),IFERROR(UPPER(TRIM(INDEX(BASELINE!$A2275:$ZZ2275,CALC!$R$1)&amp;"")),"")&lt;&gt;"ENCERRADA"),1,0),0)</f>
        <v/>
      </c>
      <c r="B2275">
        <f>B2274+A2275</f>
        <v/>
      </c>
    </row>
    <row r="2276">
      <c r="A2276">
        <f>IFERROR(IF(AND(INDEX(BASELINE!$A2276:$ZZ2276,CALC!$H$1)&lt;&gt;"",INT(IF(AND(CALC!$F$1&gt;0,N(INDEX(BASELINE!$A2276:$ZZ2276,CALC!$F$1))&gt;0),N(INDEX(BASELINE!$A2276:$ZZ2276,CALC!$F$1)),N(INDEX(BASELINE!$A2276:$ZZ2276,CALC!$P$1))))=INT(SIMOPS!$D$3),IFERROR(UPPER(TRIM(INDEX(BASELINE!$A2276:$ZZ2276,CALC!$R$1)&amp;"")),"")&lt;&gt;"ENCERRADA"),1,0),0)</f>
        <v/>
      </c>
      <c r="B2276">
        <f>B2275+A2276</f>
        <v/>
      </c>
    </row>
    <row r="2277">
      <c r="A2277">
        <f>IFERROR(IF(AND(INDEX(BASELINE!$A2277:$ZZ2277,CALC!$H$1)&lt;&gt;"",INT(IF(AND(CALC!$F$1&gt;0,N(INDEX(BASELINE!$A2277:$ZZ2277,CALC!$F$1))&gt;0),N(INDEX(BASELINE!$A2277:$ZZ2277,CALC!$F$1)),N(INDEX(BASELINE!$A2277:$ZZ2277,CALC!$P$1))))=INT(SIMOPS!$D$3),IFERROR(UPPER(TRIM(INDEX(BASELINE!$A2277:$ZZ2277,CALC!$R$1)&amp;"")),"")&lt;&gt;"ENCERRADA"),1,0),0)</f>
        <v/>
      </c>
      <c r="B2277">
        <f>B2276+A2277</f>
        <v/>
      </c>
    </row>
    <row r="2278">
      <c r="A2278">
        <f>IFERROR(IF(AND(INDEX(BASELINE!$A2278:$ZZ2278,CALC!$H$1)&lt;&gt;"",INT(IF(AND(CALC!$F$1&gt;0,N(INDEX(BASELINE!$A2278:$ZZ2278,CALC!$F$1))&gt;0),N(INDEX(BASELINE!$A2278:$ZZ2278,CALC!$F$1)),N(INDEX(BASELINE!$A2278:$ZZ2278,CALC!$P$1))))=INT(SIMOPS!$D$3),IFERROR(UPPER(TRIM(INDEX(BASELINE!$A2278:$ZZ2278,CALC!$R$1)&amp;"")),"")&lt;&gt;"ENCERRADA"),1,0),0)</f>
        <v/>
      </c>
      <c r="B2278">
        <f>B2277+A2278</f>
        <v/>
      </c>
    </row>
    <row r="2279">
      <c r="A2279">
        <f>IFERROR(IF(AND(INDEX(BASELINE!$A2279:$ZZ2279,CALC!$H$1)&lt;&gt;"",INT(IF(AND(CALC!$F$1&gt;0,N(INDEX(BASELINE!$A2279:$ZZ2279,CALC!$F$1))&gt;0),N(INDEX(BASELINE!$A2279:$ZZ2279,CALC!$F$1)),N(INDEX(BASELINE!$A2279:$ZZ2279,CALC!$P$1))))=INT(SIMOPS!$D$3),IFERROR(UPPER(TRIM(INDEX(BASELINE!$A2279:$ZZ2279,CALC!$R$1)&amp;"")),"")&lt;&gt;"ENCERRADA"),1,0),0)</f>
        <v/>
      </c>
      <c r="B2279">
        <f>B2278+A2279</f>
        <v/>
      </c>
    </row>
    <row r="2280">
      <c r="A2280">
        <f>IFERROR(IF(AND(INDEX(BASELINE!$A2280:$ZZ2280,CALC!$H$1)&lt;&gt;"",INT(IF(AND(CALC!$F$1&gt;0,N(INDEX(BASELINE!$A2280:$ZZ2280,CALC!$F$1))&gt;0),N(INDEX(BASELINE!$A2280:$ZZ2280,CALC!$F$1)),N(INDEX(BASELINE!$A2280:$ZZ2280,CALC!$P$1))))=INT(SIMOPS!$D$3),IFERROR(UPPER(TRIM(INDEX(BASELINE!$A2280:$ZZ2280,CALC!$R$1)&amp;"")),"")&lt;&gt;"ENCERRADA"),1,0),0)</f>
        <v/>
      </c>
      <c r="B2280">
        <f>B2279+A2280</f>
        <v/>
      </c>
    </row>
    <row r="2281">
      <c r="A2281">
        <f>IFERROR(IF(AND(INDEX(BASELINE!$A2281:$ZZ2281,CALC!$H$1)&lt;&gt;"",INT(IF(AND(CALC!$F$1&gt;0,N(INDEX(BASELINE!$A2281:$ZZ2281,CALC!$F$1))&gt;0),N(INDEX(BASELINE!$A2281:$ZZ2281,CALC!$F$1)),N(INDEX(BASELINE!$A2281:$ZZ2281,CALC!$P$1))))=INT(SIMOPS!$D$3),IFERROR(UPPER(TRIM(INDEX(BASELINE!$A2281:$ZZ2281,CALC!$R$1)&amp;"")),"")&lt;&gt;"ENCERRADA"),1,0),0)</f>
        <v/>
      </c>
      <c r="B2281">
        <f>B2280+A2281</f>
        <v/>
      </c>
    </row>
    <row r="2282">
      <c r="A2282">
        <f>IFERROR(IF(AND(INDEX(BASELINE!$A2282:$ZZ2282,CALC!$H$1)&lt;&gt;"",INT(IF(AND(CALC!$F$1&gt;0,N(INDEX(BASELINE!$A2282:$ZZ2282,CALC!$F$1))&gt;0),N(INDEX(BASELINE!$A2282:$ZZ2282,CALC!$F$1)),N(INDEX(BASELINE!$A2282:$ZZ2282,CALC!$P$1))))=INT(SIMOPS!$D$3),IFERROR(UPPER(TRIM(INDEX(BASELINE!$A2282:$ZZ2282,CALC!$R$1)&amp;"")),"")&lt;&gt;"ENCERRADA"),1,0),0)</f>
        <v/>
      </c>
      <c r="B2282">
        <f>B2281+A2282</f>
        <v/>
      </c>
    </row>
    <row r="2283">
      <c r="A2283">
        <f>IFERROR(IF(AND(INDEX(BASELINE!$A2283:$ZZ2283,CALC!$H$1)&lt;&gt;"",INT(IF(AND(CALC!$F$1&gt;0,N(INDEX(BASELINE!$A2283:$ZZ2283,CALC!$F$1))&gt;0),N(INDEX(BASELINE!$A2283:$ZZ2283,CALC!$F$1)),N(INDEX(BASELINE!$A2283:$ZZ2283,CALC!$P$1))))=INT(SIMOPS!$D$3),IFERROR(UPPER(TRIM(INDEX(BASELINE!$A2283:$ZZ2283,CALC!$R$1)&amp;"")),"")&lt;&gt;"ENCERRADA"),1,0),0)</f>
        <v/>
      </c>
      <c r="B2283">
        <f>B2282+A2283</f>
        <v/>
      </c>
    </row>
    <row r="2284">
      <c r="A2284">
        <f>IFERROR(IF(AND(INDEX(BASELINE!$A2284:$ZZ2284,CALC!$H$1)&lt;&gt;"",INT(IF(AND(CALC!$F$1&gt;0,N(INDEX(BASELINE!$A2284:$ZZ2284,CALC!$F$1))&gt;0),N(INDEX(BASELINE!$A2284:$ZZ2284,CALC!$F$1)),N(INDEX(BASELINE!$A2284:$ZZ2284,CALC!$P$1))))=INT(SIMOPS!$D$3),IFERROR(UPPER(TRIM(INDEX(BASELINE!$A2284:$ZZ2284,CALC!$R$1)&amp;"")),"")&lt;&gt;"ENCERRADA"),1,0),0)</f>
        <v/>
      </c>
      <c r="B2284">
        <f>B2283+A2284</f>
        <v/>
      </c>
    </row>
    <row r="2285">
      <c r="A2285">
        <f>IFERROR(IF(AND(INDEX(BASELINE!$A2285:$ZZ2285,CALC!$H$1)&lt;&gt;"",INT(IF(AND(CALC!$F$1&gt;0,N(INDEX(BASELINE!$A2285:$ZZ2285,CALC!$F$1))&gt;0),N(INDEX(BASELINE!$A2285:$ZZ2285,CALC!$F$1)),N(INDEX(BASELINE!$A2285:$ZZ2285,CALC!$P$1))))=INT(SIMOPS!$D$3),IFERROR(UPPER(TRIM(INDEX(BASELINE!$A2285:$ZZ2285,CALC!$R$1)&amp;"")),"")&lt;&gt;"ENCERRADA"),1,0),0)</f>
        <v/>
      </c>
      <c r="B2285">
        <f>B2284+A2285</f>
        <v/>
      </c>
    </row>
    <row r="2286">
      <c r="A2286">
        <f>IFERROR(IF(AND(INDEX(BASELINE!$A2286:$ZZ2286,CALC!$H$1)&lt;&gt;"",INT(IF(AND(CALC!$F$1&gt;0,N(INDEX(BASELINE!$A2286:$ZZ2286,CALC!$F$1))&gt;0),N(INDEX(BASELINE!$A2286:$ZZ2286,CALC!$F$1)),N(INDEX(BASELINE!$A2286:$ZZ2286,CALC!$P$1))))=INT(SIMOPS!$D$3),IFERROR(UPPER(TRIM(INDEX(BASELINE!$A2286:$ZZ2286,CALC!$R$1)&amp;"")),"")&lt;&gt;"ENCERRADA"),1,0),0)</f>
        <v/>
      </c>
      <c r="B2286">
        <f>B2285+A2286</f>
        <v/>
      </c>
    </row>
    <row r="2287">
      <c r="A2287">
        <f>IFERROR(IF(AND(INDEX(BASELINE!$A2287:$ZZ2287,CALC!$H$1)&lt;&gt;"",INT(IF(AND(CALC!$F$1&gt;0,N(INDEX(BASELINE!$A2287:$ZZ2287,CALC!$F$1))&gt;0),N(INDEX(BASELINE!$A2287:$ZZ2287,CALC!$F$1)),N(INDEX(BASELINE!$A2287:$ZZ2287,CALC!$P$1))))=INT(SIMOPS!$D$3),IFERROR(UPPER(TRIM(INDEX(BASELINE!$A2287:$ZZ2287,CALC!$R$1)&amp;"")),"")&lt;&gt;"ENCERRADA"),1,0),0)</f>
        <v/>
      </c>
      <c r="B2287">
        <f>B2286+A2287</f>
        <v/>
      </c>
    </row>
    <row r="2288">
      <c r="A2288">
        <f>IFERROR(IF(AND(INDEX(BASELINE!$A2288:$ZZ2288,CALC!$H$1)&lt;&gt;"",INT(IF(AND(CALC!$F$1&gt;0,N(INDEX(BASELINE!$A2288:$ZZ2288,CALC!$F$1))&gt;0),N(INDEX(BASELINE!$A2288:$ZZ2288,CALC!$F$1)),N(INDEX(BASELINE!$A2288:$ZZ2288,CALC!$P$1))))=INT(SIMOPS!$D$3),IFERROR(UPPER(TRIM(INDEX(BASELINE!$A2288:$ZZ2288,CALC!$R$1)&amp;"")),"")&lt;&gt;"ENCERRADA"),1,0),0)</f>
        <v/>
      </c>
      <c r="B2288">
        <f>B2287+A2288</f>
        <v/>
      </c>
    </row>
    <row r="2289">
      <c r="A2289">
        <f>IFERROR(IF(AND(INDEX(BASELINE!$A2289:$ZZ2289,CALC!$H$1)&lt;&gt;"",INT(IF(AND(CALC!$F$1&gt;0,N(INDEX(BASELINE!$A2289:$ZZ2289,CALC!$F$1))&gt;0),N(INDEX(BASELINE!$A2289:$ZZ2289,CALC!$F$1)),N(INDEX(BASELINE!$A2289:$ZZ2289,CALC!$P$1))))=INT(SIMOPS!$D$3),IFERROR(UPPER(TRIM(INDEX(BASELINE!$A2289:$ZZ2289,CALC!$R$1)&amp;"")),"")&lt;&gt;"ENCERRADA"),1,0),0)</f>
        <v/>
      </c>
      <c r="B2289">
        <f>B2288+A2289</f>
        <v/>
      </c>
    </row>
    <row r="2290">
      <c r="A2290">
        <f>IFERROR(IF(AND(INDEX(BASELINE!$A2290:$ZZ2290,CALC!$H$1)&lt;&gt;"",INT(IF(AND(CALC!$F$1&gt;0,N(INDEX(BASELINE!$A2290:$ZZ2290,CALC!$F$1))&gt;0),N(INDEX(BASELINE!$A2290:$ZZ2290,CALC!$F$1)),N(INDEX(BASELINE!$A2290:$ZZ2290,CALC!$P$1))))=INT(SIMOPS!$D$3),IFERROR(UPPER(TRIM(INDEX(BASELINE!$A2290:$ZZ2290,CALC!$R$1)&amp;"")),"")&lt;&gt;"ENCERRADA"),1,0),0)</f>
        <v/>
      </c>
      <c r="B2290">
        <f>B2289+A2290</f>
        <v/>
      </c>
    </row>
    <row r="2291">
      <c r="A2291">
        <f>IFERROR(IF(AND(INDEX(BASELINE!$A2291:$ZZ2291,CALC!$H$1)&lt;&gt;"",INT(IF(AND(CALC!$F$1&gt;0,N(INDEX(BASELINE!$A2291:$ZZ2291,CALC!$F$1))&gt;0),N(INDEX(BASELINE!$A2291:$ZZ2291,CALC!$F$1)),N(INDEX(BASELINE!$A2291:$ZZ2291,CALC!$P$1))))=INT(SIMOPS!$D$3),IFERROR(UPPER(TRIM(INDEX(BASELINE!$A2291:$ZZ2291,CALC!$R$1)&amp;"")),"")&lt;&gt;"ENCERRADA"),1,0),0)</f>
        <v/>
      </c>
      <c r="B2291">
        <f>B2290+A2291</f>
        <v/>
      </c>
    </row>
    <row r="2292">
      <c r="A2292">
        <f>IFERROR(IF(AND(INDEX(BASELINE!$A2292:$ZZ2292,CALC!$H$1)&lt;&gt;"",INT(IF(AND(CALC!$F$1&gt;0,N(INDEX(BASELINE!$A2292:$ZZ2292,CALC!$F$1))&gt;0),N(INDEX(BASELINE!$A2292:$ZZ2292,CALC!$F$1)),N(INDEX(BASELINE!$A2292:$ZZ2292,CALC!$P$1))))=INT(SIMOPS!$D$3),IFERROR(UPPER(TRIM(INDEX(BASELINE!$A2292:$ZZ2292,CALC!$R$1)&amp;"")),"")&lt;&gt;"ENCERRADA"),1,0),0)</f>
        <v/>
      </c>
      <c r="B2292">
        <f>B2291+A2292</f>
        <v/>
      </c>
    </row>
    <row r="2293">
      <c r="A2293">
        <f>IFERROR(IF(AND(INDEX(BASELINE!$A2293:$ZZ2293,CALC!$H$1)&lt;&gt;"",INT(IF(AND(CALC!$F$1&gt;0,N(INDEX(BASELINE!$A2293:$ZZ2293,CALC!$F$1))&gt;0),N(INDEX(BASELINE!$A2293:$ZZ2293,CALC!$F$1)),N(INDEX(BASELINE!$A2293:$ZZ2293,CALC!$P$1))))=INT(SIMOPS!$D$3),IFERROR(UPPER(TRIM(INDEX(BASELINE!$A2293:$ZZ2293,CALC!$R$1)&amp;"")),"")&lt;&gt;"ENCERRADA"),1,0),0)</f>
        <v/>
      </c>
      <c r="B2293">
        <f>B2292+A2293</f>
        <v/>
      </c>
    </row>
    <row r="2294">
      <c r="A2294">
        <f>IFERROR(IF(AND(INDEX(BASELINE!$A2294:$ZZ2294,CALC!$H$1)&lt;&gt;"",INT(IF(AND(CALC!$F$1&gt;0,N(INDEX(BASELINE!$A2294:$ZZ2294,CALC!$F$1))&gt;0),N(INDEX(BASELINE!$A2294:$ZZ2294,CALC!$F$1)),N(INDEX(BASELINE!$A2294:$ZZ2294,CALC!$P$1))))=INT(SIMOPS!$D$3),IFERROR(UPPER(TRIM(INDEX(BASELINE!$A2294:$ZZ2294,CALC!$R$1)&amp;"")),"")&lt;&gt;"ENCERRADA"),1,0),0)</f>
        <v/>
      </c>
      <c r="B2294">
        <f>B2293+A2294</f>
        <v/>
      </c>
    </row>
    <row r="2295">
      <c r="A2295">
        <f>IFERROR(IF(AND(INDEX(BASELINE!$A2295:$ZZ2295,CALC!$H$1)&lt;&gt;"",INT(IF(AND(CALC!$F$1&gt;0,N(INDEX(BASELINE!$A2295:$ZZ2295,CALC!$F$1))&gt;0),N(INDEX(BASELINE!$A2295:$ZZ2295,CALC!$F$1)),N(INDEX(BASELINE!$A2295:$ZZ2295,CALC!$P$1))))=INT(SIMOPS!$D$3),IFERROR(UPPER(TRIM(INDEX(BASELINE!$A2295:$ZZ2295,CALC!$R$1)&amp;"")),"")&lt;&gt;"ENCERRADA"),1,0),0)</f>
        <v/>
      </c>
      <c r="B2295">
        <f>B2294+A2295</f>
        <v/>
      </c>
    </row>
    <row r="2296">
      <c r="A2296">
        <f>IFERROR(IF(AND(INDEX(BASELINE!$A2296:$ZZ2296,CALC!$H$1)&lt;&gt;"",INT(IF(AND(CALC!$F$1&gt;0,N(INDEX(BASELINE!$A2296:$ZZ2296,CALC!$F$1))&gt;0),N(INDEX(BASELINE!$A2296:$ZZ2296,CALC!$F$1)),N(INDEX(BASELINE!$A2296:$ZZ2296,CALC!$P$1))))=INT(SIMOPS!$D$3),IFERROR(UPPER(TRIM(INDEX(BASELINE!$A2296:$ZZ2296,CALC!$R$1)&amp;"")),"")&lt;&gt;"ENCERRADA"),1,0),0)</f>
        <v/>
      </c>
      <c r="B2296">
        <f>B2295+A2296</f>
        <v/>
      </c>
    </row>
    <row r="2297">
      <c r="A2297">
        <f>IFERROR(IF(AND(INDEX(BASELINE!$A2297:$ZZ2297,CALC!$H$1)&lt;&gt;"",INT(IF(AND(CALC!$F$1&gt;0,N(INDEX(BASELINE!$A2297:$ZZ2297,CALC!$F$1))&gt;0),N(INDEX(BASELINE!$A2297:$ZZ2297,CALC!$F$1)),N(INDEX(BASELINE!$A2297:$ZZ2297,CALC!$P$1))))=INT(SIMOPS!$D$3),IFERROR(UPPER(TRIM(INDEX(BASELINE!$A2297:$ZZ2297,CALC!$R$1)&amp;"")),"")&lt;&gt;"ENCERRADA"),1,0),0)</f>
        <v/>
      </c>
      <c r="B2297">
        <f>B2296+A2297</f>
        <v/>
      </c>
    </row>
    <row r="2298">
      <c r="A2298">
        <f>IFERROR(IF(AND(INDEX(BASELINE!$A2298:$ZZ2298,CALC!$H$1)&lt;&gt;"",INT(IF(AND(CALC!$F$1&gt;0,N(INDEX(BASELINE!$A2298:$ZZ2298,CALC!$F$1))&gt;0),N(INDEX(BASELINE!$A2298:$ZZ2298,CALC!$F$1)),N(INDEX(BASELINE!$A2298:$ZZ2298,CALC!$P$1))))=INT(SIMOPS!$D$3),IFERROR(UPPER(TRIM(INDEX(BASELINE!$A2298:$ZZ2298,CALC!$R$1)&amp;"")),"")&lt;&gt;"ENCERRADA"),1,0),0)</f>
        <v/>
      </c>
      <c r="B2298">
        <f>B2297+A2298</f>
        <v/>
      </c>
    </row>
    <row r="2299">
      <c r="A2299">
        <f>IFERROR(IF(AND(INDEX(BASELINE!$A2299:$ZZ2299,CALC!$H$1)&lt;&gt;"",INT(IF(AND(CALC!$F$1&gt;0,N(INDEX(BASELINE!$A2299:$ZZ2299,CALC!$F$1))&gt;0),N(INDEX(BASELINE!$A2299:$ZZ2299,CALC!$F$1)),N(INDEX(BASELINE!$A2299:$ZZ2299,CALC!$P$1))))=INT(SIMOPS!$D$3),IFERROR(UPPER(TRIM(INDEX(BASELINE!$A2299:$ZZ2299,CALC!$R$1)&amp;"")),"")&lt;&gt;"ENCERRADA"),1,0),0)</f>
        <v/>
      </c>
      <c r="B2299">
        <f>B2298+A2299</f>
        <v/>
      </c>
    </row>
    <row r="2300">
      <c r="A2300">
        <f>IFERROR(IF(AND(INDEX(BASELINE!$A2300:$ZZ2300,CALC!$H$1)&lt;&gt;"",INT(IF(AND(CALC!$F$1&gt;0,N(INDEX(BASELINE!$A2300:$ZZ2300,CALC!$F$1))&gt;0),N(INDEX(BASELINE!$A2300:$ZZ2300,CALC!$F$1)),N(INDEX(BASELINE!$A2300:$ZZ2300,CALC!$P$1))))=INT(SIMOPS!$D$3),IFERROR(UPPER(TRIM(INDEX(BASELINE!$A2300:$ZZ2300,CALC!$R$1)&amp;"")),"")&lt;&gt;"ENCERRADA"),1,0),0)</f>
        <v/>
      </c>
      <c r="B2300">
        <f>B2299+A2300</f>
        <v/>
      </c>
    </row>
    <row r="2301">
      <c r="A2301">
        <f>IFERROR(IF(AND(INDEX(BASELINE!$A2301:$ZZ2301,CALC!$H$1)&lt;&gt;"",INT(IF(AND(CALC!$F$1&gt;0,N(INDEX(BASELINE!$A2301:$ZZ2301,CALC!$F$1))&gt;0),N(INDEX(BASELINE!$A2301:$ZZ2301,CALC!$F$1)),N(INDEX(BASELINE!$A2301:$ZZ2301,CALC!$P$1))))=INT(SIMOPS!$D$3),IFERROR(UPPER(TRIM(INDEX(BASELINE!$A2301:$ZZ2301,CALC!$R$1)&amp;"")),"")&lt;&gt;"ENCERRADA"),1,0),0)</f>
        <v/>
      </c>
      <c r="B2301">
        <f>B2300+A2301</f>
        <v/>
      </c>
    </row>
    <row r="2302">
      <c r="A2302">
        <f>IFERROR(IF(AND(INDEX(BASELINE!$A2302:$ZZ2302,CALC!$H$1)&lt;&gt;"",INT(IF(AND(CALC!$F$1&gt;0,N(INDEX(BASELINE!$A2302:$ZZ2302,CALC!$F$1))&gt;0),N(INDEX(BASELINE!$A2302:$ZZ2302,CALC!$F$1)),N(INDEX(BASELINE!$A2302:$ZZ2302,CALC!$P$1))))=INT(SIMOPS!$D$3),IFERROR(UPPER(TRIM(INDEX(BASELINE!$A2302:$ZZ2302,CALC!$R$1)&amp;"")),"")&lt;&gt;"ENCERRADA"),1,0),0)</f>
        <v/>
      </c>
      <c r="B2302">
        <f>B2301+A2302</f>
        <v/>
      </c>
    </row>
    <row r="2303">
      <c r="A2303">
        <f>IFERROR(IF(AND(INDEX(BASELINE!$A2303:$ZZ2303,CALC!$H$1)&lt;&gt;"",INT(IF(AND(CALC!$F$1&gt;0,N(INDEX(BASELINE!$A2303:$ZZ2303,CALC!$F$1))&gt;0),N(INDEX(BASELINE!$A2303:$ZZ2303,CALC!$F$1)),N(INDEX(BASELINE!$A2303:$ZZ2303,CALC!$P$1))))=INT(SIMOPS!$D$3),IFERROR(UPPER(TRIM(INDEX(BASELINE!$A2303:$ZZ2303,CALC!$R$1)&amp;"")),"")&lt;&gt;"ENCERRADA"),1,0),0)</f>
        <v/>
      </c>
      <c r="B2303">
        <f>B2302+A2303</f>
        <v/>
      </c>
    </row>
    <row r="2304">
      <c r="A2304">
        <f>IFERROR(IF(AND(INDEX(BASELINE!$A2304:$ZZ2304,CALC!$H$1)&lt;&gt;"",INT(IF(AND(CALC!$F$1&gt;0,N(INDEX(BASELINE!$A2304:$ZZ2304,CALC!$F$1))&gt;0),N(INDEX(BASELINE!$A2304:$ZZ2304,CALC!$F$1)),N(INDEX(BASELINE!$A2304:$ZZ2304,CALC!$P$1))))=INT(SIMOPS!$D$3),IFERROR(UPPER(TRIM(INDEX(BASELINE!$A2304:$ZZ2304,CALC!$R$1)&amp;"")),"")&lt;&gt;"ENCERRADA"),1,0),0)</f>
        <v/>
      </c>
      <c r="B2304">
        <f>B2303+A2304</f>
        <v/>
      </c>
    </row>
    <row r="2305">
      <c r="A2305">
        <f>IFERROR(IF(AND(INDEX(BASELINE!$A2305:$ZZ2305,CALC!$H$1)&lt;&gt;"",INT(IF(AND(CALC!$F$1&gt;0,N(INDEX(BASELINE!$A2305:$ZZ2305,CALC!$F$1))&gt;0),N(INDEX(BASELINE!$A2305:$ZZ2305,CALC!$F$1)),N(INDEX(BASELINE!$A2305:$ZZ2305,CALC!$P$1))))=INT(SIMOPS!$D$3),IFERROR(UPPER(TRIM(INDEX(BASELINE!$A2305:$ZZ2305,CALC!$R$1)&amp;"")),"")&lt;&gt;"ENCERRADA"),1,0),0)</f>
        <v/>
      </c>
      <c r="B2305">
        <f>B2304+A2305</f>
        <v/>
      </c>
    </row>
    <row r="2306">
      <c r="A2306">
        <f>IFERROR(IF(AND(INDEX(BASELINE!$A2306:$ZZ2306,CALC!$H$1)&lt;&gt;"",INT(IF(AND(CALC!$F$1&gt;0,N(INDEX(BASELINE!$A2306:$ZZ2306,CALC!$F$1))&gt;0),N(INDEX(BASELINE!$A2306:$ZZ2306,CALC!$F$1)),N(INDEX(BASELINE!$A2306:$ZZ2306,CALC!$P$1))))=INT(SIMOPS!$D$3),IFERROR(UPPER(TRIM(INDEX(BASELINE!$A2306:$ZZ2306,CALC!$R$1)&amp;"")),"")&lt;&gt;"ENCERRADA"),1,0),0)</f>
        <v/>
      </c>
      <c r="B2306">
        <f>B2305+A2306</f>
        <v/>
      </c>
    </row>
    <row r="2307">
      <c r="A2307">
        <f>IFERROR(IF(AND(INDEX(BASELINE!$A2307:$ZZ2307,CALC!$H$1)&lt;&gt;"",INT(IF(AND(CALC!$F$1&gt;0,N(INDEX(BASELINE!$A2307:$ZZ2307,CALC!$F$1))&gt;0),N(INDEX(BASELINE!$A2307:$ZZ2307,CALC!$F$1)),N(INDEX(BASELINE!$A2307:$ZZ2307,CALC!$P$1))))=INT(SIMOPS!$D$3),IFERROR(UPPER(TRIM(INDEX(BASELINE!$A2307:$ZZ2307,CALC!$R$1)&amp;"")),"")&lt;&gt;"ENCERRADA"),1,0),0)</f>
        <v/>
      </c>
      <c r="B2307">
        <f>B2306+A2307</f>
        <v/>
      </c>
    </row>
    <row r="2308">
      <c r="A2308">
        <f>IFERROR(IF(AND(INDEX(BASELINE!$A2308:$ZZ2308,CALC!$H$1)&lt;&gt;"",INT(IF(AND(CALC!$F$1&gt;0,N(INDEX(BASELINE!$A2308:$ZZ2308,CALC!$F$1))&gt;0),N(INDEX(BASELINE!$A2308:$ZZ2308,CALC!$F$1)),N(INDEX(BASELINE!$A2308:$ZZ2308,CALC!$P$1))))=INT(SIMOPS!$D$3),IFERROR(UPPER(TRIM(INDEX(BASELINE!$A2308:$ZZ2308,CALC!$R$1)&amp;"")),"")&lt;&gt;"ENCERRADA"),1,0),0)</f>
        <v/>
      </c>
      <c r="B2308">
        <f>B2307+A2308</f>
        <v/>
      </c>
    </row>
    <row r="2309">
      <c r="A2309">
        <f>IFERROR(IF(AND(INDEX(BASELINE!$A2309:$ZZ2309,CALC!$H$1)&lt;&gt;"",INT(IF(AND(CALC!$F$1&gt;0,N(INDEX(BASELINE!$A2309:$ZZ2309,CALC!$F$1))&gt;0),N(INDEX(BASELINE!$A2309:$ZZ2309,CALC!$F$1)),N(INDEX(BASELINE!$A2309:$ZZ2309,CALC!$P$1))))=INT(SIMOPS!$D$3),IFERROR(UPPER(TRIM(INDEX(BASELINE!$A2309:$ZZ2309,CALC!$R$1)&amp;"")),"")&lt;&gt;"ENCERRADA"),1,0),0)</f>
        <v/>
      </c>
      <c r="B2309">
        <f>B2308+A2309</f>
        <v/>
      </c>
    </row>
    <row r="2310">
      <c r="A2310">
        <f>IFERROR(IF(AND(INDEX(BASELINE!$A2310:$ZZ2310,CALC!$H$1)&lt;&gt;"",INT(IF(AND(CALC!$F$1&gt;0,N(INDEX(BASELINE!$A2310:$ZZ2310,CALC!$F$1))&gt;0),N(INDEX(BASELINE!$A2310:$ZZ2310,CALC!$F$1)),N(INDEX(BASELINE!$A2310:$ZZ2310,CALC!$P$1))))=INT(SIMOPS!$D$3),IFERROR(UPPER(TRIM(INDEX(BASELINE!$A2310:$ZZ2310,CALC!$R$1)&amp;"")),"")&lt;&gt;"ENCERRADA"),1,0),0)</f>
        <v/>
      </c>
      <c r="B2310">
        <f>B2309+A2310</f>
        <v/>
      </c>
    </row>
    <row r="2311">
      <c r="A2311">
        <f>IFERROR(IF(AND(INDEX(BASELINE!$A2311:$ZZ2311,CALC!$H$1)&lt;&gt;"",INT(IF(AND(CALC!$F$1&gt;0,N(INDEX(BASELINE!$A2311:$ZZ2311,CALC!$F$1))&gt;0),N(INDEX(BASELINE!$A2311:$ZZ2311,CALC!$F$1)),N(INDEX(BASELINE!$A2311:$ZZ2311,CALC!$P$1))))=INT(SIMOPS!$D$3),IFERROR(UPPER(TRIM(INDEX(BASELINE!$A2311:$ZZ2311,CALC!$R$1)&amp;"")),"")&lt;&gt;"ENCERRADA"),1,0),0)</f>
        <v/>
      </c>
      <c r="B2311">
        <f>B2310+A2311</f>
        <v/>
      </c>
    </row>
    <row r="2312">
      <c r="A2312">
        <f>IFERROR(IF(AND(INDEX(BASELINE!$A2312:$ZZ2312,CALC!$H$1)&lt;&gt;"",INT(IF(AND(CALC!$F$1&gt;0,N(INDEX(BASELINE!$A2312:$ZZ2312,CALC!$F$1))&gt;0),N(INDEX(BASELINE!$A2312:$ZZ2312,CALC!$F$1)),N(INDEX(BASELINE!$A2312:$ZZ2312,CALC!$P$1))))=INT(SIMOPS!$D$3),IFERROR(UPPER(TRIM(INDEX(BASELINE!$A2312:$ZZ2312,CALC!$R$1)&amp;"")),"")&lt;&gt;"ENCERRADA"),1,0),0)</f>
        <v/>
      </c>
      <c r="B2312">
        <f>B2311+A2312</f>
        <v/>
      </c>
    </row>
    <row r="2313">
      <c r="A2313">
        <f>IFERROR(IF(AND(INDEX(BASELINE!$A2313:$ZZ2313,CALC!$H$1)&lt;&gt;"",INT(IF(AND(CALC!$F$1&gt;0,N(INDEX(BASELINE!$A2313:$ZZ2313,CALC!$F$1))&gt;0),N(INDEX(BASELINE!$A2313:$ZZ2313,CALC!$F$1)),N(INDEX(BASELINE!$A2313:$ZZ2313,CALC!$P$1))))=INT(SIMOPS!$D$3),IFERROR(UPPER(TRIM(INDEX(BASELINE!$A2313:$ZZ2313,CALC!$R$1)&amp;"")),"")&lt;&gt;"ENCERRADA"),1,0),0)</f>
        <v/>
      </c>
      <c r="B2313">
        <f>B2312+A2313</f>
        <v/>
      </c>
    </row>
    <row r="2314">
      <c r="A2314">
        <f>IFERROR(IF(AND(INDEX(BASELINE!$A2314:$ZZ2314,CALC!$H$1)&lt;&gt;"",INT(IF(AND(CALC!$F$1&gt;0,N(INDEX(BASELINE!$A2314:$ZZ2314,CALC!$F$1))&gt;0),N(INDEX(BASELINE!$A2314:$ZZ2314,CALC!$F$1)),N(INDEX(BASELINE!$A2314:$ZZ2314,CALC!$P$1))))=INT(SIMOPS!$D$3),IFERROR(UPPER(TRIM(INDEX(BASELINE!$A2314:$ZZ2314,CALC!$R$1)&amp;"")),"")&lt;&gt;"ENCERRADA"),1,0),0)</f>
        <v/>
      </c>
      <c r="B2314">
        <f>B2313+A2314</f>
        <v/>
      </c>
    </row>
    <row r="2315">
      <c r="A2315">
        <f>IFERROR(IF(AND(INDEX(BASELINE!$A2315:$ZZ2315,CALC!$H$1)&lt;&gt;"",INT(IF(AND(CALC!$F$1&gt;0,N(INDEX(BASELINE!$A2315:$ZZ2315,CALC!$F$1))&gt;0),N(INDEX(BASELINE!$A2315:$ZZ2315,CALC!$F$1)),N(INDEX(BASELINE!$A2315:$ZZ2315,CALC!$P$1))))=INT(SIMOPS!$D$3),IFERROR(UPPER(TRIM(INDEX(BASELINE!$A2315:$ZZ2315,CALC!$R$1)&amp;"")),"")&lt;&gt;"ENCERRADA"),1,0),0)</f>
        <v/>
      </c>
      <c r="B2315">
        <f>B2314+A2315</f>
        <v/>
      </c>
    </row>
    <row r="2316">
      <c r="A2316">
        <f>IFERROR(IF(AND(INDEX(BASELINE!$A2316:$ZZ2316,CALC!$H$1)&lt;&gt;"",INT(IF(AND(CALC!$F$1&gt;0,N(INDEX(BASELINE!$A2316:$ZZ2316,CALC!$F$1))&gt;0),N(INDEX(BASELINE!$A2316:$ZZ2316,CALC!$F$1)),N(INDEX(BASELINE!$A2316:$ZZ2316,CALC!$P$1))))=INT(SIMOPS!$D$3),IFERROR(UPPER(TRIM(INDEX(BASELINE!$A2316:$ZZ2316,CALC!$R$1)&amp;"")),"")&lt;&gt;"ENCERRADA"),1,0),0)</f>
        <v/>
      </c>
      <c r="B2316">
        <f>B2315+A2316</f>
        <v/>
      </c>
    </row>
    <row r="2317">
      <c r="A2317">
        <f>IFERROR(IF(AND(INDEX(BASELINE!$A2317:$ZZ2317,CALC!$H$1)&lt;&gt;"",INT(IF(AND(CALC!$F$1&gt;0,N(INDEX(BASELINE!$A2317:$ZZ2317,CALC!$F$1))&gt;0),N(INDEX(BASELINE!$A2317:$ZZ2317,CALC!$F$1)),N(INDEX(BASELINE!$A2317:$ZZ2317,CALC!$P$1))))=INT(SIMOPS!$D$3),IFERROR(UPPER(TRIM(INDEX(BASELINE!$A2317:$ZZ2317,CALC!$R$1)&amp;"")),"")&lt;&gt;"ENCERRADA"),1,0),0)</f>
        <v/>
      </c>
      <c r="B2317">
        <f>B2316+A2317</f>
        <v/>
      </c>
    </row>
    <row r="2318">
      <c r="A2318">
        <f>IFERROR(IF(AND(INDEX(BASELINE!$A2318:$ZZ2318,CALC!$H$1)&lt;&gt;"",INT(IF(AND(CALC!$F$1&gt;0,N(INDEX(BASELINE!$A2318:$ZZ2318,CALC!$F$1))&gt;0),N(INDEX(BASELINE!$A2318:$ZZ2318,CALC!$F$1)),N(INDEX(BASELINE!$A2318:$ZZ2318,CALC!$P$1))))=INT(SIMOPS!$D$3),IFERROR(UPPER(TRIM(INDEX(BASELINE!$A2318:$ZZ2318,CALC!$R$1)&amp;"")),"")&lt;&gt;"ENCERRADA"),1,0),0)</f>
        <v/>
      </c>
      <c r="B2318">
        <f>B2317+A2318</f>
        <v/>
      </c>
    </row>
    <row r="2319">
      <c r="A2319">
        <f>IFERROR(IF(AND(INDEX(BASELINE!$A2319:$ZZ2319,CALC!$H$1)&lt;&gt;"",INT(IF(AND(CALC!$F$1&gt;0,N(INDEX(BASELINE!$A2319:$ZZ2319,CALC!$F$1))&gt;0),N(INDEX(BASELINE!$A2319:$ZZ2319,CALC!$F$1)),N(INDEX(BASELINE!$A2319:$ZZ2319,CALC!$P$1))))=INT(SIMOPS!$D$3),IFERROR(UPPER(TRIM(INDEX(BASELINE!$A2319:$ZZ2319,CALC!$R$1)&amp;"")),"")&lt;&gt;"ENCERRADA"),1,0),0)</f>
        <v/>
      </c>
      <c r="B2319">
        <f>B2318+A2319</f>
        <v/>
      </c>
    </row>
    <row r="2320">
      <c r="A2320">
        <f>IFERROR(IF(AND(INDEX(BASELINE!$A2320:$ZZ2320,CALC!$H$1)&lt;&gt;"",INT(IF(AND(CALC!$F$1&gt;0,N(INDEX(BASELINE!$A2320:$ZZ2320,CALC!$F$1))&gt;0),N(INDEX(BASELINE!$A2320:$ZZ2320,CALC!$F$1)),N(INDEX(BASELINE!$A2320:$ZZ2320,CALC!$P$1))))=INT(SIMOPS!$D$3),IFERROR(UPPER(TRIM(INDEX(BASELINE!$A2320:$ZZ2320,CALC!$R$1)&amp;"")),"")&lt;&gt;"ENCERRADA"),1,0),0)</f>
        <v/>
      </c>
      <c r="B2320">
        <f>B2319+A2320</f>
        <v/>
      </c>
    </row>
    <row r="2321">
      <c r="A2321">
        <f>IFERROR(IF(AND(INDEX(BASELINE!$A2321:$ZZ2321,CALC!$H$1)&lt;&gt;"",INT(IF(AND(CALC!$F$1&gt;0,N(INDEX(BASELINE!$A2321:$ZZ2321,CALC!$F$1))&gt;0),N(INDEX(BASELINE!$A2321:$ZZ2321,CALC!$F$1)),N(INDEX(BASELINE!$A2321:$ZZ2321,CALC!$P$1))))=INT(SIMOPS!$D$3),IFERROR(UPPER(TRIM(INDEX(BASELINE!$A2321:$ZZ2321,CALC!$R$1)&amp;"")),"")&lt;&gt;"ENCERRADA"),1,0),0)</f>
        <v/>
      </c>
      <c r="B2321">
        <f>B2320+A2321</f>
        <v/>
      </c>
    </row>
    <row r="2322">
      <c r="A2322">
        <f>IFERROR(IF(AND(INDEX(BASELINE!$A2322:$ZZ2322,CALC!$H$1)&lt;&gt;"",INT(IF(AND(CALC!$F$1&gt;0,N(INDEX(BASELINE!$A2322:$ZZ2322,CALC!$F$1))&gt;0),N(INDEX(BASELINE!$A2322:$ZZ2322,CALC!$F$1)),N(INDEX(BASELINE!$A2322:$ZZ2322,CALC!$P$1))))=INT(SIMOPS!$D$3),IFERROR(UPPER(TRIM(INDEX(BASELINE!$A2322:$ZZ2322,CALC!$R$1)&amp;"")),"")&lt;&gt;"ENCERRADA"),1,0),0)</f>
        <v/>
      </c>
      <c r="B2322">
        <f>B2321+A2322</f>
        <v/>
      </c>
    </row>
    <row r="2323">
      <c r="A2323">
        <f>IFERROR(IF(AND(INDEX(BASELINE!$A2323:$ZZ2323,CALC!$H$1)&lt;&gt;"",INT(IF(AND(CALC!$F$1&gt;0,N(INDEX(BASELINE!$A2323:$ZZ2323,CALC!$F$1))&gt;0),N(INDEX(BASELINE!$A2323:$ZZ2323,CALC!$F$1)),N(INDEX(BASELINE!$A2323:$ZZ2323,CALC!$P$1))))=INT(SIMOPS!$D$3),IFERROR(UPPER(TRIM(INDEX(BASELINE!$A2323:$ZZ2323,CALC!$R$1)&amp;"")),"")&lt;&gt;"ENCERRADA"),1,0),0)</f>
        <v/>
      </c>
      <c r="B2323">
        <f>B2322+A2323</f>
        <v/>
      </c>
    </row>
    <row r="2324">
      <c r="A2324">
        <f>IFERROR(IF(AND(INDEX(BASELINE!$A2324:$ZZ2324,CALC!$H$1)&lt;&gt;"",INT(IF(AND(CALC!$F$1&gt;0,N(INDEX(BASELINE!$A2324:$ZZ2324,CALC!$F$1))&gt;0),N(INDEX(BASELINE!$A2324:$ZZ2324,CALC!$F$1)),N(INDEX(BASELINE!$A2324:$ZZ2324,CALC!$P$1))))=INT(SIMOPS!$D$3),IFERROR(UPPER(TRIM(INDEX(BASELINE!$A2324:$ZZ2324,CALC!$R$1)&amp;"")),"")&lt;&gt;"ENCERRADA"),1,0),0)</f>
        <v/>
      </c>
      <c r="B2324">
        <f>B2323+A2324</f>
        <v/>
      </c>
    </row>
    <row r="2325">
      <c r="A2325">
        <f>IFERROR(IF(AND(INDEX(BASELINE!$A2325:$ZZ2325,CALC!$H$1)&lt;&gt;"",INT(IF(AND(CALC!$F$1&gt;0,N(INDEX(BASELINE!$A2325:$ZZ2325,CALC!$F$1))&gt;0),N(INDEX(BASELINE!$A2325:$ZZ2325,CALC!$F$1)),N(INDEX(BASELINE!$A2325:$ZZ2325,CALC!$P$1))))=INT(SIMOPS!$D$3),IFERROR(UPPER(TRIM(INDEX(BASELINE!$A2325:$ZZ2325,CALC!$R$1)&amp;"")),"")&lt;&gt;"ENCERRADA"),1,0),0)</f>
        <v/>
      </c>
      <c r="B2325">
        <f>B2324+A2325</f>
        <v/>
      </c>
    </row>
    <row r="2326">
      <c r="A2326">
        <f>IFERROR(IF(AND(INDEX(BASELINE!$A2326:$ZZ2326,CALC!$H$1)&lt;&gt;"",INT(IF(AND(CALC!$F$1&gt;0,N(INDEX(BASELINE!$A2326:$ZZ2326,CALC!$F$1))&gt;0),N(INDEX(BASELINE!$A2326:$ZZ2326,CALC!$F$1)),N(INDEX(BASELINE!$A2326:$ZZ2326,CALC!$P$1))))=INT(SIMOPS!$D$3),IFERROR(UPPER(TRIM(INDEX(BASELINE!$A2326:$ZZ2326,CALC!$R$1)&amp;"")),"")&lt;&gt;"ENCERRADA"),1,0),0)</f>
        <v/>
      </c>
      <c r="B2326">
        <f>B2325+A2326</f>
        <v/>
      </c>
    </row>
    <row r="2327">
      <c r="A2327">
        <f>IFERROR(IF(AND(INDEX(BASELINE!$A2327:$ZZ2327,CALC!$H$1)&lt;&gt;"",INT(IF(AND(CALC!$F$1&gt;0,N(INDEX(BASELINE!$A2327:$ZZ2327,CALC!$F$1))&gt;0),N(INDEX(BASELINE!$A2327:$ZZ2327,CALC!$F$1)),N(INDEX(BASELINE!$A2327:$ZZ2327,CALC!$P$1))))=INT(SIMOPS!$D$3),IFERROR(UPPER(TRIM(INDEX(BASELINE!$A2327:$ZZ2327,CALC!$R$1)&amp;"")),"")&lt;&gt;"ENCERRADA"),1,0),0)</f>
        <v/>
      </c>
      <c r="B2327">
        <f>B2326+A2327</f>
        <v/>
      </c>
    </row>
    <row r="2328">
      <c r="A2328">
        <f>IFERROR(IF(AND(INDEX(BASELINE!$A2328:$ZZ2328,CALC!$H$1)&lt;&gt;"",INT(IF(AND(CALC!$F$1&gt;0,N(INDEX(BASELINE!$A2328:$ZZ2328,CALC!$F$1))&gt;0),N(INDEX(BASELINE!$A2328:$ZZ2328,CALC!$F$1)),N(INDEX(BASELINE!$A2328:$ZZ2328,CALC!$P$1))))=INT(SIMOPS!$D$3),IFERROR(UPPER(TRIM(INDEX(BASELINE!$A2328:$ZZ2328,CALC!$R$1)&amp;"")),"")&lt;&gt;"ENCERRADA"),1,0),0)</f>
        <v/>
      </c>
      <c r="B2328">
        <f>B2327+A2328</f>
        <v/>
      </c>
    </row>
    <row r="2329">
      <c r="A2329">
        <f>IFERROR(IF(AND(INDEX(BASELINE!$A2329:$ZZ2329,CALC!$H$1)&lt;&gt;"",INT(IF(AND(CALC!$F$1&gt;0,N(INDEX(BASELINE!$A2329:$ZZ2329,CALC!$F$1))&gt;0),N(INDEX(BASELINE!$A2329:$ZZ2329,CALC!$F$1)),N(INDEX(BASELINE!$A2329:$ZZ2329,CALC!$P$1))))=INT(SIMOPS!$D$3),IFERROR(UPPER(TRIM(INDEX(BASELINE!$A2329:$ZZ2329,CALC!$R$1)&amp;"")),"")&lt;&gt;"ENCERRADA"),1,0),0)</f>
        <v/>
      </c>
      <c r="B2329">
        <f>B2328+A2329</f>
        <v/>
      </c>
    </row>
    <row r="2330">
      <c r="A2330">
        <f>IFERROR(IF(AND(INDEX(BASELINE!$A2330:$ZZ2330,CALC!$H$1)&lt;&gt;"",INT(IF(AND(CALC!$F$1&gt;0,N(INDEX(BASELINE!$A2330:$ZZ2330,CALC!$F$1))&gt;0),N(INDEX(BASELINE!$A2330:$ZZ2330,CALC!$F$1)),N(INDEX(BASELINE!$A2330:$ZZ2330,CALC!$P$1))))=INT(SIMOPS!$D$3),IFERROR(UPPER(TRIM(INDEX(BASELINE!$A2330:$ZZ2330,CALC!$R$1)&amp;"")),"")&lt;&gt;"ENCERRADA"),1,0),0)</f>
        <v/>
      </c>
      <c r="B2330">
        <f>B2329+A2330</f>
        <v/>
      </c>
    </row>
    <row r="2331">
      <c r="A2331">
        <f>IFERROR(IF(AND(INDEX(BASELINE!$A2331:$ZZ2331,CALC!$H$1)&lt;&gt;"",INT(IF(AND(CALC!$F$1&gt;0,N(INDEX(BASELINE!$A2331:$ZZ2331,CALC!$F$1))&gt;0),N(INDEX(BASELINE!$A2331:$ZZ2331,CALC!$F$1)),N(INDEX(BASELINE!$A2331:$ZZ2331,CALC!$P$1))))=INT(SIMOPS!$D$3),IFERROR(UPPER(TRIM(INDEX(BASELINE!$A2331:$ZZ2331,CALC!$R$1)&amp;"")),"")&lt;&gt;"ENCERRADA"),1,0),0)</f>
        <v/>
      </c>
      <c r="B2331">
        <f>B2330+A2331</f>
        <v/>
      </c>
    </row>
    <row r="2332">
      <c r="A2332">
        <f>IFERROR(IF(AND(INDEX(BASELINE!$A2332:$ZZ2332,CALC!$H$1)&lt;&gt;"",INT(IF(AND(CALC!$F$1&gt;0,N(INDEX(BASELINE!$A2332:$ZZ2332,CALC!$F$1))&gt;0),N(INDEX(BASELINE!$A2332:$ZZ2332,CALC!$F$1)),N(INDEX(BASELINE!$A2332:$ZZ2332,CALC!$P$1))))=INT(SIMOPS!$D$3),IFERROR(UPPER(TRIM(INDEX(BASELINE!$A2332:$ZZ2332,CALC!$R$1)&amp;"")),"")&lt;&gt;"ENCERRADA"),1,0),0)</f>
        <v/>
      </c>
      <c r="B2332">
        <f>B2331+A2332</f>
        <v/>
      </c>
    </row>
    <row r="2333">
      <c r="A2333">
        <f>IFERROR(IF(AND(INDEX(BASELINE!$A2333:$ZZ2333,CALC!$H$1)&lt;&gt;"",INT(IF(AND(CALC!$F$1&gt;0,N(INDEX(BASELINE!$A2333:$ZZ2333,CALC!$F$1))&gt;0),N(INDEX(BASELINE!$A2333:$ZZ2333,CALC!$F$1)),N(INDEX(BASELINE!$A2333:$ZZ2333,CALC!$P$1))))=INT(SIMOPS!$D$3),IFERROR(UPPER(TRIM(INDEX(BASELINE!$A2333:$ZZ2333,CALC!$R$1)&amp;"")),"")&lt;&gt;"ENCERRADA"),1,0),0)</f>
        <v/>
      </c>
      <c r="B2333">
        <f>B2332+A2333</f>
        <v/>
      </c>
    </row>
    <row r="2334">
      <c r="A2334">
        <f>IFERROR(IF(AND(INDEX(BASELINE!$A2334:$ZZ2334,CALC!$H$1)&lt;&gt;"",INT(IF(AND(CALC!$F$1&gt;0,N(INDEX(BASELINE!$A2334:$ZZ2334,CALC!$F$1))&gt;0),N(INDEX(BASELINE!$A2334:$ZZ2334,CALC!$F$1)),N(INDEX(BASELINE!$A2334:$ZZ2334,CALC!$P$1))))=INT(SIMOPS!$D$3),IFERROR(UPPER(TRIM(INDEX(BASELINE!$A2334:$ZZ2334,CALC!$R$1)&amp;"")),"")&lt;&gt;"ENCERRADA"),1,0),0)</f>
        <v/>
      </c>
      <c r="B2334">
        <f>B2333+A2334</f>
        <v/>
      </c>
    </row>
    <row r="2335">
      <c r="A2335">
        <f>IFERROR(IF(AND(INDEX(BASELINE!$A2335:$ZZ2335,CALC!$H$1)&lt;&gt;"",INT(IF(AND(CALC!$F$1&gt;0,N(INDEX(BASELINE!$A2335:$ZZ2335,CALC!$F$1))&gt;0),N(INDEX(BASELINE!$A2335:$ZZ2335,CALC!$F$1)),N(INDEX(BASELINE!$A2335:$ZZ2335,CALC!$P$1))))=INT(SIMOPS!$D$3),IFERROR(UPPER(TRIM(INDEX(BASELINE!$A2335:$ZZ2335,CALC!$R$1)&amp;"")),"")&lt;&gt;"ENCERRADA"),1,0),0)</f>
        <v/>
      </c>
      <c r="B2335">
        <f>B2334+A2335</f>
        <v/>
      </c>
    </row>
    <row r="2336">
      <c r="A2336">
        <f>IFERROR(IF(AND(INDEX(BASELINE!$A2336:$ZZ2336,CALC!$H$1)&lt;&gt;"",INT(IF(AND(CALC!$F$1&gt;0,N(INDEX(BASELINE!$A2336:$ZZ2336,CALC!$F$1))&gt;0),N(INDEX(BASELINE!$A2336:$ZZ2336,CALC!$F$1)),N(INDEX(BASELINE!$A2336:$ZZ2336,CALC!$P$1))))=INT(SIMOPS!$D$3),IFERROR(UPPER(TRIM(INDEX(BASELINE!$A2336:$ZZ2336,CALC!$R$1)&amp;"")),"")&lt;&gt;"ENCERRADA"),1,0),0)</f>
        <v/>
      </c>
      <c r="B2336">
        <f>B2335+A2336</f>
        <v/>
      </c>
    </row>
    <row r="2337">
      <c r="A2337">
        <f>IFERROR(IF(AND(INDEX(BASELINE!$A2337:$ZZ2337,CALC!$H$1)&lt;&gt;"",INT(IF(AND(CALC!$F$1&gt;0,N(INDEX(BASELINE!$A2337:$ZZ2337,CALC!$F$1))&gt;0),N(INDEX(BASELINE!$A2337:$ZZ2337,CALC!$F$1)),N(INDEX(BASELINE!$A2337:$ZZ2337,CALC!$P$1))))=INT(SIMOPS!$D$3),IFERROR(UPPER(TRIM(INDEX(BASELINE!$A2337:$ZZ2337,CALC!$R$1)&amp;"")),"")&lt;&gt;"ENCERRADA"),1,0),0)</f>
        <v/>
      </c>
      <c r="B2337">
        <f>B2336+A2337</f>
        <v/>
      </c>
    </row>
    <row r="2338">
      <c r="A2338">
        <f>IFERROR(IF(AND(INDEX(BASELINE!$A2338:$ZZ2338,CALC!$H$1)&lt;&gt;"",INT(IF(AND(CALC!$F$1&gt;0,N(INDEX(BASELINE!$A2338:$ZZ2338,CALC!$F$1))&gt;0),N(INDEX(BASELINE!$A2338:$ZZ2338,CALC!$F$1)),N(INDEX(BASELINE!$A2338:$ZZ2338,CALC!$P$1))))=INT(SIMOPS!$D$3),IFERROR(UPPER(TRIM(INDEX(BASELINE!$A2338:$ZZ2338,CALC!$R$1)&amp;"")),"")&lt;&gt;"ENCERRADA"),1,0),0)</f>
        <v/>
      </c>
      <c r="B2338">
        <f>B2337+A2338</f>
        <v/>
      </c>
    </row>
    <row r="2339">
      <c r="A2339">
        <f>IFERROR(IF(AND(INDEX(BASELINE!$A2339:$ZZ2339,CALC!$H$1)&lt;&gt;"",INT(IF(AND(CALC!$F$1&gt;0,N(INDEX(BASELINE!$A2339:$ZZ2339,CALC!$F$1))&gt;0),N(INDEX(BASELINE!$A2339:$ZZ2339,CALC!$F$1)),N(INDEX(BASELINE!$A2339:$ZZ2339,CALC!$P$1))))=INT(SIMOPS!$D$3),IFERROR(UPPER(TRIM(INDEX(BASELINE!$A2339:$ZZ2339,CALC!$R$1)&amp;"")),"")&lt;&gt;"ENCERRADA"),1,0),0)</f>
        <v/>
      </c>
      <c r="B2339">
        <f>B2338+A2339</f>
        <v/>
      </c>
    </row>
    <row r="2340">
      <c r="A2340">
        <f>IFERROR(IF(AND(INDEX(BASELINE!$A2340:$ZZ2340,CALC!$H$1)&lt;&gt;"",INT(IF(AND(CALC!$F$1&gt;0,N(INDEX(BASELINE!$A2340:$ZZ2340,CALC!$F$1))&gt;0),N(INDEX(BASELINE!$A2340:$ZZ2340,CALC!$F$1)),N(INDEX(BASELINE!$A2340:$ZZ2340,CALC!$P$1))))=INT(SIMOPS!$D$3),IFERROR(UPPER(TRIM(INDEX(BASELINE!$A2340:$ZZ2340,CALC!$R$1)&amp;"")),"")&lt;&gt;"ENCERRADA"),1,0),0)</f>
        <v/>
      </c>
      <c r="B2340">
        <f>B2339+A2340</f>
        <v/>
      </c>
    </row>
    <row r="2341">
      <c r="A2341">
        <f>IFERROR(IF(AND(INDEX(BASELINE!$A2341:$ZZ2341,CALC!$H$1)&lt;&gt;"",INT(IF(AND(CALC!$F$1&gt;0,N(INDEX(BASELINE!$A2341:$ZZ2341,CALC!$F$1))&gt;0),N(INDEX(BASELINE!$A2341:$ZZ2341,CALC!$F$1)),N(INDEX(BASELINE!$A2341:$ZZ2341,CALC!$P$1))))=INT(SIMOPS!$D$3),IFERROR(UPPER(TRIM(INDEX(BASELINE!$A2341:$ZZ2341,CALC!$R$1)&amp;"")),"")&lt;&gt;"ENCERRADA"),1,0),0)</f>
        <v/>
      </c>
      <c r="B2341">
        <f>B2340+A2341</f>
        <v/>
      </c>
    </row>
    <row r="2342">
      <c r="A2342">
        <f>IFERROR(IF(AND(INDEX(BASELINE!$A2342:$ZZ2342,CALC!$H$1)&lt;&gt;"",INT(IF(AND(CALC!$F$1&gt;0,N(INDEX(BASELINE!$A2342:$ZZ2342,CALC!$F$1))&gt;0),N(INDEX(BASELINE!$A2342:$ZZ2342,CALC!$F$1)),N(INDEX(BASELINE!$A2342:$ZZ2342,CALC!$P$1))))=INT(SIMOPS!$D$3),IFERROR(UPPER(TRIM(INDEX(BASELINE!$A2342:$ZZ2342,CALC!$R$1)&amp;"")),"")&lt;&gt;"ENCERRADA"),1,0),0)</f>
        <v/>
      </c>
      <c r="B2342">
        <f>B2341+A2342</f>
        <v/>
      </c>
    </row>
    <row r="2343">
      <c r="A2343">
        <f>IFERROR(IF(AND(INDEX(BASELINE!$A2343:$ZZ2343,CALC!$H$1)&lt;&gt;"",INT(IF(AND(CALC!$F$1&gt;0,N(INDEX(BASELINE!$A2343:$ZZ2343,CALC!$F$1))&gt;0),N(INDEX(BASELINE!$A2343:$ZZ2343,CALC!$F$1)),N(INDEX(BASELINE!$A2343:$ZZ2343,CALC!$P$1))))=INT(SIMOPS!$D$3),IFERROR(UPPER(TRIM(INDEX(BASELINE!$A2343:$ZZ2343,CALC!$R$1)&amp;"")),"")&lt;&gt;"ENCERRADA"),1,0),0)</f>
        <v/>
      </c>
      <c r="B2343">
        <f>B2342+A2343</f>
        <v/>
      </c>
    </row>
    <row r="2344">
      <c r="A2344">
        <f>IFERROR(IF(AND(INDEX(BASELINE!$A2344:$ZZ2344,CALC!$H$1)&lt;&gt;"",INT(IF(AND(CALC!$F$1&gt;0,N(INDEX(BASELINE!$A2344:$ZZ2344,CALC!$F$1))&gt;0),N(INDEX(BASELINE!$A2344:$ZZ2344,CALC!$F$1)),N(INDEX(BASELINE!$A2344:$ZZ2344,CALC!$P$1))))=INT(SIMOPS!$D$3),IFERROR(UPPER(TRIM(INDEX(BASELINE!$A2344:$ZZ2344,CALC!$R$1)&amp;"")),"")&lt;&gt;"ENCERRADA"),1,0),0)</f>
        <v/>
      </c>
      <c r="B2344">
        <f>B2343+A2344</f>
        <v/>
      </c>
    </row>
    <row r="2345">
      <c r="A2345">
        <f>IFERROR(IF(AND(INDEX(BASELINE!$A2345:$ZZ2345,CALC!$H$1)&lt;&gt;"",INT(IF(AND(CALC!$F$1&gt;0,N(INDEX(BASELINE!$A2345:$ZZ2345,CALC!$F$1))&gt;0),N(INDEX(BASELINE!$A2345:$ZZ2345,CALC!$F$1)),N(INDEX(BASELINE!$A2345:$ZZ2345,CALC!$P$1))))=INT(SIMOPS!$D$3),IFERROR(UPPER(TRIM(INDEX(BASELINE!$A2345:$ZZ2345,CALC!$R$1)&amp;"")),"")&lt;&gt;"ENCERRADA"),1,0),0)</f>
        <v/>
      </c>
      <c r="B2345">
        <f>B2344+A2345</f>
        <v/>
      </c>
    </row>
    <row r="2346">
      <c r="A2346">
        <f>IFERROR(IF(AND(INDEX(BASELINE!$A2346:$ZZ2346,CALC!$H$1)&lt;&gt;"",INT(IF(AND(CALC!$F$1&gt;0,N(INDEX(BASELINE!$A2346:$ZZ2346,CALC!$F$1))&gt;0),N(INDEX(BASELINE!$A2346:$ZZ2346,CALC!$F$1)),N(INDEX(BASELINE!$A2346:$ZZ2346,CALC!$P$1))))=INT(SIMOPS!$D$3),IFERROR(UPPER(TRIM(INDEX(BASELINE!$A2346:$ZZ2346,CALC!$R$1)&amp;"")),"")&lt;&gt;"ENCERRADA"),1,0),0)</f>
        <v/>
      </c>
      <c r="B2346">
        <f>B2345+A2346</f>
        <v/>
      </c>
    </row>
    <row r="2347">
      <c r="A2347">
        <f>IFERROR(IF(AND(INDEX(BASELINE!$A2347:$ZZ2347,CALC!$H$1)&lt;&gt;"",INT(IF(AND(CALC!$F$1&gt;0,N(INDEX(BASELINE!$A2347:$ZZ2347,CALC!$F$1))&gt;0),N(INDEX(BASELINE!$A2347:$ZZ2347,CALC!$F$1)),N(INDEX(BASELINE!$A2347:$ZZ2347,CALC!$P$1))))=INT(SIMOPS!$D$3),IFERROR(UPPER(TRIM(INDEX(BASELINE!$A2347:$ZZ2347,CALC!$R$1)&amp;"")),"")&lt;&gt;"ENCERRADA"),1,0),0)</f>
        <v/>
      </c>
      <c r="B2347">
        <f>B2346+A2347</f>
        <v/>
      </c>
    </row>
    <row r="2348">
      <c r="A2348">
        <f>IFERROR(IF(AND(INDEX(BASELINE!$A2348:$ZZ2348,CALC!$H$1)&lt;&gt;"",INT(IF(AND(CALC!$F$1&gt;0,N(INDEX(BASELINE!$A2348:$ZZ2348,CALC!$F$1))&gt;0),N(INDEX(BASELINE!$A2348:$ZZ2348,CALC!$F$1)),N(INDEX(BASELINE!$A2348:$ZZ2348,CALC!$P$1))))=INT(SIMOPS!$D$3),IFERROR(UPPER(TRIM(INDEX(BASELINE!$A2348:$ZZ2348,CALC!$R$1)&amp;"")),"")&lt;&gt;"ENCERRADA"),1,0),0)</f>
        <v/>
      </c>
      <c r="B2348">
        <f>B2347+A2348</f>
        <v/>
      </c>
    </row>
    <row r="2349">
      <c r="A2349">
        <f>IFERROR(IF(AND(INDEX(BASELINE!$A2349:$ZZ2349,CALC!$H$1)&lt;&gt;"",INT(IF(AND(CALC!$F$1&gt;0,N(INDEX(BASELINE!$A2349:$ZZ2349,CALC!$F$1))&gt;0),N(INDEX(BASELINE!$A2349:$ZZ2349,CALC!$F$1)),N(INDEX(BASELINE!$A2349:$ZZ2349,CALC!$P$1))))=INT(SIMOPS!$D$3),IFERROR(UPPER(TRIM(INDEX(BASELINE!$A2349:$ZZ2349,CALC!$R$1)&amp;"")),"")&lt;&gt;"ENCERRADA"),1,0),0)</f>
        <v/>
      </c>
      <c r="B2349">
        <f>B2348+A2349</f>
        <v/>
      </c>
    </row>
    <row r="2350">
      <c r="A2350">
        <f>IFERROR(IF(AND(INDEX(BASELINE!$A2350:$ZZ2350,CALC!$H$1)&lt;&gt;"",INT(IF(AND(CALC!$F$1&gt;0,N(INDEX(BASELINE!$A2350:$ZZ2350,CALC!$F$1))&gt;0),N(INDEX(BASELINE!$A2350:$ZZ2350,CALC!$F$1)),N(INDEX(BASELINE!$A2350:$ZZ2350,CALC!$P$1))))=INT(SIMOPS!$D$3),IFERROR(UPPER(TRIM(INDEX(BASELINE!$A2350:$ZZ2350,CALC!$R$1)&amp;"")),"")&lt;&gt;"ENCERRADA"),1,0),0)</f>
        <v/>
      </c>
      <c r="B2350">
        <f>B2349+A2350</f>
        <v/>
      </c>
    </row>
    <row r="2351">
      <c r="A2351">
        <f>IFERROR(IF(AND(INDEX(BASELINE!$A2351:$ZZ2351,CALC!$H$1)&lt;&gt;"",INT(IF(AND(CALC!$F$1&gt;0,N(INDEX(BASELINE!$A2351:$ZZ2351,CALC!$F$1))&gt;0),N(INDEX(BASELINE!$A2351:$ZZ2351,CALC!$F$1)),N(INDEX(BASELINE!$A2351:$ZZ2351,CALC!$P$1))))=INT(SIMOPS!$D$3),IFERROR(UPPER(TRIM(INDEX(BASELINE!$A2351:$ZZ2351,CALC!$R$1)&amp;"")),"")&lt;&gt;"ENCERRADA"),1,0),0)</f>
        <v/>
      </c>
      <c r="B2351">
        <f>B2350+A2351</f>
        <v/>
      </c>
    </row>
    <row r="2352">
      <c r="A2352">
        <f>IFERROR(IF(AND(INDEX(BASELINE!$A2352:$ZZ2352,CALC!$H$1)&lt;&gt;"",INT(IF(AND(CALC!$F$1&gt;0,N(INDEX(BASELINE!$A2352:$ZZ2352,CALC!$F$1))&gt;0),N(INDEX(BASELINE!$A2352:$ZZ2352,CALC!$F$1)),N(INDEX(BASELINE!$A2352:$ZZ2352,CALC!$P$1))))=INT(SIMOPS!$D$3),IFERROR(UPPER(TRIM(INDEX(BASELINE!$A2352:$ZZ2352,CALC!$R$1)&amp;"")),"")&lt;&gt;"ENCERRADA"),1,0),0)</f>
        <v/>
      </c>
      <c r="B2352">
        <f>B2351+A2352</f>
        <v/>
      </c>
    </row>
    <row r="2353">
      <c r="A2353">
        <f>IFERROR(IF(AND(INDEX(BASELINE!$A2353:$ZZ2353,CALC!$H$1)&lt;&gt;"",INT(IF(AND(CALC!$F$1&gt;0,N(INDEX(BASELINE!$A2353:$ZZ2353,CALC!$F$1))&gt;0),N(INDEX(BASELINE!$A2353:$ZZ2353,CALC!$F$1)),N(INDEX(BASELINE!$A2353:$ZZ2353,CALC!$P$1))))=INT(SIMOPS!$D$3),IFERROR(UPPER(TRIM(INDEX(BASELINE!$A2353:$ZZ2353,CALC!$R$1)&amp;"")),"")&lt;&gt;"ENCERRADA"),1,0),0)</f>
        <v/>
      </c>
      <c r="B2353">
        <f>B2352+A2353</f>
        <v/>
      </c>
    </row>
    <row r="2354">
      <c r="A2354">
        <f>IFERROR(IF(AND(INDEX(BASELINE!$A2354:$ZZ2354,CALC!$H$1)&lt;&gt;"",INT(IF(AND(CALC!$F$1&gt;0,N(INDEX(BASELINE!$A2354:$ZZ2354,CALC!$F$1))&gt;0),N(INDEX(BASELINE!$A2354:$ZZ2354,CALC!$F$1)),N(INDEX(BASELINE!$A2354:$ZZ2354,CALC!$P$1))))=INT(SIMOPS!$D$3),IFERROR(UPPER(TRIM(INDEX(BASELINE!$A2354:$ZZ2354,CALC!$R$1)&amp;"")),"")&lt;&gt;"ENCERRADA"),1,0),0)</f>
        <v/>
      </c>
      <c r="B2354">
        <f>B2353+A2354</f>
        <v/>
      </c>
    </row>
    <row r="2355">
      <c r="A2355">
        <f>IFERROR(IF(AND(INDEX(BASELINE!$A2355:$ZZ2355,CALC!$H$1)&lt;&gt;"",INT(IF(AND(CALC!$F$1&gt;0,N(INDEX(BASELINE!$A2355:$ZZ2355,CALC!$F$1))&gt;0),N(INDEX(BASELINE!$A2355:$ZZ2355,CALC!$F$1)),N(INDEX(BASELINE!$A2355:$ZZ2355,CALC!$P$1))))=INT(SIMOPS!$D$3),IFERROR(UPPER(TRIM(INDEX(BASELINE!$A2355:$ZZ2355,CALC!$R$1)&amp;"")),"")&lt;&gt;"ENCERRADA"),1,0),0)</f>
        <v/>
      </c>
      <c r="B2355">
        <f>B2354+A2355</f>
        <v/>
      </c>
    </row>
    <row r="2356">
      <c r="A2356">
        <f>IFERROR(IF(AND(INDEX(BASELINE!$A2356:$ZZ2356,CALC!$H$1)&lt;&gt;"",INT(IF(AND(CALC!$F$1&gt;0,N(INDEX(BASELINE!$A2356:$ZZ2356,CALC!$F$1))&gt;0),N(INDEX(BASELINE!$A2356:$ZZ2356,CALC!$F$1)),N(INDEX(BASELINE!$A2356:$ZZ2356,CALC!$P$1))))=INT(SIMOPS!$D$3),IFERROR(UPPER(TRIM(INDEX(BASELINE!$A2356:$ZZ2356,CALC!$R$1)&amp;"")),"")&lt;&gt;"ENCERRADA"),1,0),0)</f>
        <v/>
      </c>
      <c r="B2356">
        <f>B2355+A2356</f>
        <v/>
      </c>
    </row>
    <row r="2357">
      <c r="A2357">
        <f>IFERROR(IF(AND(INDEX(BASELINE!$A2357:$ZZ2357,CALC!$H$1)&lt;&gt;"",INT(IF(AND(CALC!$F$1&gt;0,N(INDEX(BASELINE!$A2357:$ZZ2357,CALC!$F$1))&gt;0),N(INDEX(BASELINE!$A2357:$ZZ2357,CALC!$F$1)),N(INDEX(BASELINE!$A2357:$ZZ2357,CALC!$P$1))))=INT(SIMOPS!$D$3),IFERROR(UPPER(TRIM(INDEX(BASELINE!$A2357:$ZZ2357,CALC!$R$1)&amp;"")),"")&lt;&gt;"ENCERRADA"),1,0),0)</f>
        <v/>
      </c>
      <c r="B2357">
        <f>B2356+A2357</f>
        <v/>
      </c>
    </row>
    <row r="2358">
      <c r="A2358">
        <f>IFERROR(IF(AND(INDEX(BASELINE!$A2358:$ZZ2358,CALC!$H$1)&lt;&gt;"",INT(IF(AND(CALC!$F$1&gt;0,N(INDEX(BASELINE!$A2358:$ZZ2358,CALC!$F$1))&gt;0),N(INDEX(BASELINE!$A2358:$ZZ2358,CALC!$F$1)),N(INDEX(BASELINE!$A2358:$ZZ2358,CALC!$P$1))))=INT(SIMOPS!$D$3),IFERROR(UPPER(TRIM(INDEX(BASELINE!$A2358:$ZZ2358,CALC!$R$1)&amp;"")),"")&lt;&gt;"ENCERRADA"),1,0),0)</f>
        <v/>
      </c>
      <c r="B2358">
        <f>B2357+A2358</f>
        <v/>
      </c>
    </row>
    <row r="2359">
      <c r="A2359">
        <f>IFERROR(IF(AND(INDEX(BASELINE!$A2359:$ZZ2359,CALC!$H$1)&lt;&gt;"",INT(IF(AND(CALC!$F$1&gt;0,N(INDEX(BASELINE!$A2359:$ZZ2359,CALC!$F$1))&gt;0),N(INDEX(BASELINE!$A2359:$ZZ2359,CALC!$F$1)),N(INDEX(BASELINE!$A2359:$ZZ2359,CALC!$P$1))))=INT(SIMOPS!$D$3),IFERROR(UPPER(TRIM(INDEX(BASELINE!$A2359:$ZZ2359,CALC!$R$1)&amp;"")),"")&lt;&gt;"ENCERRADA"),1,0),0)</f>
        <v/>
      </c>
      <c r="B2359">
        <f>B2358+A2359</f>
        <v/>
      </c>
    </row>
    <row r="2360">
      <c r="A2360">
        <f>IFERROR(IF(AND(INDEX(BASELINE!$A2360:$ZZ2360,CALC!$H$1)&lt;&gt;"",INT(IF(AND(CALC!$F$1&gt;0,N(INDEX(BASELINE!$A2360:$ZZ2360,CALC!$F$1))&gt;0),N(INDEX(BASELINE!$A2360:$ZZ2360,CALC!$F$1)),N(INDEX(BASELINE!$A2360:$ZZ2360,CALC!$P$1))))=INT(SIMOPS!$D$3),IFERROR(UPPER(TRIM(INDEX(BASELINE!$A2360:$ZZ2360,CALC!$R$1)&amp;"")),"")&lt;&gt;"ENCERRADA"),1,0),0)</f>
        <v/>
      </c>
      <c r="B2360">
        <f>B2359+A2360</f>
        <v/>
      </c>
    </row>
    <row r="2361">
      <c r="A2361">
        <f>IFERROR(IF(AND(INDEX(BASELINE!$A2361:$ZZ2361,CALC!$H$1)&lt;&gt;"",INT(IF(AND(CALC!$F$1&gt;0,N(INDEX(BASELINE!$A2361:$ZZ2361,CALC!$F$1))&gt;0),N(INDEX(BASELINE!$A2361:$ZZ2361,CALC!$F$1)),N(INDEX(BASELINE!$A2361:$ZZ2361,CALC!$P$1))))=INT(SIMOPS!$D$3),IFERROR(UPPER(TRIM(INDEX(BASELINE!$A2361:$ZZ2361,CALC!$R$1)&amp;"")),"")&lt;&gt;"ENCERRADA"),1,0),0)</f>
        <v/>
      </c>
      <c r="B2361">
        <f>B2360+A2361</f>
        <v/>
      </c>
    </row>
    <row r="2362">
      <c r="A2362">
        <f>IFERROR(IF(AND(INDEX(BASELINE!$A2362:$ZZ2362,CALC!$H$1)&lt;&gt;"",INT(IF(AND(CALC!$F$1&gt;0,N(INDEX(BASELINE!$A2362:$ZZ2362,CALC!$F$1))&gt;0),N(INDEX(BASELINE!$A2362:$ZZ2362,CALC!$F$1)),N(INDEX(BASELINE!$A2362:$ZZ2362,CALC!$P$1))))=INT(SIMOPS!$D$3),IFERROR(UPPER(TRIM(INDEX(BASELINE!$A2362:$ZZ2362,CALC!$R$1)&amp;"")),"")&lt;&gt;"ENCERRADA"),1,0),0)</f>
        <v/>
      </c>
      <c r="B2362">
        <f>B2361+A2362</f>
        <v/>
      </c>
    </row>
    <row r="2363">
      <c r="A2363">
        <f>IFERROR(IF(AND(INDEX(BASELINE!$A2363:$ZZ2363,CALC!$H$1)&lt;&gt;"",INT(IF(AND(CALC!$F$1&gt;0,N(INDEX(BASELINE!$A2363:$ZZ2363,CALC!$F$1))&gt;0),N(INDEX(BASELINE!$A2363:$ZZ2363,CALC!$F$1)),N(INDEX(BASELINE!$A2363:$ZZ2363,CALC!$P$1))))=INT(SIMOPS!$D$3),IFERROR(UPPER(TRIM(INDEX(BASELINE!$A2363:$ZZ2363,CALC!$R$1)&amp;"")),"")&lt;&gt;"ENCERRADA"),1,0),0)</f>
        <v/>
      </c>
      <c r="B2363">
        <f>B2362+A2363</f>
        <v/>
      </c>
    </row>
    <row r="2364">
      <c r="A2364">
        <f>IFERROR(IF(AND(INDEX(BASELINE!$A2364:$ZZ2364,CALC!$H$1)&lt;&gt;"",INT(IF(AND(CALC!$F$1&gt;0,N(INDEX(BASELINE!$A2364:$ZZ2364,CALC!$F$1))&gt;0),N(INDEX(BASELINE!$A2364:$ZZ2364,CALC!$F$1)),N(INDEX(BASELINE!$A2364:$ZZ2364,CALC!$P$1))))=INT(SIMOPS!$D$3),IFERROR(UPPER(TRIM(INDEX(BASELINE!$A2364:$ZZ2364,CALC!$R$1)&amp;"")),"")&lt;&gt;"ENCERRADA"),1,0),0)</f>
        <v/>
      </c>
      <c r="B2364">
        <f>B2363+A2364</f>
        <v/>
      </c>
    </row>
    <row r="2365">
      <c r="A2365">
        <f>IFERROR(IF(AND(INDEX(BASELINE!$A2365:$ZZ2365,CALC!$H$1)&lt;&gt;"",INT(IF(AND(CALC!$F$1&gt;0,N(INDEX(BASELINE!$A2365:$ZZ2365,CALC!$F$1))&gt;0),N(INDEX(BASELINE!$A2365:$ZZ2365,CALC!$F$1)),N(INDEX(BASELINE!$A2365:$ZZ2365,CALC!$P$1))))=INT(SIMOPS!$D$3),IFERROR(UPPER(TRIM(INDEX(BASELINE!$A2365:$ZZ2365,CALC!$R$1)&amp;"")),"")&lt;&gt;"ENCERRADA"),1,0),0)</f>
        <v/>
      </c>
      <c r="B2365">
        <f>B2364+A2365</f>
        <v/>
      </c>
    </row>
    <row r="2366">
      <c r="A2366">
        <f>IFERROR(IF(AND(INDEX(BASELINE!$A2366:$ZZ2366,CALC!$H$1)&lt;&gt;"",INT(IF(AND(CALC!$F$1&gt;0,N(INDEX(BASELINE!$A2366:$ZZ2366,CALC!$F$1))&gt;0),N(INDEX(BASELINE!$A2366:$ZZ2366,CALC!$F$1)),N(INDEX(BASELINE!$A2366:$ZZ2366,CALC!$P$1))))=INT(SIMOPS!$D$3),IFERROR(UPPER(TRIM(INDEX(BASELINE!$A2366:$ZZ2366,CALC!$R$1)&amp;"")),"")&lt;&gt;"ENCERRADA"),1,0),0)</f>
        <v/>
      </c>
      <c r="B2366">
        <f>B2365+A2366</f>
        <v/>
      </c>
    </row>
    <row r="2367">
      <c r="A2367">
        <f>IFERROR(IF(AND(INDEX(BASELINE!$A2367:$ZZ2367,CALC!$H$1)&lt;&gt;"",INT(IF(AND(CALC!$F$1&gt;0,N(INDEX(BASELINE!$A2367:$ZZ2367,CALC!$F$1))&gt;0),N(INDEX(BASELINE!$A2367:$ZZ2367,CALC!$F$1)),N(INDEX(BASELINE!$A2367:$ZZ2367,CALC!$P$1))))=INT(SIMOPS!$D$3),IFERROR(UPPER(TRIM(INDEX(BASELINE!$A2367:$ZZ2367,CALC!$R$1)&amp;"")),"")&lt;&gt;"ENCERRADA"),1,0),0)</f>
        <v/>
      </c>
      <c r="B2367">
        <f>B2366+A2367</f>
        <v/>
      </c>
    </row>
    <row r="2368">
      <c r="A2368">
        <f>IFERROR(IF(AND(INDEX(BASELINE!$A2368:$ZZ2368,CALC!$H$1)&lt;&gt;"",INT(IF(AND(CALC!$F$1&gt;0,N(INDEX(BASELINE!$A2368:$ZZ2368,CALC!$F$1))&gt;0),N(INDEX(BASELINE!$A2368:$ZZ2368,CALC!$F$1)),N(INDEX(BASELINE!$A2368:$ZZ2368,CALC!$P$1))))=INT(SIMOPS!$D$3),IFERROR(UPPER(TRIM(INDEX(BASELINE!$A2368:$ZZ2368,CALC!$R$1)&amp;"")),"")&lt;&gt;"ENCERRADA"),1,0),0)</f>
        <v/>
      </c>
      <c r="B2368">
        <f>B2367+A2368</f>
        <v/>
      </c>
    </row>
    <row r="2369">
      <c r="A2369">
        <f>IFERROR(IF(AND(INDEX(BASELINE!$A2369:$ZZ2369,CALC!$H$1)&lt;&gt;"",INT(IF(AND(CALC!$F$1&gt;0,N(INDEX(BASELINE!$A2369:$ZZ2369,CALC!$F$1))&gt;0),N(INDEX(BASELINE!$A2369:$ZZ2369,CALC!$F$1)),N(INDEX(BASELINE!$A2369:$ZZ2369,CALC!$P$1))))=INT(SIMOPS!$D$3),IFERROR(UPPER(TRIM(INDEX(BASELINE!$A2369:$ZZ2369,CALC!$R$1)&amp;"")),"")&lt;&gt;"ENCERRADA"),1,0),0)</f>
        <v/>
      </c>
      <c r="B2369">
        <f>B2368+A2369</f>
        <v/>
      </c>
    </row>
    <row r="2370">
      <c r="A2370">
        <f>IFERROR(IF(AND(INDEX(BASELINE!$A2370:$ZZ2370,CALC!$H$1)&lt;&gt;"",INT(IF(AND(CALC!$F$1&gt;0,N(INDEX(BASELINE!$A2370:$ZZ2370,CALC!$F$1))&gt;0),N(INDEX(BASELINE!$A2370:$ZZ2370,CALC!$F$1)),N(INDEX(BASELINE!$A2370:$ZZ2370,CALC!$P$1))))=INT(SIMOPS!$D$3),IFERROR(UPPER(TRIM(INDEX(BASELINE!$A2370:$ZZ2370,CALC!$R$1)&amp;"")),"")&lt;&gt;"ENCERRADA"),1,0),0)</f>
        <v/>
      </c>
      <c r="B2370">
        <f>B2369+A2370</f>
        <v/>
      </c>
    </row>
    <row r="2371">
      <c r="A2371">
        <f>IFERROR(IF(AND(INDEX(BASELINE!$A2371:$ZZ2371,CALC!$H$1)&lt;&gt;"",INT(IF(AND(CALC!$F$1&gt;0,N(INDEX(BASELINE!$A2371:$ZZ2371,CALC!$F$1))&gt;0),N(INDEX(BASELINE!$A2371:$ZZ2371,CALC!$F$1)),N(INDEX(BASELINE!$A2371:$ZZ2371,CALC!$P$1))))=INT(SIMOPS!$D$3),IFERROR(UPPER(TRIM(INDEX(BASELINE!$A2371:$ZZ2371,CALC!$R$1)&amp;"")),"")&lt;&gt;"ENCERRADA"),1,0),0)</f>
        <v/>
      </c>
      <c r="B2371">
        <f>B2370+A2371</f>
        <v/>
      </c>
    </row>
    <row r="2372">
      <c r="A2372">
        <f>IFERROR(IF(AND(INDEX(BASELINE!$A2372:$ZZ2372,CALC!$H$1)&lt;&gt;"",INT(IF(AND(CALC!$F$1&gt;0,N(INDEX(BASELINE!$A2372:$ZZ2372,CALC!$F$1))&gt;0),N(INDEX(BASELINE!$A2372:$ZZ2372,CALC!$F$1)),N(INDEX(BASELINE!$A2372:$ZZ2372,CALC!$P$1))))=INT(SIMOPS!$D$3),IFERROR(UPPER(TRIM(INDEX(BASELINE!$A2372:$ZZ2372,CALC!$R$1)&amp;"")),"")&lt;&gt;"ENCERRADA"),1,0),0)</f>
        <v/>
      </c>
      <c r="B2372">
        <f>B2371+A2372</f>
        <v/>
      </c>
    </row>
    <row r="2373">
      <c r="A2373">
        <f>IFERROR(IF(AND(INDEX(BASELINE!$A2373:$ZZ2373,CALC!$H$1)&lt;&gt;"",INT(IF(AND(CALC!$F$1&gt;0,N(INDEX(BASELINE!$A2373:$ZZ2373,CALC!$F$1))&gt;0),N(INDEX(BASELINE!$A2373:$ZZ2373,CALC!$F$1)),N(INDEX(BASELINE!$A2373:$ZZ2373,CALC!$P$1))))=INT(SIMOPS!$D$3),IFERROR(UPPER(TRIM(INDEX(BASELINE!$A2373:$ZZ2373,CALC!$R$1)&amp;"")),"")&lt;&gt;"ENCERRADA"),1,0),0)</f>
        <v/>
      </c>
      <c r="B2373">
        <f>B2372+A2373</f>
        <v/>
      </c>
    </row>
    <row r="2374">
      <c r="A2374">
        <f>IFERROR(IF(AND(INDEX(BASELINE!$A2374:$ZZ2374,CALC!$H$1)&lt;&gt;"",INT(IF(AND(CALC!$F$1&gt;0,N(INDEX(BASELINE!$A2374:$ZZ2374,CALC!$F$1))&gt;0),N(INDEX(BASELINE!$A2374:$ZZ2374,CALC!$F$1)),N(INDEX(BASELINE!$A2374:$ZZ2374,CALC!$P$1))))=INT(SIMOPS!$D$3),IFERROR(UPPER(TRIM(INDEX(BASELINE!$A2374:$ZZ2374,CALC!$R$1)&amp;"")),"")&lt;&gt;"ENCERRADA"),1,0),0)</f>
        <v/>
      </c>
      <c r="B2374">
        <f>B2373+A2374</f>
        <v/>
      </c>
    </row>
    <row r="2375">
      <c r="A2375">
        <f>IFERROR(IF(AND(INDEX(BASELINE!$A2375:$ZZ2375,CALC!$H$1)&lt;&gt;"",INT(IF(AND(CALC!$F$1&gt;0,N(INDEX(BASELINE!$A2375:$ZZ2375,CALC!$F$1))&gt;0),N(INDEX(BASELINE!$A2375:$ZZ2375,CALC!$F$1)),N(INDEX(BASELINE!$A2375:$ZZ2375,CALC!$P$1))))=INT(SIMOPS!$D$3),IFERROR(UPPER(TRIM(INDEX(BASELINE!$A2375:$ZZ2375,CALC!$R$1)&amp;"")),"")&lt;&gt;"ENCERRADA"),1,0),0)</f>
        <v/>
      </c>
      <c r="B2375">
        <f>B2374+A2375</f>
        <v/>
      </c>
    </row>
    <row r="2376">
      <c r="A2376">
        <f>IFERROR(IF(AND(INDEX(BASELINE!$A2376:$ZZ2376,CALC!$H$1)&lt;&gt;"",INT(IF(AND(CALC!$F$1&gt;0,N(INDEX(BASELINE!$A2376:$ZZ2376,CALC!$F$1))&gt;0),N(INDEX(BASELINE!$A2376:$ZZ2376,CALC!$F$1)),N(INDEX(BASELINE!$A2376:$ZZ2376,CALC!$P$1))))=INT(SIMOPS!$D$3),IFERROR(UPPER(TRIM(INDEX(BASELINE!$A2376:$ZZ2376,CALC!$R$1)&amp;"")),"")&lt;&gt;"ENCERRADA"),1,0),0)</f>
        <v/>
      </c>
      <c r="B2376">
        <f>B2375+A2376</f>
        <v/>
      </c>
    </row>
    <row r="2377">
      <c r="A2377">
        <f>IFERROR(IF(AND(INDEX(BASELINE!$A2377:$ZZ2377,CALC!$H$1)&lt;&gt;"",INT(IF(AND(CALC!$F$1&gt;0,N(INDEX(BASELINE!$A2377:$ZZ2377,CALC!$F$1))&gt;0),N(INDEX(BASELINE!$A2377:$ZZ2377,CALC!$F$1)),N(INDEX(BASELINE!$A2377:$ZZ2377,CALC!$P$1))))=INT(SIMOPS!$D$3),IFERROR(UPPER(TRIM(INDEX(BASELINE!$A2377:$ZZ2377,CALC!$R$1)&amp;"")),"")&lt;&gt;"ENCERRADA"),1,0),0)</f>
        <v/>
      </c>
      <c r="B2377">
        <f>B2376+A2377</f>
        <v/>
      </c>
    </row>
    <row r="2378">
      <c r="A2378">
        <f>IFERROR(IF(AND(INDEX(BASELINE!$A2378:$ZZ2378,CALC!$H$1)&lt;&gt;"",INT(IF(AND(CALC!$F$1&gt;0,N(INDEX(BASELINE!$A2378:$ZZ2378,CALC!$F$1))&gt;0),N(INDEX(BASELINE!$A2378:$ZZ2378,CALC!$F$1)),N(INDEX(BASELINE!$A2378:$ZZ2378,CALC!$P$1))))=INT(SIMOPS!$D$3),IFERROR(UPPER(TRIM(INDEX(BASELINE!$A2378:$ZZ2378,CALC!$R$1)&amp;"")),"")&lt;&gt;"ENCERRADA"),1,0),0)</f>
        <v/>
      </c>
      <c r="B2378">
        <f>B2377+A2378</f>
        <v/>
      </c>
    </row>
    <row r="2379">
      <c r="A2379">
        <f>IFERROR(IF(AND(INDEX(BASELINE!$A2379:$ZZ2379,CALC!$H$1)&lt;&gt;"",INT(IF(AND(CALC!$F$1&gt;0,N(INDEX(BASELINE!$A2379:$ZZ2379,CALC!$F$1))&gt;0),N(INDEX(BASELINE!$A2379:$ZZ2379,CALC!$F$1)),N(INDEX(BASELINE!$A2379:$ZZ2379,CALC!$P$1))))=INT(SIMOPS!$D$3),IFERROR(UPPER(TRIM(INDEX(BASELINE!$A2379:$ZZ2379,CALC!$R$1)&amp;"")),"")&lt;&gt;"ENCERRADA"),1,0),0)</f>
        <v/>
      </c>
      <c r="B2379">
        <f>B2378+A2379</f>
        <v/>
      </c>
    </row>
    <row r="2380">
      <c r="A2380">
        <f>IFERROR(IF(AND(INDEX(BASELINE!$A2380:$ZZ2380,CALC!$H$1)&lt;&gt;"",INT(IF(AND(CALC!$F$1&gt;0,N(INDEX(BASELINE!$A2380:$ZZ2380,CALC!$F$1))&gt;0),N(INDEX(BASELINE!$A2380:$ZZ2380,CALC!$F$1)),N(INDEX(BASELINE!$A2380:$ZZ2380,CALC!$P$1))))=INT(SIMOPS!$D$3),IFERROR(UPPER(TRIM(INDEX(BASELINE!$A2380:$ZZ2380,CALC!$R$1)&amp;"")),"")&lt;&gt;"ENCERRADA"),1,0),0)</f>
        <v/>
      </c>
      <c r="B2380">
        <f>B2379+A2380</f>
        <v/>
      </c>
    </row>
    <row r="2381">
      <c r="A2381">
        <f>IFERROR(IF(AND(INDEX(BASELINE!$A2381:$ZZ2381,CALC!$H$1)&lt;&gt;"",INT(IF(AND(CALC!$F$1&gt;0,N(INDEX(BASELINE!$A2381:$ZZ2381,CALC!$F$1))&gt;0),N(INDEX(BASELINE!$A2381:$ZZ2381,CALC!$F$1)),N(INDEX(BASELINE!$A2381:$ZZ2381,CALC!$P$1))))=INT(SIMOPS!$D$3),IFERROR(UPPER(TRIM(INDEX(BASELINE!$A2381:$ZZ2381,CALC!$R$1)&amp;"")),"")&lt;&gt;"ENCERRADA"),1,0),0)</f>
        <v/>
      </c>
      <c r="B2381">
        <f>B2380+A2381</f>
        <v/>
      </c>
    </row>
    <row r="2382">
      <c r="A2382">
        <f>IFERROR(IF(AND(INDEX(BASELINE!$A2382:$ZZ2382,CALC!$H$1)&lt;&gt;"",INT(IF(AND(CALC!$F$1&gt;0,N(INDEX(BASELINE!$A2382:$ZZ2382,CALC!$F$1))&gt;0),N(INDEX(BASELINE!$A2382:$ZZ2382,CALC!$F$1)),N(INDEX(BASELINE!$A2382:$ZZ2382,CALC!$P$1))))=INT(SIMOPS!$D$3),IFERROR(UPPER(TRIM(INDEX(BASELINE!$A2382:$ZZ2382,CALC!$R$1)&amp;"")),"")&lt;&gt;"ENCERRADA"),1,0),0)</f>
        <v/>
      </c>
      <c r="B2382">
        <f>B2381+A2382</f>
        <v/>
      </c>
    </row>
    <row r="2383">
      <c r="A2383">
        <f>IFERROR(IF(AND(INDEX(BASELINE!$A2383:$ZZ2383,CALC!$H$1)&lt;&gt;"",INT(IF(AND(CALC!$F$1&gt;0,N(INDEX(BASELINE!$A2383:$ZZ2383,CALC!$F$1))&gt;0),N(INDEX(BASELINE!$A2383:$ZZ2383,CALC!$F$1)),N(INDEX(BASELINE!$A2383:$ZZ2383,CALC!$P$1))))=INT(SIMOPS!$D$3),IFERROR(UPPER(TRIM(INDEX(BASELINE!$A2383:$ZZ2383,CALC!$R$1)&amp;"")),"")&lt;&gt;"ENCERRADA"),1,0),0)</f>
        <v/>
      </c>
      <c r="B2383">
        <f>B2382+A2383</f>
        <v/>
      </c>
    </row>
    <row r="2384">
      <c r="A2384">
        <f>IFERROR(IF(AND(INDEX(BASELINE!$A2384:$ZZ2384,CALC!$H$1)&lt;&gt;"",INT(IF(AND(CALC!$F$1&gt;0,N(INDEX(BASELINE!$A2384:$ZZ2384,CALC!$F$1))&gt;0),N(INDEX(BASELINE!$A2384:$ZZ2384,CALC!$F$1)),N(INDEX(BASELINE!$A2384:$ZZ2384,CALC!$P$1))))=INT(SIMOPS!$D$3),IFERROR(UPPER(TRIM(INDEX(BASELINE!$A2384:$ZZ2384,CALC!$R$1)&amp;"")),"")&lt;&gt;"ENCERRADA"),1,0),0)</f>
        <v/>
      </c>
      <c r="B2384">
        <f>B2383+A2384</f>
        <v/>
      </c>
    </row>
    <row r="2385">
      <c r="A2385">
        <f>IFERROR(IF(AND(INDEX(BASELINE!$A2385:$ZZ2385,CALC!$H$1)&lt;&gt;"",INT(IF(AND(CALC!$F$1&gt;0,N(INDEX(BASELINE!$A2385:$ZZ2385,CALC!$F$1))&gt;0),N(INDEX(BASELINE!$A2385:$ZZ2385,CALC!$F$1)),N(INDEX(BASELINE!$A2385:$ZZ2385,CALC!$P$1))))=INT(SIMOPS!$D$3),IFERROR(UPPER(TRIM(INDEX(BASELINE!$A2385:$ZZ2385,CALC!$R$1)&amp;"")),"")&lt;&gt;"ENCERRADA"),1,0),0)</f>
        <v/>
      </c>
      <c r="B2385">
        <f>B2384+A2385</f>
        <v/>
      </c>
    </row>
    <row r="2386">
      <c r="A2386">
        <f>IFERROR(IF(AND(INDEX(BASELINE!$A2386:$ZZ2386,CALC!$H$1)&lt;&gt;"",INT(IF(AND(CALC!$F$1&gt;0,N(INDEX(BASELINE!$A2386:$ZZ2386,CALC!$F$1))&gt;0),N(INDEX(BASELINE!$A2386:$ZZ2386,CALC!$F$1)),N(INDEX(BASELINE!$A2386:$ZZ2386,CALC!$P$1))))=INT(SIMOPS!$D$3),IFERROR(UPPER(TRIM(INDEX(BASELINE!$A2386:$ZZ2386,CALC!$R$1)&amp;"")),"")&lt;&gt;"ENCERRADA"),1,0),0)</f>
        <v/>
      </c>
      <c r="B2386">
        <f>B2385+A2386</f>
        <v/>
      </c>
    </row>
    <row r="2387">
      <c r="A2387">
        <f>IFERROR(IF(AND(INDEX(BASELINE!$A2387:$ZZ2387,CALC!$H$1)&lt;&gt;"",INT(IF(AND(CALC!$F$1&gt;0,N(INDEX(BASELINE!$A2387:$ZZ2387,CALC!$F$1))&gt;0),N(INDEX(BASELINE!$A2387:$ZZ2387,CALC!$F$1)),N(INDEX(BASELINE!$A2387:$ZZ2387,CALC!$P$1))))=INT(SIMOPS!$D$3),IFERROR(UPPER(TRIM(INDEX(BASELINE!$A2387:$ZZ2387,CALC!$R$1)&amp;"")),"")&lt;&gt;"ENCERRADA"),1,0),0)</f>
        <v/>
      </c>
      <c r="B2387">
        <f>B2386+A2387</f>
        <v/>
      </c>
    </row>
    <row r="2388">
      <c r="A2388">
        <f>IFERROR(IF(AND(INDEX(BASELINE!$A2388:$ZZ2388,CALC!$H$1)&lt;&gt;"",INT(IF(AND(CALC!$F$1&gt;0,N(INDEX(BASELINE!$A2388:$ZZ2388,CALC!$F$1))&gt;0),N(INDEX(BASELINE!$A2388:$ZZ2388,CALC!$F$1)),N(INDEX(BASELINE!$A2388:$ZZ2388,CALC!$P$1))))=INT(SIMOPS!$D$3),IFERROR(UPPER(TRIM(INDEX(BASELINE!$A2388:$ZZ2388,CALC!$R$1)&amp;"")),"")&lt;&gt;"ENCERRADA"),1,0),0)</f>
        <v/>
      </c>
      <c r="B2388">
        <f>B2387+A2388</f>
        <v/>
      </c>
    </row>
    <row r="2389">
      <c r="A2389">
        <f>IFERROR(IF(AND(INDEX(BASELINE!$A2389:$ZZ2389,CALC!$H$1)&lt;&gt;"",INT(IF(AND(CALC!$F$1&gt;0,N(INDEX(BASELINE!$A2389:$ZZ2389,CALC!$F$1))&gt;0),N(INDEX(BASELINE!$A2389:$ZZ2389,CALC!$F$1)),N(INDEX(BASELINE!$A2389:$ZZ2389,CALC!$P$1))))=INT(SIMOPS!$D$3),IFERROR(UPPER(TRIM(INDEX(BASELINE!$A2389:$ZZ2389,CALC!$R$1)&amp;"")),"")&lt;&gt;"ENCERRADA"),1,0),0)</f>
        <v/>
      </c>
      <c r="B2389">
        <f>B2388+A2389</f>
        <v/>
      </c>
    </row>
    <row r="2390">
      <c r="A2390">
        <f>IFERROR(IF(AND(INDEX(BASELINE!$A2390:$ZZ2390,CALC!$H$1)&lt;&gt;"",INT(IF(AND(CALC!$F$1&gt;0,N(INDEX(BASELINE!$A2390:$ZZ2390,CALC!$F$1))&gt;0),N(INDEX(BASELINE!$A2390:$ZZ2390,CALC!$F$1)),N(INDEX(BASELINE!$A2390:$ZZ2390,CALC!$P$1))))=INT(SIMOPS!$D$3),IFERROR(UPPER(TRIM(INDEX(BASELINE!$A2390:$ZZ2390,CALC!$R$1)&amp;"")),"")&lt;&gt;"ENCERRADA"),1,0),0)</f>
        <v/>
      </c>
      <c r="B2390">
        <f>B2389+A2390</f>
        <v/>
      </c>
    </row>
    <row r="2391">
      <c r="A2391">
        <f>IFERROR(IF(AND(INDEX(BASELINE!$A2391:$ZZ2391,CALC!$H$1)&lt;&gt;"",INT(IF(AND(CALC!$F$1&gt;0,N(INDEX(BASELINE!$A2391:$ZZ2391,CALC!$F$1))&gt;0),N(INDEX(BASELINE!$A2391:$ZZ2391,CALC!$F$1)),N(INDEX(BASELINE!$A2391:$ZZ2391,CALC!$P$1))))=INT(SIMOPS!$D$3),IFERROR(UPPER(TRIM(INDEX(BASELINE!$A2391:$ZZ2391,CALC!$R$1)&amp;"")),"")&lt;&gt;"ENCERRADA"),1,0),0)</f>
        <v/>
      </c>
      <c r="B2391">
        <f>B2390+A2391</f>
        <v/>
      </c>
    </row>
    <row r="2392">
      <c r="A2392">
        <f>IFERROR(IF(AND(INDEX(BASELINE!$A2392:$ZZ2392,CALC!$H$1)&lt;&gt;"",INT(IF(AND(CALC!$F$1&gt;0,N(INDEX(BASELINE!$A2392:$ZZ2392,CALC!$F$1))&gt;0),N(INDEX(BASELINE!$A2392:$ZZ2392,CALC!$F$1)),N(INDEX(BASELINE!$A2392:$ZZ2392,CALC!$P$1))))=INT(SIMOPS!$D$3),IFERROR(UPPER(TRIM(INDEX(BASELINE!$A2392:$ZZ2392,CALC!$R$1)&amp;"")),"")&lt;&gt;"ENCERRADA"),1,0),0)</f>
        <v/>
      </c>
      <c r="B2392">
        <f>B2391+A2392</f>
        <v/>
      </c>
    </row>
    <row r="2393">
      <c r="A2393">
        <f>IFERROR(IF(AND(INDEX(BASELINE!$A2393:$ZZ2393,CALC!$H$1)&lt;&gt;"",INT(IF(AND(CALC!$F$1&gt;0,N(INDEX(BASELINE!$A2393:$ZZ2393,CALC!$F$1))&gt;0),N(INDEX(BASELINE!$A2393:$ZZ2393,CALC!$F$1)),N(INDEX(BASELINE!$A2393:$ZZ2393,CALC!$P$1))))=INT(SIMOPS!$D$3),IFERROR(UPPER(TRIM(INDEX(BASELINE!$A2393:$ZZ2393,CALC!$R$1)&amp;"")),"")&lt;&gt;"ENCERRADA"),1,0),0)</f>
        <v/>
      </c>
      <c r="B2393">
        <f>B2392+A2393</f>
        <v/>
      </c>
    </row>
    <row r="2394">
      <c r="A2394">
        <f>IFERROR(IF(AND(INDEX(BASELINE!$A2394:$ZZ2394,CALC!$H$1)&lt;&gt;"",INT(IF(AND(CALC!$F$1&gt;0,N(INDEX(BASELINE!$A2394:$ZZ2394,CALC!$F$1))&gt;0),N(INDEX(BASELINE!$A2394:$ZZ2394,CALC!$F$1)),N(INDEX(BASELINE!$A2394:$ZZ2394,CALC!$P$1))))=INT(SIMOPS!$D$3),IFERROR(UPPER(TRIM(INDEX(BASELINE!$A2394:$ZZ2394,CALC!$R$1)&amp;"")),"")&lt;&gt;"ENCERRADA"),1,0),0)</f>
        <v/>
      </c>
      <c r="B2394">
        <f>B2393+A2394</f>
        <v/>
      </c>
    </row>
    <row r="2395">
      <c r="A2395">
        <f>IFERROR(IF(AND(INDEX(BASELINE!$A2395:$ZZ2395,CALC!$H$1)&lt;&gt;"",INT(IF(AND(CALC!$F$1&gt;0,N(INDEX(BASELINE!$A2395:$ZZ2395,CALC!$F$1))&gt;0),N(INDEX(BASELINE!$A2395:$ZZ2395,CALC!$F$1)),N(INDEX(BASELINE!$A2395:$ZZ2395,CALC!$P$1))))=INT(SIMOPS!$D$3),IFERROR(UPPER(TRIM(INDEX(BASELINE!$A2395:$ZZ2395,CALC!$R$1)&amp;"")),"")&lt;&gt;"ENCERRADA"),1,0),0)</f>
        <v/>
      </c>
      <c r="B2395">
        <f>B2394+A2395</f>
        <v/>
      </c>
    </row>
    <row r="2396">
      <c r="A2396">
        <f>IFERROR(IF(AND(INDEX(BASELINE!$A2396:$ZZ2396,CALC!$H$1)&lt;&gt;"",INT(IF(AND(CALC!$F$1&gt;0,N(INDEX(BASELINE!$A2396:$ZZ2396,CALC!$F$1))&gt;0),N(INDEX(BASELINE!$A2396:$ZZ2396,CALC!$F$1)),N(INDEX(BASELINE!$A2396:$ZZ2396,CALC!$P$1))))=INT(SIMOPS!$D$3),IFERROR(UPPER(TRIM(INDEX(BASELINE!$A2396:$ZZ2396,CALC!$R$1)&amp;"")),"")&lt;&gt;"ENCERRADA"),1,0),0)</f>
        <v/>
      </c>
      <c r="B2396">
        <f>B2395+A2396</f>
        <v/>
      </c>
    </row>
    <row r="2397">
      <c r="A2397">
        <f>IFERROR(IF(AND(INDEX(BASELINE!$A2397:$ZZ2397,CALC!$H$1)&lt;&gt;"",INT(IF(AND(CALC!$F$1&gt;0,N(INDEX(BASELINE!$A2397:$ZZ2397,CALC!$F$1))&gt;0),N(INDEX(BASELINE!$A2397:$ZZ2397,CALC!$F$1)),N(INDEX(BASELINE!$A2397:$ZZ2397,CALC!$P$1))))=INT(SIMOPS!$D$3),IFERROR(UPPER(TRIM(INDEX(BASELINE!$A2397:$ZZ2397,CALC!$R$1)&amp;"")),"")&lt;&gt;"ENCERRADA"),1,0),0)</f>
        <v/>
      </c>
      <c r="B2397">
        <f>B2396+A2397</f>
        <v/>
      </c>
    </row>
    <row r="2398">
      <c r="A2398">
        <f>IFERROR(IF(AND(INDEX(BASELINE!$A2398:$ZZ2398,CALC!$H$1)&lt;&gt;"",INT(IF(AND(CALC!$F$1&gt;0,N(INDEX(BASELINE!$A2398:$ZZ2398,CALC!$F$1))&gt;0),N(INDEX(BASELINE!$A2398:$ZZ2398,CALC!$F$1)),N(INDEX(BASELINE!$A2398:$ZZ2398,CALC!$P$1))))=INT(SIMOPS!$D$3),IFERROR(UPPER(TRIM(INDEX(BASELINE!$A2398:$ZZ2398,CALC!$R$1)&amp;"")),"")&lt;&gt;"ENCERRADA"),1,0),0)</f>
        <v/>
      </c>
      <c r="B2398">
        <f>B2397+A2398</f>
        <v/>
      </c>
    </row>
    <row r="2399">
      <c r="A2399">
        <f>IFERROR(IF(AND(INDEX(BASELINE!$A2399:$ZZ2399,CALC!$H$1)&lt;&gt;"",INT(IF(AND(CALC!$F$1&gt;0,N(INDEX(BASELINE!$A2399:$ZZ2399,CALC!$F$1))&gt;0),N(INDEX(BASELINE!$A2399:$ZZ2399,CALC!$F$1)),N(INDEX(BASELINE!$A2399:$ZZ2399,CALC!$P$1))))=INT(SIMOPS!$D$3),IFERROR(UPPER(TRIM(INDEX(BASELINE!$A2399:$ZZ2399,CALC!$R$1)&amp;"")),"")&lt;&gt;"ENCERRADA"),1,0),0)</f>
        <v/>
      </c>
      <c r="B2399">
        <f>B2398+A2399</f>
        <v/>
      </c>
    </row>
    <row r="2400">
      <c r="A2400">
        <f>IFERROR(IF(AND(INDEX(BASELINE!$A2400:$ZZ2400,CALC!$H$1)&lt;&gt;"",INT(IF(AND(CALC!$F$1&gt;0,N(INDEX(BASELINE!$A2400:$ZZ2400,CALC!$F$1))&gt;0),N(INDEX(BASELINE!$A2400:$ZZ2400,CALC!$F$1)),N(INDEX(BASELINE!$A2400:$ZZ2400,CALC!$P$1))))=INT(SIMOPS!$D$3),IFERROR(UPPER(TRIM(INDEX(BASELINE!$A2400:$ZZ2400,CALC!$R$1)&amp;"")),"")&lt;&gt;"ENCERRADA"),1,0),0)</f>
        <v/>
      </c>
      <c r="B2400">
        <f>B2399+A2400</f>
        <v/>
      </c>
    </row>
    <row r="2401">
      <c r="A2401">
        <f>IFERROR(IF(AND(INDEX(BASELINE!$A2401:$ZZ2401,CALC!$H$1)&lt;&gt;"",INT(IF(AND(CALC!$F$1&gt;0,N(INDEX(BASELINE!$A2401:$ZZ2401,CALC!$F$1))&gt;0),N(INDEX(BASELINE!$A2401:$ZZ2401,CALC!$F$1)),N(INDEX(BASELINE!$A2401:$ZZ2401,CALC!$P$1))))=INT(SIMOPS!$D$3),IFERROR(UPPER(TRIM(INDEX(BASELINE!$A2401:$ZZ2401,CALC!$R$1)&amp;"")),"")&lt;&gt;"ENCERRADA"),1,0),0)</f>
        <v/>
      </c>
      <c r="B2401">
        <f>B2400+A2401</f>
        <v/>
      </c>
    </row>
    <row r="2402">
      <c r="A2402">
        <f>IFERROR(IF(AND(INDEX(BASELINE!$A2402:$ZZ2402,CALC!$H$1)&lt;&gt;"",INT(IF(AND(CALC!$F$1&gt;0,N(INDEX(BASELINE!$A2402:$ZZ2402,CALC!$F$1))&gt;0),N(INDEX(BASELINE!$A2402:$ZZ2402,CALC!$F$1)),N(INDEX(BASELINE!$A2402:$ZZ2402,CALC!$P$1))))=INT(SIMOPS!$D$3),IFERROR(UPPER(TRIM(INDEX(BASELINE!$A2402:$ZZ2402,CALC!$R$1)&amp;"")),"")&lt;&gt;"ENCERRADA"),1,0),0)</f>
        <v/>
      </c>
      <c r="B2402">
        <f>B2401+A2402</f>
        <v/>
      </c>
    </row>
    <row r="2403">
      <c r="A2403">
        <f>IFERROR(IF(AND(INDEX(BASELINE!$A2403:$ZZ2403,CALC!$H$1)&lt;&gt;"",INT(IF(AND(CALC!$F$1&gt;0,N(INDEX(BASELINE!$A2403:$ZZ2403,CALC!$F$1))&gt;0),N(INDEX(BASELINE!$A2403:$ZZ2403,CALC!$F$1)),N(INDEX(BASELINE!$A2403:$ZZ2403,CALC!$P$1))))=INT(SIMOPS!$D$3),IFERROR(UPPER(TRIM(INDEX(BASELINE!$A2403:$ZZ2403,CALC!$R$1)&amp;"")),"")&lt;&gt;"ENCERRADA"),1,0),0)</f>
        <v/>
      </c>
      <c r="B2403">
        <f>B2402+A2403</f>
        <v/>
      </c>
    </row>
    <row r="2404">
      <c r="A2404">
        <f>IFERROR(IF(AND(INDEX(BASELINE!$A2404:$ZZ2404,CALC!$H$1)&lt;&gt;"",INT(IF(AND(CALC!$F$1&gt;0,N(INDEX(BASELINE!$A2404:$ZZ2404,CALC!$F$1))&gt;0),N(INDEX(BASELINE!$A2404:$ZZ2404,CALC!$F$1)),N(INDEX(BASELINE!$A2404:$ZZ2404,CALC!$P$1))))=INT(SIMOPS!$D$3),IFERROR(UPPER(TRIM(INDEX(BASELINE!$A2404:$ZZ2404,CALC!$R$1)&amp;"")),"")&lt;&gt;"ENCERRADA"),1,0),0)</f>
        <v/>
      </c>
      <c r="B2404">
        <f>B2403+A2404</f>
        <v/>
      </c>
    </row>
    <row r="2405">
      <c r="A2405">
        <f>IFERROR(IF(AND(INDEX(BASELINE!$A2405:$ZZ2405,CALC!$H$1)&lt;&gt;"",INT(IF(AND(CALC!$F$1&gt;0,N(INDEX(BASELINE!$A2405:$ZZ2405,CALC!$F$1))&gt;0),N(INDEX(BASELINE!$A2405:$ZZ2405,CALC!$F$1)),N(INDEX(BASELINE!$A2405:$ZZ2405,CALC!$P$1))))=INT(SIMOPS!$D$3),IFERROR(UPPER(TRIM(INDEX(BASELINE!$A2405:$ZZ2405,CALC!$R$1)&amp;"")),"")&lt;&gt;"ENCERRADA"),1,0),0)</f>
        <v/>
      </c>
      <c r="B2405">
        <f>B2404+A2405</f>
        <v/>
      </c>
    </row>
    <row r="2406">
      <c r="A2406">
        <f>IFERROR(IF(AND(INDEX(BASELINE!$A2406:$ZZ2406,CALC!$H$1)&lt;&gt;"",INT(IF(AND(CALC!$F$1&gt;0,N(INDEX(BASELINE!$A2406:$ZZ2406,CALC!$F$1))&gt;0),N(INDEX(BASELINE!$A2406:$ZZ2406,CALC!$F$1)),N(INDEX(BASELINE!$A2406:$ZZ2406,CALC!$P$1))))=INT(SIMOPS!$D$3),IFERROR(UPPER(TRIM(INDEX(BASELINE!$A2406:$ZZ2406,CALC!$R$1)&amp;"")),"")&lt;&gt;"ENCERRADA"),1,0),0)</f>
        <v/>
      </c>
      <c r="B2406">
        <f>B2405+A2406</f>
        <v/>
      </c>
    </row>
    <row r="2407">
      <c r="A2407">
        <f>IFERROR(IF(AND(INDEX(BASELINE!$A2407:$ZZ2407,CALC!$H$1)&lt;&gt;"",INT(IF(AND(CALC!$F$1&gt;0,N(INDEX(BASELINE!$A2407:$ZZ2407,CALC!$F$1))&gt;0),N(INDEX(BASELINE!$A2407:$ZZ2407,CALC!$F$1)),N(INDEX(BASELINE!$A2407:$ZZ2407,CALC!$P$1))))=INT(SIMOPS!$D$3),IFERROR(UPPER(TRIM(INDEX(BASELINE!$A2407:$ZZ2407,CALC!$R$1)&amp;"")),"")&lt;&gt;"ENCERRADA"),1,0),0)</f>
        <v/>
      </c>
      <c r="B2407">
        <f>B2406+A2407</f>
        <v/>
      </c>
    </row>
    <row r="2408">
      <c r="A2408">
        <f>IFERROR(IF(AND(INDEX(BASELINE!$A2408:$ZZ2408,CALC!$H$1)&lt;&gt;"",INT(IF(AND(CALC!$F$1&gt;0,N(INDEX(BASELINE!$A2408:$ZZ2408,CALC!$F$1))&gt;0),N(INDEX(BASELINE!$A2408:$ZZ2408,CALC!$F$1)),N(INDEX(BASELINE!$A2408:$ZZ2408,CALC!$P$1))))=INT(SIMOPS!$D$3),IFERROR(UPPER(TRIM(INDEX(BASELINE!$A2408:$ZZ2408,CALC!$R$1)&amp;"")),"")&lt;&gt;"ENCERRADA"),1,0),0)</f>
        <v/>
      </c>
      <c r="B2408">
        <f>B2407+A2408</f>
        <v/>
      </c>
    </row>
    <row r="2409">
      <c r="A2409">
        <f>IFERROR(IF(AND(INDEX(BASELINE!$A2409:$ZZ2409,CALC!$H$1)&lt;&gt;"",INT(IF(AND(CALC!$F$1&gt;0,N(INDEX(BASELINE!$A2409:$ZZ2409,CALC!$F$1))&gt;0),N(INDEX(BASELINE!$A2409:$ZZ2409,CALC!$F$1)),N(INDEX(BASELINE!$A2409:$ZZ2409,CALC!$P$1))))=INT(SIMOPS!$D$3),IFERROR(UPPER(TRIM(INDEX(BASELINE!$A2409:$ZZ2409,CALC!$R$1)&amp;"")),"")&lt;&gt;"ENCERRADA"),1,0),0)</f>
        <v/>
      </c>
      <c r="B2409">
        <f>B2408+A2409</f>
        <v/>
      </c>
    </row>
    <row r="2410">
      <c r="A2410">
        <f>IFERROR(IF(AND(INDEX(BASELINE!$A2410:$ZZ2410,CALC!$H$1)&lt;&gt;"",INT(IF(AND(CALC!$F$1&gt;0,N(INDEX(BASELINE!$A2410:$ZZ2410,CALC!$F$1))&gt;0),N(INDEX(BASELINE!$A2410:$ZZ2410,CALC!$F$1)),N(INDEX(BASELINE!$A2410:$ZZ2410,CALC!$P$1))))=INT(SIMOPS!$D$3),IFERROR(UPPER(TRIM(INDEX(BASELINE!$A2410:$ZZ2410,CALC!$R$1)&amp;"")),"")&lt;&gt;"ENCERRADA"),1,0),0)</f>
        <v/>
      </c>
      <c r="B2410">
        <f>B2409+A2410</f>
        <v/>
      </c>
    </row>
    <row r="2411">
      <c r="A2411">
        <f>IFERROR(IF(AND(INDEX(BASELINE!$A2411:$ZZ2411,CALC!$H$1)&lt;&gt;"",INT(IF(AND(CALC!$F$1&gt;0,N(INDEX(BASELINE!$A2411:$ZZ2411,CALC!$F$1))&gt;0),N(INDEX(BASELINE!$A2411:$ZZ2411,CALC!$F$1)),N(INDEX(BASELINE!$A2411:$ZZ2411,CALC!$P$1))))=INT(SIMOPS!$D$3),IFERROR(UPPER(TRIM(INDEX(BASELINE!$A2411:$ZZ2411,CALC!$R$1)&amp;"")),"")&lt;&gt;"ENCERRADA"),1,0),0)</f>
        <v/>
      </c>
      <c r="B2411">
        <f>B2410+A2411</f>
        <v/>
      </c>
    </row>
    <row r="2412">
      <c r="A2412">
        <f>IFERROR(IF(AND(INDEX(BASELINE!$A2412:$ZZ2412,CALC!$H$1)&lt;&gt;"",INT(IF(AND(CALC!$F$1&gt;0,N(INDEX(BASELINE!$A2412:$ZZ2412,CALC!$F$1))&gt;0),N(INDEX(BASELINE!$A2412:$ZZ2412,CALC!$F$1)),N(INDEX(BASELINE!$A2412:$ZZ2412,CALC!$P$1))))=INT(SIMOPS!$D$3),IFERROR(UPPER(TRIM(INDEX(BASELINE!$A2412:$ZZ2412,CALC!$R$1)&amp;"")),"")&lt;&gt;"ENCERRADA"),1,0),0)</f>
        <v/>
      </c>
      <c r="B2412">
        <f>B2411+A2412</f>
        <v/>
      </c>
    </row>
    <row r="2413">
      <c r="A2413">
        <f>IFERROR(IF(AND(INDEX(BASELINE!$A2413:$ZZ2413,CALC!$H$1)&lt;&gt;"",INT(IF(AND(CALC!$F$1&gt;0,N(INDEX(BASELINE!$A2413:$ZZ2413,CALC!$F$1))&gt;0),N(INDEX(BASELINE!$A2413:$ZZ2413,CALC!$F$1)),N(INDEX(BASELINE!$A2413:$ZZ2413,CALC!$P$1))))=INT(SIMOPS!$D$3),IFERROR(UPPER(TRIM(INDEX(BASELINE!$A2413:$ZZ2413,CALC!$R$1)&amp;"")),"")&lt;&gt;"ENCERRADA"),1,0),0)</f>
        <v/>
      </c>
      <c r="B2413">
        <f>B2412+A2413</f>
        <v/>
      </c>
    </row>
    <row r="2414">
      <c r="A2414">
        <f>IFERROR(IF(AND(INDEX(BASELINE!$A2414:$ZZ2414,CALC!$H$1)&lt;&gt;"",INT(IF(AND(CALC!$F$1&gt;0,N(INDEX(BASELINE!$A2414:$ZZ2414,CALC!$F$1))&gt;0),N(INDEX(BASELINE!$A2414:$ZZ2414,CALC!$F$1)),N(INDEX(BASELINE!$A2414:$ZZ2414,CALC!$P$1))))=INT(SIMOPS!$D$3),IFERROR(UPPER(TRIM(INDEX(BASELINE!$A2414:$ZZ2414,CALC!$R$1)&amp;"")),"")&lt;&gt;"ENCERRADA"),1,0),0)</f>
        <v/>
      </c>
      <c r="B2414">
        <f>B2413+A2414</f>
        <v/>
      </c>
    </row>
    <row r="2415">
      <c r="A2415">
        <f>IFERROR(IF(AND(INDEX(BASELINE!$A2415:$ZZ2415,CALC!$H$1)&lt;&gt;"",INT(IF(AND(CALC!$F$1&gt;0,N(INDEX(BASELINE!$A2415:$ZZ2415,CALC!$F$1))&gt;0),N(INDEX(BASELINE!$A2415:$ZZ2415,CALC!$F$1)),N(INDEX(BASELINE!$A2415:$ZZ2415,CALC!$P$1))))=INT(SIMOPS!$D$3),IFERROR(UPPER(TRIM(INDEX(BASELINE!$A2415:$ZZ2415,CALC!$R$1)&amp;"")),"")&lt;&gt;"ENCERRADA"),1,0),0)</f>
        <v/>
      </c>
      <c r="B2415">
        <f>B2414+A2415</f>
        <v/>
      </c>
    </row>
    <row r="2416">
      <c r="A2416">
        <f>IFERROR(IF(AND(INDEX(BASELINE!$A2416:$ZZ2416,CALC!$H$1)&lt;&gt;"",INT(IF(AND(CALC!$F$1&gt;0,N(INDEX(BASELINE!$A2416:$ZZ2416,CALC!$F$1))&gt;0),N(INDEX(BASELINE!$A2416:$ZZ2416,CALC!$F$1)),N(INDEX(BASELINE!$A2416:$ZZ2416,CALC!$P$1))))=INT(SIMOPS!$D$3),IFERROR(UPPER(TRIM(INDEX(BASELINE!$A2416:$ZZ2416,CALC!$R$1)&amp;"")),"")&lt;&gt;"ENCERRADA"),1,0),0)</f>
        <v/>
      </c>
      <c r="B2416">
        <f>B2415+A2416</f>
        <v/>
      </c>
    </row>
    <row r="2417">
      <c r="A2417">
        <f>IFERROR(IF(AND(INDEX(BASELINE!$A2417:$ZZ2417,CALC!$H$1)&lt;&gt;"",INT(IF(AND(CALC!$F$1&gt;0,N(INDEX(BASELINE!$A2417:$ZZ2417,CALC!$F$1))&gt;0),N(INDEX(BASELINE!$A2417:$ZZ2417,CALC!$F$1)),N(INDEX(BASELINE!$A2417:$ZZ2417,CALC!$P$1))))=INT(SIMOPS!$D$3),IFERROR(UPPER(TRIM(INDEX(BASELINE!$A2417:$ZZ2417,CALC!$R$1)&amp;"")),"")&lt;&gt;"ENCERRADA"),1,0),0)</f>
        <v/>
      </c>
      <c r="B2417">
        <f>B2416+A2417</f>
        <v/>
      </c>
    </row>
    <row r="2418">
      <c r="A2418">
        <f>IFERROR(IF(AND(INDEX(BASELINE!$A2418:$ZZ2418,CALC!$H$1)&lt;&gt;"",INT(IF(AND(CALC!$F$1&gt;0,N(INDEX(BASELINE!$A2418:$ZZ2418,CALC!$F$1))&gt;0),N(INDEX(BASELINE!$A2418:$ZZ2418,CALC!$F$1)),N(INDEX(BASELINE!$A2418:$ZZ2418,CALC!$P$1))))=INT(SIMOPS!$D$3),IFERROR(UPPER(TRIM(INDEX(BASELINE!$A2418:$ZZ2418,CALC!$R$1)&amp;"")),"")&lt;&gt;"ENCERRADA"),1,0),0)</f>
        <v/>
      </c>
      <c r="B2418">
        <f>B2417+A2418</f>
        <v/>
      </c>
    </row>
    <row r="2419">
      <c r="A2419">
        <f>IFERROR(IF(AND(INDEX(BASELINE!$A2419:$ZZ2419,CALC!$H$1)&lt;&gt;"",INT(IF(AND(CALC!$F$1&gt;0,N(INDEX(BASELINE!$A2419:$ZZ2419,CALC!$F$1))&gt;0),N(INDEX(BASELINE!$A2419:$ZZ2419,CALC!$F$1)),N(INDEX(BASELINE!$A2419:$ZZ2419,CALC!$P$1))))=INT(SIMOPS!$D$3),IFERROR(UPPER(TRIM(INDEX(BASELINE!$A2419:$ZZ2419,CALC!$R$1)&amp;"")),"")&lt;&gt;"ENCERRADA"),1,0),0)</f>
        <v/>
      </c>
      <c r="B2419">
        <f>B2418+A2419</f>
        <v/>
      </c>
    </row>
    <row r="2420">
      <c r="A2420">
        <f>IFERROR(IF(AND(INDEX(BASELINE!$A2420:$ZZ2420,CALC!$H$1)&lt;&gt;"",INT(IF(AND(CALC!$F$1&gt;0,N(INDEX(BASELINE!$A2420:$ZZ2420,CALC!$F$1))&gt;0),N(INDEX(BASELINE!$A2420:$ZZ2420,CALC!$F$1)),N(INDEX(BASELINE!$A2420:$ZZ2420,CALC!$P$1))))=INT(SIMOPS!$D$3),IFERROR(UPPER(TRIM(INDEX(BASELINE!$A2420:$ZZ2420,CALC!$R$1)&amp;"")),"")&lt;&gt;"ENCERRADA"),1,0),0)</f>
        <v/>
      </c>
      <c r="B2420">
        <f>B2419+A2420</f>
        <v/>
      </c>
    </row>
    <row r="2421">
      <c r="A2421">
        <f>IFERROR(IF(AND(INDEX(BASELINE!$A2421:$ZZ2421,CALC!$H$1)&lt;&gt;"",INT(IF(AND(CALC!$F$1&gt;0,N(INDEX(BASELINE!$A2421:$ZZ2421,CALC!$F$1))&gt;0),N(INDEX(BASELINE!$A2421:$ZZ2421,CALC!$F$1)),N(INDEX(BASELINE!$A2421:$ZZ2421,CALC!$P$1))))=INT(SIMOPS!$D$3),IFERROR(UPPER(TRIM(INDEX(BASELINE!$A2421:$ZZ2421,CALC!$R$1)&amp;"")),"")&lt;&gt;"ENCERRADA"),1,0),0)</f>
        <v/>
      </c>
      <c r="B2421">
        <f>B2420+A2421</f>
        <v/>
      </c>
    </row>
    <row r="2422">
      <c r="A2422">
        <f>IFERROR(IF(AND(INDEX(BASELINE!$A2422:$ZZ2422,CALC!$H$1)&lt;&gt;"",INT(IF(AND(CALC!$F$1&gt;0,N(INDEX(BASELINE!$A2422:$ZZ2422,CALC!$F$1))&gt;0),N(INDEX(BASELINE!$A2422:$ZZ2422,CALC!$F$1)),N(INDEX(BASELINE!$A2422:$ZZ2422,CALC!$P$1))))=INT(SIMOPS!$D$3),IFERROR(UPPER(TRIM(INDEX(BASELINE!$A2422:$ZZ2422,CALC!$R$1)&amp;"")),"")&lt;&gt;"ENCERRADA"),1,0),0)</f>
        <v/>
      </c>
      <c r="B2422">
        <f>B2421+A2422</f>
        <v/>
      </c>
    </row>
    <row r="2423">
      <c r="A2423">
        <f>IFERROR(IF(AND(INDEX(BASELINE!$A2423:$ZZ2423,CALC!$H$1)&lt;&gt;"",INT(IF(AND(CALC!$F$1&gt;0,N(INDEX(BASELINE!$A2423:$ZZ2423,CALC!$F$1))&gt;0),N(INDEX(BASELINE!$A2423:$ZZ2423,CALC!$F$1)),N(INDEX(BASELINE!$A2423:$ZZ2423,CALC!$P$1))))=INT(SIMOPS!$D$3),IFERROR(UPPER(TRIM(INDEX(BASELINE!$A2423:$ZZ2423,CALC!$R$1)&amp;"")),"")&lt;&gt;"ENCERRADA"),1,0),0)</f>
        <v/>
      </c>
      <c r="B2423">
        <f>B2422+A2423</f>
        <v/>
      </c>
    </row>
    <row r="2424">
      <c r="A2424">
        <f>IFERROR(IF(AND(INDEX(BASELINE!$A2424:$ZZ2424,CALC!$H$1)&lt;&gt;"",INT(IF(AND(CALC!$F$1&gt;0,N(INDEX(BASELINE!$A2424:$ZZ2424,CALC!$F$1))&gt;0),N(INDEX(BASELINE!$A2424:$ZZ2424,CALC!$F$1)),N(INDEX(BASELINE!$A2424:$ZZ2424,CALC!$P$1))))=INT(SIMOPS!$D$3),IFERROR(UPPER(TRIM(INDEX(BASELINE!$A2424:$ZZ2424,CALC!$R$1)&amp;"")),"")&lt;&gt;"ENCERRADA"),1,0),0)</f>
        <v/>
      </c>
      <c r="B2424">
        <f>B2423+A2424</f>
        <v/>
      </c>
    </row>
    <row r="2425">
      <c r="A2425">
        <f>IFERROR(IF(AND(INDEX(BASELINE!$A2425:$ZZ2425,CALC!$H$1)&lt;&gt;"",INT(IF(AND(CALC!$F$1&gt;0,N(INDEX(BASELINE!$A2425:$ZZ2425,CALC!$F$1))&gt;0),N(INDEX(BASELINE!$A2425:$ZZ2425,CALC!$F$1)),N(INDEX(BASELINE!$A2425:$ZZ2425,CALC!$P$1))))=INT(SIMOPS!$D$3),IFERROR(UPPER(TRIM(INDEX(BASELINE!$A2425:$ZZ2425,CALC!$R$1)&amp;"")),"")&lt;&gt;"ENCERRADA"),1,0),0)</f>
        <v/>
      </c>
      <c r="B2425">
        <f>B2424+A2425</f>
        <v/>
      </c>
    </row>
    <row r="2426">
      <c r="A2426">
        <f>IFERROR(IF(AND(INDEX(BASELINE!$A2426:$ZZ2426,CALC!$H$1)&lt;&gt;"",INT(IF(AND(CALC!$F$1&gt;0,N(INDEX(BASELINE!$A2426:$ZZ2426,CALC!$F$1))&gt;0),N(INDEX(BASELINE!$A2426:$ZZ2426,CALC!$F$1)),N(INDEX(BASELINE!$A2426:$ZZ2426,CALC!$P$1))))=INT(SIMOPS!$D$3),IFERROR(UPPER(TRIM(INDEX(BASELINE!$A2426:$ZZ2426,CALC!$R$1)&amp;"")),"")&lt;&gt;"ENCERRADA"),1,0),0)</f>
        <v/>
      </c>
      <c r="B2426">
        <f>B2425+A2426</f>
        <v/>
      </c>
    </row>
    <row r="2427">
      <c r="A2427">
        <f>IFERROR(IF(AND(INDEX(BASELINE!$A2427:$ZZ2427,CALC!$H$1)&lt;&gt;"",INT(IF(AND(CALC!$F$1&gt;0,N(INDEX(BASELINE!$A2427:$ZZ2427,CALC!$F$1))&gt;0),N(INDEX(BASELINE!$A2427:$ZZ2427,CALC!$F$1)),N(INDEX(BASELINE!$A2427:$ZZ2427,CALC!$P$1))))=INT(SIMOPS!$D$3),IFERROR(UPPER(TRIM(INDEX(BASELINE!$A2427:$ZZ2427,CALC!$R$1)&amp;"")),"")&lt;&gt;"ENCERRADA"),1,0),0)</f>
        <v/>
      </c>
      <c r="B2427">
        <f>B2426+A2427</f>
        <v/>
      </c>
    </row>
    <row r="2428">
      <c r="A2428">
        <f>IFERROR(IF(AND(INDEX(BASELINE!$A2428:$ZZ2428,CALC!$H$1)&lt;&gt;"",INT(IF(AND(CALC!$F$1&gt;0,N(INDEX(BASELINE!$A2428:$ZZ2428,CALC!$F$1))&gt;0),N(INDEX(BASELINE!$A2428:$ZZ2428,CALC!$F$1)),N(INDEX(BASELINE!$A2428:$ZZ2428,CALC!$P$1))))=INT(SIMOPS!$D$3),IFERROR(UPPER(TRIM(INDEX(BASELINE!$A2428:$ZZ2428,CALC!$R$1)&amp;"")),"")&lt;&gt;"ENCERRADA"),1,0),0)</f>
        <v/>
      </c>
      <c r="B2428">
        <f>B2427+A2428</f>
        <v/>
      </c>
    </row>
    <row r="2429">
      <c r="A2429">
        <f>IFERROR(IF(AND(INDEX(BASELINE!$A2429:$ZZ2429,CALC!$H$1)&lt;&gt;"",INT(IF(AND(CALC!$F$1&gt;0,N(INDEX(BASELINE!$A2429:$ZZ2429,CALC!$F$1))&gt;0),N(INDEX(BASELINE!$A2429:$ZZ2429,CALC!$F$1)),N(INDEX(BASELINE!$A2429:$ZZ2429,CALC!$P$1))))=INT(SIMOPS!$D$3),IFERROR(UPPER(TRIM(INDEX(BASELINE!$A2429:$ZZ2429,CALC!$R$1)&amp;"")),"")&lt;&gt;"ENCERRADA"),1,0),0)</f>
        <v/>
      </c>
      <c r="B2429">
        <f>B2428+A2429</f>
        <v/>
      </c>
    </row>
    <row r="2430">
      <c r="A2430">
        <f>IFERROR(IF(AND(INDEX(BASELINE!$A2430:$ZZ2430,CALC!$H$1)&lt;&gt;"",INT(IF(AND(CALC!$F$1&gt;0,N(INDEX(BASELINE!$A2430:$ZZ2430,CALC!$F$1))&gt;0),N(INDEX(BASELINE!$A2430:$ZZ2430,CALC!$F$1)),N(INDEX(BASELINE!$A2430:$ZZ2430,CALC!$P$1))))=INT(SIMOPS!$D$3),IFERROR(UPPER(TRIM(INDEX(BASELINE!$A2430:$ZZ2430,CALC!$R$1)&amp;"")),"")&lt;&gt;"ENCERRADA"),1,0),0)</f>
        <v/>
      </c>
      <c r="B2430">
        <f>B2429+A2430</f>
        <v/>
      </c>
    </row>
    <row r="2431">
      <c r="A2431">
        <f>IFERROR(IF(AND(INDEX(BASELINE!$A2431:$ZZ2431,CALC!$H$1)&lt;&gt;"",INT(IF(AND(CALC!$F$1&gt;0,N(INDEX(BASELINE!$A2431:$ZZ2431,CALC!$F$1))&gt;0),N(INDEX(BASELINE!$A2431:$ZZ2431,CALC!$F$1)),N(INDEX(BASELINE!$A2431:$ZZ2431,CALC!$P$1))))=INT(SIMOPS!$D$3),IFERROR(UPPER(TRIM(INDEX(BASELINE!$A2431:$ZZ2431,CALC!$R$1)&amp;"")),"")&lt;&gt;"ENCERRADA"),1,0),0)</f>
        <v/>
      </c>
      <c r="B2431">
        <f>B2430+A2431</f>
        <v/>
      </c>
    </row>
    <row r="2432">
      <c r="A2432">
        <f>IFERROR(IF(AND(INDEX(BASELINE!$A2432:$ZZ2432,CALC!$H$1)&lt;&gt;"",INT(IF(AND(CALC!$F$1&gt;0,N(INDEX(BASELINE!$A2432:$ZZ2432,CALC!$F$1))&gt;0),N(INDEX(BASELINE!$A2432:$ZZ2432,CALC!$F$1)),N(INDEX(BASELINE!$A2432:$ZZ2432,CALC!$P$1))))=INT(SIMOPS!$D$3),IFERROR(UPPER(TRIM(INDEX(BASELINE!$A2432:$ZZ2432,CALC!$R$1)&amp;"")),"")&lt;&gt;"ENCERRADA"),1,0),0)</f>
        <v/>
      </c>
      <c r="B2432">
        <f>B2431+A2432</f>
        <v/>
      </c>
    </row>
    <row r="2433">
      <c r="A2433">
        <f>IFERROR(IF(AND(INDEX(BASELINE!$A2433:$ZZ2433,CALC!$H$1)&lt;&gt;"",INT(IF(AND(CALC!$F$1&gt;0,N(INDEX(BASELINE!$A2433:$ZZ2433,CALC!$F$1))&gt;0),N(INDEX(BASELINE!$A2433:$ZZ2433,CALC!$F$1)),N(INDEX(BASELINE!$A2433:$ZZ2433,CALC!$P$1))))=INT(SIMOPS!$D$3),IFERROR(UPPER(TRIM(INDEX(BASELINE!$A2433:$ZZ2433,CALC!$R$1)&amp;"")),"")&lt;&gt;"ENCERRADA"),1,0),0)</f>
        <v/>
      </c>
      <c r="B2433">
        <f>B2432+A2433</f>
        <v/>
      </c>
    </row>
    <row r="2434">
      <c r="A2434">
        <f>IFERROR(IF(AND(INDEX(BASELINE!$A2434:$ZZ2434,CALC!$H$1)&lt;&gt;"",INT(IF(AND(CALC!$F$1&gt;0,N(INDEX(BASELINE!$A2434:$ZZ2434,CALC!$F$1))&gt;0),N(INDEX(BASELINE!$A2434:$ZZ2434,CALC!$F$1)),N(INDEX(BASELINE!$A2434:$ZZ2434,CALC!$P$1))))=INT(SIMOPS!$D$3),IFERROR(UPPER(TRIM(INDEX(BASELINE!$A2434:$ZZ2434,CALC!$R$1)&amp;"")),"")&lt;&gt;"ENCERRADA"),1,0),0)</f>
        <v/>
      </c>
      <c r="B2434">
        <f>B2433+A2434</f>
        <v/>
      </c>
    </row>
    <row r="2435">
      <c r="A2435">
        <f>IFERROR(IF(AND(INDEX(BASELINE!$A2435:$ZZ2435,CALC!$H$1)&lt;&gt;"",INT(IF(AND(CALC!$F$1&gt;0,N(INDEX(BASELINE!$A2435:$ZZ2435,CALC!$F$1))&gt;0),N(INDEX(BASELINE!$A2435:$ZZ2435,CALC!$F$1)),N(INDEX(BASELINE!$A2435:$ZZ2435,CALC!$P$1))))=INT(SIMOPS!$D$3),IFERROR(UPPER(TRIM(INDEX(BASELINE!$A2435:$ZZ2435,CALC!$R$1)&amp;"")),"")&lt;&gt;"ENCERRADA"),1,0),0)</f>
        <v/>
      </c>
      <c r="B2435">
        <f>B2434+A2435</f>
        <v/>
      </c>
    </row>
    <row r="2436">
      <c r="A2436">
        <f>IFERROR(IF(AND(INDEX(BASELINE!$A2436:$ZZ2436,CALC!$H$1)&lt;&gt;"",INT(IF(AND(CALC!$F$1&gt;0,N(INDEX(BASELINE!$A2436:$ZZ2436,CALC!$F$1))&gt;0),N(INDEX(BASELINE!$A2436:$ZZ2436,CALC!$F$1)),N(INDEX(BASELINE!$A2436:$ZZ2436,CALC!$P$1))))=INT(SIMOPS!$D$3),IFERROR(UPPER(TRIM(INDEX(BASELINE!$A2436:$ZZ2436,CALC!$R$1)&amp;"")),"")&lt;&gt;"ENCERRADA"),1,0),0)</f>
        <v/>
      </c>
      <c r="B2436">
        <f>B2435+A2436</f>
        <v/>
      </c>
    </row>
    <row r="2437">
      <c r="A2437">
        <f>IFERROR(IF(AND(INDEX(BASELINE!$A2437:$ZZ2437,CALC!$H$1)&lt;&gt;"",INT(IF(AND(CALC!$F$1&gt;0,N(INDEX(BASELINE!$A2437:$ZZ2437,CALC!$F$1))&gt;0),N(INDEX(BASELINE!$A2437:$ZZ2437,CALC!$F$1)),N(INDEX(BASELINE!$A2437:$ZZ2437,CALC!$P$1))))=INT(SIMOPS!$D$3),IFERROR(UPPER(TRIM(INDEX(BASELINE!$A2437:$ZZ2437,CALC!$R$1)&amp;"")),"")&lt;&gt;"ENCERRADA"),1,0),0)</f>
        <v/>
      </c>
      <c r="B2437">
        <f>B2436+A2437</f>
        <v/>
      </c>
    </row>
    <row r="2438">
      <c r="A2438">
        <f>IFERROR(IF(AND(INDEX(BASELINE!$A2438:$ZZ2438,CALC!$H$1)&lt;&gt;"",INT(IF(AND(CALC!$F$1&gt;0,N(INDEX(BASELINE!$A2438:$ZZ2438,CALC!$F$1))&gt;0),N(INDEX(BASELINE!$A2438:$ZZ2438,CALC!$F$1)),N(INDEX(BASELINE!$A2438:$ZZ2438,CALC!$P$1))))=INT(SIMOPS!$D$3),IFERROR(UPPER(TRIM(INDEX(BASELINE!$A2438:$ZZ2438,CALC!$R$1)&amp;"")),"")&lt;&gt;"ENCERRADA"),1,0),0)</f>
        <v/>
      </c>
      <c r="B2438">
        <f>B2437+A2438</f>
        <v/>
      </c>
    </row>
    <row r="2439">
      <c r="A2439">
        <f>IFERROR(IF(AND(INDEX(BASELINE!$A2439:$ZZ2439,CALC!$H$1)&lt;&gt;"",INT(IF(AND(CALC!$F$1&gt;0,N(INDEX(BASELINE!$A2439:$ZZ2439,CALC!$F$1))&gt;0),N(INDEX(BASELINE!$A2439:$ZZ2439,CALC!$F$1)),N(INDEX(BASELINE!$A2439:$ZZ2439,CALC!$P$1))))=INT(SIMOPS!$D$3),IFERROR(UPPER(TRIM(INDEX(BASELINE!$A2439:$ZZ2439,CALC!$R$1)&amp;"")),"")&lt;&gt;"ENCERRADA"),1,0),0)</f>
        <v/>
      </c>
      <c r="B2439">
        <f>B2438+A2439</f>
        <v/>
      </c>
    </row>
    <row r="2440">
      <c r="A2440">
        <f>IFERROR(IF(AND(INDEX(BASELINE!$A2440:$ZZ2440,CALC!$H$1)&lt;&gt;"",INT(IF(AND(CALC!$F$1&gt;0,N(INDEX(BASELINE!$A2440:$ZZ2440,CALC!$F$1))&gt;0),N(INDEX(BASELINE!$A2440:$ZZ2440,CALC!$F$1)),N(INDEX(BASELINE!$A2440:$ZZ2440,CALC!$P$1))))=INT(SIMOPS!$D$3),IFERROR(UPPER(TRIM(INDEX(BASELINE!$A2440:$ZZ2440,CALC!$R$1)&amp;"")),"")&lt;&gt;"ENCERRADA"),1,0),0)</f>
        <v/>
      </c>
      <c r="B2440">
        <f>B2439+A2440</f>
        <v/>
      </c>
    </row>
    <row r="2441">
      <c r="A2441">
        <f>IFERROR(IF(AND(INDEX(BASELINE!$A2441:$ZZ2441,CALC!$H$1)&lt;&gt;"",INT(IF(AND(CALC!$F$1&gt;0,N(INDEX(BASELINE!$A2441:$ZZ2441,CALC!$F$1))&gt;0),N(INDEX(BASELINE!$A2441:$ZZ2441,CALC!$F$1)),N(INDEX(BASELINE!$A2441:$ZZ2441,CALC!$P$1))))=INT(SIMOPS!$D$3),IFERROR(UPPER(TRIM(INDEX(BASELINE!$A2441:$ZZ2441,CALC!$R$1)&amp;"")),"")&lt;&gt;"ENCERRADA"),1,0),0)</f>
        <v/>
      </c>
      <c r="B2441">
        <f>B2440+A2441</f>
        <v/>
      </c>
    </row>
    <row r="2442">
      <c r="A2442">
        <f>IFERROR(IF(AND(INDEX(BASELINE!$A2442:$ZZ2442,CALC!$H$1)&lt;&gt;"",INT(IF(AND(CALC!$F$1&gt;0,N(INDEX(BASELINE!$A2442:$ZZ2442,CALC!$F$1))&gt;0),N(INDEX(BASELINE!$A2442:$ZZ2442,CALC!$F$1)),N(INDEX(BASELINE!$A2442:$ZZ2442,CALC!$P$1))))=INT(SIMOPS!$D$3),IFERROR(UPPER(TRIM(INDEX(BASELINE!$A2442:$ZZ2442,CALC!$R$1)&amp;"")),"")&lt;&gt;"ENCERRADA"),1,0),0)</f>
        <v/>
      </c>
      <c r="B2442">
        <f>B2441+A2442</f>
        <v/>
      </c>
    </row>
    <row r="2443">
      <c r="A2443">
        <f>IFERROR(IF(AND(INDEX(BASELINE!$A2443:$ZZ2443,CALC!$H$1)&lt;&gt;"",INT(IF(AND(CALC!$F$1&gt;0,N(INDEX(BASELINE!$A2443:$ZZ2443,CALC!$F$1))&gt;0),N(INDEX(BASELINE!$A2443:$ZZ2443,CALC!$F$1)),N(INDEX(BASELINE!$A2443:$ZZ2443,CALC!$P$1))))=INT(SIMOPS!$D$3),IFERROR(UPPER(TRIM(INDEX(BASELINE!$A2443:$ZZ2443,CALC!$R$1)&amp;"")),"")&lt;&gt;"ENCERRADA"),1,0),0)</f>
        <v/>
      </c>
      <c r="B2443">
        <f>B2442+A2443</f>
        <v/>
      </c>
    </row>
    <row r="2444">
      <c r="A2444">
        <f>IFERROR(IF(AND(INDEX(BASELINE!$A2444:$ZZ2444,CALC!$H$1)&lt;&gt;"",INT(IF(AND(CALC!$F$1&gt;0,N(INDEX(BASELINE!$A2444:$ZZ2444,CALC!$F$1))&gt;0),N(INDEX(BASELINE!$A2444:$ZZ2444,CALC!$F$1)),N(INDEX(BASELINE!$A2444:$ZZ2444,CALC!$P$1))))=INT(SIMOPS!$D$3),IFERROR(UPPER(TRIM(INDEX(BASELINE!$A2444:$ZZ2444,CALC!$R$1)&amp;"")),"")&lt;&gt;"ENCERRADA"),1,0),0)</f>
        <v/>
      </c>
      <c r="B2444">
        <f>B2443+A2444</f>
        <v/>
      </c>
    </row>
    <row r="2445">
      <c r="A2445">
        <f>IFERROR(IF(AND(INDEX(BASELINE!$A2445:$ZZ2445,CALC!$H$1)&lt;&gt;"",INT(IF(AND(CALC!$F$1&gt;0,N(INDEX(BASELINE!$A2445:$ZZ2445,CALC!$F$1))&gt;0),N(INDEX(BASELINE!$A2445:$ZZ2445,CALC!$F$1)),N(INDEX(BASELINE!$A2445:$ZZ2445,CALC!$P$1))))=INT(SIMOPS!$D$3),IFERROR(UPPER(TRIM(INDEX(BASELINE!$A2445:$ZZ2445,CALC!$R$1)&amp;"")),"")&lt;&gt;"ENCERRADA"),1,0),0)</f>
        <v/>
      </c>
      <c r="B2445">
        <f>B2444+A2445</f>
        <v/>
      </c>
    </row>
    <row r="2446">
      <c r="A2446">
        <f>IFERROR(IF(AND(INDEX(BASELINE!$A2446:$ZZ2446,CALC!$H$1)&lt;&gt;"",INT(IF(AND(CALC!$F$1&gt;0,N(INDEX(BASELINE!$A2446:$ZZ2446,CALC!$F$1))&gt;0),N(INDEX(BASELINE!$A2446:$ZZ2446,CALC!$F$1)),N(INDEX(BASELINE!$A2446:$ZZ2446,CALC!$P$1))))=INT(SIMOPS!$D$3),IFERROR(UPPER(TRIM(INDEX(BASELINE!$A2446:$ZZ2446,CALC!$R$1)&amp;"")),"")&lt;&gt;"ENCERRADA"),1,0),0)</f>
        <v/>
      </c>
      <c r="B2446">
        <f>B2445+A2446</f>
        <v/>
      </c>
    </row>
    <row r="2447">
      <c r="A2447">
        <f>IFERROR(IF(AND(INDEX(BASELINE!$A2447:$ZZ2447,CALC!$H$1)&lt;&gt;"",INT(IF(AND(CALC!$F$1&gt;0,N(INDEX(BASELINE!$A2447:$ZZ2447,CALC!$F$1))&gt;0),N(INDEX(BASELINE!$A2447:$ZZ2447,CALC!$F$1)),N(INDEX(BASELINE!$A2447:$ZZ2447,CALC!$P$1))))=INT(SIMOPS!$D$3),IFERROR(UPPER(TRIM(INDEX(BASELINE!$A2447:$ZZ2447,CALC!$R$1)&amp;"")),"")&lt;&gt;"ENCERRADA"),1,0),0)</f>
        <v/>
      </c>
      <c r="B2447">
        <f>B2446+A2447</f>
        <v/>
      </c>
    </row>
    <row r="2448">
      <c r="A2448">
        <f>IFERROR(IF(AND(INDEX(BASELINE!$A2448:$ZZ2448,CALC!$H$1)&lt;&gt;"",INT(IF(AND(CALC!$F$1&gt;0,N(INDEX(BASELINE!$A2448:$ZZ2448,CALC!$F$1))&gt;0),N(INDEX(BASELINE!$A2448:$ZZ2448,CALC!$F$1)),N(INDEX(BASELINE!$A2448:$ZZ2448,CALC!$P$1))))=INT(SIMOPS!$D$3),IFERROR(UPPER(TRIM(INDEX(BASELINE!$A2448:$ZZ2448,CALC!$R$1)&amp;"")),"")&lt;&gt;"ENCERRADA"),1,0),0)</f>
        <v/>
      </c>
      <c r="B2448">
        <f>B2447+A2448</f>
        <v/>
      </c>
    </row>
    <row r="2449">
      <c r="A2449">
        <f>IFERROR(IF(AND(INDEX(BASELINE!$A2449:$ZZ2449,CALC!$H$1)&lt;&gt;"",INT(IF(AND(CALC!$F$1&gt;0,N(INDEX(BASELINE!$A2449:$ZZ2449,CALC!$F$1))&gt;0),N(INDEX(BASELINE!$A2449:$ZZ2449,CALC!$F$1)),N(INDEX(BASELINE!$A2449:$ZZ2449,CALC!$P$1))))=INT(SIMOPS!$D$3),IFERROR(UPPER(TRIM(INDEX(BASELINE!$A2449:$ZZ2449,CALC!$R$1)&amp;"")),"")&lt;&gt;"ENCERRADA"),1,0),0)</f>
        <v/>
      </c>
      <c r="B2449">
        <f>B2448+A2449</f>
        <v/>
      </c>
    </row>
    <row r="2450">
      <c r="A2450">
        <f>IFERROR(IF(AND(INDEX(BASELINE!$A2450:$ZZ2450,CALC!$H$1)&lt;&gt;"",INT(IF(AND(CALC!$F$1&gt;0,N(INDEX(BASELINE!$A2450:$ZZ2450,CALC!$F$1))&gt;0),N(INDEX(BASELINE!$A2450:$ZZ2450,CALC!$F$1)),N(INDEX(BASELINE!$A2450:$ZZ2450,CALC!$P$1))))=INT(SIMOPS!$D$3),IFERROR(UPPER(TRIM(INDEX(BASELINE!$A2450:$ZZ2450,CALC!$R$1)&amp;"")),"")&lt;&gt;"ENCERRADA"),1,0),0)</f>
        <v/>
      </c>
      <c r="B2450">
        <f>B2449+A2450</f>
        <v/>
      </c>
    </row>
    <row r="2451">
      <c r="A2451">
        <f>IFERROR(IF(AND(INDEX(BASELINE!$A2451:$ZZ2451,CALC!$H$1)&lt;&gt;"",INT(IF(AND(CALC!$F$1&gt;0,N(INDEX(BASELINE!$A2451:$ZZ2451,CALC!$F$1))&gt;0),N(INDEX(BASELINE!$A2451:$ZZ2451,CALC!$F$1)),N(INDEX(BASELINE!$A2451:$ZZ2451,CALC!$P$1))))=INT(SIMOPS!$D$3),IFERROR(UPPER(TRIM(INDEX(BASELINE!$A2451:$ZZ2451,CALC!$R$1)&amp;"")),"")&lt;&gt;"ENCERRADA"),1,0),0)</f>
        <v/>
      </c>
      <c r="B2451">
        <f>B2450+A2451</f>
        <v/>
      </c>
    </row>
    <row r="2452">
      <c r="A2452">
        <f>IFERROR(IF(AND(INDEX(BASELINE!$A2452:$ZZ2452,CALC!$H$1)&lt;&gt;"",INT(IF(AND(CALC!$F$1&gt;0,N(INDEX(BASELINE!$A2452:$ZZ2452,CALC!$F$1))&gt;0),N(INDEX(BASELINE!$A2452:$ZZ2452,CALC!$F$1)),N(INDEX(BASELINE!$A2452:$ZZ2452,CALC!$P$1))))=INT(SIMOPS!$D$3),IFERROR(UPPER(TRIM(INDEX(BASELINE!$A2452:$ZZ2452,CALC!$R$1)&amp;"")),"")&lt;&gt;"ENCERRADA"),1,0),0)</f>
        <v/>
      </c>
      <c r="B2452">
        <f>B2451+A2452</f>
        <v/>
      </c>
    </row>
    <row r="2453">
      <c r="A2453">
        <f>IFERROR(IF(AND(INDEX(BASELINE!$A2453:$ZZ2453,CALC!$H$1)&lt;&gt;"",INT(IF(AND(CALC!$F$1&gt;0,N(INDEX(BASELINE!$A2453:$ZZ2453,CALC!$F$1))&gt;0),N(INDEX(BASELINE!$A2453:$ZZ2453,CALC!$F$1)),N(INDEX(BASELINE!$A2453:$ZZ2453,CALC!$P$1))))=INT(SIMOPS!$D$3),IFERROR(UPPER(TRIM(INDEX(BASELINE!$A2453:$ZZ2453,CALC!$R$1)&amp;"")),"")&lt;&gt;"ENCERRADA"),1,0),0)</f>
        <v/>
      </c>
      <c r="B2453">
        <f>B2452+A2453</f>
        <v/>
      </c>
    </row>
    <row r="2454">
      <c r="A2454">
        <f>IFERROR(IF(AND(INDEX(BASELINE!$A2454:$ZZ2454,CALC!$H$1)&lt;&gt;"",INT(IF(AND(CALC!$F$1&gt;0,N(INDEX(BASELINE!$A2454:$ZZ2454,CALC!$F$1))&gt;0),N(INDEX(BASELINE!$A2454:$ZZ2454,CALC!$F$1)),N(INDEX(BASELINE!$A2454:$ZZ2454,CALC!$P$1))))=INT(SIMOPS!$D$3),IFERROR(UPPER(TRIM(INDEX(BASELINE!$A2454:$ZZ2454,CALC!$R$1)&amp;"")),"")&lt;&gt;"ENCERRADA"),1,0),0)</f>
        <v/>
      </c>
      <c r="B2454">
        <f>B2453+A2454</f>
        <v/>
      </c>
    </row>
    <row r="2455">
      <c r="A2455">
        <f>IFERROR(IF(AND(INDEX(BASELINE!$A2455:$ZZ2455,CALC!$H$1)&lt;&gt;"",INT(IF(AND(CALC!$F$1&gt;0,N(INDEX(BASELINE!$A2455:$ZZ2455,CALC!$F$1))&gt;0),N(INDEX(BASELINE!$A2455:$ZZ2455,CALC!$F$1)),N(INDEX(BASELINE!$A2455:$ZZ2455,CALC!$P$1))))=INT(SIMOPS!$D$3),IFERROR(UPPER(TRIM(INDEX(BASELINE!$A2455:$ZZ2455,CALC!$R$1)&amp;"")),"")&lt;&gt;"ENCERRADA"),1,0),0)</f>
        <v/>
      </c>
      <c r="B2455">
        <f>B2454+A2455</f>
        <v/>
      </c>
    </row>
    <row r="2456">
      <c r="A2456">
        <f>IFERROR(IF(AND(INDEX(BASELINE!$A2456:$ZZ2456,CALC!$H$1)&lt;&gt;"",INT(IF(AND(CALC!$F$1&gt;0,N(INDEX(BASELINE!$A2456:$ZZ2456,CALC!$F$1))&gt;0),N(INDEX(BASELINE!$A2456:$ZZ2456,CALC!$F$1)),N(INDEX(BASELINE!$A2456:$ZZ2456,CALC!$P$1))))=INT(SIMOPS!$D$3),IFERROR(UPPER(TRIM(INDEX(BASELINE!$A2456:$ZZ2456,CALC!$R$1)&amp;"")),"")&lt;&gt;"ENCERRADA"),1,0),0)</f>
        <v/>
      </c>
      <c r="B2456">
        <f>B2455+A2456</f>
        <v/>
      </c>
    </row>
    <row r="2457">
      <c r="A2457">
        <f>IFERROR(IF(AND(INDEX(BASELINE!$A2457:$ZZ2457,CALC!$H$1)&lt;&gt;"",INT(IF(AND(CALC!$F$1&gt;0,N(INDEX(BASELINE!$A2457:$ZZ2457,CALC!$F$1))&gt;0),N(INDEX(BASELINE!$A2457:$ZZ2457,CALC!$F$1)),N(INDEX(BASELINE!$A2457:$ZZ2457,CALC!$P$1))))=INT(SIMOPS!$D$3),IFERROR(UPPER(TRIM(INDEX(BASELINE!$A2457:$ZZ2457,CALC!$R$1)&amp;"")),"")&lt;&gt;"ENCERRADA"),1,0),0)</f>
        <v/>
      </c>
      <c r="B2457">
        <f>B2456+A2457</f>
        <v/>
      </c>
    </row>
    <row r="2458">
      <c r="A2458">
        <f>IFERROR(IF(AND(INDEX(BASELINE!$A2458:$ZZ2458,CALC!$H$1)&lt;&gt;"",INT(IF(AND(CALC!$F$1&gt;0,N(INDEX(BASELINE!$A2458:$ZZ2458,CALC!$F$1))&gt;0),N(INDEX(BASELINE!$A2458:$ZZ2458,CALC!$F$1)),N(INDEX(BASELINE!$A2458:$ZZ2458,CALC!$P$1))))=INT(SIMOPS!$D$3),IFERROR(UPPER(TRIM(INDEX(BASELINE!$A2458:$ZZ2458,CALC!$R$1)&amp;"")),"")&lt;&gt;"ENCERRADA"),1,0),0)</f>
        <v/>
      </c>
      <c r="B2458">
        <f>B2457+A2458</f>
        <v/>
      </c>
    </row>
    <row r="2459">
      <c r="A2459">
        <f>IFERROR(IF(AND(INDEX(BASELINE!$A2459:$ZZ2459,CALC!$H$1)&lt;&gt;"",INT(IF(AND(CALC!$F$1&gt;0,N(INDEX(BASELINE!$A2459:$ZZ2459,CALC!$F$1))&gt;0),N(INDEX(BASELINE!$A2459:$ZZ2459,CALC!$F$1)),N(INDEX(BASELINE!$A2459:$ZZ2459,CALC!$P$1))))=INT(SIMOPS!$D$3),IFERROR(UPPER(TRIM(INDEX(BASELINE!$A2459:$ZZ2459,CALC!$R$1)&amp;"")),"")&lt;&gt;"ENCERRADA"),1,0),0)</f>
        <v/>
      </c>
      <c r="B2459">
        <f>B2458+A2459</f>
        <v/>
      </c>
    </row>
    <row r="2460">
      <c r="A2460">
        <f>IFERROR(IF(AND(INDEX(BASELINE!$A2460:$ZZ2460,CALC!$H$1)&lt;&gt;"",INT(IF(AND(CALC!$F$1&gt;0,N(INDEX(BASELINE!$A2460:$ZZ2460,CALC!$F$1))&gt;0),N(INDEX(BASELINE!$A2460:$ZZ2460,CALC!$F$1)),N(INDEX(BASELINE!$A2460:$ZZ2460,CALC!$P$1))))=INT(SIMOPS!$D$3),IFERROR(UPPER(TRIM(INDEX(BASELINE!$A2460:$ZZ2460,CALC!$R$1)&amp;"")),"")&lt;&gt;"ENCERRADA"),1,0),0)</f>
        <v/>
      </c>
      <c r="B2460">
        <f>B2459+A2460</f>
        <v/>
      </c>
    </row>
    <row r="2461">
      <c r="A2461">
        <f>IFERROR(IF(AND(INDEX(BASELINE!$A2461:$ZZ2461,CALC!$H$1)&lt;&gt;"",INT(IF(AND(CALC!$F$1&gt;0,N(INDEX(BASELINE!$A2461:$ZZ2461,CALC!$F$1))&gt;0),N(INDEX(BASELINE!$A2461:$ZZ2461,CALC!$F$1)),N(INDEX(BASELINE!$A2461:$ZZ2461,CALC!$P$1))))=INT(SIMOPS!$D$3),IFERROR(UPPER(TRIM(INDEX(BASELINE!$A2461:$ZZ2461,CALC!$R$1)&amp;"")),"")&lt;&gt;"ENCERRADA"),1,0),0)</f>
        <v/>
      </c>
      <c r="B2461">
        <f>B2460+A2461</f>
        <v/>
      </c>
    </row>
    <row r="2462">
      <c r="A2462">
        <f>IFERROR(IF(AND(INDEX(BASELINE!$A2462:$ZZ2462,CALC!$H$1)&lt;&gt;"",INT(IF(AND(CALC!$F$1&gt;0,N(INDEX(BASELINE!$A2462:$ZZ2462,CALC!$F$1))&gt;0),N(INDEX(BASELINE!$A2462:$ZZ2462,CALC!$F$1)),N(INDEX(BASELINE!$A2462:$ZZ2462,CALC!$P$1))))=INT(SIMOPS!$D$3),IFERROR(UPPER(TRIM(INDEX(BASELINE!$A2462:$ZZ2462,CALC!$R$1)&amp;"")),"")&lt;&gt;"ENCERRADA"),1,0),0)</f>
        <v/>
      </c>
      <c r="B2462">
        <f>B2461+A2462</f>
        <v/>
      </c>
    </row>
    <row r="2463">
      <c r="A2463">
        <f>IFERROR(IF(AND(INDEX(BASELINE!$A2463:$ZZ2463,CALC!$H$1)&lt;&gt;"",INT(IF(AND(CALC!$F$1&gt;0,N(INDEX(BASELINE!$A2463:$ZZ2463,CALC!$F$1))&gt;0),N(INDEX(BASELINE!$A2463:$ZZ2463,CALC!$F$1)),N(INDEX(BASELINE!$A2463:$ZZ2463,CALC!$P$1))))=INT(SIMOPS!$D$3),IFERROR(UPPER(TRIM(INDEX(BASELINE!$A2463:$ZZ2463,CALC!$R$1)&amp;"")),"")&lt;&gt;"ENCERRADA"),1,0),0)</f>
        <v/>
      </c>
      <c r="B2463">
        <f>B2462+A2463</f>
        <v/>
      </c>
    </row>
    <row r="2464">
      <c r="A2464">
        <f>IFERROR(IF(AND(INDEX(BASELINE!$A2464:$ZZ2464,CALC!$H$1)&lt;&gt;"",INT(IF(AND(CALC!$F$1&gt;0,N(INDEX(BASELINE!$A2464:$ZZ2464,CALC!$F$1))&gt;0),N(INDEX(BASELINE!$A2464:$ZZ2464,CALC!$F$1)),N(INDEX(BASELINE!$A2464:$ZZ2464,CALC!$P$1))))=INT(SIMOPS!$D$3),IFERROR(UPPER(TRIM(INDEX(BASELINE!$A2464:$ZZ2464,CALC!$R$1)&amp;"")),"")&lt;&gt;"ENCERRADA"),1,0),0)</f>
        <v/>
      </c>
      <c r="B2464">
        <f>B2463+A2464</f>
        <v/>
      </c>
    </row>
    <row r="2465">
      <c r="A2465">
        <f>IFERROR(IF(AND(INDEX(BASELINE!$A2465:$ZZ2465,CALC!$H$1)&lt;&gt;"",INT(IF(AND(CALC!$F$1&gt;0,N(INDEX(BASELINE!$A2465:$ZZ2465,CALC!$F$1))&gt;0),N(INDEX(BASELINE!$A2465:$ZZ2465,CALC!$F$1)),N(INDEX(BASELINE!$A2465:$ZZ2465,CALC!$P$1))))=INT(SIMOPS!$D$3),IFERROR(UPPER(TRIM(INDEX(BASELINE!$A2465:$ZZ2465,CALC!$R$1)&amp;"")),"")&lt;&gt;"ENCERRADA"),1,0),0)</f>
        <v/>
      </c>
      <c r="B2465">
        <f>B2464+A2465</f>
        <v/>
      </c>
    </row>
    <row r="2466">
      <c r="A2466">
        <f>IFERROR(IF(AND(INDEX(BASELINE!$A2466:$ZZ2466,CALC!$H$1)&lt;&gt;"",INT(IF(AND(CALC!$F$1&gt;0,N(INDEX(BASELINE!$A2466:$ZZ2466,CALC!$F$1))&gt;0),N(INDEX(BASELINE!$A2466:$ZZ2466,CALC!$F$1)),N(INDEX(BASELINE!$A2466:$ZZ2466,CALC!$P$1))))=INT(SIMOPS!$D$3),IFERROR(UPPER(TRIM(INDEX(BASELINE!$A2466:$ZZ2466,CALC!$R$1)&amp;"")),"")&lt;&gt;"ENCERRADA"),1,0),0)</f>
        <v/>
      </c>
      <c r="B2466">
        <f>B2465+A2466</f>
        <v/>
      </c>
    </row>
    <row r="2467">
      <c r="A2467">
        <f>IFERROR(IF(AND(INDEX(BASELINE!$A2467:$ZZ2467,CALC!$H$1)&lt;&gt;"",INT(IF(AND(CALC!$F$1&gt;0,N(INDEX(BASELINE!$A2467:$ZZ2467,CALC!$F$1))&gt;0),N(INDEX(BASELINE!$A2467:$ZZ2467,CALC!$F$1)),N(INDEX(BASELINE!$A2467:$ZZ2467,CALC!$P$1))))=INT(SIMOPS!$D$3),IFERROR(UPPER(TRIM(INDEX(BASELINE!$A2467:$ZZ2467,CALC!$R$1)&amp;"")),"")&lt;&gt;"ENCERRADA"),1,0),0)</f>
        <v/>
      </c>
      <c r="B2467">
        <f>B2466+A2467</f>
        <v/>
      </c>
    </row>
    <row r="2468">
      <c r="A2468">
        <f>IFERROR(IF(AND(INDEX(BASELINE!$A2468:$ZZ2468,CALC!$H$1)&lt;&gt;"",INT(IF(AND(CALC!$F$1&gt;0,N(INDEX(BASELINE!$A2468:$ZZ2468,CALC!$F$1))&gt;0),N(INDEX(BASELINE!$A2468:$ZZ2468,CALC!$F$1)),N(INDEX(BASELINE!$A2468:$ZZ2468,CALC!$P$1))))=INT(SIMOPS!$D$3),IFERROR(UPPER(TRIM(INDEX(BASELINE!$A2468:$ZZ2468,CALC!$R$1)&amp;"")),"")&lt;&gt;"ENCERRADA"),1,0),0)</f>
        <v/>
      </c>
      <c r="B2468">
        <f>B2467+A2468</f>
        <v/>
      </c>
    </row>
    <row r="2469">
      <c r="A2469">
        <f>IFERROR(IF(AND(INDEX(BASELINE!$A2469:$ZZ2469,CALC!$H$1)&lt;&gt;"",INT(IF(AND(CALC!$F$1&gt;0,N(INDEX(BASELINE!$A2469:$ZZ2469,CALC!$F$1))&gt;0),N(INDEX(BASELINE!$A2469:$ZZ2469,CALC!$F$1)),N(INDEX(BASELINE!$A2469:$ZZ2469,CALC!$P$1))))=INT(SIMOPS!$D$3),IFERROR(UPPER(TRIM(INDEX(BASELINE!$A2469:$ZZ2469,CALC!$R$1)&amp;"")),"")&lt;&gt;"ENCERRADA"),1,0),0)</f>
        <v/>
      </c>
      <c r="B2469">
        <f>B2468+A2469</f>
        <v/>
      </c>
    </row>
    <row r="2470">
      <c r="A2470">
        <f>IFERROR(IF(AND(INDEX(BASELINE!$A2470:$ZZ2470,CALC!$H$1)&lt;&gt;"",INT(IF(AND(CALC!$F$1&gt;0,N(INDEX(BASELINE!$A2470:$ZZ2470,CALC!$F$1))&gt;0),N(INDEX(BASELINE!$A2470:$ZZ2470,CALC!$F$1)),N(INDEX(BASELINE!$A2470:$ZZ2470,CALC!$P$1))))=INT(SIMOPS!$D$3),IFERROR(UPPER(TRIM(INDEX(BASELINE!$A2470:$ZZ2470,CALC!$R$1)&amp;"")),"")&lt;&gt;"ENCERRADA"),1,0),0)</f>
        <v/>
      </c>
      <c r="B2470">
        <f>B2469+A2470</f>
        <v/>
      </c>
    </row>
    <row r="2471">
      <c r="A2471">
        <f>IFERROR(IF(AND(INDEX(BASELINE!$A2471:$ZZ2471,CALC!$H$1)&lt;&gt;"",INT(IF(AND(CALC!$F$1&gt;0,N(INDEX(BASELINE!$A2471:$ZZ2471,CALC!$F$1))&gt;0),N(INDEX(BASELINE!$A2471:$ZZ2471,CALC!$F$1)),N(INDEX(BASELINE!$A2471:$ZZ2471,CALC!$P$1))))=INT(SIMOPS!$D$3),IFERROR(UPPER(TRIM(INDEX(BASELINE!$A2471:$ZZ2471,CALC!$R$1)&amp;"")),"")&lt;&gt;"ENCERRADA"),1,0),0)</f>
        <v/>
      </c>
      <c r="B2471">
        <f>B2470+A2471</f>
        <v/>
      </c>
    </row>
    <row r="2472">
      <c r="A2472">
        <f>IFERROR(IF(AND(INDEX(BASELINE!$A2472:$ZZ2472,CALC!$H$1)&lt;&gt;"",INT(IF(AND(CALC!$F$1&gt;0,N(INDEX(BASELINE!$A2472:$ZZ2472,CALC!$F$1))&gt;0),N(INDEX(BASELINE!$A2472:$ZZ2472,CALC!$F$1)),N(INDEX(BASELINE!$A2472:$ZZ2472,CALC!$P$1))))=INT(SIMOPS!$D$3),IFERROR(UPPER(TRIM(INDEX(BASELINE!$A2472:$ZZ2472,CALC!$R$1)&amp;"")),"")&lt;&gt;"ENCERRADA"),1,0),0)</f>
        <v/>
      </c>
      <c r="B2472">
        <f>B2471+A2472</f>
        <v/>
      </c>
    </row>
    <row r="2473">
      <c r="A2473">
        <f>IFERROR(IF(AND(INDEX(BASELINE!$A2473:$ZZ2473,CALC!$H$1)&lt;&gt;"",INT(IF(AND(CALC!$F$1&gt;0,N(INDEX(BASELINE!$A2473:$ZZ2473,CALC!$F$1))&gt;0),N(INDEX(BASELINE!$A2473:$ZZ2473,CALC!$F$1)),N(INDEX(BASELINE!$A2473:$ZZ2473,CALC!$P$1))))=INT(SIMOPS!$D$3),IFERROR(UPPER(TRIM(INDEX(BASELINE!$A2473:$ZZ2473,CALC!$R$1)&amp;"")),"")&lt;&gt;"ENCERRADA"),1,0),0)</f>
        <v/>
      </c>
      <c r="B2473">
        <f>B2472+A2473</f>
        <v/>
      </c>
    </row>
    <row r="2474">
      <c r="A2474">
        <f>IFERROR(IF(AND(INDEX(BASELINE!$A2474:$ZZ2474,CALC!$H$1)&lt;&gt;"",INT(IF(AND(CALC!$F$1&gt;0,N(INDEX(BASELINE!$A2474:$ZZ2474,CALC!$F$1))&gt;0),N(INDEX(BASELINE!$A2474:$ZZ2474,CALC!$F$1)),N(INDEX(BASELINE!$A2474:$ZZ2474,CALC!$P$1))))=INT(SIMOPS!$D$3),IFERROR(UPPER(TRIM(INDEX(BASELINE!$A2474:$ZZ2474,CALC!$R$1)&amp;"")),"")&lt;&gt;"ENCERRADA"),1,0),0)</f>
        <v/>
      </c>
      <c r="B2474">
        <f>B2473+A2474</f>
        <v/>
      </c>
    </row>
    <row r="2475">
      <c r="A2475">
        <f>IFERROR(IF(AND(INDEX(BASELINE!$A2475:$ZZ2475,CALC!$H$1)&lt;&gt;"",INT(IF(AND(CALC!$F$1&gt;0,N(INDEX(BASELINE!$A2475:$ZZ2475,CALC!$F$1))&gt;0),N(INDEX(BASELINE!$A2475:$ZZ2475,CALC!$F$1)),N(INDEX(BASELINE!$A2475:$ZZ2475,CALC!$P$1))))=INT(SIMOPS!$D$3),IFERROR(UPPER(TRIM(INDEX(BASELINE!$A2475:$ZZ2475,CALC!$R$1)&amp;"")),"")&lt;&gt;"ENCERRADA"),1,0),0)</f>
        <v/>
      </c>
      <c r="B2475">
        <f>B2474+A2475</f>
        <v/>
      </c>
    </row>
    <row r="2476">
      <c r="A2476">
        <f>IFERROR(IF(AND(INDEX(BASELINE!$A2476:$ZZ2476,CALC!$H$1)&lt;&gt;"",INT(IF(AND(CALC!$F$1&gt;0,N(INDEX(BASELINE!$A2476:$ZZ2476,CALC!$F$1))&gt;0),N(INDEX(BASELINE!$A2476:$ZZ2476,CALC!$F$1)),N(INDEX(BASELINE!$A2476:$ZZ2476,CALC!$P$1))))=INT(SIMOPS!$D$3),IFERROR(UPPER(TRIM(INDEX(BASELINE!$A2476:$ZZ2476,CALC!$R$1)&amp;"")),"")&lt;&gt;"ENCERRADA"),1,0),0)</f>
        <v/>
      </c>
      <c r="B2476">
        <f>B2475+A2476</f>
        <v/>
      </c>
    </row>
    <row r="2477">
      <c r="A2477">
        <f>IFERROR(IF(AND(INDEX(BASELINE!$A2477:$ZZ2477,CALC!$H$1)&lt;&gt;"",INT(IF(AND(CALC!$F$1&gt;0,N(INDEX(BASELINE!$A2477:$ZZ2477,CALC!$F$1))&gt;0),N(INDEX(BASELINE!$A2477:$ZZ2477,CALC!$F$1)),N(INDEX(BASELINE!$A2477:$ZZ2477,CALC!$P$1))))=INT(SIMOPS!$D$3),IFERROR(UPPER(TRIM(INDEX(BASELINE!$A2477:$ZZ2477,CALC!$R$1)&amp;"")),"")&lt;&gt;"ENCERRADA"),1,0),0)</f>
        <v/>
      </c>
      <c r="B2477">
        <f>B2476+A2477</f>
        <v/>
      </c>
    </row>
    <row r="2478">
      <c r="A2478">
        <f>IFERROR(IF(AND(INDEX(BASELINE!$A2478:$ZZ2478,CALC!$H$1)&lt;&gt;"",INT(IF(AND(CALC!$F$1&gt;0,N(INDEX(BASELINE!$A2478:$ZZ2478,CALC!$F$1))&gt;0),N(INDEX(BASELINE!$A2478:$ZZ2478,CALC!$F$1)),N(INDEX(BASELINE!$A2478:$ZZ2478,CALC!$P$1))))=INT(SIMOPS!$D$3),IFERROR(UPPER(TRIM(INDEX(BASELINE!$A2478:$ZZ2478,CALC!$R$1)&amp;"")),"")&lt;&gt;"ENCERRADA"),1,0),0)</f>
        <v/>
      </c>
      <c r="B2478">
        <f>B2477+A2478</f>
        <v/>
      </c>
    </row>
    <row r="2479">
      <c r="A2479">
        <f>IFERROR(IF(AND(INDEX(BASELINE!$A2479:$ZZ2479,CALC!$H$1)&lt;&gt;"",INT(IF(AND(CALC!$F$1&gt;0,N(INDEX(BASELINE!$A2479:$ZZ2479,CALC!$F$1))&gt;0),N(INDEX(BASELINE!$A2479:$ZZ2479,CALC!$F$1)),N(INDEX(BASELINE!$A2479:$ZZ2479,CALC!$P$1))))=INT(SIMOPS!$D$3),IFERROR(UPPER(TRIM(INDEX(BASELINE!$A2479:$ZZ2479,CALC!$R$1)&amp;"")),"")&lt;&gt;"ENCERRADA"),1,0),0)</f>
        <v/>
      </c>
      <c r="B2479">
        <f>B2478+A2479</f>
        <v/>
      </c>
    </row>
    <row r="2480">
      <c r="A2480">
        <f>IFERROR(IF(AND(INDEX(BASELINE!$A2480:$ZZ2480,CALC!$H$1)&lt;&gt;"",INT(IF(AND(CALC!$F$1&gt;0,N(INDEX(BASELINE!$A2480:$ZZ2480,CALC!$F$1))&gt;0),N(INDEX(BASELINE!$A2480:$ZZ2480,CALC!$F$1)),N(INDEX(BASELINE!$A2480:$ZZ2480,CALC!$P$1))))=INT(SIMOPS!$D$3),IFERROR(UPPER(TRIM(INDEX(BASELINE!$A2480:$ZZ2480,CALC!$R$1)&amp;"")),"")&lt;&gt;"ENCERRADA"),1,0),0)</f>
        <v/>
      </c>
      <c r="B2480">
        <f>B2479+A2480</f>
        <v/>
      </c>
    </row>
    <row r="2481">
      <c r="A2481">
        <f>IFERROR(IF(AND(INDEX(BASELINE!$A2481:$ZZ2481,CALC!$H$1)&lt;&gt;"",INT(IF(AND(CALC!$F$1&gt;0,N(INDEX(BASELINE!$A2481:$ZZ2481,CALC!$F$1))&gt;0),N(INDEX(BASELINE!$A2481:$ZZ2481,CALC!$F$1)),N(INDEX(BASELINE!$A2481:$ZZ2481,CALC!$P$1))))=INT(SIMOPS!$D$3),IFERROR(UPPER(TRIM(INDEX(BASELINE!$A2481:$ZZ2481,CALC!$R$1)&amp;"")),"")&lt;&gt;"ENCERRADA"),1,0),0)</f>
        <v/>
      </c>
      <c r="B2481">
        <f>B2480+A2481</f>
        <v/>
      </c>
    </row>
    <row r="2482">
      <c r="A2482">
        <f>IFERROR(IF(AND(INDEX(BASELINE!$A2482:$ZZ2482,CALC!$H$1)&lt;&gt;"",INT(IF(AND(CALC!$F$1&gt;0,N(INDEX(BASELINE!$A2482:$ZZ2482,CALC!$F$1))&gt;0),N(INDEX(BASELINE!$A2482:$ZZ2482,CALC!$F$1)),N(INDEX(BASELINE!$A2482:$ZZ2482,CALC!$P$1))))=INT(SIMOPS!$D$3),IFERROR(UPPER(TRIM(INDEX(BASELINE!$A2482:$ZZ2482,CALC!$R$1)&amp;"")),"")&lt;&gt;"ENCERRADA"),1,0),0)</f>
        <v/>
      </c>
      <c r="B2482">
        <f>B2481+A2482</f>
        <v/>
      </c>
    </row>
    <row r="2483">
      <c r="A2483">
        <f>IFERROR(IF(AND(INDEX(BASELINE!$A2483:$ZZ2483,CALC!$H$1)&lt;&gt;"",INT(IF(AND(CALC!$F$1&gt;0,N(INDEX(BASELINE!$A2483:$ZZ2483,CALC!$F$1))&gt;0),N(INDEX(BASELINE!$A2483:$ZZ2483,CALC!$F$1)),N(INDEX(BASELINE!$A2483:$ZZ2483,CALC!$P$1))))=INT(SIMOPS!$D$3),IFERROR(UPPER(TRIM(INDEX(BASELINE!$A2483:$ZZ2483,CALC!$R$1)&amp;"")),"")&lt;&gt;"ENCERRADA"),1,0),0)</f>
        <v/>
      </c>
      <c r="B2483">
        <f>B2482+A2483</f>
        <v/>
      </c>
    </row>
    <row r="2484">
      <c r="A2484">
        <f>IFERROR(IF(AND(INDEX(BASELINE!$A2484:$ZZ2484,CALC!$H$1)&lt;&gt;"",INT(IF(AND(CALC!$F$1&gt;0,N(INDEX(BASELINE!$A2484:$ZZ2484,CALC!$F$1))&gt;0),N(INDEX(BASELINE!$A2484:$ZZ2484,CALC!$F$1)),N(INDEX(BASELINE!$A2484:$ZZ2484,CALC!$P$1))))=INT(SIMOPS!$D$3),IFERROR(UPPER(TRIM(INDEX(BASELINE!$A2484:$ZZ2484,CALC!$R$1)&amp;"")),"")&lt;&gt;"ENCERRADA"),1,0),0)</f>
        <v/>
      </c>
      <c r="B2484">
        <f>B2483+A2484</f>
        <v/>
      </c>
    </row>
    <row r="2485">
      <c r="A2485">
        <f>IFERROR(IF(AND(INDEX(BASELINE!$A2485:$ZZ2485,CALC!$H$1)&lt;&gt;"",INT(IF(AND(CALC!$F$1&gt;0,N(INDEX(BASELINE!$A2485:$ZZ2485,CALC!$F$1))&gt;0),N(INDEX(BASELINE!$A2485:$ZZ2485,CALC!$F$1)),N(INDEX(BASELINE!$A2485:$ZZ2485,CALC!$P$1))))=INT(SIMOPS!$D$3),IFERROR(UPPER(TRIM(INDEX(BASELINE!$A2485:$ZZ2485,CALC!$R$1)&amp;"")),"")&lt;&gt;"ENCERRADA"),1,0),0)</f>
        <v/>
      </c>
      <c r="B2485">
        <f>B2484+A2485</f>
        <v/>
      </c>
    </row>
    <row r="2486">
      <c r="A2486">
        <f>IFERROR(IF(AND(INDEX(BASELINE!$A2486:$ZZ2486,CALC!$H$1)&lt;&gt;"",INT(IF(AND(CALC!$F$1&gt;0,N(INDEX(BASELINE!$A2486:$ZZ2486,CALC!$F$1))&gt;0),N(INDEX(BASELINE!$A2486:$ZZ2486,CALC!$F$1)),N(INDEX(BASELINE!$A2486:$ZZ2486,CALC!$P$1))))=INT(SIMOPS!$D$3),IFERROR(UPPER(TRIM(INDEX(BASELINE!$A2486:$ZZ2486,CALC!$R$1)&amp;"")),"")&lt;&gt;"ENCERRADA"),1,0),0)</f>
        <v/>
      </c>
      <c r="B2486">
        <f>B2485+A2486</f>
        <v/>
      </c>
    </row>
    <row r="2487">
      <c r="A2487">
        <f>IFERROR(IF(AND(INDEX(BASELINE!$A2487:$ZZ2487,CALC!$H$1)&lt;&gt;"",INT(IF(AND(CALC!$F$1&gt;0,N(INDEX(BASELINE!$A2487:$ZZ2487,CALC!$F$1))&gt;0),N(INDEX(BASELINE!$A2487:$ZZ2487,CALC!$F$1)),N(INDEX(BASELINE!$A2487:$ZZ2487,CALC!$P$1))))=INT(SIMOPS!$D$3),IFERROR(UPPER(TRIM(INDEX(BASELINE!$A2487:$ZZ2487,CALC!$R$1)&amp;"")),"")&lt;&gt;"ENCERRADA"),1,0),0)</f>
        <v/>
      </c>
      <c r="B2487">
        <f>B2486+A2487</f>
        <v/>
      </c>
    </row>
    <row r="2488">
      <c r="A2488">
        <f>IFERROR(IF(AND(INDEX(BASELINE!$A2488:$ZZ2488,CALC!$H$1)&lt;&gt;"",INT(IF(AND(CALC!$F$1&gt;0,N(INDEX(BASELINE!$A2488:$ZZ2488,CALC!$F$1))&gt;0),N(INDEX(BASELINE!$A2488:$ZZ2488,CALC!$F$1)),N(INDEX(BASELINE!$A2488:$ZZ2488,CALC!$P$1))))=INT(SIMOPS!$D$3),IFERROR(UPPER(TRIM(INDEX(BASELINE!$A2488:$ZZ2488,CALC!$R$1)&amp;"")),"")&lt;&gt;"ENCERRADA"),1,0),0)</f>
        <v/>
      </c>
      <c r="B2488">
        <f>B2487+A2488</f>
        <v/>
      </c>
    </row>
    <row r="2489">
      <c r="A2489">
        <f>IFERROR(IF(AND(INDEX(BASELINE!$A2489:$ZZ2489,CALC!$H$1)&lt;&gt;"",INT(IF(AND(CALC!$F$1&gt;0,N(INDEX(BASELINE!$A2489:$ZZ2489,CALC!$F$1))&gt;0),N(INDEX(BASELINE!$A2489:$ZZ2489,CALC!$F$1)),N(INDEX(BASELINE!$A2489:$ZZ2489,CALC!$P$1))))=INT(SIMOPS!$D$3),IFERROR(UPPER(TRIM(INDEX(BASELINE!$A2489:$ZZ2489,CALC!$R$1)&amp;"")),"")&lt;&gt;"ENCERRADA"),1,0),0)</f>
        <v/>
      </c>
      <c r="B2489">
        <f>B2488+A2489</f>
        <v/>
      </c>
    </row>
    <row r="2490">
      <c r="A2490">
        <f>IFERROR(IF(AND(INDEX(BASELINE!$A2490:$ZZ2490,CALC!$H$1)&lt;&gt;"",INT(IF(AND(CALC!$F$1&gt;0,N(INDEX(BASELINE!$A2490:$ZZ2490,CALC!$F$1))&gt;0),N(INDEX(BASELINE!$A2490:$ZZ2490,CALC!$F$1)),N(INDEX(BASELINE!$A2490:$ZZ2490,CALC!$P$1))))=INT(SIMOPS!$D$3),IFERROR(UPPER(TRIM(INDEX(BASELINE!$A2490:$ZZ2490,CALC!$R$1)&amp;"")),"")&lt;&gt;"ENCERRADA"),1,0),0)</f>
        <v/>
      </c>
      <c r="B2490">
        <f>B2489+A2490</f>
        <v/>
      </c>
    </row>
    <row r="2491">
      <c r="A2491">
        <f>IFERROR(IF(AND(INDEX(BASELINE!$A2491:$ZZ2491,CALC!$H$1)&lt;&gt;"",INT(IF(AND(CALC!$F$1&gt;0,N(INDEX(BASELINE!$A2491:$ZZ2491,CALC!$F$1))&gt;0),N(INDEX(BASELINE!$A2491:$ZZ2491,CALC!$F$1)),N(INDEX(BASELINE!$A2491:$ZZ2491,CALC!$P$1))))=INT(SIMOPS!$D$3),IFERROR(UPPER(TRIM(INDEX(BASELINE!$A2491:$ZZ2491,CALC!$R$1)&amp;"")),"")&lt;&gt;"ENCERRADA"),1,0),0)</f>
        <v/>
      </c>
      <c r="B2491">
        <f>B2490+A2491</f>
        <v/>
      </c>
    </row>
    <row r="2492">
      <c r="A2492">
        <f>IFERROR(IF(AND(INDEX(BASELINE!$A2492:$ZZ2492,CALC!$H$1)&lt;&gt;"",INT(IF(AND(CALC!$F$1&gt;0,N(INDEX(BASELINE!$A2492:$ZZ2492,CALC!$F$1))&gt;0),N(INDEX(BASELINE!$A2492:$ZZ2492,CALC!$F$1)),N(INDEX(BASELINE!$A2492:$ZZ2492,CALC!$P$1))))=INT(SIMOPS!$D$3),IFERROR(UPPER(TRIM(INDEX(BASELINE!$A2492:$ZZ2492,CALC!$R$1)&amp;"")),"")&lt;&gt;"ENCERRADA"),1,0),0)</f>
        <v/>
      </c>
      <c r="B2492">
        <f>B2491+A2492</f>
        <v/>
      </c>
    </row>
    <row r="2493">
      <c r="A2493">
        <f>IFERROR(IF(AND(INDEX(BASELINE!$A2493:$ZZ2493,CALC!$H$1)&lt;&gt;"",INT(IF(AND(CALC!$F$1&gt;0,N(INDEX(BASELINE!$A2493:$ZZ2493,CALC!$F$1))&gt;0),N(INDEX(BASELINE!$A2493:$ZZ2493,CALC!$F$1)),N(INDEX(BASELINE!$A2493:$ZZ2493,CALC!$P$1))))=INT(SIMOPS!$D$3),IFERROR(UPPER(TRIM(INDEX(BASELINE!$A2493:$ZZ2493,CALC!$R$1)&amp;"")),"")&lt;&gt;"ENCERRADA"),1,0),0)</f>
        <v/>
      </c>
      <c r="B2493">
        <f>B2492+A2493</f>
        <v/>
      </c>
    </row>
    <row r="2494">
      <c r="A2494">
        <f>IFERROR(IF(AND(INDEX(BASELINE!$A2494:$ZZ2494,CALC!$H$1)&lt;&gt;"",INT(IF(AND(CALC!$F$1&gt;0,N(INDEX(BASELINE!$A2494:$ZZ2494,CALC!$F$1))&gt;0),N(INDEX(BASELINE!$A2494:$ZZ2494,CALC!$F$1)),N(INDEX(BASELINE!$A2494:$ZZ2494,CALC!$P$1))))=INT(SIMOPS!$D$3),IFERROR(UPPER(TRIM(INDEX(BASELINE!$A2494:$ZZ2494,CALC!$R$1)&amp;"")),"")&lt;&gt;"ENCERRADA"),1,0),0)</f>
        <v/>
      </c>
      <c r="B2494">
        <f>B2493+A2494</f>
        <v/>
      </c>
    </row>
    <row r="2495">
      <c r="A2495">
        <f>IFERROR(IF(AND(INDEX(BASELINE!$A2495:$ZZ2495,CALC!$H$1)&lt;&gt;"",INT(IF(AND(CALC!$F$1&gt;0,N(INDEX(BASELINE!$A2495:$ZZ2495,CALC!$F$1))&gt;0),N(INDEX(BASELINE!$A2495:$ZZ2495,CALC!$F$1)),N(INDEX(BASELINE!$A2495:$ZZ2495,CALC!$P$1))))=INT(SIMOPS!$D$3),IFERROR(UPPER(TRIM(INDEX(BASELINE!$A2495:$ZZ2495,CALC!$R$1)&amp;"")),"")&lt;&gt;"ENCERRADA"),1,0),0)</f>
        <v/>
      </c>
      <c r="B2495">
        <f>B2494+A2495</f>
        <v/>
      </c>
    </row>
    <row r="2496">
      <c r="A2496">
        <f>IFERROR(IF(AND(INDEX(BASELINE!$A2496:$ZZ2496,CALC!$H$1)&lt;&gt;"",INT(IF(AND(CALC!$F$1&gt;0,N(INDEX(BASELINE!$A2496:$ZZ2496,CALC!$F$1))&gt;0),N(INDEX(BASELINE!$A2496:$ZZ2496,CALC!$F$1)),N(INDEX(BASELINE!$A2496:$ZZ2496,CALC!$P$1))))=INT(SIMOPS!$D$3),IFERROR(UPPER(TRIM(INDEX(BASELINE!$A2496:$ZZ2496,CALC!$R$1)&amp;"")),"")&lt;&gt;"ENCERRADA"),1,0),0)</f>
        <v/>
      </c>
      <c r="B2496">
        <f>B2495+A2496</f>
        <v/>
      </c>
    </row>
    <row r="2497">
      <c r="A2497">
        <f>IFERROR(IF(AND(INDEX(BASELINE!$A2497:$ZZ2497,CALC!$H$1)&lt;&gt;"",INT(IF(AND(CALC!$F$1&gt;0,N(INDEX(BASELINE!$A2497:$ZZ2497,CALC!$F$1))&gt;0),N(INDEX(BASELINE!$A2497:$ZZ2497,CALC!$F$1)),N(INDEX(BASELINE!$A2497:$ZZ2497,CALC!$P$1))))=INT(SIMOPS!$D$3),IFERROR(UPPER(TRIM(INDEX(BASELINE!$A2497:$ZZ2497,CALC!$R$1)&amp;"")),"")&lt;&gt;"ENCERRADA"),1,0),0)</f>
        <v/>
      </c>
      <c r="B2497">
        <f>B2496+A2497</f>
        <v/>
      </c>
    </row>
    <row r="2498">
      <c r="A2498">
        <f>IFERROR(IF(AND(INDEX(BASELINE!$A2498:$ZZ2498,CALC!$H$1)&lt;&gt;"",INT(IF(AND(CALC!$F$1&gt;0,N(INDEX(BASELINE!$A2498:$ZZ2498,CALC!$F$1))&gt;0),N(INDEX(BASELINE!$A2498:$ZZ2498,CALC!$F$1)),N(INDEX(BASELINE!$A2498:$ZZ2498,CALC!$P$1))))=INT(SIMOPS!$D$3),IFERROR(UPPER(TRIM(INDEX(BASELINE!$A2498:$ZZ2498,CALC!$R$1)&amp;"")),"")&lt;&gt;"ENCERRADA"),1,0),0)</f>
        <v/>
      </c>
      <c r="B2498">
        <f>B2497+A2498</f>
        <v/>
      </c>
    </row>
    <row r="2499">
      <c r="A2499">
        <f>IFERROR(IF(AND(INDEX(BASELINE!$A2499:$ZZ2499,CALC!$H$1)&lt;&gt;"",INT(IF(AND(CALC!$F$1&gt;0,N(INDEX(BASELINE!$A2499:$ZZ2499,CALC!$F$1))&gt;0),N(INDEX(BASELINE!$A2499:$ZZ2499,CALC!$F$1)),N(INDEX(BASELINE!$A2499:$ZZ2499,CALC!$P$1))))=INT(SIMOPS!$D$3),IFERROR(UPPER(TRIM(INDEX(BASELINE!$A2499:$ZZ2499,CALC!$R$1)&amp;"")),"")&lt;&gt;"ENCERRADA"),1,0),0)</f>
        <v/>
      </c>
      <c r="B2499">
        <f>B2498+A2499</f>
        <v/>
      </c>
    </row>
    <row r="2500">
      <c r="A2500">
        <f>IFERROR(IF(AND(INDEX(BASELINE!$A2500:$ZZ2500,CALC!$H$1)&lt;&gt;"",INT(IF(AND(CALC!$F$1&gt;0,N(INDEX(BASELINE!$A2500:$ZZ2500,CALC!$F$1))&gt;0),N(INDEX(BASELINE!$A2500:$ZZ2500,CALC!$F$1)),N(INDEX(BASELINE!$A2500:$ZZ2500,CALC!$P$1))))=INT(SIMOPS!$D$3),IFERROR(UPPER(TRIM(INDEX(BASELINE!$A2500:$ZZ2500,CALC!$R$1)&amp;"")),"")&lt;&gt;"ENCERRADA"),1,0),0)</f>
        <v/>
      </c>
      <c r="B2500">
        <f>B2499+A2500</f>
        <v/>
      </c>
    </row>
    <row r="2501">
      <c r="A2501">
        <f>IFERROR(IF(AND(INDEX(BASELINE!$A2501:$ZZ2501,CALC!$H$1)&lt;&gt;"",INT(IF(AND(CALC!$F$1&gt;0,N(INDEX(BASELINE!$A2501:$ZZ2501,CALC!$F$1))&gt;0),N(INDEX(BASELINE!$A2501:$ZZ2501,CALC!$F$1)),N(INDEX(BASELINE!$A2501:$ZZ2501,CALC!$P$1))))=INT(SIMOPS!$D$3),IFERROR(UPPER(TRIM(INDEX(BASELINE!$A2501:$ZZ2501,CALC!$R$1)&amp;"")),"")&lt;&gt;"ENCERRADA"),1,0),0)</f>
        <v/>
      </c>
      <c r="B2501">
        <f>B2500+A2501</f>
        <v/>
      </c>
    </row>
    <row r="2502">
      <c r="A2502">
        <f>IFERROR(IF(AND(INDEX(BASELINE!$A2502:$ZZ2502,CALC!$H$1)&lt;&gt;"",INT(IF(AND(CALC!$F$1&gt;0,N(INDEX(BASELINE!$A2502:$ZZ2502,CALC!$F$1))&gt;0),N(INDEX(BASELINE!$A2502:$ZZ2502,CALC!$F$1)),N(INDEX(BASELINE!$A2502:$ZZ2502,CALC!$P$1))))=INT(SIMOPS!$D$3),IFERROR(UPPER(TRIM(INDEX(BASELINE!$A2502:$ZZ2502,CALC!$R$1)&amp;"")),"")&lt;&gt;"ENCERRADA"),1,0),0)</f>
        <v/>
      </c>
      <c r="B2502">
        <f>B2501+A2502</f>
        <v/>
      </c>
    </row>
    <row r="2503">
      <c r="A2503">
        <f>IFERROR(IF(AND(INDEX(BASELINE!$A2503:$ZZ2503,CALC!$H$1)&lt;&gt;"",INT(IF(AND(CALC!$F$1&gt;0,N(INDEX(BASELINE!$A2503:$ZZ2503,CALC!$F$1))&gt;0),N(INDEX(BASELINE!$A2503:$ZZ2503,CALC!$F$1)),N(INDEX(BASELINE!$A2503:$ZZ2503,CALC!$P$1))))=INT(SIMOPS!$D$3),IFERROR(UPPER(TRIM(INDEX(BASELINE!$A2503:$ZZ2503,CALC!$R$1)&amp;"")),"")&lt;&gt;"ENCERRADA"),1,0),0)</f>
        <v/>
      </c>
      <c r="B2503">
        <f>B2502+A2503</f>
        <v/>
      </c>
    </row>
    <row r="2504">
      <c r="A2504">
        <f>IFERROR(IF(AND(INDEX(BASELINE!$A2504:$ZZ2504,CALC!$H$1)&lt;&gt;"",INT(IF(AND(CALC!$F$1&gt;0,N(INDEX(BASELINE!$A2504:$ZZ2504,CALC!$F$1))&gt;0),N(INDEX(BASELINE!$A2504:$ZZ2504,CALC!$F$1)),N(INDEX(BASELINE!$A2504:$ZZ2504,CALC!$P$1))))=INT(SIMOPS!$D$3),IFERROR(UPPER(TRIM(INDEX(BASELINE!$A2504:$ZZ2504,CALC!$R$1)&amp;"")),"")&lt;&gt;"ENCERRADA"),1,0),0)</f>
        <v/>
      </c>
      <c r="B2504">
        <f>B2503+A2504</f>
        <v/>
      </c>
    </row>
    <row r="2505">
      <c r="A2505">
        <f>IFERROR(IF(AND(INDEX(BASELINE!$A2505:$ZZ2505,CALC!$H$1)&lt;&gt;"",INT(IF(AND(CALC!$F$1&gt;0,N(INDEX(BASELINE!$A2505:$ZZ2505,CALC!$F$1))&gt;0),N(INDEX(BASELINE!$A2505:$ZZ2505,CALC!$F$1)),N(INDEX(BASELINE!$A2505:$ZZ2505,CALC!$P$1))))=INT(SIMOPS!$D$3),IFERROR(UPPER(TRIM(INDEX(BASELINE!$A2505:$ZZ2505,CALC!$R$1)&amp;"")),"")&lt;&gt;"ENCERRADA"),1,0),0)</f>
        <v/>
      </c>
      <c r="B2505">
        <f>B2504+A2505</f>
        <v/>
      </c>
    </row>
    <row r="2506">
      <c r="A2506">
        <f>IFERROR(IF(AND(INDEX(BASELINE!$A2506:$ZZ2506,CALC!$H$1)&lt;&gt;"",INT(IF(AND(CALC!$F$1&gt;0,N(INDEX(BASELINE!$A2506:$ZZ2506,CALC!$F$1))&gt;0),N(INDEX(BASELINE!$A2506:$ZZ2506,CALC!$F$1)),N(INDEX(BASELINE!$A2506:$ZZ2506,CALC!$P$1))))=INT(SIMOPS!$D$3),IFERROR(UPPER(TRIM(INDEX(BASELINE!$A2506:$ZZ2506,CALC!$R$1)&amp;"")),"")&lt;&gt;"ENCERRADA"),1,0),0)</f>
        <v/>
      </c>
      <c r="B2506">
        <f>B2505+A2506</f>
        <v/>
      </c>
    </row>
    <row r="2507">
      <c r="A2507">
        <f>IFERROR(IF(AND(INDEX(BASELINE!$A2507:$ZZ2507,CALC!$H$1)&lt;&gt;"",INT(IF(AND(CALC!$F$1&gt;0,N(INDEX(BASELINE!$A2507:$ZZ2507,CALC!$F$1))&gt;0),N(INDEX(BASELINE!$A2507:$ZZ2507,CALC!$F$1)),N(INDEX(BASELINE!$A2507:$ZZ2507,CALC!$P$1))))=INT(SIMOPS!$D$3),IFERROR(UPPER(TRIM(INDEX(BASELINE!$A2507:$ZZ2507,CALC!$R$1)&amp;"")),"")&lt;&gt;"ENCERRADA"),1,0),0)</f>
        <v/>
      </c>
      <c r="B2507">
        <f>B2506+A2507</f>
        <v/>
      </c>
    </row>
    <row r="2508">
      <c r="A2508">
        <f>IFERROR(IF(AND(INDEX(BASELINE!$A2508:$ZZ2508,CALC!$H$1)&lt;&gt;"",INT(IF(AND(CALC!$F$1&gt;0,N(INDEX(BASELINE!$A2508:$ZZ2508,CALC!$F$1))&gt;0),N(INDEX(BASELINE!$A2508:$ZZ2508,CALC!$F$1)),N(INDEX(BASELINE!$A2508:$ZZ2508,CALC!$P$1))))=INT(SIMOPS!$D$3),IFERROR(UPPER(TRIM(INDEX(BASELINE!$A2508:$ZZ2508,CALC!$R$1)&amp;"")),"")&lt;&gt;"ENCERRADA"),1,0),0)</f>
        <v/>
      </c>
      <c r="B2508">
        <f>B2507+A2508</f>
        <v/>
      </c>
    </row>
    <row r="2509">
      <c r="A2509">
        <f>IFERROR(IF(AND(INDEX(BASELINE!$A2509:$ZZ2509,CALC!$H$1)&lt;&gt;"",INT(IF(AND(CALC!$F$1&gt;0,N(INDEX(BASELINE!$A2509:$ZZ2509,CALC!$F$1))&gt;0),N(INDEX(BASELINE!$A2509:$ZZ2509,CALC!$F$1)),N(INDEX(BASELINE!$A2509:$ZZ2509,CALC!$P$1))))=INT(SIMOPS!$D$3),IFERROR(UPPER(TRIM(INDEX(BASELINE!$A2509:$ZZ2509,CALC!$R$1)&amp;"")),"")&lt;&gt;"ENCERRADA"),1,0),0)</f>
        <v/>
      </c>
      <c r="B2509">
        <f>B2508+A2509</f>
        <v/>
      </c>
    </row>
    <row r="2510">
      <c r="A2510">
        <f>IFERROR(IF(AND(INDEX(BASELINE!$A2510:$ZZ2510,CALC!$H$1)&lt;&gt;"",INT(IF(AND(CALC!$F$1&gt;0,N(INDEX(BASELINE!$A2510:$ZZ2510,CALC!$F$1))&gt;0),N(INDEX(BASELINE!$A2510:$ZZ2510,CALC!$F$1)),N(INDEX(BASELINE!$A2510:$ZZ2510,CALC!$P$1))))=INT(SIMOPS!$D$3),IFERROR(UPPER(TRIM(INDEX(BASELINE!$A2510:$ZZ2510,CALC!$R$1)&amp;"")),"")&lt;&gt;"ENCERRADA"),1,0),0)</f>
        <v/>
      </c>
      <c r="B2510">
        <f>B2509+A2510</f>
        <v/>
      </c>
    </row>
    <row r="2511">
      <c r="A2511">
        <f>IFERROR(IF(AND(INDEX(BASELINE!$A2511:$ZZ2511,CALC!$H$1)&lt;&gt;"",INT(IF(AND(CALC!$F$1&gt;0,N(INDEX(BASELINE!$A2511:$ZZ2511,CALC!$F$1))&gt;0),N(INDEX(BASELINE!$A2511:$ZZ2511,CALC!$F$1)),N(INDEX(BASELINE!$A2511:$ZZ2511,CALC!$P$1))))=INT(SIMOPS!$D$3),IFERROR(UPPER(TRIM(INDEX(BASELINE!$A2511:$ZZ2511,CALC!$R$1)&amp;"")),"")&lt;&gt;"ENCERRADA"),1,0),0)</f>
        <v/>
      </c>
      <c r="B2511">
        <f>B2510+A2511</f>
        <v/>
      </c>
    </row>
    <row r="2512">
      <c r="A2512">
        <f>IFERROR(IF(AND(INDEX(BASELINE!$A2512:$ZZ2512,CALC!$H$1)&lt;&gt;"",INT(IF(AND(CALC!$F$1&gt;0,N(INDEX(BASELINE!$A2512:$ZZ2512,CALC!$F$1))&gt;0),N(INDEX(BASELINE!$A2512:$ZZ2512,CALC!$F$1)),N(INDEX(BASELINE!$A2512:$ZZ2512,CALC!$P$1))))=INT(SIMOPS!$D$3),IFERROR(UPPER(TRIM(INDEX(BASELINE!$A2512:$ZZ2512,CALC!$R$1)&amp;"")),"")&lt;&gt;"ENCERRADA"),1,0),0)</f>
        <v/>
      </c>
      <c r="B2512">
        <f>B2511+A2512</f>
        <v/>
      </c>
    </row>
    <row r="2513">
      <c r="A2513">
        <f>IFERROR(IF(AND(INDEX(BASELINE!$A2513:$ZZ2513,CALC!$H$1)&lt;&gt;"",INT(IF(AND(CALC!$F$1&gt;0,N(INDEX(BASELINE!$A2513:$ZZ2513,CALC!$F$1))&gt;0),N(INDEX(BASELINE!$A2513:$ZZ2513,CALC!$F$1)),N(INDEX(BASELINE!$A2513:$ZZ2513,CALC!$P$1))))=INT(SIMOPS!$D$3),IFERROR(UPPER(TRIM(INDEX(BASELINE!$A2513:$ZZ2513,CALC!$R$1)&amp;"")),"")&lt;&gt;"ENCERRADA"),1,0),0)</f>
        <v/>
      </c>
      <c r="B2513">
        <f>B2512+A2513</f>
        <v/>
      </c>
    </row>
    <row r="2514">
      <c r="A2514">
        <f>IFERROR(IF(AND(INDEX(BASELINE!$A2514:$ZZ2514,CALC!$H$1)&lt;&gt;"",INT(IF(AND(CALC!$F$1&gt;0,N(INDEX(BASELINE!$A2514:$ZZ2514,CALC!$F$1))&gt;0),N(INDEX(BASELINE!$A2514:$ZZ2514,CALC!$F$1)),N(INDEX(BASELINE!$A2514:$ZZ2514,CALC!$P$1))))=INT(SIMOPS!$D$3),IFERROR(UPPER(TRIM(INDEX(BASELINE!$A2514:$ZZ2514,CALC!$R$1)&amp;"")),"")&lt;&gt;"ENCERRADA"),1,0),0)</f>
        <v/>
      </c>
      <c r="B2514">
        <f>B2513+A2514</f>
        <v/>
      </c>
    </row>
    <row r="2515">
      <c r="A2515">
        <f>IFERROR(IF(AND(INDEX(BASELINE!$A2515:$ZZ2515,CALC!$H$1)&lt;&gt;"",INT(IF(AND(CALC!$F$1&gt;0,N(INDEX(BASELINE!$A2515:$ZZ2515,CALC!$F$1))&gt;0),N(INDEX(BASELINE!$A2515:$ZZ2515,CALC!$F$1)),N(INDEX(BASELINE!$A2515:$ZZ2515,CALC!$P$1))))=INT(SIMOPS!$D$3),IFERROR(UPPER(TRIM(INDEX(BASELINE!$A2515:$ZZ2515,CALC!$R$1)&amp;"")),"")&lt;&gt;"ENCERRADA"),1,0),0)</f>
        <v/>
      </c>
      <c r="B2515">
        <f>B2514+A2515</f>
        <v/>
      </c>
    </row>
    <row r="2516">
      <c r="A2516">
        <f>IFERROR(IF(AND(INDEX(BASELINE!$A2516:$ZZ2516,CALC!$H$1)&lt;&gt;"",INT(IF(AND(CALC!$F$1&gt;0,N(INDEX(BASELINE!$A2516:$ZZ2516,CALC!$F$1))&gt;0),N(INDEX(BASELINE!$A2516:$ZZ2516,CALC!$F$1)),N(INDEX(BASELINE!$A2516:$ZZ2516,CALC!$P$1))))=INT(SIMOPS!$D$3),IFERROR(UPPER(TRIM(INDEX(BASELINE!$A2516:$ZZ2516,CALC!$R$1)&amp;"")),"")&lt;&gt;"ENCERRADA"),1,0),0)</f>
        <v/>
      </c>
      <c r="B2516">
        <f>B2515+A2516</f>
        <v/>
      </c>
    </row>
    <row r="2517">
      <c r="A2517">
        <f>IFERROR(IF(AND(INDEX(BASELINE!$A2517:$ZZ2517,CALC!$H$1)&lt;&gt;"",INT(IF(AND(CALC!$F$1&gt;0,N(INDEX(BASELINE!$A2517:$ZZ2517,CALC!$F$1))&gt;0),N(INDEX(BASELINE!$A2517:$ZZ2517,CALC!$F$1)),N(INDEX(BASELINE!$A2517:$ZZ2517,CALC!$P$1))))=INT(SIMOPS!$D$3),IFERROR(UPPER(TRIM(INDEX(BASELINE!$A2517:$ZZ2517,CALC!$R$1)&amp;"")),"")&lt;&gt;"ENCERRADA"),1,0),0)</f>
        <v/>
      </c>
      <c r="B2517">
        <f>B2516+A2517</f>
        <v/>
      </c>
    </row>
    <row r="2518">
      <c r="A2518">
        <f>IFERROR(IF(AND(INDEX(BASELINE!$A2518:$ZZ2518,CALC!$H$1)&lt;&gt;"",INT(IF(AND(CALC!$F$1&gt;0,N(INDEX(BASELINE!$A2518:$ZZ2518,CALC!$F$1))&gt;0),N(INDEX(BASELINE!$A2518:$ZZ2518,CALC!$F$1)),N(INDEX(BASELINE!$A2518:$ZZ2518,CALC!$P$1))))=INT(SIMOPS!$D$3),IFERROR(UPPER(TRIM(INDEX(BASELINE!$A2518:$ZZ2518,CALC!$R$1)&amp;"")),"")&lt;&gt;"ENCERRADA"),1,0),0)</f>
        <v/>
      </c>
      <c r="B2518">
        <f>B2517+A2518</f>
        <v/>
      </c>
    </row>
    <row r="2519">
      <c r="A2519">
        <f>IFERROR(IF(AND(INDEX(BASELINE!$A2519:$ZZ2519,CALC!$H$1)&lt;&gt;"",INT(IF(AND(CALC!$F$1&gt;0,N(INDEX(BASELINE!$A2519:$ZZ2519,CALC!$F$1))&gt;0),N(INDEX(BASELINE!$A2519:$ZZ2519,CALC!$F$1)),N(INDEX(BASELINE!$A2519:$ZZ2519,CALC!$P$1))))=INT(SIMOPS!$D$3),IFERROR(UPPER(TRIM(INDEX(BASELINE!$A2519:$ZZ2519,CALC!$R$1)&amp;"")),"")&lt;&gt;"ENCERRADA"),1,0),0)</f>
        <v/>
      </c>
      <c r="B2519">
        <f>B2518+A2519</f>
        <v/>
      </c>
    </row>
    <row r="2520">
      <c r="A2520">
        <f>IFERROR(IF(AND(INDEX(BASELINE!$A2520:$ZZ2520,CALC!$H$1)&lt;&gt;"",INT(IF(AND(CALC!$F$1&gt;0,N(INDEX(BASELINE!$A2520:$ZZ2520,CALC!$F$1))&gt;0),N(INDEX(BASELINE!$A2520:$ZZ2520,CALC!$F$1)),N(INDEX(BASELINE!$A2520:$ZZ2520,CALC!$P$1))))=INT(SIMOPS!$D$3),IFERROR(UPPER(TRIM(INDEX(BASELINE!$A2520:$ZZ2520,CALC!$R$1)&amp;"")),"")&lt;&gt;"ENCERRADA"),1,0),0)</f>
        <v/>
      </c>
      <c r="B2520">
        <f>B2519+A2520</f>
        <v/>
      </c>
    </row>
    <row r="2521">
      <c r="A2521">
        <f>IFERROR(IF(AND(INDEX(BASELINE!$A2521:$ZZ2521,CALC!$H$1)&lt;&gt;"",INT(IF(AND(CALC!$F$1&gt;0,N(INDEX(BASELINE!$A2521:$ZZ2521,CALC!$F$1))&gt;0),N(INDEX(BASELINE!$A2521:$ZZ2521,CALC!$F$1)),N(INDEX(BASELINE!$A2521:$ZZ2521,CALC!$P$1))))=INT(SIMOPS!$D$3),IFERROR(UPPER(TRIM(INDEX(BASELINE!$A2521:$ZZ2521,CALC!$R$1)&amp;"")),"")&lt;&gt;"ENCERRADA"),1,0),0)</f>
        <v/>
      </c>
      <c r="B2521">
        <f>B2520+A2521</f>
        <v/>
      </c>
    </row>
    <row r="2522">
      <c r="A2522">
        <f>IFERROR(IF(AND(INDEX(BASELINE!$A2522:$ZZ2522,CALC!$H$1)&lt;&gt;"",INT(IF(AND(CALC!$F$1&gt;0,N(INDEX(BASELINE!$A2522:$ZZ2522,CALC!$F$1))&gt;0),N(INDEX(BASELINE!$A2522:$ZZ2522,CALC!$F$1)),N(INDEX(BASELINE!$A2522:$ZZ2522,CALC!$P$1))))=INT(SIMOPS!$D$3),IFERROR(UPPER(TRIM(INDEX(BASELINE!$A2522:$ZZ2522,CALC!$R$1)&amp;"")),"")&lt;&gt;"ENCERRADA"),1,0),0)</f>
        <v/>
      </c>
      <c r="B2522">
        <f>B2521+A2522</f>
        <v/>
      </c>
    </row>
    <row r="2523">
      <c r="A2523">
        <f>IFERROR(IF(AND(INDEX(BASELINE!$A2523:$ZZ2523,CALC!$H$1)&lt;&gt;"",INT(IF(AND(CALC!$F$1&gt;0,N(INDEX(BASELINE!$A2523:$ZZ2523,CALC!$F$1))&gt;0),N(INDEX(BASELINE!$A2523:$ZZ2523,CALC!$F$1)),N(INDEX(BASELINE!$A2523:$ZZ2523,CALC!$P$1))))=INT(SIMOPS!$D$3),IFERROR(UPPER(TRIM(INDEX(BASELINE!$A2523:$ZZ2523,CALC!$R$1)&amp;"")),"")&lt;&gt;"ENCERRADA"),1,0),0)</f>
        <v/>
      </c>
      <c r="B2523">
        <f>B2522+A2523</f>
        <v/>
      </c>
    </row>
    <row r="2524">
      <c r="A2524">
        <f>IFERROR(IF(AND(INDEX(BASELINE!$A2524:$ZZ2524,CALC!$H$1)&lt;&gt;"",INT(IF(AND(CALC!$F$1&gt;0,N(INDEX(BASELINE!$A2524:$ZZ2524,CALC!$F$1))&gt;0),N(INDEX(BASELINE!$A2524:$ZZ2524,CALC!$F$1)),N(INDEX(BASELINE!$A2524:$ZZ2524,CALC!$P$1))))=INT(SIMOPS!$D$3),IFERROR(UPPER(TRIM(INDEX(BASELINE!$A2524:$ZZ2524,CALC!$R$1)&amp;"")),"")&lt;&gt;"ENCERRADA"),1,0),0)</f>
        <v/>
      </c>
      <c r="B2524">
        <f>B2523+A2524</f>
        <v/>
      </c>
    </row>
    <row r="2525">
      <c r="A2525">
        <f>IFERROR(IF(AND(INDEX(BASELINE!$A2525:$ZZ2525,CALC!$H$1)&lt;&gt;"",INT(IF(AND(CALC!$F$1&gt;0,N(INDEX(BASELINE!$A2525:$ZZ2525,CALC!$F$1))&gt;0),N(INDEX(BASELINE!$A2525:$ZZ2525,CALC!$F$1)),N(INDEX(BASELINE!$A2525:$ZZ2525,CALC!$P$1))))=INT(SIMOPS!$D$3),IFERROR(UPPER(TRIM(INDEX(BASELINE!$A2525:$ZZ2525,CALC!$R$1)&amp;"")),"")&lt;&gt;"ENCERRADA"),1,0),0)</f>
        <v/>
      </c>
      <c r="B2525">
        <f>B2524+A2525</f>
        <v/>
      </c>
    </row>
    <row r="2526">
      <c r="A2526">
        <f>IFERROR(IF(AND(INDEX(BASELINE!$A2526:$ZZ2526,CALC!$H$1)&lt;&gt;"",INT(IF(AND(CALC!$F$1&gt;0,N(INDEX(BASELINE!$A2526:$ZZ2526,CALC!$F$1))&gt;0),N(INDEX(BASELINE!$A2526:$ZZ2526,CALC!$F$1)),N(INDEX(BASELINE!$A2526:$ZZ2526,CALC!$P$1))))=INT(SIMOPS!$D$3),IFERROR(UPPER(TRIM(INDEX(BASELINE!$A2526:$ZZ2526,CALC!$R$1)&amp;"")),"")&lt;&gt;"ENCERRADA"),1,0),0)</f>
        <v/>
      </c>
      <c r="B2526">
        <f>B2525+A2526</f>
        <v/>
      </c>
    </row>
    <row r="2527">
      <c r="A2527">
        <f>IFERROR(IF(AND(INDEX(BASELINE!$A2527:$ZZ2527,CALC!$H$1)&lt;&gt;"",INT(IF(AND(CALC!$F$1&gt;0,N(INDEX(BASELINE!$A2527:$ZZ2527,CALC!$F$1))&gt;0),N(INDEX(BASELINE!$A2527:$ZZ2527,CALC!$F$1)),N(INDEX(BASELINE!$A2527:$ZZ2527,CALC!$P$1))))=INT(SIMOPS!$D$3),IFERROR(UPPER(TRIM(INDEX(BASELINE!$A2527:$ZZ2527,CALC!$R$1)&amp;"")),"")&lt;&gt;"ENCERRADA"),1,0),0)</f>
        <v/>
      </c>
      <c r="B2527">
        <f>B2526+A2527</f>
        <v/>
      </c>
    </row>
    <row r="2528">
      <c r="A2528">
        <f>IFERROR(IF(AND(INDEX(BASELINE!$A2528:$ZZ2528,CALC!$H$1)&lt;&gt;"",INT(IF(AND(CALC!$F$1&gt;0,N(INDEX(BASELINE!$A2528:$ZZ2528,CALC!$F$1))&gt;0),N(INDEX(BASELINE!$A2528:$ZZ2528,CALC!$F$1)),N(INDEX(BASELINE!$A2528:$ZZ2528,CALC!$P$1))))=INT(SIMOPS!$D$3),IFERROR(UPPER(TRIM(INDEX(BASELINE!$A2528:$ZZ2528,CALC!$R$1)&amp;"")),"")&lt;&gt;"ENCERRADA"),1,0),0)</f>
        <v/>
      </c>
      <c r="B2528">
        <f>B2527+A2528</f>
        <v/>
      </c>
    </row>
    <row r="2529">
      <c r="A2529">
        <f>IFERROR(IF(AND(INDEX(BASELINE!$A2529:$ZZ2529,CALC!$H$1)&lt;&gt;"",INT(IF(AND(CALC!$F$1&gt;0,N(INDEX(BASELINE!$A2529:$ZZ2529,CALC!$F$1))&gt;0),N(INDEX(BASELINE!$A2529:$ZZ2529,CALC!$F$1)),N(INDEX(BASELINE!$A2529:$ZZ2529,CALC!$P$1))))=INT(SIMOPS!$D$3),IFERROR(UPPER(TRIM(INDEX(BASELINE!$A2529:$ZZ2529,CALC!$R$1)&amp;"")),"")&lt;&gt;"ENCERRADA"),1,0),0)</f>
        <v/>
      </c>
      <c r="B2529">
        <f>B2528+A2529</f>
        <v/>
      </c>
    </row>
    <row r="2530">
      <c r="A2530">
        <f>IFERROR(IF(AND(INDEX(BASELINE!$A2530:$ZZ2530,CALC!$H$1)&lt;&gt;"",INT(IF(AND(CALC!$F$1&gt;0,N(INDEX(BASELINE!$A2530:$ZZ2530,CALC!$F$1))&gt;0),N(INDEX(BASELINE!$A2530:$ZZ2530,CALC!$F$1)),N(INDEX(BASELINE!$A2530:$ZZ2530,CALC!$P$1))))=INT(SIMOPS!$D$3),IFERROR(UPPER(TRIM(INDEX(BASELINE!$A2530:$ZZ2530,CALC!$R$1)&amp;"")),"")&lt;&gt;"ENCERRADA"),1,0),0)</f>
        <v/>
      </c>
      <c r="B2530">
        <f>B2529+A2530</f>
        <v/>
      </c>
    </row>
    <row r="2531">
      <c r="A2531">
        <f>IFERROR(IF(AND(INDEX(BASELINE!$A2531:$ZZ2531,CALC!$H$1)&lt;&gt;"",INT(IF(AND(CALC!$F$1&gt;0,N(INDEX(BASELINE!$A2531:$ZZ2531,CALC!$F$1))&gt;0),N(INDEX(BASELINE!$A2531:$ZZ2531,CALC!$F$1)),N(INDEX(BASELINE!$A2531:$ZZ2531,CALC!$P$1))))=INT(SIMOPS!$D$3),IFERROR(UPPER(TRIM(INDEX(BASELINE!$A2531:$ZZ2531,CALC!$R$1)&amp;"")),"")&lt;&gt;"ENCERRADA"),1,0),0)</f>
        <v/>
      </c>
      <c r="B2531">
        <f>B2530+A2531</f>
        <v/>
      </c>
    </row>
    <row r="2532">
      <c r="A2532">
        <f>IFERROR(IF(AND(INDEX(BASELINE!$A2532:$ZZ2532,CALC!$H$1)&lt;&gt;"",INT(IF(AND(CALC!$F$1&gt;0,N(INDEX(BASELINE!$A2532:$ZZ2532,CALC!$F$1))&gt;0),N(INDEX(BASELINE!$A2532:$ZZ2532,CALC!$F$1)),N(INDEX(BASELINE!$A2532:$ZZ2532,CALC!$P$1))))=INT(SIMOPS!$D$3),IFERROR(UPPER(TRIM(INDEX(BASELINE!$A2532:$ZZ2532,CALC!$R$1)&amp;"")),"")&lt;&gt;"ENCERRADA"),1,0),0)</f>
        <v/>
      </c>
      <c r="B2532">
        <f>B2531+A2532</f>
        <v/>
      </c>
    </row>
    <row r="2533">
      <c r="A2533">
        <f>IFERROR(IF(AND(INDEX(BASELINE!$A2533:$ZZ2533,CALC!$H$1)&lt;&gt;"",INT(IF(AND(CALC!$F$1&gt;0,N(INDEX(BASELINE!$A2533:$ZZ2533,CALC!$F$1))&gt;0),N(INDEX(BASELINE!$A2533:$ZZ2533,CALC!$F$1)),N(INDEX(BASELINE!$A2533:$ZZ2533,CALC!$P$1))))=INT(SIMOPS!$D$3),IFERROR(UPPER(TRIM(INDEX(BASELINE!$A2533:$ZZ2533,CALC!$R$1)&amp;"")),"")&lt;&gt;"ENCERRADA"),1,0),0)</f>
        <v/>
      </c>
      <c r="B2533">
        <f>B2532+A2533</f>
        <v/>
      </c>
    </row>
    <row r="2534">
      <c r="A2534">
        <f>IFERROR(IF(AND(INDEX(BASELINE!$A2534:$ZZ2534,CALC!$H$1)&lt;&gt;"",INT(IF(AND(CALC!$F$1&gt;0,N(INDEX(BASELINE!$A2534:$ZZ2534,CALC!$F$1))&gt;0),N(INDEX(BASELINE!$A2534:$ZZ2534,CALC!$F$1)),N(INDEX(BASELINE!$A2534:$ZZ2534,CALC!$P$1))))=INT(SIMOPS!$D$3),IFERROR(UPPER(TRIM(INDEX(BASELINE!$A2534:$ZZ2534,CALC!$R$1)&amp;"")),"")&lt;&gt;"ENCERRADA"),1,0),0)</f>
        <v/>
      </c>
      <c r="B2534">
        <f>B2533+A2534</f>
        <v/>
      </c>
    </row>
    <row r="2535">
      <c r="A2535">
        <f>IFERROR(IF(AND(INDEX(BASELINE!$A2535:$ZZ2535,CALC!$H$1)&lt;&gt;"",INT(IF(AND(CALC!$F$1&gt;0,N(INDEX(BASELINE!$A2535:$ZZ2535,CALC!$F$1))&gt;0),N(INDEX(BASELINE!$A2535:$ZZ2535,CALC!$F$1)),N(INDEX(BASELINE!$A2535:$ZZ2535,CALC!$P$1))))=INT(SIMOPS!$D$3),IFERROR(UPPER(TRIM(INDEX(BASELINE!$A2535:$ZZ2535,CALC!$R$1)&amp;"")),"")&lt;&gt;"ENCERRADA"),1,0),0)</f>
        <v/>
      </c>
      <c r="B2535">
        <f>B2534+A2535</f>
        <v/>
      </c>
    </row>
    <row r="2536">
      <c r="A2536">
        <f>IFERROR(IF(AND(INDEX(BASELINE!$A2536:$ZZ2536,CALC!$H$1)&lt;&gt;"",INT(IF(AND(CALC!$F$1&gt;0,N(INDEX(BASELINE!$A2536:$ZZ2536,CALC!$F$1))&gt;0),N(INDEX(BASELINE!$A2536:$ZZ2536,CALC!$F$1)),N(INDEX(BASELINE!$A2536:$ZZ2536,CALC!$P$1))))=INT(SIMOPS!$D$3),IFERROR(UPPER(TRIM(INDEX(BASELINE!$A2536:$ZZ2536,CALC!$R$1)&amp;"")),"")&lt;&gt;"ENCERRADA"),1,0),0)</f>
        <v/>
      </c>
      <c r="B2536">
        <f>B2535+A2536</f>
        <v/>
      </c>
    </row>
    <row r="2537">
      <c r="A2537">
        <f>IFERROR(IF(AND(INDEX(BASELINE!$A2537:$ZZ2537,CALC!$H$1)&lt;&gt;"",INT(IF(AND(CALC!$F$1&gt;0,N(INDEX(BASELINE!$A2537:$ZZ2537,CALC!$F$1))&gt;0),N(INDEX(BASELINE!$A2537:$ZZ2537,CALC!$F$1)),N(INDEX(BASELINE!$A2537:$ZZ2537,CALC!$P$1))))=INT(SIMOPS!$D$3),IFERROR(UPPER(TRIM(INDEX(BASELINE!$A2537:$ZZ2537,CALC!$R$1)&amp;"")),"")&lt;&gt;"ENCERRADA"),1,0),0)</f>
        <v/>
      </c>
      <c r="B2537">
        <f>B2536+A2537</f>
        <v/>
      </c>
    </row>
    <row r="2538">
      <c r="A2538">
        <f>IFERROR(IF(AND(INDEX(BASELINE!$A2538:$ZZ2538,CALC!$H$1)&lt;&gt;"",INT(IF(AND(CALC!$F$1&gt;0,N(INDEX(BASELINE!$A2538:$ZZ2538,CALC!$F$1))&gt;0),N(INDEX(BASELINE!$A2538:$ZZ2538,CALC!$F$1)),N(INDEX(BASELINE!$A2538:$ZZ2538,CALC!$P$1))))=INT(SIMOPS!$D$3),IFERROR(UPPER(TRIM(INDEX(BASELINE!$A2538:$ZZ2538,CALC!$R$1)&amp;"")),"")&lt;&gt;"ENCERRADA"),1,0),0)</f>
        <v/>
      </c>
      <c r="B2538">
        <f>B2537+A2538</f>
        <v/>
      </c>
    </row>
    <row r="2539">
      <c r="A2539">
        <f>IFERROR(IF(AND(INDEX(BASELINE!$A2539:$ZZ2539,CALC!$H$1)&lt;&gt;"",INT(IF(AND(CALC!$F$1&gt;0,N(INDEX(BASELINE!$A2539:$ZZ2539,CALC!$F$1))&gt;0),N(INDEX(BASELINE!$A2539:$ZZ2539,CALC!$F$1)),N(INDEX(BASELINE!$A2539:$ZZ2539,CALC!$P$1))))=INT(SIMOPS!$D$3),IFERROR(UPPER(TRIM(INDEX(BASELINE!$A2539:$ZZ2539,CALC!$R$1)&amp;"")),"")&lt;&gt;"ENCERRADA"),1,0),0)</f>
        <v/>
      </c>
      <c r="B2539">
        <f>B2538+A2539</f>
        <v/>
      </c>
    </row>
    <row r="2540">
      <c r="A2540">
        <f>IFERROR(IF(AND(INDEX(BASELINE!$A2540:$ZZ2540,CALC!$H$1)&lt;&gt;"",INT(IF(AND(CALC!$F$1&gt;0,N(INDEX(BASELINE!$A2540:$ZZ2540,CALC!$F$1))&gt;0),N(INDEX(BASELINE!$A2540:$ZZ2540,CALC!$F$1)),N(INDEX(BASELINE!$A2540:$ZZ2540,CALC!$P$1))))=INT(SIMOPS!$D$3),IFERROR(UPPER(TRIM(INDEX(BASELINE!$A2540:$ZZ2540,CALC!$R$1)&amp;"")),"")&lt;&gt;"ENCERRADA"),1,0),0)</f>
        <v/>
      </c>
      <c r="B2540">
        <f>B2539+A2540</f>
        <v/>
      </c>
    </row>
    <row r="2541">
      <c r="A2541">
        <f>IFERROR(IF(AND(INDEX(BASELINE!$A2541:$ZZ2541,CALC!$H$1)&lt;&gt;"",INT(IF(AND(CALC!$F$1&gt;0,N(INDEX(BASELINE!$A2541:$ZZ2541,CALC!$F$1))&gt;0),N(INDEX(BASELINE!$A2541:$ZZ2541,CALC!$F$1)),N(INDEX(BASELINE!$A2541:$ZZ2541,CALC!$P$1))))=INT(SIMOPS!$D$3),IFERROR(UPPER(TRIM(INDEX(BASELINE!$A2541:$ZZ2541,CALC!$R$1)&amp;"")),"")&lt;&gt;"ENCERRADA"),1,0),0)</f>
        <v/>
      </c>
      <c r="B2541">
        <f>B2540+A2541</f>
        <v/>
      </c>
    </row>
    <row r="2542">
      <c r="A2542">
        <f>IFERROR(IF(AND(INDEX(BASELINE!$A2542:$ZZ2542,CALC!$H$1)&lt;&gt;"",INT(IF(AND(CALC!$F$1&gt;0,N(INDEX(BASELINE!$A2542:$ZZ2542,CALC!$F$1))&gt;0),N(INDEX(BASELINE!$A2542:$ZZ2542,CALC!$F$1)),N(INDEX(BASELINE!$A2542:$ZZ2542,CALC!$P$1))))=INT(SIMOPS!$D$3),IFERROR(UPPER(TRIM(INDEX(BASELINE!$A2542:$ZZ2542,CALC!$R$1)&amp;"")),"")&lt;&gt;"ENCERRADA"),1,0),0)</f>
        <v/>
      </c>
      <c r="B2542">
        <f>B2541+A2542</f>
        <v/>
      </c>
    </row>
    <row r="2543">
      <c r="A2543">
        <f>IFERROR(IF(AND(INDEX(BASELINE!$A2543:$ZZ2543,CALC!$H$1)&lt;&gt;"",INT(IF(AND(CALC!$F$1&gt;0,N(INDEX(BASELINE!$A2543:$ZZ2543,CALC!$F$1))&gt;0),N(INDEX(BASELINE!$A2543:$ZZ2543,CALC!$F$1)),N(INDEX(BASELINE!$A2543:$ZZ2543,CALC!$P$1))))=INT(SIMOPS!$D$3),IFERROR(UPPER(TRIM(INDEX(BASELINE!$A2543:$ZZ2543,CALC!$R$1)&amp;"")),"")&lt;&gt;"ENCERRADA"),1,0),0)</f>
        <v/>
      </c>
      <c r="B2543">
        <f>B2542+A2543</f>
        <v/>
      </c>
    </row>
    <row r="2544">
      <c r="A2544">
        <f>IFERROR(IF(AND(INDEX(BASELINE!$A2544:$ZZ2544,CALC!$H$1)&lt;&gt;"",INT(IF(AND(CALC!$F$1&gt;0,N(INDEX(BASELINE!$A2544:$ZZ2544,CALC!$F$1))&gt;0),N(INDEX(BASELINE!$A2544:$ZZ2544,CALC!$F$1)),N(INDEX(BASELINE!$A2544:$ZZ2544,CALC!$P$1))))=INT(SIMOPS!$D$3),IFERROR(UPPER(TRIM(INDEX(BASELINE!$A2544:$ZZ2544,CALC!$R$1)&amp;"")),"")&lt;&gt;"ENCERRADA"),1,0),0)</f>
        <v/>
      </c>
      <c r="B2544">
        <f>B2543+A2544</f>
        <v/>
      </c>
    </row>
    <row r="2545">
      <c r="A2545">
        <f>IFERROR(IF(AND(INDEX(BASELINE!$A2545:$ZZ2545,CALC!$H$1)&lt;&gt;"",INT(IF(AND(CALC!$F$1&gt;0,N(INDEX(BASELINE!$A2545:$ZZ2545,CALC!$F$1))&gt;0),N(INDEX(BASELINE!$A2545:$ZZ2545,CALC!$F$1)),N(INDEX(BASELINE!$A2545:$ZZ2545,CALC!$P$1))))=INT(SIMOPS!$D$3),IFERROR(UPPER(TRIM(INDEX(BASELINE!$A2545:$ZZ2545,CALC!$R$1)&amp;"")),"")&lt;&gt;"ENCERRADA"),1,0),0)</f>
        <v/>
      </c>
      <c r="B2545">
        <f>B2544+A2545</f>
        <v/>
      </c>
    </row>
    <row r="2546">
      <c r="A2546">
        <f>IFERROR(IF(AND(INDEX(BASELINE!$A2546:$ZZ2546,CALC!$H$1)&lt;&gt;"",INT(IF(AND(CALC!$F$1&gt;0,N(INDEX(BASELINE!$A2546:$ZZ2546,CALC!$F$1))&gt;0),N(INDEX(BASELINE!$A2546:$ZZ2546,CALC!$F$1)),N(INDEX(BASELINE!$A2546:$ZZ2546,CALC!$P$1))))=INT(SIMOPS!$D$3),IFERROR(UPPER(TRIM(INDEX(BASELINE!$A2546:$ZZ2546,CALC!$R$1)&amp;"")),"")&lt;&gt;"ENCERRADA"),1,0),0)</f>
        <v/>
      </c>
      <c r="B2546">
        <f>B2545+A2546</f>
        <v/>
      </c>
    </row>
    <row r="2547">
      <c r="A2547">
        <f>IFERROR(IF(AND(INDEX(BASELINE!$A2547:$ZZ2547,CALC!$H$1)&lt;&gt;"",INT(IF(AND(CALC!$F$1&gt;0,N(INDEX(BASELINE!$A2547:$ZZ2547,CALC!$F$1))&gt;0),N(INDEX(BASELINE!$A2547:$ZZ2547,CALC!$F$1)),N(INDEX(BASELINE!$A2547:$ZZ2547,CALC!$P$1))))=INT(SIMOPS!$D$3),IFERROR(UPPER(TRIM(INDEX(BASELINE!$A2547:$ZZ2547,CALC!$R$1)&amp;"")),"")&lt;&gt;"ENCERRADA"),1,0),0)</f>
        <v/>
      </c>
      <c r="B2547">
        <f>B2546+A2547</f>
        <v/>
      </c>
    </row>
    <row r="2548">
      <c r="A2548">
        <f>IFERROR(IF(AND(INDEX(BASELINE!$A2548:$ZZ2548,CALC!$H$1)&lt;&gt;"",INT(IF(AND(CALC!$F$1&gt;0,N(INDEX(BASELINE!$A2548:$ZZ2548,CALC!$F$1))&gt;0),N(INDEX(BASELINE!$A2548:$ZZ2548,CALC!$F$1)),N(INDEX(BASELINE!$A2548:$ZZ2548,CALC!$P$1))))=INT(SIMOPS!$D$3),IFERROR(UPPER(TRIM(INDEX(BASELINE!$A2548:$ZZ2548,CALC!$R$1)&amp;"")),"")&lt;&gt;"ENCERRADA"),1,0),0)</f>
        <v/>
      </c>
      <c r="B2548">
        <f>B2547+A2548</f>
        <v/>
      </c>
    </row>
    <row r="2549">
      <c r="A2549">
        <f>IFERROR(IF(AND(INDEX(BASELINE!$A2549:$ZZ2549,CALC!$H$1)&lt;&gt;"",INT(IF(AND(CALC!$F$1&gt;0,N(INDEX(BASELINE!$A2549:$ZZ2549,CALC!$F$1))&gt;0),N(INDEX(BASELINE!$A2549:$ZZ2549,CALC!$F$1)),N(INDEX(BASELINE!$A2549:$ZZ2549,CALC!$P$1))))=INT(SIMOPS!$D$3),IFERROR(UPPER(TRIM(INDEX(BASELINE!$A2549:$ZZ2549,CALC!$R$1)&amp;"")),"")&lt;&gt;"ENCERRADA"),1,0),0)</f>
        <v/>
      </c>
      <c r="B2549">
        <f>B2548+A2549</f>
        <v/>
      </c>
    </row>
    <row r="2550">
      <c r="A2550">
        <f>IFERROR(IF(AND(INDEX(BASELINE!$A2550:$ZZ2550,CALC!$H$1)&lt;&gt;"",INT(IF(AND(CALC!$F$1&gt;0,N(INDEX(BASELINE!$A2550:$ZZ2550,CALC!$F$1))&gt;0),N(INDEX(BASELINE!$A2550:$ZZ2550,CALC!$F$1)),N(INDEX(BASELINE!$A2550:$ZZ2550,CALC!$P$1))))=INT(SIMOPS!$D$3),IFERROR(UPPER(TRIM(INDEX(BASELINE!$A2550:$ZZ2550,CALC!$R$1)&amp;"")),"")&lt;&gt;"ENCERRADA"),1,0),0)</f>
        <v/>
      </c>
      <c r="B2550">
        <f>B2549+A2550</f>
        <v/>
      </c>
    </row>
    <row r="2551">
      <c r="A2551">
        <f>IFERROR(IF(AND(INDEX(BASELINE!$A2551:$ZZ2551,CALC!$H$1)&lt;&gt;"",INT(IF(AND(CALC!$F$1&gt;0,N(INDEX(BASELINE!$A2551:$ZZ2551,CALC!$F$1))&gt;0),N(INDEX(BASELINE!$A2551:$ZZ2551,CALC!$F$1)),N(INDEX(BASELINE!$A2551:$ZZ2551,CALC!$P$1))))=INT(SIMOPS!$D$3),IFERROR(UPPER(TRIM(INDEX(BASELINE!$A2551:$ZZ2551,CALC!$R$1)&amp;"")),"")&lt;&gt;"ENCERRADA"),1,0),0)</f>
        <v/>
      </c>
      <c r="B2551">
        <f>B2550+A2551</f>
        <v/>
      </c>
    </row>
    <row r="2552">
      <c r="A2552">
        <f>IFERROR(IF(AND(INDEX(BASELINE!$A2552:$ZZ2552,CALC!$H$1)&lt;&gt;"",INT(IF(AND(CALC!$F$1&gt;0,N(INDEX(BASELINE!$A2552:$ZZ2552,CALC!$F$1))&gt;0),N(INDEX(BASELINE!$A2552:$ZZ2552,CALC!$F$1)),N(INDEX(BASELINE!$A2552:$ZZ2552,CALC!$P$1))))=INT(SIMOPS!$D$3),IFERROR(UPPER(TRIM(INDEX(BASELINE!$A2552:$ZZ2552,CALC!$R$1)&amp;"")),"")&lt;&gt;"ENCERRADA"),1,0),0)</f>
        <v/>
      </c>
      <c r="B2552">
        <f>B2551+A2552</f>
        <v/>
      </c>
    </row>
    <row r="2553">
      <c r="A2553">
        <f>IFERROR(IF(AND(INDEX(BASELINE!$A2553:$ZZ2553,CALC!$H$1)&lt;&gt;"",INT(IF(AND(CALC!$F$1&gt;0,N(INDEX(BASELINE!$A2553:$ZZ2553,CALC!$F$1))&gt;0),N(INDEX(BASELINE!$A2553:$ZZ2553,CALC!$F$1)),N(INDEX(BASELINE!$A2553:$ZZ2553,CALC!$P$1))))=INT(SIMOPS!$D$3),IFERROR(UPPER(TRIM(INDEX(BASELINE!$A2553:$ZZ2553,CALC!$R$1)&amp;"")),"")&lt;&gt;"ENCERRADA"),1,0),0)</f>
        <v/>
      </c>
      <c r="B2553">
        <f>B2552+A2553</f>
        <v/>
      </c>
    </row>
    <row r="2554">
      <c r="A2554">
        <f>IFERROR(IF(AND(INDEX(BASELINE!$A2554:$ZZ2554,CALC!$H$1)&lt;&gt;"",INT(IF(AND(CALC!$F$1&gt;0,N(INDEX(BASELINE!$A2554:$ZZ2554,CALC!$F$1))&gt;0),N(INDEX(BASELINE!$A2554:$ZZ2554,CALC!$F$1)),N(INDEX(BASELINE!$A2554:$ZZ2554,CALC!$P$1))))=INT(SIMOPS!$D$3),IFERROR(UPPER(TRIM(INDEX(BASELINE!$A2554:$ZZ2554,CALC!$R$1)&amp;"")),"")&lt;&gt;"ENCERRADA"),1,0),0)</f>
        <v/>
      </c>
      <c r="B2554">
        <f>B2553+A2554</f>
        <v/>
      </c>
    </row>
    <row r="2555">
      <c r="A2555">
        <f>IFERROR(IF(AND(INDEX(BASELINE!$A2555:$ZZ2555,CALC!$H$1)&lt;&gt;"",INT(IF(AND(CALC!$F$1&gt;0,N(INDEX(BASELINE!$A2555:$ZZ2555,CALC!$F$1))&gt;0),N(INDEX(BASELINE!$A2555:$ZZ2555,CALC!$F$1)),N(INDEX(BASELINE!$A2555:$ZZ2555,CALC!$P$1))))=INT(SIMOPS!$D$3),IFERROR(UPPER(TRIM(INDEX(BASELINE!$A2555:$ZZ2555,CALC!$R$1)&amp;"")),"")&lt;&gt;"ENCERRADA"),1,0),0)</f>
        <v/>
      </c>
      <c r="B2555">
        <f>B2554+A2555</f>
        <v/>
      </c>
    </row>
    <row r="2556">
      <c r="A2556">
        <f>IFERROR(IF(AND(INDEX(BASELINE!$A2556:$ZZ2556,CALC!$H$1)&lt;&gt;"",INT(IF(AND(CALC!$F$1&gt;0,N(INDEX(BASELINE!$A2556:$ZZ2556,CALC!$F$1))&gt;0),N(INDEX(BASELINE!$A2556:$ZZ2556,CALC!$F$1)),N(INDEX(BASELINE!$A2556:$ZZ2556,CALC!$P$1))))=INT(SIMOPS!$D$3),IFERROR(UPPER(TRIM(INDEX(BASELINE!$A2556:$ZZ2556,CALC!$R$1)&amp;"")),"")&lt;&gt;"ENCERRADA"),1,0),0)</f>
        <v/>
      </c>
      <c r="B2556">
        <f>B2555+A2556</f>
        <v/>
      </c>
    </row>
    <row r="2557">
      <c r="A2557">
        <f>IFERROR(IF(AND(INDEX(BASELINE!$A2557:$ZZ2557,CALC!$H$1)&lt;&gt;"",INT(IF(AND(CALC!$F$1&gt;0,N(INDEX(BASELINE!$A2557:$ZZ2557,CALC!$F$1))&gt;0),N(INDEX(BASELINE!$A2557:$ZZ2557,CALC!$F$1)),N(INDEX(BASELINE!$A2557:$ZZ2557,CALC!$P$1))))=INT(SIMOPS!$D$3),IFERROR(UPPER(TRIM(INDEX(BASELINE!$A2557:$ZZ2557,CALC!$R$1)&amp;"")),"")&lt;&gt;"ENCERRADA"),1,0),0)</f>
        <v/>
      </c>
      <c r="B2557">
        <f>B2556+A2557</f>
        <v/>
      </c>
    </row>
    <row r="2558">
      <c r="A2558">
        <f>IFERROR(IF(AND(INDEX(BASELINE!$A2558:$ZZ2558,CALC!$H$1)&lt;&gt;"",INT(IF(AND(CALC!$F$1&gt;0,N(INDEX(BASELINE!$A2558:$ZZ2558,CALC!$F$1))&gt;0),N(INDEX(BASELINE!$A2558:$ZZ2558,CALC!$F$1)),N(INDEX(BASELINE!$A2558:$ZZ2558,CALC!$P$1))))=INT(SIMOPS!$D$3),IFERROR(UPPER(TRIM(INDEX(BASELINE!$A2558:$ZZ2558,CALC!$R$1)&amp;"")),"")&lt;&gt;"ENCERRADA"),1,0),0)</f>
        <v/>
      </c>
      <c r="B2558">
        <f>B2557+A2558</f>
        <v/>
      </c>
    </row>
    <row r="2559">
      <c r="A2559">
        <f>IFERROR(IF(AND(INDEX(BASELINE!$A2559:$ZZ2559,CALC!$H$1)&lt;&gt;"",INT(IF(AND(CALC!$F$1&gt;0,N(INDEX(BASELINE!$A2559:$ZZ2559,CALC!$F$1))&gt;0),N(INDEX(BASELINE!$A2559:$ZZ2559,CALC!$F$1)),N(INDEX(BASELINE!$A2559:$ZZ2559,CALC!$P$1))))=INT(SIMOPS!$D$3),IFERROR(UPPER(TRIM(INDEX(BASELINE!$A2559:$ZZ2559,CALC!$R$1)&amp;"")),"")&lt;&gt;"ENCERRADA"),1,0),0)</f>
        <v/>
      </c>
      <c r="B2559">
        <f>B2558+A2559</f>
        <v/>
      </c>
    </row>
    <row r="2560">
      <c r="A2560">
        <f>IFERROR(IF(AND(INDEX(BASELINE!$A2560:$ZZ2560,CALC!$H$1)&lt;&gt;"",INT(IF(AND(CALC!$F$1&gt;0,N(INDEX(BASELINE!$A2560:$ZZ2560,CALC!$F$1))&gt;0),N(INDEX(BASELINE!$A2560:$ZZ2560,CALC!$F$1)),N(INDEX(BASELINE!$A2560:$ZZ2560,CALC!$P$1))))=INT(SIMOPS!$D$3),IFERROR(UPPER(TRIM(INDEX(BASELINE!$A2560:$ZZ2560,CALC!$R$1)&amp;"")),"")&lt;&gt;"ENCERRADA"),1,0),0)</f>
        <v/>
      </c>
      <c r="B2560">
        <f>B2559+A2560</f>
        <v/>
      </c>
    </row>
    <row r="2561">
      <c r="A2561">
        <f>IFERROR(IF(AND(INDEX(BASELINE!$A2561:$ZZ2561,CALC!$H$1)&lt;&gt;"",INT(IF(AND(CALC!$F$1&gt;0,N(INDEX(BASELINE!$A2561:$ZZ2561,CALC!$F$1))&gt;0),N(INDEX(BASELINE!$A2561:$ZZ2561,CALC!$F$1)),N(INDEX(BASELINE!$A2561:$ZZ2561,CALC!$P$1))))=INT(SIMOPS!$D$3),IFERROR(UPPER(TRIM(INDEX(BASELINE!$A2561:$ZZ2561,CALC!$R$1)&amp;"")),"")&lt;&gt;"ENCERRADA"),1,0),0)</f>
        <v/>
      </c>
      <c r="B2561">
        <f>B2560+A2561</f>
        <v/>
      </c>
    </row>
    <row r="2562">
      <c r="A2562">
        <f>IFERROR(IF(AND(INDEX(BASELINE!$A2562:$ZZ2562,CALC!$H$1)&lt;&gt;"",INT(IF(AND(CALC!$F$1&gt;0,N(INDEX(BASELINE!$A2562:$ZZ2562,CALC!$F$1))&gt;0),N(INDEX(BASELINE!$A2562:$ZZ2562,CALC!$F$1)),N(INDEX(BASELINE!$A2562:$ZZ2562,CALC!$P$1))))=INT(SIMOPS!$D$3),IFERROR(UPPER(TRIM(INDEX(BASELINE!$A2562:$ZZ2562,CALC!$R$1)&amp;"")),"")&lt;&gt;"ENCERRADA"),1,0),0)</f>
        <v/>
      </c>
      <c r="B2562">
        <f>B2561+A2562</f>
        <v/>
      </c>
    </row>
    <row r="2563">
      <c r="A2563">
        <f>IFERROR(IF(AND(INDEX(BASELINE!$A2563:$ZZ2563,CALC!$H$1)&lt;&gt;"",INT(IF(AND(CALC!$F$1&gt;0,N(INDEX(BASELINE!$A2563:$ZZ2563,CALC!$F$1))&gt;0),N(INDEX(BASELINE!$A2563:$ZZ2563,CALC!$F$1)),N(INDEX(BASELINE!$A2563:$ZZ2563,CALC!$P$1))))=INT(SIMOPS!$D$3),IFERROR(UPPER(TRIM(INDEX(BASELINE!$A2563:$ZZ2563,CALC!$R$1)&amp;"")),"")&lt;&gt;"ENCERRADA"),1,0),0)</f>
        <v/>
      </c>
      <c r="B2563">
        <f>B2562+A2563</f>
        <v/>
      </c>
    </row>
    <row r="2564">
      <c r="A2564">
        <f>IFERROR(IF(AND(INDEX(BASELINE!$A2564:$ZZ2564,CALC!$H$1)&lt;&gt;"",INT(IF(AND(CALC!$F$1&gt;0,N(INDEX(BASELINE!$A2564:$ZZ2564,CALC!$F$1))&gt;0),N(INDEX(BASELINE!$A2564:$ZZ2564,CALC!$F$1)),N(INDEX(BASELINE!$A2564:$ZZ2564,CALC!$P$1))))=INT(SIMOPS!$D$3),IFERROR(UPPER(TRIM(INDEX(BASELINE!$A2564:$ZZ2564,CALC!$R$1)&amp;"")),"")&lt;&gt;"ENCERRADA"),1,0),0)</f>
        <v/>
      </c>
      <c r="B2564">
        <f>B2563+A2564</f>
        <v/>
      </c>
    </row>
    <row r="2565">
      <c r="A2565">
        <f>IFERROR(IF(AND(INDEX(BASELINE!$A2565:$ZZ2565,CALC!$H$1)&lt;&gt;"",INT(IF(AND(CALC!$F$1&gt;0,N(INDEX(BASELINE!$A2565:$ZZ2565,CALC!$F$1))&gt;0),N(INDEX(BASELINE!$A2565:$ZZ2565,CALC!$F$1)),N(INDEX(BASELINE!$A2565:$ZZ2565,CALC!$P$1))))=INT(SIMOPS!$D$3),IFERROR(UPPER(TRIM(INDEX(BASELINE!$A2565:$ZZ2565,CALC!$R$1)&amp;"")),"")&lt;&gt;"ENCERRADA"),1,0),0)</f>
        <v/>
      </c>
      <c r="B2565">
        <f>B2564+A2565</f>
        <v/>
      </c>
    </row>
    <row r="2566">
      <c r="A2566">
        <f>IFERROR(IF(AND(INDEX(BASELINE!$A2566:$ZZ2566,CALC!$H$1)&lt;&gt;"",INT(IF(AND(CALC!$F$1&gt;0,N(INDEX(BASELINE!$A2566:$ZZ2566,CALC!$F$1))&gt;0),N(INDEX(BASELINE!$A2566:$ZZ2566,CALC!$F$1)),N(INDEX(BASELINE!$A2566:$ZZ2566,CALC!$P$1))))=INT(SIMOPS!$D$3),IFERROR(UPPER(TRIM(INDEX(BASELINE!$A2566:$ZZ2566,CALC!$R$1)&amp;"")),"")&lt;&gt;"ENCERRADA"),1,0),0)</f>
        <v/>
      </c>
      <c r="B2566">
        <f>B2565+A2566</f>
        <v/>
      </c>
    </row>
    <row r="2567">
      <c r="A2567">
        <f>IFERROR(IF(AND(INDEX(BASELINE!$A2567:$ZZ2567,CALC!$H$1)&lt;&gt;"",INT(IF(AND(CALC!$F$1&gt;0,N(INDEX(BASELINE!$A2567:$ZZ2567,CALC!$F$1))&gt;0),N(INDEX(BASELINE!$A2567:$ZZ2567,CALC!$F$1)),N(INDEX(BASELINE!$A2567:$ZZ2567,CALC!$P$1))))=INT(SIMOPS!$D$3),IFERROR(UPPER(TRIM(INDEX(BASELINE!$A2567:$ZZ2567,CALC!$R$1)&amp;"")),"")&lt;&gt;"ENCERRADA"),1,0),0)</f>
        <v/>
      </c>
      <c r="B2567">
        <f>B2566+A2567</f>
        <v/>
      </c>
    </row>
    <row r="2568">
      <c r="A2568">
        <f>IFERROR(IF(AND(INDEX(BASELINE!$A2568:$ZZ2568,CALC!$H$1)&lt;&gt;"",INT(IF(AND(CALC!$F$1&gt;0,N(INDEX(BASELINE!$A2568:$ZZ2568,CALC!$F$1))&gt;0),N(INDEX(BASELINE!$A2568:$ZZ2568,CALC!$F$1)),N(INDEX(BASELINE!$A2568:$ZZ2568,CALC!$P$1))))=INT(SIMOPS!$D$3),IFERROR(UPPER(TRIM(INDEX(BASELINE!$A2568:$ZZ2568,CALC!$R$1)&amp;"")),"")&lt;&gt;"ENCERRADA"),1,0),0)</f>
        <v/>
      </c>
      <c r="B2568">
        <f>B2567+A2568</f>
        <v/>
      </c>
    </row>
    <row r="2569">
      <c r="A2569">
        <f>IFERROR(IF(AND(INDEX(BASELINE!$A2569:$ZZ2569,CALC!$H$1)&lt;&gt;"",INT(IF(AND(CALC!$F$1&gt;0,N(INDEX(BASELINE!$A2569:$ZZ2569,CALC!$F$1))&gt;0),N(INDEX(BASELINE!$A2569:$ZZ2569,CALC!$F$1)),N(INDEX(BASELINE!$A2569:$ZZ2569,CALC!$P$1))))=INT(SIMOPS!$D$3),IFERROR(UPPER(TRIM(INDEX(BASELINE!$A2569:$ZZ2569,CALC!$R$1)&amp;"")),"")&lt;&gt;"ENCERRADA"),1,0),0)</f>
        <v/>
      </c>
      <c r="B2569">
        <f>B2568+A2569</f>
        <v/>
      </c>
    </row>
    <row r="2570">
      <c r="A2570">
        <f>IFERROR(IF(AND(INDEX(BASELINE!$A2570:$ZZ2570,CALC!$H$1)&lt;&gt;"",INT(IF(AND(CALC!$F$1&gt;0,N(INDEX(BASELINE!$A2570:$ZZ2570,CALC!$F$1))&gt;0),N(INDEX(BASELINE!$A2570:$ZZ2570,CALC!$F$1)),N(INDEX(BASELINE!$A2570:$ZZ2570,CALC!$P$1))))=INT(SIMOPS!$D$3),IFERROR(UPPER(TRIM(INDEX(BASELINE!$A2570:$ZZ2570,CALC!$R$1)&amp;"")),"")&lt;&gt;"ENCERRADA"),1,0),0)</f>
        <v/>
      </c>
      <c r="B2570">
        <f>B2569+A2570</f>
        <v/>
      </c>
    </row>
    <row r="2571">
      <c r="A2571">
        <f>IFERROR(IF(AND(INDEX(BASELINE!$A2571:$ZZ2571,CALC!$H$1)&lt;&gt;"",INT(IF(AND(CALC!$F$1&gt;0,N(INDEX(BASELINE!$A2571:$ZZ2571,CALC!$F$1))&gt;0),N(INDEX(BASELINE!$A2571:$ZZ2571,CALC!$F$1)),N(INDEX(BASELINE!$A2571:$ZZ2571,CALC!$P$1))))=INT(SIMOPS!$D$3),IFERROR(UPPER(TRIM(INDEX(BASELINE!$A2571:$ZZ2571,CALC!$R$1)&amp;"")),"")&lt;&gt;"ENCERRADA"),1,0),0)</f>
        <v/>
      </c>
      <c r="B2571">
        <f>B2570+A2571</f>
        <v/>
      </c>
    </row>
    <row r="2572">
      <c r="A2572">
        <f>IFERROR(IF(AND(INDEX(BASELINE!$A2572:$ZZ2572,CALC!$H$1)&lt;&gt;"",INT(IF(AND(CALC!$F$1&gt;0,N(INDEX(BASELINE!$A2572:$ZZ2572,CALC!$F$1))&gt;0),N(INDEX(BASELINE!$A2572:$ZZ2572,CALC!$F$1)),N(INDEX(BASELINE!$A2572:$ZZ2572,CALC!$P$1))))=INT(SIMOPS!$D$3),IFERROR(UPPER(TRIM(INDEX(BASELINE!$A2572:$ZZ2572,CALC!$R$1)&amp;"")),"")&lt;&gt;"ENCERRADA"),1,0),0)</f>
        <v/>
      </c>
      <c r="B2572">
        <f>B2571+A2572</f>
        <v/>
      </c>
    </row>
    <row r="2573">
      <c r="A2573">
        <f>IFERROR(IF(AND(INDEX(BASELINE!$A2573:$ZZ2573,CALC!$H$1)&lt;&gt;"",INT(IF(AND(CALC!$F$1&gt;0,N(INDEX(BASELINE!$A2573:$ZZ2573,CALC!$F$1))&gt;0),N(INDEX(BASELINE!$A2573:$ZZ2573,CALC!$F$1)),N(INDEX(BASELINE!$A2573:$ZZ2573,CALC!$P$1))))=INT(SIMOPS!$D$3),IFERROR(UPPER(TRIM(INDEX(BASELINE!$A2573:$ZZ2573,CALC!$R$1)&amp;"")),"")&lt;&gt;"ENCERRADA"),1,0),0)</f>
        <v/>
      </c>
      <c r="B2573">
        <f>B2572+A2573</f>
        <v/>
      </c>
    </row>
    <row r="2574">
      <c r="A2574">
        <f>IFERROR(IF(AND(INDEX(BASELINE!$A2574:$ZZ2574,CALC!$H$1)&lt;&gt;"",INT(IF(AND(CALC!$F$1&gt;0,N(INDEX(BASELINE!$A2574:$ZZ2574,CALC!$F$1))&gt;0),N(INDEX(BASELINE!$A2574:$ZZ2574,CALC!$F$1)),N(INDEX(BASELINE!$A2574:$ZZ2574,CALC!$P$1))))=INT(SIMOPS!$D$3),IFERROR(UPPER(TRIM(INDEX(BASELINE!$A2574:$ZZ2574,CALC!$R$1)&amp;"")),"")&lt;&gt;"ENCERRADA"),1,0),0)</f>
        <v/>
      </c>
      <c r="B2574">
        <f>B2573+A2574</f>
        <v/>
      </c>
    </row>
    <row r="2575">
      <c r="A2575">
        <f>IFERROR(IF(AND(INDEX(BASELINE!$A2575:$ZZ2575,CALC!$H$1)&lt;&gt;"",INT(IF(AND(CALC!$F$1&gt;0,N(INDEX(BASELINE!$A2575:$ZZ2575,CALC!$F$1))&gt;0),N(INDEX(BASELINE!$A2575:$ZZ2575,CALC!$F$1)),N(INDEX(BASELINE!$A2575:$ZZ2575,CALC!$P$1))))=INT(SIMOPS!$D$3),IFERROR(UPPER(TRIM(INDEX(BASELINE!$A2575:$ZZ2575,CALC!$R$1)&amp;"")),"")&lt;&gt;"ENCERRADA"),1,0),0)</f>
        <v/>
      </c>
      <c r="B2575">
        <f>B2574+A2575</f>
        <v/>
      </c>
    </row>
    <row r="2576">
      <c r="A2576">
        <f>IFERROR(IF(AND(INDEX(BASELINE!$A2576:$ZZ2576,CALC!$H$1)&lt;&gt;"",INT(IF(AND(CALC!$F$1&gt;0,N(INDEX(BASELINE!$A2576:$ZZ2576,CALC!$F$1))&gt;0),N(INDEX(BASELINE!$A2576:$ZZ2576,CALC!$F$1)),N(INDEX(BASELINE!$A2576:$ZZ2576,CALC!$P$1))))=INT(SIMOPS!$D$3),IFERROR(UPPER(TRIM(INDEX(BASELINE!$A2576:$ZZ2576,CALC!$R$1)&amp;"")),"")&lt;&gt;"ENCERRADA"),1,0),0)</f>
        <v/>
      </c>
      <c r="B2576">
        <f>B2575+A2576</f>
        <v/>
      </c>
    </row>
    <row r="2577">
      <c r="A2577">
        <f>IFERROR(IF(AND(INDEX(BASELINE!$A2577:$ZZ2577,CALC!$H$1)&lt;&gt;"",INT(IF(AND(CALC!$F$1&gt;0,N(INDEX(BASELINE!$A2577:$ZZ2577,CALC!$F$1))&gt;0),N(INDEX(BASELINE!$A2577:$ZZ2577,CALC!$F$1)),N(INDEX(BASELINE!$A2577:$ZZ2577,CALC!$P$1))))=INT(SIMOPS!$D$3),IFERROR(UPPER(TRIM(INDEX(BASELINE!$A2577:$ZZ2577,CALC!$R$1)&amp;"")),"")&lt;&gt;"ENCERRADA"),1,0),0)</f>
        <v/>
      </c>
      <c r="B2577">
        <f>B2576+A2577</f>
        <v/>
      </c>
    </row>
    <row r="2578">
      <c r="A2578">
        <f>IFERROR(IF(AND(INDEX(BASELINE!$A2578:$ZZ2578,CALC!$H$1)&lt;&gt;"",INT(IF(AND(CALC!$F$1&gt;0,N(INDEX(BASELINE!$A2578:$ZZ2578,CALC!$F$1))&gt;0),N(INDEX(BASELINE!$A2578:$ZZ2578,CALC!$F$1)),N(INDEX(BASELINE!$A2578:$ZZ2578,CALC!$P$1))))=INT(SIMOPS!$D$3),IFERROR(UPPER(TRIM(INDEX(BASELINE!$A2578:$ZZ2578,CALC!$R$1)&amp;"")),"")&lt;&gt;"ENCERRADA"),1,0),0)</f>
        <v/>
      </c>
      <c r="B2578">
        <f>B2577+A2578</f>
        <v/>
      </c>
    </row>
    <row r="2579">
      <c r="A2579">
        <f>IFERROR(IF(AND(INDEX(BASELINE!$A2579:$ZZ2579,CALC!$H$1)&lt;&gt;"",INT(IF(AND(CALC!$F$1&gt;0,N(INDEX(BASELINE!$A2579:$ZZ2579,CALC!$F$1))&gt;0),N(INDEX(BASELINE!$A2579:$ZZ2579,CALC!$F$1)),N(INDEX(BASELINE!$A2579:$ZZ2579,CALC!$P$1))))=INT(SIMOPS!$D$3),IFERROR(UPPER(TRIM(INDEX(BASELINE!$A2579:$ZZ2579,CALC!$R$1)&amp;"")),"")&lt;&gt;"ENCERRADA"),1,0),0)</f>
        <v/>
      </c>
      <c r="B2579">
        <f>B2578+A2579</f>
        <v/>
      </c>
    </row>
    <row r="2580">
      <c r="A2580">
        <f>IFERROR(IF(AND(INDEX(BASELINE!$A2580:$ZZ2580,CALC!$H$1)&lt;&gt;"",INT(IF(AND(CALC!$F$1&gt;0,N(INDEX(BASELINE!$A2580:$ZZ2580,CALC!$F$1))&gt;0),N(INDEX(BASELINE!$A2580:$ZZ2580,CALC!$F$1)),N(INDEX(BASELINE!$A2580:$ZZ2580,CALC!$P$1))))=INT(SIMOPS!$D$3),IFERROR(UPPER(TRIM(INDEX(BASELINE!$A2580:$ZZ2580,CALC!$R$1)&amp;"")),"")&lt;&gt;"ENCERRADA"),1,0),0)</f>
        <v/>
      </c>
      <c r="B2580">
        <f>B2579+A2580</f>
        <v/>
      </c>
    </row>
    <row r="2581">
      <c r="A2581">
        <f>IFERROR(IF(AND(INDEX(BASELINE!$A2581:$ZZ2581,CALC!$H$1)&lt;&gt;"",INT(IF(AND(CALC!$F$1&gt;0,N(INDEX(BASELINE!$A2581:$ZZ2581,CALC!$F$1))&gt;0),N(INDEX(BASELINE!$A2581:$ZZ2581,CALC!$F$1)),N(INDEX(BASELINE!$A2581:$ZZ2581,CALC!$P$1))))=INT(SIMOPS!$D$3),IFERROR(UPPER(TRIM(INDEX(BASELINE!$A2581:$ZZ2581,CALC!$R$1)&amp;"")),"")&lt;&gt;"ENCERRADA"),1,0),0)</f>
        <v/>
      </c>
      <c r="B2581">
        <f>B2580+A2581</f>
        <v/>
      </c>
    </row>
    <row r="2582">
      <c r="A2582">
        <f>IFERROR(IF(AND(INDEX(BASELINE!$A2582:$ZZ2582,CALC!$H$1)&lt;&gt;"",INT(IF(AND(CALC!$F$1&gt;0,N(INDEX(BASELINE!$A2582:$ZZ2582,CALC!$F$1))&gt;0),N(INDEX(BASELINE!$A2582:$ZZ2582,CALC!$F$1)),N(INDEX(BASELINE!$A2582:$ZZ2582,CALC!$P$1))))=INT(SIMOPS!$D$3),IFERROR(UPPER(TRIM(INDEX(BASELINE!$A2582:$ZZ2582,CALC!$R$1)&amp;"")),"")&lt;&gt;"ENCERRADA"),1,0),0)</f>
        <v/>
      </c>
      <c r="B2582">
        <f>B2581+A2582</f>
        <v/>
      </c>
    </row>
    <row r="2583">
      <c r="A2583">
        <f>IFERROR(IF(AND(INDEX(BASELINE!$A2583:$ZZ2583,CALC!$H$1)&lt;&gt;"",INT(IF(AND(CALC!$F$1&gt;0,N(INDEX(BASELINE!$A2583:$ZZ2583,CALC!$F$1))&gt;0),N(INDEX(BASELINE!$A2583:$ZZ2583,CALC!$F$1)),N(INDEX(BASELINE!$A2583:$ZZ2583,CALC!$P$1))))=INT(SIMOPS!$D$3),IFERROR(UPPER(TRIM(INDEX(BASELINE!$A2583:$ZZ2583,CALC!$R$1)&amp;"")),"")&lt;&gt;"ENCERRADA"),1,0),0)</f>
        <v/>
      </c>
      <c r="B2583">
        <f>B2582+A2583</f>
        <v/>
      </c>
    </row>
    <row r="2584">
      <c r="A2584">
        <f>IFERROR(IF(AND(INDEX(BASELINE!$A2584:$ZZ2584,CALC!$H$1)&lt;&gt;"",INT(IF(AND(CALC!$F$1&gt;0,N(INDEX(BASELINE!$A2584:$ZZ2584,CALC!$F$1))&gt;0),N(INDEX(BASELINE!$A2584:$ZZ2584,CALC!$F$1)),N(INDEX(BASELINE!$A2584:$ZZ2584,CALC!$P$1))))=INT(SIMOPS!$D$3),IFERROR(UPPER(TRIM(INDEX(BASELINE!$A2584:$ZZ2584,CALC!$R$1)&amp;"")),"")&lt;&gt;"ENCERRADA"),1,0),0)</f>
        <v/>
      </c>
      <c r="B2584">
        <f>B2583+A2584</f>
        <v/>
      </c>
    </row>
    <row r="2585">
      <c r="A2585">
        <f>IFERROR(IF(AND(INDEX(BASELINE!$A2585:$ZZ2585,CALC!$H$1)&lt;&gt;"",INT(IF(AND(CALC!$F$1&gt;0,N(INDEX(BASELINE!$A2585:$ZZ2585,CALC!$F$1))&gt;0),N(INDEX(BASELINE!$A2585:$ZZ2585,CALC!$F$1)),N(INDEX(BASELINE!$A2585:$ZZ2585,CALC!$P$1))))=INT(SIMOPS!$D$3),IFERROR(UPPER(TRIM(INDEX(BASELINE!$A2585:$ZZ2585,CALC!$R$1)&amp;"")),"")&lt;&gt;"ENCERRADA"),1,0),0)</f>
        <v/>
      </c>
      <c r="B2585">
        <f>B2584+A2585</f>
        <v/>
      </c>
    </row>
    <row r="2586">
      <c r="A2586">
        <f>IFERROR(IF(AND(INDEX(BASELINE!$A2586:$ZZ2586,CALC!$H$1)&lt;&gt;"",INT(IF(AND(CALC!$F$1&gt;0,N(INDEX(BASELINE!$A2586:$ZZ2586,CALC!$F$1))&gt;0),N(INDEX(BASELINE!$A2586:$ZZ2586,CALC!$F$1)),N(INDEX(BASELINE!$A2586:$ZZ2586,CALC!$P$1))))=INT(SIMOPS!$D$3),IFERROR(UPPER(TRIM(INDEX(BASELINE!$A2586:$ZZ2586,CALC!$R$1)&amp;"")),"")&lt;&gt;"ENCERRADA"),1,0),0)</f>
        <v/>
      </c>
      <c r="B2586">
        <f>B2585+A2586</f>
        <v/>
      </c>
    </row>
    <row r="2587">
      <c r="A2587">
        <f>IFERROR(IF(AND(INDEX(BASELINE!$A2587:$ZZ2587,CALC!$H$1)&lt;&gt;"",INT(IF(AND(CALC!$F$1&gt;0,N(INDEX(BASELINE!$A2587:$ZZ2587,CALC!$F$1))&gt;0),N(INDEX(BASELINE!$A2587:$ZZ2587,CALC!$F$1)),N(INDEX(BASELINE!$A2587:$ZZ2587,CALC!$P$1))))=INT(SIMOPS!$D$3),IFERROR(UPPER(TRIM(INDEX(BASELINE!$A2587:$ZZ2587,CALC!$R$1)&amp;"")),"")&lt;&gt;"ENCERRADA"),1,0),0)</f>
        <v/>
      </c>
      <c r="B2587">
        <f>B2586+A2587</f>
        <v/>
      </c>
    </row>
    <row r="2588">
      <c r="A2588">
        <f>IFERROR(IF(AND(INDEX(BASELINE!$A2588:$ZZ2588,CALC!$H$1)&lt;&gt;"",INT(IF(AND(CALC!$F$1&gt;0,N(INDEX(BASELINE!$A2588:$ZZ2588,CALC!$F$1))&gt;0),N(INDEX(BASELINE!$A2588:$ZZ2588,CALC!$F$1)),N(INDEX(BASELINE!$A2588:$ZZ2588,CALC!$P$1))))=INT(SIMOPS!$D$3),IFERROR(UPPER(TRIM(INDEX(BASELINE!$A2588:$ZZ2588,CALC!$R$1)&amp;"")),"")&lt;&gt;"ENCERRADA"),1,0),0)</f>
        <v/>
      </c>
      <c r="B2588">
        <f>B2587+A2588</f>
        <v/>
      </c>
    </row>
    <row r="2589">
      <c r="A2589">
        <f>IFERROR(IF(AND(INDEX(BASELINE!$A2589:$ZZ2589,CALC!$H$1)&lt;&gt;"",INT(IF(AND(CALC!$F$1&gt;0,N(INDEX(BASELINE!$A2589:$ZZ2589,CALC!$F$1))&gt;0),N(INDEX(BASELINE!$A2589:$ZZ2589,CALC!$F$1)),N(INDEX(BASELINE!$A2589:$ZZ2589,CALC!$P$1))))=INT(SIMOPS!$D$3),IFERROR(UPPER(TRIM(INDEX(BASELINE!$A2589:$ZZ2589,CALC!$R$1)&amp;"")),"")&lt;&gt;"ENCERRADA"),1,0),0)</f>
        <v/>
      </c>
      <c r="B2589">
        <f>B2588+A2589</f>
        <v/>
      </c>
    </row>
    <row r="2590">
      <c r="A2590">
        <f>IFERROR(IF(AND(INDEX(BASELINE!$A2590:$ZZ2590,CALC!$H$1)&lt;&gt;"",INT(IF(AND(CALC!$F$1&gt;0,N(INDEX(BASELINE!$A2590:$ZZ2590,CALC!$F$1))&gt;0),N(INDEX(BASELINE!$A2590:$ZZ2590,CALC!$F$1)),N(INDEX(BASELINE!$A2590:$ZZ2590,CALC!$P$1))))=INT(SIMOPS!$D$3),IFERROR(UPPER(TRIM(INDEX(BASELINE!$A2590:$ZZ2590,CALC!$R$1)&amp;"")),"")&lt;&gt;"ENCERRADA"),1,0),0)</f>
        <v/>
      </c>
      <c r="B2590">
        <f>B2589+A2590</f>
        <v/>
      </c>
    </row>
    <row r="2591">
      <c r="A2591">
        <f>IFERROR(IF(AND(INDEX(BASELINE!$A2591:$ZZ2591,CALC!$H$1)&lt;&gt;"",INT(IF(AND(CALC!$F$1&gt;0,N(INDEX(BASELINE!$A2591:$ZZ2591,CALC!$F$1))&gt;0),N(INDEX(BASELINE!$A2591:$ZZ2591,CALC!$F$1)),N(INDEX(BASELINE!$A2591:$ZZ2591,CALC!$P$1))))=INT(SIMOPS!$D$3),IFERROR(UPPER(TRIM(INDEX(BASELINE!$A2591:$ZZ2591,CALC!$R$1)&amp;"")),"")&lt;&gt;"ENCERRADA"),1,0),0)</f>
        <v/>
      </c>
      <c r="B2591">
        <f>B2590+A2591</f>
        <v/>
      </c>
    </row>
    <row r="2592">
      <c r="A2592">
        <f>IFERROR(IF(AND(INDEX(BASELINE!$A2592:$ZZ2592,CALC!$H$1)&lt;&gt;"",INT(IF(AND(CALC!$F$1&gt;0,N(INDEX(BASELINE!$A2592:$ZZ2592,CALC!$F$1))&gt;0),N(INDEX(BASELINE!$A2592:$ZZ2592,CALC!$F$1)),N(INDEX(BASELINE!$A2592:$ZZ2592,CALC!$P$1))))=INT(SIMOPS!$D$3),IFERROR(UPPER(TRIM(INDEX(BASELINE!$A2592:$ZZ2592,CALC!$R$1)&amp;"")),"")&lt;&gt;"ENCERRADA"),1,0),0)</f>
        <v/>
      </c>
      <c r="B2592">
        <f>B2591+A2592</f>
        <v/>
      </c>
    </row>
    <row r="2593">
      <c r="A2593">
        <f>IFERROR(IF(AND(INDEX(BASELINE!$A2593:$ZZ2593,CALC!$H$1)&lt;&gt;"",INT(IF(AND(CALC!$F$1&gt;0,N(INDEX(BASELINE!$A2593:$ZZ2593,CALC!$F$1))&gt;0),N(INDEX(BASELINE!$A2593:$ZZ2593,CALC!$F$1)),N(INDEX(BASELINE!$A2593:$ZZ2593,CALC!$P$1))))=INT(SIMOPS!$D$3),IFERROR(UPPER(TRIM(INDEX(BASELINE!$A2593:$ZZ2593,CALC!$R$1)&amp;"")),"")&lt;&gt;"ENCERRADA"),1,0),0)</f>
        <v/>
      </c>
      <c r="B2593">
        <f>B2592+A2593</f>
        <v/>
      </c>
    </row>
    <row r="2594">
      <c r="A2594">
        <f>IFERROR(IF(AND(INDEX(BASELINE!$A2594:$ZZ2594,CALC!$H$1)&lt;&gt;"",INT(IF(AND(CALC!$F$1&gt;0,N(INDEX(BASELINE!$A2594:$ZZ2594,CALC!$F$1))&gt;0),N(INDEX(BASELINE!$A2594:$ZZ2594,CALC!$F$1)),N(INDEX(BASELINE!$A2594:$ZZ2594,CALC!$P$1))))=INT(SIMOPS!$D$3),IFERROR(UPPER(TRIM(INDEX(BASELINE!$A2594:$ZZ2594,CALC!$R$1)&amp;"")),"")&lt;&gt;"ENCERRADA"),1,0),0)</f>
        <v/>
      </c>
      <c r="B2594">
        <f>B2593+A2594</f>
        <v/>
      </c>
    </row>
    <row r="2595">
      <c r="A2595">
        <f>IFERROR(IF(AND(INDEX(BASELINE!$A2595:$ZZ2595,CALC!$H$1)&lt;&gt;"",INT(IF(AND(CALC!$F$1&gt;0,N(INDEX(BASELINE!$A2595:$ZZ2595,CALC!$F$1))&gt;0),N(INDEX(BASELINE!$A2595:$ZZ2595,CALC!$F$1)),N(INDEX(BASELINE!$A2595:$ZZ2595,CALC!$P$1))))=INT(SIMOPS!$D$3),IFERROR(UPPER(TRIM(INDEX(BASELINE!$A2595:$ZZ2595,CALC!$R$1)&amp;"")),"")&lt;&gt;"ENCERRADA"),1,0),0)</f>
        <v/>
      </c>
      <c r="B2595">
        <f>B2594+A2595</f>
        <v/>
      </c>
    </row>
    <row r="2596">
      <c r="A2596">
        <f>IFERROR(IF(AND(INDEX(BASELINE!$A2596:$ZZ2596,CALC!$H$1)&lt;&gt;"",INT(IF(AND(CALC!$F$1&gt;0,N(INDEX(BASELINE!$A2596:$ZZ2596,CALC!$F$1))&gt;0),N(INDEX(BASELINE!$A2596:$ZZ2596,CALC!$F$1)),N(INDEX(BASELINE!$A2596:$ZZ2596,CALC!$P$1))))=INT(SIMOPS!$D$3),IFERROR(UPPER(TRIM(INDEX(BASELINE!$A2596:$ZZ2596,CALC!$R$1)&amp;"")),"")&lt;&gt;"ENCERRADA"),1,0),0)</f>
        <v/>
      </c>
      <c r="B2596">
        <f>B2595+A2596</f>
        <v/>
      </c>
    </row>
    <row r="2597">
      <c r="A2597">
        <f>IFERROR(IF(AND(INDEX(BASELINE!$A2597:$ZZ2597,CALC!$H$1)&lt;&gt;"",INT(IF(AND(CALC!$F$1&gt;0,N(INDEX(BASELINE!$A2597:$ZZ2597,CALC!$F$1))&gt;0),N(INDEX(BASELINE!$A2597:$ZZ2597,CALC!$F$1)),N(INDEX(BASELINE!$A2597:$ZZ2597,CALC!$P$1))))=INT(SIMOPS!$D$3),IFERROR(UPPER(TRIM(INDEX(BASELINE!$A2597:$ZZ2597,CALC!$R$1)&amp;"")),"")&lt;&gt;"ENCERRADA"),1,0),0)</f>
        <v/>
      </c>
      <c r="B2597">
        <f>B2596+A2597</f>
        <v/>
      </c>
    </row>
    <row r="2598">
      <c r="A2598">
        <f>IFERROR(IF(AND(INDEX(BASELINE!$A2598:$ZZ2598,CALC!$H$1)&lt;&gt;"",INT(IF(AND(CALC!$F$1&gt;0,N(INDEX(BASELINE!$A2598:$ZZ2598,CALC!$F$1))&gt;0),N(INDEX(BASELINE!$A2598:$ZZ2598,CALC!$F$1)),N(INDEX(BASELINE!$A2598:$ZZ2598,CALC!$P$1))))=INT(SIMOPS!$D$3),IFERROR(UPPER(TRIM(INDEX(BASELINE!$A2598:$ZZ2598,CALC!$R$1)&amp;"")),"")&lt;&gt;"ENCERRADA"),1,0),0)</f>
        <v/>
      </c>
      <c r="B2598">
        <f>B2597+A2598</f>
        <v/>
      </c>
    </row>
    <row r="2599">
      <c r="A2599">
        <f>IFERROR(IF(AND(INDEX(BASELINE!$A2599:$ZZ2599,CALC!$H$1)&lt;&gt;"",INT(IF(AND(CALC!$F$1&gt;0,N(INDEX(BASELINE!$A2599:$ZZ2599,CALC!$F$1))&gt;0),N(INDEX(BASELINE!$A2599:$ZZ2599,CALC!$F$1)),N(INDEX(BASELINE!$A2599:$ZZ2599,CALC!$P$1))))=INT(SIMOPS!$D$3),IFERROR(UPPER(TRIM(INDEX(BASELINE!$A2599:$ZZ2599,CALC!$R$1)&amp;"")),"")&lt;&gt;"ENCERRADA"),1,0),0)</f>
        <v/>
      </c>
      <c r="B2599">
        <f>B2598+A2599</f>
        <v/>
      </c>
    </row>
    <row r="2600">
      <c r="A2600">
        <f>IFERROR(IF(AND(INDEX(BASELINE!$A2600:$ZZ2600,CALC!$H$1)&lt;&gt;"",INT(IF(AND(CALC!$F$1&gt;0,N(INDEX(BASELINE!$A2600:$ZZ2600,CALC!$F$1))&gt;0),N(INDEX(BASELINE!$A2600:$ZZ2600,CALC!$F$1)),N(INDEX(BASELINE!$A2600:$ZZ2600,CALC!$P$1))))=INT(SIMOPS!$D$3),IFERROR(UPPER(TRIM(INDEX(BASELINE!$A2600:$ZZ2600,CALC!$R$1)&amp;"")),"")&lt;&gt;"ENCERRADA"),1,0),0)</f>
        <v/>
      </c>
      <c r="B2600">
        <f>B2599+A2600</f>
        <v/>
      </c>
    </row>
    <row r="2601">
      <c r="A2601">
        <f>IFERROR(IF(AND(INDEX(BASELINE!$A2601:$ZZ2601,CALC!$H$1)&lt;&gt;"",INT(IF(AND(CALC!$F$1&gt;0,N(INDEX(BASELINE!$A2601:$ZZ2601,CALC!$F$1))&gt;0),N(INDEX(BASELINE!$A2601:$ZZ2601,CALC!$F$1)),N(INDEX(BASELINE!$A2601:$ZZ2601,CALC!$P$1))))=INT(SIMOPS!$D$3),IFERROR(UPPER(TRIM(INDEX(BASELINE!$A2601:$ZZ2601,CALC!$R$1)&amp;"")),"")&lt;&gt;"ENCERRADA"),1,0),0)</f>
        <v/>
      </c>
      <c r="B2601">
        <f>B2600+A2601</f>
        <v/>
      </c>
    </row>
    <row r="2602">
      <c r="A2602">
        <f>IFERROR(IF(AND(INDEX(BASELINE!$A2602:$ZZ2602,CALC!$H$1)&lt;&gt;"",INT(IF(AND(CALC!$F$1&gt;0,N(INDEX(BASELINE!$A2602:$ZZ2602,CALC!$F$1))&gt;0),N(INDEX(BASELINE!$A2602:$ZZ2602,CALC!$F$1)),N(INDEX(BASELINE!$A2602:$ZZ2602,CALC!$P$1))))=INT(SIMOPS!$D$3),IFERROR(UPPER(TRIM(INDEX(BASELINE!$A2602:$ZZ2602,CALC!$R$1)&amp;"")),"")&lt;&gt;"ENCERRADA"),1,0),0)</f>
        <v/>
      </c>
      <c r="B2602">
        <f>B2601+A2602</f>
        <v/>
      </c>
    </row>
    <row r="2603">
      <c r="A2603">
        <f>IFERROR(IF(AND(INDEX(BASELINE!$A2603:$ZZ2603,CALC!$H$1)&lt;&gt;"",INT(IF(AND(CALC!$F$1&gt;0,N(INDEX(BASELINE!$A2603:$ZZ2603,CALC!$F$1))&gt;0),N(INDEX(BASELINE!$A2603:$ZZ2603,CALC!$F$1)),N(INDEX(BASELINE!$A2603:$ZZ2603,CALC!$P$1))))=INT(SIMOPS!$D$3),IFERROR(UPPER(TRIM(INDEX(BASELINE!$A2603:$ZZ2603,CALC!$R$1)&amp;"")),"")&lt;&gt;"ENCERRADA"),1,0),0)</f>
        <v/>
      </c>
      <c r="B2603">
        <f>B2602+A2603</f>
        <v/>
      </c>
    </row>
    <row r="2604">
      <c r="A2604">
        <f>IFERROR(IF(AND(INDEX(BASELINE!$A2604:$ZZ2604,CALC!$H$1)&lt;&gt;"",INT(IF(AND(CALC!$F$1&gt;0,N(INDEX(BASELINE!$A2604:$ZZ2604,CALC!$F$1))&gt;0),N(INDEX(BASELINE!$A2604:$ZZ2604,CALC!$F$1)),N(INDEX(BASELINE!$A2604:$ZZ2604,CALC!$P$1))))=INT(SIMOPS!$D$3),IFERROR(UPPER(TRIM(INDEX(BASELINE!$A2604:$ZZ2604,CALC!$R$1)&amp;"")),"")&lt;&gt;"ENCERRADA"),1,0),0)</f>
        <v/>
      </c>
      <c r="B2604">
        <f>B2603+A2604</f>
        <v/>
      </c>
    </row>
    <row r="2605">
      <c r="A2605">
        <f>IFERROR(IF(AND(INDEX(BASELINE!$A2605:$ZZ2605,CALC!$H$1)&lt;&gt;"",INT(IF(AND(CALC!$F$1&gt;0,N(INDEX(BASELINE!$A2605:$ZZ2605,CALC!$F$1))&gt;0),N(INDEX(BASELINE!$A2605:$ZZ2605,CALC!$F$1)),N(INDEX(BASELINE!$A2605:$ZZ2605,CALC!$P$1))))=INT(SIMOPS!$D$3),IFERROR(UPPER(TRIM(INDEX(BASELINE!$A2605:$ZZ2605,CALC!$R$1)&amp;"")),"")&lt;&gt;"ENCERRADA"),1,0),0)</f>
        <v/>
      </c>
      <c r="B2605">
        <f>B2604+A2605</f>
        <v/>
      </c>
    </row>
    <row r="2606">
      <c r="A2606">
        <f>IFERROR(IF(AND(INDEX(BASELINE!$A2606:$ZZ2606,CALC!$H$1)&lt;&gt;"",INT(IF(AND(CALC!$F$1&gt;0,N(INDEX(BASELINE!$A2606:$ZZ2606,CALC!$F$1))&gt;0),N(INDEX(BASELINE!$A2606:$ZZ2606,CALC!$F$1)),N(INDEX(BASELINE!$A2606:$ZZ2606,CALC!$P$1))))=INT(SIMOPS!$D$3),IFERROR(UPPER(TRIM(INDEX(BASELINE!$A2606:$ZZ2606,CALC!$R$1)&amp;"")),"")&lt;&gt;"ENCERRADA"),1,0),0)</f>
        <v/>
      </c>
      <c r="B2606">
        <f>B2605+A2606</f>
        <v/>
      </c>
    </row>
    <row r="2607">
      <c r="A2607">
        <f>IFERROR(IF(AND(INDEX(BASELINE!$A2607:$ZZ2607,CALC!$H$1)&lt;&gt;"",INT(IF(AND(CALC!$F$1&gt;0,N(INDEX(BASELINE!$A2607:$ZZ2607,CALC!$F$1))&gt;0),N(INDEX(BASELINE!$A2607:$ZZ2607,CALC!$F$1)),N(INDEX(BASELINE!$A2607:$ZZ2607,CALC!$P$1))))=INT(SIMOPS!$D$3),IFERROR(UPPER(TRIM(INDEX(BASELINE!$A2607:$ZZ2607,CALC!$R$1)&amp;"")),"")&lt;&gt;"ENCERRADA"),1,0),0)</f>
        <v/>
      </c>
      <c r="B2607">
        <f>B2606+A2607</f>
        <v/>
      </c>
    </row>
    <row r="2608">
      <c r="A2608">
        <f>IFERROR(IF(AND(INDEX(BASELINE!$A2608:$ZZ2608,CALC!$H$1)&lt;&gt;"",INT(IF(AND(CALC!$F$1&gt;0,N(INDEX(BASELINE!$A2608:$ZZ2608,CALC!$F$1))&gt;0),N(INDEX(BASELINE!$A2608:$ZZ2608,CALC!$F$1)),N(INDEX(BASELINE!$A2608:$ZZ2608,CALC!$P$1))))=INT(SIMOPS!$D$3),IFERROR(UPPER(TRIM(INDEX(BASELINE!$A2608:$ZZ2608,CALC!$R$1)&amp;"")),"")&lt;&gt;"ENCERRADA"),1,0),0)</f>
        <v/>
      </c>
      <c r="B2608">
        <f>B2607+A2608</f>
        <v/>
      </c>
    </row>
    <row r="2609">
      <c r="A2609">
        <f>IFERROR(IF(AND(INDEX(BASELINE!$A2609:$ZZ2609,CALC!$H$1)&lt;&gt;"",INT(IF(AND(CALC!$F$1&gt;0,N(INDEX(BASELINE!$A2609:$ZZ2609,CALC!$F$1))&gt;0),N(INDEX(BASELINE!$A2609:$ZZ2609,CALC!$F$1)),N(INDEX(BASELINE!$A2609:$ZZ2609,CALC!$P$1))))=INT(SIMOPS!$D$3),IFERROR(UPPER(TRIM(INDEX(BASELINE!$A2609:$ZZ2609,CALC!$R$1)&amp;"")),"")&lt;&gt;"ENCERRADA"),1,0),0)</f>
        <v/>
      </c>
      <c r="B2609">
        <f>B2608+A2609</f>
        <v/>
      </c>
    </row>
    <row r="2610">
      <c r="A2610">
        <f>IFERROR(IF(AND(INDEX(BASELINE!$A2610:$ZZ2610,CALC!$H$1)&lt;&gt;"",INT(IF(AND(CALC!$F$1&gt;0,N(INDEX(BASELINE!$A2610:$ZZ2610,CALC!$F$1))&gt;0),N(INDEX(BASELINE!$A2610:$ZZ2610,CALC!$F$1)),N(INDEX(BASELINE!$A2610:$ZZ2610,CALC!$P$1))))=INT(SIMOPS!$D$3),IFERROR(UPPER(TRIM(INDEX(BASELINE!$A2610:$ZZ2610,CALC!$R$1)&amp;"")),"")&lt;&gt;"ENCERRADA"),1,0),0)</f>
        <v/>
      </c>
      <c r="B2610">
        <f>B2609+A2610</f>
        <v/>
      </c>
    </row>
    <row r="2611">
      <c r="A2611">
        <f>IFERROR(IF(AND(INDEX(BASELINE!$A2611:$ZZ2611,CALC!$H$1)&lt;&gt;"",INT(IF(AND(CALC!$F$1&gt;0,N(INDEX(BASELINE!$A2611:$ZZ2611,CALC!$F$1))&gt;0),N(INDEX(BASELINE!$A2611:$ZZ2611,CALC!$F$1)),N(INDEX(BASELINE!$A2611:$ZZ2611,CALC!$P$1))))=INT(SIMOPS!$D$3),IFERROR(UPPER(TRIM(INDEX(BASELINE!$A2611:$ZZ2611,CALC!$R$1)&amp;"")),"")&lt;&gt;"ENCERRADA"),1,0),0)</f>
        <v/>
      </c>
      <c r="B2611">
        <f>B2610+A2611</f>
        <v/>
      </c>
    </row>
    <row r="2612">
      <c r="A2612">
        <f>IFERROR(IF(AND(INDEX(BASELINE!$A2612:$ZZ2612,CALC!$H$1)&lt;&gt;"",INT(IF(AND(CALC!$F$1&gt;0,N(INDEX(BASELINE!$A2612:$ZZ2612,CALC!$F$1))&gt;0),N(INDEX(BASELINE!$A2612:$ZZ2612,CALC!$F$1)),N(INDEX(BASELINE!$A2612:$ZZ2612,CALC!$P$1))))=INT(SIMOPS!$D$3),IFERROR(UPPER(TRIM(INDEX(BASELINE!$A2612:$ZZ2612,CALC!$R$1)&amp;"")),"")&lt;&gt;"ENCERRADA"),1,0),0)</f>
        <v/>
      </c>
      <c r="B2612">
        <f>B2611+A2612</f>
        <v/>
      </c>
    </row>
    <row r="2613">
      <c r="A2613">
        <f>IFERROR(IF(AND(INDEX(BASELINE!$A2613:$ZZ2613,CALC!$H$1)&lt;&gt;"",INT(IF(AND(CALC!$F$1&gt;0,N(INDEX(BASELINE!$A2613:$ZZ2613,CALC!$F$1))&gt;0),N(INDEX(BASELINE!$A2613:$ZZ2613,CALC!$F$1)),N(INDEX(BASELINE!$A2613:$ZZ2613,CALC!$P$1))))=INT(SIMOPS!$D$3),IFERROR(UPPER(TRIM(INDEX(BASELINE!$A2613:$ZZ2613,CALC!$R$1)&amp;"")),"")&lt;&gt;"ENCERRADA"),1,0),0)</f>
        <v/>
      </c>
      <c r="B2613">
        <f>B2612+A2613</f>
        <v/>
      </c>
    </row>
    <row r="2614">
      <c r="A2614">
        <f>IFERROR(IF(AND(INDEX(BASELINE!$A2614:$ZZ2614,CALC!$H$1)&lt;&gt;"",INT(IF(AND(CALC!$F$1&gt;0,N(INDEX(BASELINE!$A2614:$ZZ2614,CALC!$F$1))&gt;0),N(INDEX(BASELINE!$A2614:$ZZ2614,CALC!$F$1)),N(INDEX(BASELINE!$A2614:$ZZ2614,CALC!$P$1))))=INT(SIMOPS!$D$3),IFERROR(UPPER(TRIM(INDEX(BASELINE!$A2614:$ZZ2614,CALC!$R$1)&amp;"")),"")&lt;&gt;"ENCERRADA"),1,0),0)</f>
        <v/>
      </c>
      <c r="B2614">
        <f>B2613+A2614</f>
        <v/>
      </c>
    </row>
    <row r="2615">
      <c r="A2615">
        <f>IFERROR(IF(AND(INDEX(BASELINE!$A2615:$ZZ2615,CALC!$H$1)&lt;&gt;"",INT(IF(AND(CALC!$F$1&gt;0,N(INDEX(BASELINE!$A2615:$ZZ2615,CALC!$F$1))&gt;0),N(INDEX(BASELINE!$A2615:$ZZ2615,CALC!$F$1)),N(INDEX(BASELINE!$A2615:$ZZ2615,CALC!$P$1))))=INT(SIMOPS!$D$3),IFERROR(UPPER(TRIM(INDEX(BASELINE!$A2615:$ZZ2615,CALC!$R$1)&amp;"")),"")&lt;&gt;"ENCERRADA"),1,0),0)</f>
        <v/>
      </c>
      <c r="B2615">
        <f>B2614+A2615</f>
        <v/>
      </c>
    </row>
    <row r="2616">
      <c r="A2616">
        <f>IFERROR(IF(AND(INDEX(BASELINE!$A2616:$ZZ2616,CALC!$H$1)&lt;&gt;"",INT(IF(AND(CALC!$F$1&gt;0,N(INDEX(BASELINE!$A2616:$ZZ2616,CALC!$F$1))&gt;0),N(INDEX(BASELINE!$A2616:$ZZ2616,CALC!$F$1)),N(INDEX(BASELINE!$A2616:$ZZ2616,CALC!$P$1))))=INT(SIMOPS!$D$3),IFERROR(UPPER(TRIM(INDEX(BASELINE!$A2616:$ZZ2616,CALC!$R$1)&amp;"")),"")&lt;&gt;"ENCERRADA"),1,0),0)</f>
        <v/>
      </c>
      <c r="B2616">
        <f>B2615+A2616</f>
        <v/>
      </c>
    </row>
    <row r="2617">
      <c r="A2617">
        <f>IFERROR(IF(AND(INDEX(BASELINE!$A2617:$ZZ2617,CALC!$H$1)&lt;&gt;"",INT(IF(AND(CALC!$F$1&gt;0,N(INDEX(BASELINE!$A2617:$ZZ2617,CALC!$F$1))&gt;0),N(INDEX(BASELINE!$A2617:$ZZ2617,CALC!$F$1)),N(INDEX(BASELINE!$A2617:$ZZ2617,CALC!$P$1))))=INT(SIMOPS!$D$3),IFERROR(UPPER(TRIM(INDEX(BASELINE!$A2617:$ZZ2617,CALC!$R$1)&amp;"")),"")&lt;&gt;"ENCERRADA"),1,0),0)</f>
        <v/>
      </c>
      <c r="B2617">
        <f>B2616+A2617</f>
        <v/>
      </c>
    </row>
    <row r="2618">
      <c r="A2618">
        <f>IFERROR(IF(AND(INDEX(BASELINE!$A2618:$ZZ2618,CALC!$H$1)&lt;&gt;"",INT(IF(AND(CALC!$F$1&gt;0,N(INDEX(BASELINE!$A2618:$ZZ2618,CALC!$F$1))&gt;0),N(INDEX(BASELINE!$A2618:$ZZ2618,CALC!$F$1)),N(INDEX(BASELINE!$A2618:$ZZ2618,CALC!$P$1))))=INT(SIMOPS!$D$3),IFERROR(UPPER(TRIM(INDEX(BASELINE!$A2618:$ZZ2618,CALC!$R$1)&amp;"")),"")&lt;&gt;"ENCERRADA"),1,0),0)</f>
        <v/>
      </c>
      <c r="B2618">
        <f>B2617+A2618</f>
        <v/>
      </c>
    </row>
    <row r="2619">
      <c r="A2619">
        <f>IFERROR(IF(AND(INDEX(BASELINE!$A2619:$ZZ2619,CALC!$H$1)&lt;&gt;"",INT(IF(AND(CALC!$F$1&gt;0,N(INDEX(BASELINE!$A2619:$ZZ2619,CALC!$F$1))&gt;0),N(INDEX(BASELINE!$A2619:$ZZ2619,CALC!$F$1)),N(INDEX(BASELINE!$A2619:$ZZ2619,CALC!$P$1))))=INT(SIMOPS!$D$3),IFERROR(UPPER(TRIM(INDEX(BASELINE!$A2619:$ZZ2619,CALC!$R$1)&amp;"")),"")&lt;&gt;"ENCERRADA"),1,0),0)</f>
        <v/>
      </c>
      <c r="B2619">
        <f>B2618+A2619</f>
        <v/>
      </c>
    </row>
    <row r="2620">
      <c r="A2620">
        <f>IFERROR(IF(AND(INDEX(BASELINE!$A2620:$ZZ2620,CALC!$H$1)&lt;&gt;"",INT(IF(AND(CALC!$F$1&gt;0,N(INDEX(BASELINE!$A2620:$ZZ2620,CALC!$F$1))&gt;0),N(INDEX(BASELINE!$A2620:$ZZ2620,CALC!$F$1)),N(INDEX(BASELINE!$A2620:$ZZ2620,CALC!$P$1))))=INT(SIMOPS!$D$3),IFERROR(UPPER(TRIM(INDEX(BASELINE!$A2620:$ZZ2620,CALC!$R$1)&amp;"")),"")&lt;&gt;"ENCERRADA"),1,0),0)</f>
        <v/>
      </c>
      <c r="B2620">
        <f>B2619+A2620</f>
        <v/>
      </c>
    </row>
    <row r="2621">
      <c r="A2621">
        <f>IFERROR(IF(AND(INDEX(BASELINE!$A2621:$ZZ2621,CALC!$H$1)&lt;&gt;"",INT(IF(AND(CALC!$F$1&gt;0,N(INDEX(BASELINE!$A2621:$ZZ2621,CALC!$F$1))&gt;0),N(INDEX(BASELINE!$A2621:$ZZ2621,CALC!$F$1)),N(INDEX(BASELINE!$A2621:$ZZ2621,CALC!$P$1))))=INT(SIMOPS!$D$3),IFERROR(UPPER(TRIM(INDEX(BASELINE!$A2621:$ZZ2621,CALC!$R$1)&amp;"")),"")&lt;&gt;"ENCERRADA"),1,0),0)</f>
        <v/>
      </c>
      <c r="B2621">
        <f>B2620+A2621</f>
        <v/>
      </c>
    </row>
    <row r="2622">
      <c r="A2622">
        <f>IFERROR(IF(AND(INDEX(BASELINE!$A2622:$ZZ2622,CALC!$H$1)&lt;&gt;"",INT(IF(AND(CALC!$F$1&gt;0,N(INDEX(BASELINE!$A2622:$ZZ2622,CALC!$F$1))&gt;0),N(INDEX(BASELINE!$A2622:$ZZ2622,CALC!$F$1)),N(INDEX(BASELINE!$A2622:$ZZ2622,CALC!$P$1))))=INT(SIMOPS!$D$3),IFERROR(UPPER(TRIM(INDEX(BASELINE!$A2622:$ZZ2622,CALC!$R$1)&amp;"")),"")&lt;&gt;"ENCERRADA"),1,0),0)</f>
        <v/>
      </c>
      <c r="B2622">
        <f>B2621+A2622</f>
        <v/>
      </c>
    </row>
    <row r="2623">
      <c r="A2623">
        <f>IFERROR(IF(AND(INDEX(BASELINE!$A2623:$ZZ2623,CALC!$H$1)&lt;&gt;"",INT(IF(AND(CALC!$F$1&gt;0,N(INDEX(BASELINE!$A2623:$ZZ2623,CALC!$F$1))&gt;0),N(INDEX(BASELINE!$A2623:$ZZ2623,CALC!$F$1)),N(INDEX(BASELINE!$A2623:$ZZ2623,CALC!$P$1))))=INT(SIMOPS!$D$3),IFERROR(UPPER(TRIM(INDEX(BASELINE!$A2623:$ZZ2623,CALC!$R$1)&amp;"")),"")&lt;&gt;"ENCERRADA"),1,0),0)</f>
        <v/>
      </c>
      <c r="B2623">
        <f>B2622+A2623</f>
        <v/>
      </c>
    </row>
    <row r="2624">
      <c r="A2624">
        <f>IFERROR(IF(AND(INDEX(BASELINE!$A2624:$ZZ2624,CALC!$H$1)&lt;&gt;"",INT(IF(AND(CALC!$F$1&gt;0,N(INDEX(BASELINE!$A2624:$ZZ2624,CALC!$F$1))&gt;0),N(INDEX(BASELINE!$A2624:$ZZ2624,CALC!$F$1)),N(INDEX(BASELINE!$A2624:$ZZ2624,CALC!$P$1))))=INT(SIMOPS!$D$3),IFERROR(UPPER(TRIM(INDEX(BASELINE!$A2624:$ZZ2624,CALC!$R$1)&amp;"")),"")&lt;&gt;"ENCERRADA"),1,0),0)</f>
        <v/>
      </c>
      <c r="B2624">
        <f>B2623+A2624</f>
        <v/>
      </c>
    </row>
    <row r="2625">
      <c r="A2625">
        <f>IFERROR(IF(AND(INDEX(BASELINE!$A2625:$ZZ2625,CALC!$H$1)&lt;&gt;"",INT(IF(AND(CALC!$F$1&gt;0,N(INDEX(BASELINE!$A2625:$ZZ2625,CALC!$F$1))&gt;0),N(INDEX(BASELINE!$A2625:$ZZ2625,CALC!$F$1)),N(INDEX(BASELINE!$A2625:$ZZ2625,CALC!$P$1))))=INT(SIMOPS!$D$3),IFERROR(UPPER(TRIM(INDEX(BASELINE!$A2625:$ZZ2625,CALC!$R$1)&amp;"")),"")&lt;&gt;"ENCERRADA"),1,0),0)</f>
        <v/>
      </c>
      <c r="B2625">
        <f>B2624+A2625</f>
        <v/>
      </c>
    </row>
    <row r="2626">
      <c r="A2626">
        <f>IFERROR(IF(AND(INDEX(BASELINE!$A2626:$ZZ2626,CALC!$H$1)&lt;&gt;"",INT(IF(AND(CALC!$F$1&gt;0,N(INDEX(BASELINE!$A2626:$ZZ2626,CALC!$F$1))&gt;0),N(INDEX(BASELINE!$A2626:$ZZ2626,CALC!$F$1)),N(INDEX(BASELINE!$A2626:$ZZ2626,CALC!$P$1))))=INT(SIMOPS!$D$3),IFERROR(UPPER(TRIM(INDEX(BASELINE!$A2626:$ZZ2626,CALC!$R$1)&amp;"")),"")&lt;&gt;"ENCERRADA"),1,0),0)</f>
        <v/>
      </c>
      <c r="B2626">
        <f>B2625+A2626</f>
        <v/>
      </c>
    </row>
    <row r="2627">
      <c r="A2627">
        <f>IFERROR(IF(AND(INDEX(BASELINE!$A2627:$ZZ2627,CALC!$H$1)&lt;&gt;"",INT(IF(AND(CALC!$F$1&gt;0,N(INDEX(BASELINE!$A2627:$ZZ2627,CALC!$F$1))&gt;0),N(INDEX(BASELINE!$A2627:$ZZ2627,CALC!$F$1)),N(INDEX(BASELINE!$A2627:$ZZ2627,CALC!$P$1))))=INT(SIMOPS!$D$3),IFERROR(UPPER(TRIM(INDEX(BASELINE!$A2627:$ZZ2627,CALC!$R$1)&amp;"")),"")&lt;&gt;"ENCERRADA"),1,0),0)</f>
        <v/>
      </c>
      <c r="B2627">
        <f>B2626+A2627</f>
        <v/>
      </c>
    </row>
    <row r="2628">
      <c r="A2628">
        <f>IFERROR(IF(AND(INDEX(BASELINE!$A2628:$ZZ2628,CALC!$H$1)&lt;&gt;"",INT(IF(AND(CALC!$F$1&gt;0,N(INDEX(BASELINE!$A2628:$ZZ2628,CALC!$F$1))&gt;0),N(INDEX(BASELINE!$A2628:$ZZ2628,CALC!$F$1)),N(INDEX(BASELINE!$A2628:$ZZ2628,CALC!$P$1))))=INT(SIMOPS!$D$3),IFERROR(UPPER(TRIM(INDEX(BASELINE!$A2628:$ZZ2628,CALC!$R$1)&amp;"")),"")&lt;&gt;"ENCERRADA"),1,0),0)</f>
        <v/>
      </c>
      <c r="B2628">
        <f>B2627+A2628</f>
        <v/>
      </c>
    </row>
    <row r="2629">
      <c r="A2629">
        <f>IFERROR(IF(AND(INDEX(BASELINE!$A2629:$ZZ2629,CALC!$H$1)&lt;&gt;"",INT(IF(AND(CALC!$F$1&gt;0,N(INDEX(BASELINE!$A2629:$ZZ2629,CALC!$F$1))&gt;0),N(INDEX(BASELINE!$A2629:$ZZ2629,CALC!$F$1)),N(INDEX(BASELINE!$A2629:$ZZ2629,CALC!$P$1))))=INT(SIMOPS!$D$3),IFERROR(UPPER(TRIM(INDEX(BASELINE!$A2629:$ZZ2629,CALC!$R$1)&amp;"")),"")&lt;&gt;"ENCERRADA"),1,0),0)</f>
        <v/>
      </c>
      <c r="B2629">
        <f>B2628+A2629</f>
        <v/>
      </c>
    </row>
    <row r="2630">
      <c r="A2630">
        <f>IFERROR(IF(AND(INDEX(BASELINE!$A2630:$ZZ2630,CALC!$H$1)&lt;&gt;"",INT(IF(AND(CALC!$F$1&gt;0,N(INDEX(BASELINE!$A2630:$ZZ2630,CALC!$F$1))&gt;0),N(INDEX(BASELINE!$A2630:$ZZ2630,CALC!$F$1)),N(INDEX(BASELINE!$A2630:$ZZ2630,CALC!$P$1))))=INT(SIMOPS!$D$3),IFERROR(UPPER(TRIM(INDEX(BASELINE!$A2630:$ZZ2630,CALC!$R$1)&amp;"")),"")&lt;&gt;"ENCERRADA"),1,0),0)</f>
        <v/>
      </c>
      <c r="B2630">
        <f>B2629+A2630</f>
        <v/>
      </c>
    </row>
    <row r="2631">
      <c r="A2631">
        <f>IFERROR(IF(AND(INDEX(BASELINE!$A2631:$ZZ2631,CALC!$H$1)&lt;&gt;"",INT(IF(AND(CALC!$F$1&gt;0,N(INDEX(BASELINE!$A2631:$ZZ2631,CALC!$F$1))&gt;0),N(INDEX(BASELINE!$A2631:$ZZ2631,CALC!$F$1)),N(INDEX(BASELINE!$A2631:$ZZ2631,CALC!$P$1))))=INT(SIMOPS!$D$3),IFERROR(UPPER(TRIM(INDEX(BASELINE!$A2631:$ZZ2631,CALC!$R$1)&amp;"")),"")&lt;&gt;"ENCERRADA"),1,0),0)</f>
        <v/>
      </c>
      <c r="B2631">
        <f>B2630+A2631</f>
        <v/>
      </c>
    </row>
    <row r="2632">
      <c r="A2632">
        <f>IFERROR(IF(AND(INDEX(BASELINE!$A2632:$ZZ2632,CALC!$H$1)&lt;&gt;"",INT(IF(AND(CALC!$F$1&gt;0,N(INDEX(BASELINE!$A2632:$ZZ2632,CALC!$F$1))&gt;0),N(INDEX(BASELINE!$A2632:$ZZ2632,CALC!$F$1)),N(INDEX(BASELINE!$A2632:$ZZ2632,CALC!$P$1))))=INT(SIMOPS!$D$3),IFERROR(UPPER(TRIM(INDEX(BASELINE!$A2632:$ZZ2632,CALC!$R$1)&amp;"")),"")&lt;&gt;"ENCERRADA"),1,0),0)</f>
        <v/>
      </c>
      <c r="B2632">
        <f>B2631+A2632</f>
        <v/>
      </c>
    </row>
    <row r="2633">
      <c r="A2633">
        <f>IFERROR(IF(AND(INDEX(BASELINE!$A2633:$ZZ2633,CALC!$H$1)&lt;&gt;"",INT(IF(AND(CALC!$F$1&gt;0,N(INDEX(BASELINE!$A2633:$ZZ2633,CALC!$F$1))&gt;0),N(INDEX(BASELINE!$A2633:$ZZ2633,CALC!$F$1)),N(INDEX(BASELINE!$A2633:$ZZ2633,CALC!$P$1))))=INT(SIMOPS!$D$3),IFERROR(UPPER(TRIM(INDEX(BASELINE!$A2633:$ZZ2633,CALC!$R$1)&amp;"")),"")&lt;&gt;"ENCERRADA"),1,0),0)</f>
        <v/>
      </c>
      <c r="B2633">
        <f>B2632+A2633</f>
        <v/>
      </c>
    </row>
    <row r="2634">
      <c r="A2634">
        <f>IFERROR(IF(AND(INDEX(BASELINE!$A2634:$ZZ2634,CALC!$H$1)&lt;&gt;"",INT(IF(AND(CALC!$F$1&gt;0,N(INDEX(BASELINE!$A2634:$ZZ2634,CALC!$F$1))&gt;0),N(INDEX(BASELINE!$A2634:$ZZ2634,CALC!$F$1)),N(INDEX(BASELINE!$A2634:$ZZ2634,CALC!$P$1))))=INT(SIMOPS!$D$3),IFERROR(UPPER(TRIM(INDEX(BASELINE!$A2634:$ZZ2634,CALC!$R$1)&amp;"")),"")&lt;&gt;"ENCERRADA"),1,0),0)</f>
        <v/>
      </c>
      <c r="B2634">
        <f>B2633+A2634</f>
        <v/>
      </c>
    </row>
    <row r="2635">
      <c r="A2635">
        <f>IFERROR(IF(AND(INDEX(BASELINE!$A2635:$ZZ2635,CALC!$H$1)&lt;&gt;"",INT(IF(AND(CALC!$F$1&gt;0,N(INDEX(BASELINE!$A2635:$ZZ2635,CALC!$F$1))&gt;0),N(INDEX(BASELINE!$A2635:$ZZ2635,CALC!$F$1)),N(INDEX(BASELINE!$A2635:$ZZ2635,CALC!$P$1))))=INT(SIMOPS!$D$3),IFERROR(UPPER(TRIM(INDEX(BASELINE!$A2635:$ZZ2635,CALC!$R$1)&amp;"")),"")&lt;&gt;"ENCERRADA"),1,0),0)</f>
        <v/>
      </c>
      <c r="B2635">
        <f>B2634+A2635</f>
        <v/>
      </c>
    </row>
    <row r="2636">
      <c r="A2636">
        <f>IFERROR(IF(AND(INDEX(BASELINE!$A2636:$ZZ2636,CALC!$H$1)&lt;&gt;"",INT(IF(AND(CALC!$F$1&gt;0,N(INDEX(BASELINE!$A2636:$ZZ2636,CALC!$F$1))&gt;0),N(INDEX(BASELINE!$A2636:$ZZ2636,CALC!$F$1)),N(INDEX(BASELINE!$A2636:$ZZ2636,CALC!$P$1))))=INT(SIMOPS!$D$3),IFERROR(UPPER(TRIM(INDEX(BASELINE!$A2636:$ZZ2636,CALC!$R$1)&amp;"")),"")&lt;&gt;"ENCERRADA"),1,0),0)</f>
        <v/>
      </c>
      <c r="B2636">
        <f>B2635+A2636</f>
        <v/>
      </c>
    </row>
    <row r="2637">
      <c r="A2637">
        <f>IFERROR(IF(AND(INDEX(BASELINE!$A2637:$ZZ2637,CALC!$H$1)&lt;&gt;"",INT(IF(AND(CALC!$F$1&gt;0,N(INDEX(BASELINE!$A2637:$ZZ2637,CALC!$F$1))&gt;0),N(INDEX(BASELINE!$A2637:$ZZ2637,CALC!$F$1)),N(INDEX(BASELINE!$A2637:$ZZ2637,CALC!$P$1))))=INT(SIMOPS!$D$3),IFERROR(UPPER(TRIM(INDEX(BASELINE!$A2637:$ZZ2637,CALC!$R$1)&amp;"")),"")&lt;&gt;"ENCERRADA"),1,0),0)</f>
        <v/>
      </c>
      <c r="B2637">
        <f>B2636+A2637</f>
        <v/>
      </c>
    </row>
    <row r="2638">
      <c r="A2638">
        <f>IFERROR(IF(AND(INDEX(BASELINE!$A2638:$ZZ2638,CALC!$H$1)&lt;&gt;"",INT(IF(AND(CALC!$F$1&gt;0,N(INDEX(BASELINE!$A2638:$ZZ2638,CALC!$F$1))&gt;0),N(INDEX(BASELINE!$A2638:$ZZ2638,CALC!$F$1)),N(INDEX(BASELINE!$A2638:$ZZ2638,CALC!$P$1))))=INT(SIMOPS!$D$3),IFERROR(UPPER(TRIM(INDEX(BASELINE!$A2638:$ZZ2638,CALC!$R$1)&amp;"")),"")&lt;&gt;"ENCERRADA"),1,0),0)</f>
        <v/>
      </c>
      <c r="B2638">
        <f>B2637+A2638</f>
        <v/>
      </c>
    </row>
    <row r="2639">
      <c r="A2639">
        <f>IFERROR(IF(AND(INDEX(BASELINE!$A2639:$ZZ2639,CALC!$H$1)&lt;&gt;"",INT(IF(AND(CALC!$F$1&gt;0,N(INDEX(BASELINE!$A2639:$ZZ2639,CALC!$F$1))&gt;0),N(INDEX(BASELINE!$A2639:$ZZ2639,CALC!$F$1)),N(INDEX(BASELINE!$A2639:$ZZ2639,CALC!$P$1))))=INT(SIMOPS!$D$3),IFERROR(UPPER(TRIM(INDEX(BASELINE!$A2639:$ZZ2639,CALC!$R$1)&amp;"")),"")&lt;&gt;"ENCERRADA"),1,0),0)</f>
        <v/>
      </c>
      <c r="B2639">
        <f>B2638+A2639</f>
        <v/>
      </c>
    </row>
    <row r="2640">
      <c r="A2640">
        <f>IFERROR(IF(AND(INDEX(BASELINE!$A2640:$ZZ2640,CALC!$H$1)&lt;&gt;"",INT(IF(AND(CALC!$F$1&gt;0,N(INDEX(BASELINE!$A2640:$ZZ2640,CALC!$F$1))&gt;0),N(INDEX(BASELINE!$A2640:$ZZ2640,CALC!$F$1)),N(INDEX(BASELINE!$A2640:$ZZ2640,CALC!$P$1))))=INT(SIMOPS!$D$3),IFERROR(UPPER(TRIM(INDEX(BASELINE!$A2640:$ZZ2640,CALC!$R$1)&amp;"")),"")&lt;&gt;"ENCERRADA"),1,0),0)</f>
        <v/>
      </c>
      <c r="B2640">
        <f>B2639+A2640</f>
        <v/>
      </c>
    </row>
    <row r="2641">
      <c r="A2641">
        <f>IFERROR(IF(AND(INDEX(BASELINE!$A2641:$ZZ2641,CALC!$H$1)&lt;&gt;"",INT(IF(AND(CALC!$F$1&gt;0,N(INDEX(BASELINE!$A2641:$ZZ2641,CALC!$F$1))&gt;0),N(INDEX(BASELINE!$A2641:$ZZ2641,CALC!$F$1)),N(INDEX(BASELINE!$A2641:$ZZ2641,CALC!$P$1))))=INT(SIMOPS!$D$3),IFERROR(UPPER(TRIM(INDEX(BASELINE!$A2641:$ZZ2641,CALC!$R$1)&amp;"")),"")&lt;&gt;"ENCERRADA"),1,0),0)</f>
        <v/>
      </c>
      <c r="B2641">
        <f>B2640+A2641</f>
        <v/>
      </c>
    </row>
    <row r="2642">
      <c r="A2642">
        <f>IFERROR(IF(AND(INDEX(BASELINE!$A2642:$ZZ2642,CALC!$H$1)&lt;&gt;"",INT(IF(AND(CALC!$F$1&gt;0,N(INDEX(BASELINE!$A2642:$ZZ2642,CALC!$F$1))&gt;0),N(INDEX(BASELINE!$A2642:$ZZ2642,CALC!$F$1)),N(INDEX(BASELINE!$A2642:$ZZ2642,CALC!$P$1))))=INT(SIMOPS!$D$3),IFERROR(UPPER(TRIM(INDEX(BASELINE!$A2642:$ZZ2642,CALC!$R$1)&amp;"")),"")&lt;&gt;"ENCERRADA"),1,0),0)</f>
        <v/>
      </c>
      <c r="B2642">
        <f>B2641+A2642</f>
        <v/>
      </c>
    </row>
    <row r="2643">
      <c r="A2643">
        <f>IFERROR(IF(AND(INDEX(BASELINE!$A2643:$ZZ2643,CALC!$H$1)&lt;&gt;"",INT(IF(AND(CALC!$F$1&gt;0,N(INDEX(BASELINE!$A2643:$ZZ2643,CALC!$F$1))&gt;0),N(INDEX(BASELINE!$A2643:$ZZ2643,CALC!$F$1)),N(INDEX(BASELINE!$A2643:$ZZ2643,CALC!$P$1))))=INT(SIMOPS!$D$3),IFERROR(UPPER(TRIM(INDEX(BASELINE!$A2643:$ZZ2643,CALC!$R$1)&amp;"")),"")&lt;&gt;"ENCERRADA"),1,0),0)</f>
        <v/>
      </c>
      <c r="B2643">
        <f>B2642+A2643</f>
        <v/>
      </c>
    </row>
    <row r="2644">
      <c r="A2644">
        <f>IFERROR(IF(AND(INDEX(BASELINE!$A2644:$ZZ2644,CALC!$H$1)&lt;&gt;"",INT(IF(AND(CALC!$F$1&gt;0,N(INDEX(BASELINE!$A2644:$ZZ2644,CALC!$F$1))&gt;0),N(INDEX(BASELINE!$A2644:$ZZ2644,CALC!$F$1)),N(INDEX(BASELINE!$A2644:$ZZ2644,CALC!$P$1))))=INT(SIMOPS!$D$3),IFERROR(UPPER(TRIM(INDEX(BASELINE!$A2644:$ZZ2644,CALC!$R$1)&amp;"")),"")&lt;&gt;"ENCERRADA"),1,0),0)</f>
        <v/>
      </c>
      <c r="B2644">
        <f>B2643+A2644</f>
        <v/>
      </c>
    </row>
    <row r="2645">
      <c r="A2645">
        <f>IFERROR(IF(AND(INDEX(BASELINE!$A2645:$ZZ2645,CALC!$H$1)&lt;&gt;"",INT(IF(AND(CALC!$F$1&gt;0,N(INDEX(BASELINE!$A2645:$ZZ2645,CALC!$F$1))&gt;0),N(INDEX(BASELINE!$A2645:$ZZ2645,CALC!$F$1)),N(INDEX(BASELINE!$A2645:$ZZ2645,CALC!$P$1))))=INT(SIMOPS!$D$3),IFERROR(UPPER(TRIM(INDEX(BASELINE!$A2645:$ZZ2645,CALC!$R$1)&amp;"")),"")&lt;&gt;"ENCERRADA"),1,0),0)</f>
        <v/>
      </c>
      <c r="B2645">
        <f>B2644+A2645</f>
        <v/>
      </c>
    </row>
    <row r="2646">
      <c r="A2646">
        <f>IFERROR(IF(AND(INDEX(BASELINE!$A2646:$ZZ2646,CALC!$H$1)&lt;&gt;"",INT(IF(AND(CALC!$F$1&gt;0,N(INDEX(BASELINE!$A2646:$ZZ2646,CALC!$F$1))&gt;0),N(INDEX(BASELINE!$A2646:$ZZ2646,CALC!$F$1)),N(INDEX(BASELINE!$A2646:$ZZ2646,CALC!$P$1))))=INT(SIMOPS!$D$3),IFERROR(UPPER(TRIM(INDEX(BASELINE!$A2646:$ZZ2646,CALC!$R$1)&amp;"")),"")&lt;&gt;"ENCERRADA"),1,0),0)</f>
        <v/>
      </c>
      <c r="B2646">
        <f>B2645+A2646</f>
        <v/>
      </c>
    </row>
    <row r="2647">
      <c r="A2647">
        <f>IFERROR(IF(AND(INDEX(BASELINE!$A2647:$ZZ2647,CALC!$H$1)&lt;&gt;"",INT(IF(AND(CALC!$F$1&gt;0,N(INDEX(BASELINE!$A2647:$ZZ2647,CALC!$F$1))&gt;0),N(INDEX(BASELINE!$A2647:$ZZ2647,CALC!$F$1)),N(INDEX(BASELINE!$A2647:$ZZ2647,CALC!$P$1))))=INT(SIMOPS!$D$3),IFERROR(UPPER(TRIM(INDEX(BASELINE!$A2647:$ZZ2647,CALC!$R$1)&amp;"")),"")&lt;&gt;"ENCERRADA"),1,0),0)</f>
        <v/>
      </c>
      <c r="B2647">
        <f>B2646+A2647</f>
        <v/>
      </c>
    </row>
    <row r="2648">
      <c r="A2648">
        <f>IFERROR(IF(AND(INDEX(BASELINE!$A2648:$ZZ2648,CALC!$H$1)&lt;&gt;"",INT(IF(AND(CALC!$F$1&gt;0,N(INDEX(BASELINE!$A2648:$ZZ2648,CALC!$F$1))&gt;0),N(INDEX(BASELINE!$A2648:$ZZ2648,CALC!$F$1)),N(INDEX(BASELINE!$A2648:$ZZ2648,CALC!$P$1))))=INT(SIMOPS!$D$3),IFERROR(UPPER(TRIM(INDEX(BASELINE!$A2648:$ZZ2648,CALC!$R$1)&amp;"")),"")&lt;&gt;"ENCERRADA"),1,0),0)</f>
        <v/>
      </c>
      <c r="B2648">
        <f>B2647+A2648</f>
        <v/>
      </c>
    </row>
    <row r="2649">
      <c r="A2649">
        <f>IFERROR(IF(AND(INDEX(BASELINE!$A2649:$ZZ2649,CALC!$H$1)&lt;&gt;"",INT(IF(AND(CALC!$F$1&gt;0,N(INDEX(BASELINE!$A2649:$ZZ2649,CALC!$F$1))&gt;0),N(INDEX(BASELINE!$A2649:$ZZ2649,CALC!$F$1)),N(INDEX(BASELINE!$A2649:$ZZ2649,CALC!$P$1))))=INT(SIMOPS!$D$3),IFERROR(UPPER(TRIM(INDEX(BASELINE!$A2649:$ZZ2649,CALC!$R$1)&amp;"")),"")&lt;&gt;"ENCERRADA"),1,0),0)</f>
        <v/>
      </c>
      <c r="B2649">
        <f>B2648+A2649</f>
        <v/>
      </c>
    </row>
    <row r="2650">
      <c r="A2650">
        <f>IFERROR(IF(AND(INDEX(BASELINE!$A2650:$ZZ2650,CALC!$H$1)&lt;&gt;"",INT(IF(AND(CALC!$F$1&gt;0,N(INDEX(BASELINE!$A2650:$ZZ2650,CALC!$F$1))&gt;0),N(INDEX(BASELINE!$A2650:$ZZ2650,CALC!$F$1)),N(INDEX(BASELINE!$A2650:$ZZ2650,CALC!$P$1))))=INT(SIMOPS!$D$3),IFERROR(UPPER(TRIM(INDEX(BASELINE!$A2650:$ZZ2650,CALC!$R$1)&amp;"")),"")&lt;&gt;"ENCERRADA"),1,0),0)</f>
        <v/>
      </c>
      <c r="B2650">
        <f>B2649+A2650</f>
        <v/>
      </c>
    </row>
    <row r="2651">
      <c r="A2651">
        <f>IFERROR(IF(AND(INDEX(BASELINE!$A2651:$ZZ2651,CALC!$H$1)&lt;&gt;"",INT(IF(AND(CALC!$F$1&gt;0,N(INDEX(BASELINE!$A2651:$ZZ2651,CALC!$F$1))&gt;0),N(INDEX(BASELINE!$A2651:$ZZ2651,CALC!$F$1)),N(INDEX(BASELINE!$A2651:$ZZ2651,CALC!$P$1))))=INT(SIMOPS!$D$3),IFERROR(UPPER(TRIM(INDEX(BASELINE!$A2651:$ZZ2651,CALC!$R$1)&amp;"")),"")&lt;&gt;"ENCERRADA"),1,0),0)</f>
        <v/>
      </c>
      <c r="B2651">
        <f>B2650+A2651</f>
        <v/>
      </c>
    </row>
    <row r="2652">
      <c r="A2652">
        <f>IFERROR(IF(AND(INDEX(BASELINE!$A2652:$ZZ2652,CALC!$H$1)&lt;&gt;"",INT(IF(AND(CALC!$F$1&gt;0,N(INDEX(BASELINE!$A2652:$ZZ2652,CALC!$F$1))&gt;0),N(INDEX(BASELINE!$A2652:$ZZ2652,CALC!$F$1)),N(INDEX(BASELINE!$A2652:$ZZ2652,CALC!$P$1))))=INT(SIMOPS!$D$3),IFERROR(UPPER(TRIM(INDEX(BASELINE!$A2652:$ZZ2652,CALC!$R$1)&amp;"")),"")&lt;&gt;"ENCERRADA"),1,0),0)</f>
        <v/>
      </c>
      <c r="B2652">
        <f>B2651+A2652</f>
        <v/>
      </c>
    </row>
    <row r="2653">
      <c r="A2653">
        <f>IFERROR(IF(AND(INDEX(BASELINE!$A2653:$ZZ2653,CALC!$H$1)&lt;&gt;"",INT(IF(AND(CALC!$F$1&gt;0,N(INDEX(BASELINE!$A2653:$ZZ2653,CALC!$F$1))&gt;0),N(INDEX(BASELINE!$A2653:$ZZ2653,CALC!$F$1)),N(INDEX(BASELINE!$A2653:$ZZ2653,CALC!$P$1))))=INT(SIMOPS!$D$3),IFERROR(UPPER(TRIM(INDEX(BASELINE!$A2653:$ZZ2653,CALC!$R$1)&amp;"")),"")&lt;&gt;"ENCERRADA"),1,0),0)</f>
        <v/>
      </c>
      <c r="B2653">
        <f>B2652+A2653</f>
        <v/>
      </c>
    </row>
    <row r="2654">
      <c r="A2654">
        <f>IFERROR(IF(AND(INDEX(BASELINE!$A2654:$ZZ2654,CALC!$H$1)&lt;&gt;"",INT(IF(AND(CALC!$F$1&gt;0,N(INDEX(BASELINE!$A2654:$ZZ2654,CALC!$F$1))&gt;0),N(INDEX(BASELINE!$A2654:$ZZ2654,CALC!$F$1)),N(INDEX(BASELINE!$A2654:$ZZ2654,CALC!$P$1))))=INT(SIMOPS!$D$3),IFERROR(UPPER(TRIM(INDEX(BASELINE!$A2654:$ZZ2654,CALC!$R$1)&amp;"")),"")&lt;&gt;"ENCERRADA"),1,0),0)</f>
        <v/>
      </c>
      <c r="B2654">
        <f>B2653+A2654</f>
        <v/>
      </c>
    </row>
    <row r="2655">
      <c r="A2655">
        <f>IFERROR(IF(AND(INDEX(BASELINE!$A2655:$ZZ2655,CALC!$H$1)&lt;&gt;"",INT(IF(AND(CALC!$F$1&gt;0,N(INDEX(BASELINE!$A2655:$ZZ2655,CALC!$F$1))&gt;0),N(INDEX(BASELINE!$A2655:$ZZ2655,CALC!$F$1)),N(INDEX(BASELINE!$A2655:$ZZ2655,CALC!$P$1))))=INT(SIMOPS!$D$3),IFERROR(UPPER(TRIM(INDEX(BASELINE!$A2655:$ZZ2655,CALC!$R$1)&amp;"")),"")&lt;&gt;"ENCERRADA"),1,0),0)</f>
        <v/>
      </c>
      <c r="B2655">
        <f>B2654+A2655</f>
        <v/>
      </c>
    </row>
    <row r="2656">
      <c r="A2656">
        <f>IFERROR(IF(AND(INDEX(BASELINE!$A2656:$ZZ2656,CALC!$H$1)&lt;&gt;"",INT(IF(AND(CALC!$F$1&gt;0,N(INDEX(BASELINE!$A2656:$ZZ2656,CALC!$F$1))&gt;0),N(INDEX(BASELINE!$A2656:$ZZ2656,CALC!$F$1)),N(INDEX(BASELINE!$A2656:$ZZ2656,CALC!$P$1))))=INT(SIMOPS!$D$3),IFERROR(UPPER(TRIM(INDEX(BASELINE!$A2656:$ZZ2656,CALC!$R$1)&amp;"")),"")&lt;&gt;"ENCERRADA"),1,0),0)</f>
        <v/>
      </c>
      <c r="B2656">
        <f>B2655+A2656</f>
        <v/>
      </c>
    </row>
    <row r="2657">
      <c r="A2657">
        <f>IFERROR(IF(AND(INDEX(BASELINE!$A2657:$ZZ2657,CALC!$H$1)&lt;&gt;"",INT(IF(AND(CALC!$F$1&gt;0,N(INDEX(BASELINE!$A2657:$ZZ2657,CALC!$F$1))&gt;0),N(INDEX(BASELINE!$A2657:$ZZ2657,CALC!$F$1)),N(INDEX(BASELINE!$A2657:$ZZ2657,CALC!$P$1))))=INT(SIMOPS!$D$3),IFERROR(UPPER(TRIM(INDEX(BASELINE!$A2657:$ZZ2657,CALC!$R$1)&amp;"")),"")&lt;&gt;"ENCERRADA"),1,0),0)</f>
        <v/>
      </c>
      <c r="B2657">
        <f>B2656+A2657</f>
        <v/>
      </c>
    </row>
    <row r="2658">
      <c r="A2658">
        <f>IFERROR(IF(AND(INDEX(BASELINE!$A2658:$ZZ2658,CALC!$H$1)&lt;&gt;"",INT(IF(AND(CALC!$F$1&gt;0,N(INDEX(BASELINE!$A2658:$ZZ2658,CALC!$F$1))&gt;0),N(INDEX(BASELINE!$A2658:$ZZ2658,CALC!$F$1)),N(INDEX(BASELINE!$A2658:$ZZ2658,CALC!$P$1))))=INT(SIMOPS!$D$3),IFERROR(UPPER(TRIM(INDEX(BASELINE!$A2658:$ZZ2658,CALC!$R$1)&amp;"")),"")&lt;&gt;"ENCERRADA"),1,0),0)</f>
        <v/>
      </c>
      <c r="B2658">
        <f>B2657+A2658</f>
        <v/>
      </c>
    </row>
    <row r="2659">
      <c r="A2659">
        <f>IFERROR(IF(AND(INDEX(BASELINE!$A2659:$ZZ2659,CALC!$H$1)&lt;&gt;"",INT(IF(AND(CALC!$F$1&gt;0,N(INDEX(BASELINE!$A2659:$ZZ2659,CALC!$F$1))&gt;0),N(INDEX(BASELINE!$A2659:$ZZ2659,CALC!$F$1)),N(INDEX(BASELINE!$A2659:$ZZ2659,CALC!$P$1))))=INT(SIMOPS!$D$3),IFERROR(UPPER(TRIM(INDEX(BASELINE!$A2659:$ZZ2659,CALC!$R$1)&amp;"")),"")&lt;&gt;"ENCERRADA"),1,0),0)</f>
        <v/>
      </c>
      <c r="B2659">
        <f>B2658+A2659</f>
        <v/>
      </c>
    </row>
    <row r="2660">
      <c r="A2660">
        <f>IFERROR(IF(AND(INDEX(BASELINE!$A2660:$ZZ2660,CALC!$H$1)&lt;&gt;"",INT(IF(AND(CALC!$F$1&gt;0,N(INDEX(BASELINE!$A2660:$ZZ2660,CALC!$F$1))&gt;0),N(INDEX(BASELINE!$A2660:$ZZ2660,CALC!$F$1)),N(INDEX(BASELINE!$A2660:$ZZ2660,CALC!$P$1))))=INT(SIMOPS!$D$3),IFERROR(UPPER(TRIM(INDEX(BASELINE!$A2660:$ZZ2660,CALC!$R$1)&amp;"")),"")&lt;&gt;"ENCERRADA"),1,0),0)</f>
        <v/>
      </c>
      <c r="B2660">
        <f>B2659+A2660</f>
        <v/>
      </c>
    </row>
    <row r="2661">
      <c r="A2661">
        <f>IFERROR(IF(AND(INDEX(BASELINE!$A2661:$ZZ2661,CALC!$H$1)&lt;&gt;"",INT(IF(AND(CALC!$F$1&gt;0,N(INDEX(BASELINE!$A2661:$ZZ2661,CALC!$F$1))&gt;0),N(INDEX(BASELINE!$A2661:$ZZ2661,CALC!$F$1)),N(INDEX(BASELINE!$A2661:$ZZ2661,CALC!$P$1))))=INT(SIMOPS!$D$3),IFERROR(UPPER(TRIM(INDEX(BASELINE!$A2661:$ZZ2661,CALC!$R$1)&amp;"")),"")&lt;&gt;"ENCERRADA"),1,0),0)</f>
        <v/>
      </c>
      <c r="B2661">
        <f>B2660+A2661</f>
        <v/>
      </c>
    </row>
    <row r="2662">
      <c r="A2662">
        <f>IFERROR(IF(AND(INDEX(BASELINE!$A2662:$ZZ2662,CALC!$H$1)&lt;&gt;"",INT(IF(AND(CALC!$F$1&gt;0,N(INDEX(BASELINE!$A2662:$ZZ2662,CALC!$F$1))&gt;0),N(INDEX(BASELINE!$A2662:$ZZ2662,CALC!$F$1)),N(INDEX(BASELINE!$A2662:$ZZ2662,CALC!$P$1))))=INT(SIMOPS!$D$3),IFERROR(UPPER(TRIM(INDEX(BASELINE!$A2662:$ZZ2662,CALC!$R$1)&amp;"")),"")&lt;&gt;"ENCERRADA"),1,0),0)</f>
        <v/>
      </c>
      <c r="B2662">
        <f>B2661+A2662</f>
        <v/>
      </c>
    </row>
    <row r="2663">
      <c r="A2663">
        <f>IFERROR(IF(AND(INDEX(BASELINE!$A2663:$ZZ2663,CALC!$H$1)&lt;&gt;"",INT(IF(AND(CALC!$F$1&gt;0,N(INDEX(BASELINE!$A2663:$ZZ2663,CALC!$F$1))&gt;0),N(INDEX(BASELINE!$A2663:$ZZ2663,CALC!$F$1)),N(INDEX(BASELINE!$A2663:$ZZ2663,CALC!$P$1))))=INT(SIMOPS!$D$3),IFERROR(UPPER(TRIM(INDEX(BASELINE!$A2663:$ZZ2663,CALC!$R$1)&amp;"")),"")&lt;&gt;"ENCERRADA"),1,0),0)</f>
        <v/>
      </c>
      <c r="B2663">
        <f>B2662+A2663</f>
        <v/>
      </c>
    </row>
    <row r="2664">
      <c r="A2664">
        <f>IFERROR(IF(AND(INDEX(BASELINE!$A2664:$ZZ2664,CALC!$H$1)&lt;&gt;"",INT(IF(AND(CALC!$F$1&gt;0,N(INDEX(BASELINE!$A2664:$ZZ2664,CALC!$F$1))&gt;0),N(INDEX(BASELINE!$A2664:$ZZ2664,CALC!$F$1)),N(INDEX(BASELINE!$A2664:$ZZ2664,CALC!$P$1))))=INT(SIMOPS!$D$3),IFERROR(UPPER(TRIM(INDEX(BASELINE!$A2664:$ZZ2664,CALC!$R$1)&amp;"")),"")&lt;&gt;"ENCERRADA"),1,0),0)</f>
        <v/>
      </c>
      <c r="B2664">
        <f>B2663+A2664</f>
        <v/>
      </c>
    </row>
    <row r="2665">
      <c r="A2665">
        <f>IFERROR(IF(AND(INDEX(BASELINE!$A2665:$ZZ2665,CALC!$H$1)&lt;&gt;"",INT(IF(AND(CALC!$F$1&gt;0,N(INDEX(BASELINE!$A2665:$ZZ2665,CALC!$F$1))&gt;0),N(INDEX(BASELINE!$A2665:$ZZ2665,CALC!$F$1)),N(INDEX(BASELINE!$A2665:$ZZ2665,CALC!$P$1))))=INT(SIMOPS!$D$3),IFERROR(UPPER(TRIM(INDEX(BASELINE!$A2665:$ZZ2665,CALC!$R$1)&amp;"")),"")&lt;&gt;"ENCERRADA"),1,0),0)</f>
        <v/>
      </c>
      <c r="B2665">
        <f>B2664+A2665</f>
        <v/>
      </c>
    </row>
    <row r="2666">
      <c r="A2666">
        <f>IFERROR(IF(AND(INDEX(BASELINE!$A2666:$ZZ2666,CALC!$H$1)&lt;&gt;"",INT(IF(AND(CALC!$F$1&gt;0,N(INDEX(BASELINE!$A2666:$ZZ2666,CALC!$F$1))&gt;0),N(INDEX(BASELINE!$A2666:$ZZ2666,CALC!$F$1)),N(INDEX(BASELINE!$A2666:$ZZ2666,CALC!$P$1))))=INT(SIMOPS!$D$3),IFERROR(UPPER(TRIM(INDEX(BASELINE!$A2666:$ZZ2666,CALC!$R$1)&amp;"")),"")&lt;&gt;"ENCERRADA"),1,0),0)</f>
        <v/>
      </c>
      <c r="B2666">
        <f>B2665+A2666</f>
        <v/>
      </c>
    </row>
    <row r="2667">
      <c r="A2667">
        <f>IFERROR(IF(AND(INDEX(BASELINE!$A2667:$ZZ2667,CALC!$H$1)&lt;&gt;"",INT(IF(AND(CALC!$F$1&gt;0,N(INDEX(BASELINE!$A2667:$ZZ2667,CALC!$F$1))&gt;0),N(INDEX(BASELINE!$A2667:$ZZ2667,CALC!$F$1)),N(INDEX(BASELINE!$A2667:$ZZ2667,CALC!$P$1))))=INT(SIMOPS!$D$3),IFERROR(UPPER(TRIM(INDEX(BASELINE!$A2667:$ZZ2667,CALC!$R$1)&amp;"")),"")&lt;&gt;"ENCERRADA"),1,0),0)</f>
        <v/>
      </c>
      <c r="B2667">
        <f>B2666+A2667</f>
        <v/>
      </c>
    </row>
    <row r="2668">
      <c r="A2668">
        <f>IFERROR(IF(AND(INDEX(BASELINE!$A2668:$ZZ2668,CALC!$H$1)&lt;&gt;"",INT(IF(AND(CALC!$F$1&gt;0,N(INDEX(BASELINE!$A2668:$ZZ2668,CALC!$F$1))&gt;0),N(INDEX(BASELINE!$A2668:$ZZ2668,CALC!$F$1)),N(INDEX(BASELINE!$A2668:$ZZ2668,CALC!$P$1))))=INT(SIMOPS!$D$3),IFERROR(UPPER(TRIM(INDEX(BASELINE!$A2668:$ZZ2668,CALC!$R$1)&amp;"")),"")&lt;&gt;"ENCERRADA"),1,0),0)</f>
        <v/>
      </c>
      <c r="B2668">
        <f>B2667+A2668</f>
        <v/>
      </c>
    </row>
    <row r="2669">
      <c r="A2669">
        <f>IFERROR(IF(AND(INDEX(BASELINE!$A2669:$ZZ2669,CALC!$H$1)&lt;&gt;"",INT(IF(AND(CALC!$F$1&gt;0,N(INDEX(BASELINE!$A2669:$ZZ2669,CALC!$F$1))&gt;0),N(INDEX(BASELINE!$A2669:$ZZ2669,CALC!$F$1)),N(INDEX(BASELINE!$A2669:$ZZ2669,CALC!$P$1))))=INT(SIMOPS!$D$3),IFERROR(UPPER(TRIM(INDEX(BASELINE!$A2669:$ZZ2669,CALC!$R$1)&amp;"")),"")&lt;&gt;"ENCERRADA"),1,0),0)</f>
        <v/>
      </c>
      <c r="B2669">
        <f>B2668+A2669</f>
        <v/>
      </c>
    </row>
    <row r="2670">
      <c r="A2670">
        <f>IFERROR(IF(AND(INDEX(BASELINE!$A2670:$ZZ2670,CALC!$H$1)&lt;&gt;"",INT(IF(AND(CALC!$F$1&gt;0,N(INDEX(BASELINE!$A2670:$ZZ2670,CALC!$F$1))&gt;0),N(INDEX(BASELINE!$A2670:$ZZ2670,CALC!$F$1)),N(INDEX(BASELINE!$A2670:$ZZ2670,CALC!$P$1))))=INT(SIMOPS!$D$3),IFERROR(UPPER(TRIM(INDEX(BASELINE!$A2670:$ZZ2670,CALC!$R$1)&amp;"")),"")&lt;&gt;"ENCERRADA"),1,0),0)</f>
        <v/>
      </c>
      <c r="B2670">
        <f>B2669+A2670</f>
        <v/>
      </c>
    </row>
    <row r="2671">
      <c r="A2671">
        <f>IFERROR(IF(AND(INDEX(BASELINE!$A2671:$ZZ2671,CALC!$H$1)&lt;&gt;"",INT(IF(AND(CALC!$F$1&gt;0,N(INDEX(BASELINE!$A2671:$ZZ2671,CALC!$F$1))&gt;0),N(INDEX(BASELINE!$A2671:$ZZ2671,CALC!$F$1)),N(INDEX(BASELINE!$A2671:$ZZ2671,CALC!$P$1))))=INT(SIMOPS!$D$3),IFERROR(UPPER(TRIM(INDEX(BASELINE!$A2671:$ZZ2671,CALC!$R$1)&amp;"")),"")&lt;&gt;"ENCERRADA"),1,0),0)</f>
        <v/>
      </c>
      <c r="B2671">
        <f>B2670+A2671</f>
        <v/>
      </c>
    </row>
    <row r="2672">
      <c r="A2672">
        <f>IFERROR(IF(AND(INDEX(BASELINE!$A2672:$ZZ2672,CALC!$H$1)&lt;&gt;"",INT(IF(AND(CALC!$F$1&gt;0,N(INDEX(BASELINE!$A2672:$ZZ2672,CALC!$F$1))&gt;0),N(INDEX(BASELINE!$A2672:$ZZ2672,CALC!$F$1)),N(INDEX(BASELINE!$A2672:$ZZ2672,CALC!$P$1))))=INT(SIMOPS!$D$3),IFERROR(UPPER(TRIM(INDEX(BASELINE!$A2672:$ZZ2672,CALC!$R$1)&amp;"")),"")&lt;&gt;"ENCERRADA"),1,0),0)</f>
        <v/>
      </c>
      <c r="B2672">
        <f>B2671+A2672</f>
        <v/>
      </c>
    </row>
    <row r="2673">
      <c r="A2673">
        <f>IFERROR(IF(AND(INDEX(BASELINE!$A2673:$ZZ2673,CALC!$H$1)&lt;&gt;"",INT(IF(AND(CALC!$F$1&gt;0,N(INDEX(BASELINE!$A2673:$ZZ2673,CALC!$F$1))&gt;0),N(INDEX(BASELINE!$A2673:$ZZ2673,CALC!$F$1)),N(INDEX(BASELINE!$A2673:$ZZ2673,CALC!$P$1))))=INT(SIMOPS!$D$3),IFERROR(UPPER(TRIM(INDEX(BASELINE!$A2673:$ZZ2673,CALC!$R$1)&amp;"")),"")&lt;&gt;"ENCERRADA"),1,0),0)</f>
        <v/>
      </c>
      <c r="B2673">
        <f>B2672+A2673</f>
        <v/>
      </c>
    </row>
    <row r="2674">
      <c r="A2674">
        <f>IFERROR(IF(AND(INDEX(BASELINE!$A2674:$ZZ2674,CALC!$H$1)&lt;&gt;"",INT(IF(AND(CALC!$F$1&gt;0,N(INDEX(BASELINE!$A2674:$ZZ2674,CALC!$F$1))&gt;0),N(INDEX(BASELINE!$A2674:$ZZ2674,CALC!$F$1)),N(INDEX(BASELINE!$A2674:$ZZ2674,CALC!$P$1))))=INT(SIMOPS!$D$3),IFERROR(UPPER(TRIM(INDEX(BASELINE!$A2674:$ZZ2674,CALC!$R$1)&amp;"")),"")&lt;&gt;"ENCERRADA"),1,0),0)</f>
        <v/>
      </c>
      <c r="B2674">
        <f>B2673+A2674</f>
        <v/>
      </c>
    </row>
    <row r="2675">
      <c r="A2675">
        <f>IFERROR(IF(AND(INDEX(BASELINE!$A2675:$ZZ2675,CALC!$H$1)&lt;&gt;"",INT(IF(AND(CALC!$F$1&gt;0,N(INDEX(BASELINE!$A2675:$ZZ2675,CALC!$F$1))&gt;0),N(INDEX(BASELINE!$A2675:$ZZ2675,CALC!$F$1)),N(INDEX(BASELINE!$A2675:$ZZ2675,CALC!$P$1))))=INT(SIMOPS!$D$3),IFERROR(UPPER(TRIM(INDEX(BASELINE!$A2675:$ZZ2675,CALC!$R$1)&amp;"")),"")&lt;&gt;"ENCERRADA"),1,0),0)</f>
        <v/>
      </c>
      <c r="B2675">
        <f>B2674+A2675</f>
        <v/>
      </c>
    </row>
    <row r="2676">
      <c r="A2676">
        <f>IFERROR(IF(AND(INDEX(BASELINE!$A2676:$ZZ2676,CALC!$H$1)&lt;&gt;"",INT(IF(AND(CALC!$F$1&gt;0,N(INDEX(BASELINE!$A2676:$ZZ2676,CALC!$F$1))&gt;0),N(INDEX(BASELINE!$A2676:$ZZ2676,CALC!$F$1)),N(INDEX(BASELINE!$A2676:$ZZ2676,CALC!$P$1))))=INT(SIMOPS!$D$3),IFERROR(UPPER(TRIM(INDEX(BASELINE!$A2676:$ZZ2676,CALC!$R$1)&amp;"")),"")&lt;&gt;"ENCERRADA"),1,0),0)</f>
        <v/>
      </c>
      <c r="B2676">
        <f>B2675+A2676</f>
        <v/>
      </c>
    </row>
    <row r="2677">
      <c r="A2677">
        <f>IFERROR(IF(AND(INDEX(BASELINE!$A2677:$ZZ2677,CALC!$H$1)&lt;&gt;"",INT(IF(AND(CALC!$F$1&gt;0,N(INDEX(BASELINE!$A2677:$ZZ2677,CALC!$F$1))&gt;0),N(INDEX(BASELINE!$A2677:$ZZ2677,CALC!$F$1)),N(INDEX(BASELINE!$A2677:$ZZ2677,CALC!$P$1))))=INT(SIMOPS!$D$3),IFERROR(UPPER(TRIM(INDEX(BASELINE!$A2677:$ZZ2677,CALC!$R$1)&amp;"")),"")&lt;&gt;"ENCERRADA"),1,0),0)</f>
        <v/>
      </c>
      <c r="B2677">
        <f>B2676+A2677</f>
        <v/>
      </c>
    </row>
    <row r="2678">
      <c r="A2678">
        <f>IFERROR(IF(AND(INDEX(BASELINE!$A2678:$ZZ2678,CALC!$H$1)&lt;&gt;"",INT(IF(AND(CALC!$F$1&gt;0,N(INDEX(BASELINE!$A2678:$ZZ2678,CALC!$F$1))&gt;0),N(INDEX(BASELINE!$A2678:$ZZ2678,CALC!$F$1)),N(INDEX(BASELINE!$A2678:$ZZ2678,CALC!$P$1))))=INT(SIMOPS!$D$3),IFERROR(UPPER(TRIM(INDEX(BASELINE!$A2678:$ZZ2678,CALC!$R$1)&amp;"")),"")&lt;&gt;"ENCERRADA"),1,0),0)</f>
        <v/>
      </c>
      <c r="B2678">
        <f>B2677+A2678</f>
        <v/>
      </c>
    </row>
    <row r="2679">
      <c r="A2679">
        <f>IFERROR(IF(AND(INDEX(BASELINE!$A2679:$ZZ2679,CALC!$H$1)&lt;&gt;"",INT(IF(AND(CALC!$F$1&gt;0,N(INDEX(BASELINE!$A2679:$ZZ2679,CALC!$F$1))&gt;0),N(INDEX(BASELINE!$A2679:$ZZ2679,CALC!$F$1)),N(INDEX(BASELINE!$A2679:$ZZ2679,CALC!$P$1))))=INT(SIMOPS!$D$3),IFERROR(UPPER(TRIM(INDEX(BASELINE!$A2679:$ZZ2679,CALC!$R$1)&amp;"")),"")&lt;&gt;"ENCERRADA"),1,0),0)</f>
        <v/>
      </c>
      <c r="B2679">
        <f>B2678+A2679</f>
        <v/>
      </c>
    </row>
    <row r="2680">
      <c r="A2680">
        <f>IFERROR(IF(AND(INDEX(BASELINE!$A2680:$ZZ2680,CALC!$H$1)&lt;&gt;"",INT(IF(AND(CALC!$F$1&gt;0,N(INDEX(BASELINE!$A2680:$ZZ2680,CALC!$F$1))&gt;0),N(INDEX(BASELINE!$A2680:$ZZ2680,CALC!$F$1)),N(INDEX(BASELINE!$A2680:$ZZ2680,CALC!$P$1))))=INT(SIMOPS!$D$3),IFERROR(UPPER(TRIM(INDEX(BASELINE!$A2680:$ZZ2680,CALC!$R$1)&amp;"")),"")&lt;&gt;"ENCERRADA"),1,0),0)</f>
        <v/>
      </c>
      <c r="B2680">
        <f>B2679+A2680</f>
        <v/>
      </c>
    </row>
    <row r="2681">
      <c r="A2681">
        <f>IFERROR(IF(AND(INDEX(BASELINE!$A2681:$ZZ2681,CALC!$H$1)&lt;&gt;"",INT(IF(AND(CALC!$F$1&gt;0,N(INDEX(BASELINE!$A2681:$ZZ2681,CALC!$F$1))&gt;0),N(INDEX(BASELINE!$A2681:$ZZ2681,CALC!$F$1)),N(INDEX(BASELINE!$A2681:$ZZ2681,CALC!$P$1))))=INT(SIMOPS!$D$3),IFERROR(UPPER(TRIM(INDEX(BASELINE!$A2681:$ZZ2681,CALC!$R$1)&amp;"")),"")&lt;&gt;"ENCERRADA"),1,0),0)</f>
        <v/>
      </c>
      <c r="B2681">
        <f>B2680+A2681</f>
        <v/>
      </c>
    </row>
    <row r="2682">
      <c r="A2682">
        <f>IFERROR(IF(AND(INDEX(BASELINE!$A2682:$ZZ2682,CALC!$H$1)&lt;&gt;"",INT(IF(AND(CALC!$F$1&gt;0,N(INDEX(BASELINE!$A2682:$ZZ2682,CALC!$F$1))&gt;0),N(INDEX(BASELINE!$A2682:$ZZ2682,CALC!$F$1)),N(INDEX(BASELINE!$A2682:$ZZ2682,CALC!$P$1))))=INT(SIMOPS!$D$3),IFERROR(UPPER(TRIM(INDEX(BASELINE!$A2682:$ZZ2682,CALC!$R$1)&amp;"")),"")&lt;&gt;"ENCERRADA"),1,0),0)</f>
        <v/>
      </c>
      <c r="B2682">
        <f>B2681+A2682</f>
        <v/>
      </c>
    </row>
    <row r="2683">
      <c r="A2683">
        <f>IFERROR(IF(AND(INDEX(BASELINE!$A2683:$ZZ2683,CALC!$H$1)&lt;&gt;"",INT(IF(AND(CALC!$F$1&gt;0,N(INDEX(BASELINE!$A2683:$ZZ2683,CALC!$F$1))&gt;0),N(INDEX(BASELINE!$A2683:$ZZ2683,CALC!$F$1)),N(INDEX(BASELINE!$A2683:$ZZ2683,CALC!$P$1))))=INT(SIMOPS!$D$3),IFERROR(UPPER(TRIM(INDEX(BASELINE!$A2683:$ZZ2683,CALC!$R$1)&amp;"")),"")&lt;&gt;"ENCERRADA"),1,0),0)</f>
        <v/>
      </c>
      <c r="B2683">
        <f>B2682+A2683</f>
        <v/>
      </c>
    </row>
    <row r="2684">
      <c r="A2684">
        <f>IFERROR(IF(AND(INDEX(BASELINE!$A2684:$ZZ2684,CALC!$H$1)&lt;&gt;"",INT(IF(AND(CALC!$F$1&gt;0,N(INDEX(BASELINE!$A2684:$ZZ2684,CALC!$F$1))&gt;0),N(INDEX(BASELINE!$A2684:$ZZ2684,CALC!$F$1)),N(INDEX(BASELINE!$A2684:$ZZ2684,CALC!$P$1))))=INT(SIMOPS!$D$3),IFERROR(UPPER(TRIM(INDEX(BASELINE!$A2684:$ZZ2684,CALC!$R$1)&amp;"")),"")&lt;&gt;"ENCERRADA"),1,0),0)</f>
        <v/>
      </c>
      <c r="B2684">
        <f>B2683+A2684</f>
        <v/>
      </c>
    </row>
    <row r="2685">
      <c r="A2685">
        <f>IFERROR(IF(AND(INDEX(BASELINE!$A2685:$ZZ2685,CALC!$H$1)&lt;&gt;"",INT(IF(AND(CALC!$F$1&gt;0,N(INDEX(BASELINE!$A2685:$ZZ2685,CALC!$F$1))&gt;0),N(INDEX(BASELINE!$A2685:$ZZ2685,CALC!$F$1)),N(INDEX(BASELINE!$A2685:$ZZ2685,CALC!$P$1))))=INT(SIMOPS!$D$3),IFERROR(UPPER(TRIM(INDEX(BASELINE!$A2685:$ZZ2685,CALC!$R$1)&amp;"")),"")&lt;&gt;"ENCERRADA"),1,0),0)</f>
        <v/>
      </c>
      <c r="B2685">
        <f>B2684+A2685</f>
        <v/>
      </c>
    </row>
    <row r="2686">
      <c r="A2686">
        <f>IFERROR(IF(AND(INDEX(BASELINE!$A2686:$ZZ2686,CALC!$H$1)&lt;&gt;"",INT(IF(AND(CALC!$F$1&gt;0,N(INDEX(BASELINE!$A2686:$ZZ2686,CALC!$F$1))&gt;0),N(INDEX(BASELINE!$A2686:$ZZ2686,CALC!$F$1)),N(INDEX(BASELINE!$A2686:$ZZ2686,CALC!$P$1))))=INT(SIMOPS!$D$3),IFERROR(UPPER(TRIM(INDEX(BASELINE!$A2686:$ZZ2686,CALC!$R$1)&amp;"")),"")&lt;&gt;"ENCERRADA"),1,0),0)</f>
        <v/>
      </c>
      <c r="B2686">
        <f>B2685+A2686</f>
        <v/>
      </c>
    </row>
    <row r="2687">
      <c r="A2687">
        <f>IFERROR(IF(AND(INDEX(BASELINE!$A2687:$ZZ2687,CALC!$H$1)&lt;&gt;"",INT(IF(AND(CALC!$F$1&gt;0,N(INDEX(BASELINE!$A2687:$ZZ2687,CALC!$F$1))&gt;0),N(INDEX(BASELINE!$A2687:$ZZ2687,CALC!$F$1)),N(INDEX(BASELINE!$A2687:$ZZ2687,CALC!$P$1))))=INT(SIMOPS!$D$3),IFERROR(UPPER(TRIM(INDEX(BASELINE!$A2687:$ZZ2687,CALC!$R$1)&amp;"")),"")&lt;&gt;"ENCERRADA"),1,0),0)</f>
        <v/>
      </c>
      <c r="B2687">
        <f>B2686+A2687</f>
        <v/>
      </c>
    </row>
    <row r="2688">
      <c r="A2688">
        <f>IFERROR(IF(AND(INDEX(BASELINE!$A2688:$ZZ2688,CALC!$H$1)&lt;&gt;"",INT(IF(AND(CALC!$F$1&gt;0,N(INDEX(BASELINE!$A2688:$ZZ2688,CALC!$F$1))&gt;0),N(INDEX(BASELINE!$A2688:$ZZ2688,CALC!$F$1)),N(INDEX(BASELINE!$A2688:$ZZ2688,CALC!$P$1))))=INT(SIMOPS!$D$3),IFERROR(UPPER(TRIM(INDEX(BASELINE!$A2688:$ZZ2688,CALC!$R$1)&amp;"")),"")&lt;&gt;"ENCERRADA"),1,0),0)</f>
        <v/>
      </c>
      <c r="B2688">
        <f>B2687+A2688</f>
        <v/>
      </c>
    </row>
    <row r="2689">
      <c r="A2689">
        <f>IFERROR(IF(AND(INDEX(BASELINE!$A2689:$ZZ2689,CALC!$H$1)&lt;&gt;"",INT(IF(AND(CALC!$F$1&gt;0,N(INDEX(BASELINE!$A2689:$ZZ2689,CALC!$F$1))&gt;0),N(INDEX(BASELINE!$A2689:$ZZ2689,CALC!$F$1)),N(INDEX(BASELINE!$A2689:$ZZ2689,CALC!$P$1))))=INT(SIMOPS!$D$3),IFERROR(UPPER(TRIM(INDEX(BASELINE!$A2689:$ZZ2689,CALC!$R$1)&amp;"")),"")&lt;&gt;"ENCERRADA"),1,0),0)</f>
        <v/>
      </c>
      <c r="B2689">
        <f>B2688+A2689</f>
        <v/>
      </c>
    </row>
    <row r="2690">
      <c r="A2690">
        <f>IFERROR(IF(AND(INDEX(BASELINE!$A2690:$ZZ2690,CALC!$H$1)&lt;&gt;"",INT(IF(AND(CALC!$F$1&gt;0,N(INDEX(BASELINE!$A2690:$ZZ2690,CALC!$F$1))&gt;0),N(INDEX(BASELINE!$A2690:$ZZ2690,CALC!$F$1)),N(INDEX(BASELINE!$A2690:$ZZ2690,CALC!$P$1))))=INT(SIMOPS!$D$3),IFERROR(UPPER(TRIM(INDEX(BASELINE!$A2690:$ZZ2690,CALC!$R$1)&amp;"")),"")&lt;&gt;"ENCERRADA"),1,0),0)</f>
        <v/>
      </c>
      <c r="B2690">
        <f>B2689+A2690</f>
        <v/>
      </c>
    </row>
    <row r="2691">
      <c r="A2691">
        <f>IFERROR(IF(AND(INDEX(BASELINE!$A2691:$ZZ2691,CALC!$H$1)&lt;&gt;"",INT(IF(AND(CALC!$F$1&gt;0,N(INDEX(BASELINE!$A2691:$ZZ2691,CALC!$F$1))&gt;0),N(INDEX(BASELINE!$A2691:$ZZ2691,CALC!$F$1)),N(INDEX(BASELINE!$A2691:$ZZ2691,CALC!$P$1))))=INT(SIMOPS!$D$3),IFERROR(UPPER(TRIM(INDEX(BASELINE!$A2691:$ZZ2691,CALC!$R$1)&amp;"")),"")&lt;&gt;"ENCERRADA"),1,0),0)</f>
        <v/>
      </c>
      <c r="B2691">
        <f>B2690+A2691</f>
        <v/>
      </c>
    </row>
    <row r="2692">
      <c r="A2692">
        <f>IFERROR(IF(AND(INDEX(BASELINE!$A2692:$ZZ2692,CALC!$H$1)&lt;&gt;"",INT(IF(AND(CALC!$F$1&gt;0,N(INDEX(BASELINE!$A2692:$ZZ2692,CALC!$F$1))&gt;0),N(INDEX(BASELINE!$A2692:$ZZ2692,CALC!$F$1)),N(INDEX(BASELINE!$A2692:$ZZ2692,CALC!$P$1))))=INT(SIMOPS!$D$3),IFERROR(UPPER(TRIM(INDEX(BASELINE!$A2692:$ZZ2692,CALC!$R$1)&amp;"")),"")&lt;&gt;"ENCERRADA"),1,0),0)</f>
        <v/>
      </c>
      <c r="B2692">
        <f>B2691+A2692</f>
        <v/>
      </c>
    </row>
    <row r="2693">
      <c r="A2693">
        <f>IFERROR(IF(AND(INDEX(BASELINE!$A2693:$ZZ2693,CALC!$H$1)&lt;&gt;"",INT(IF(AND(CALC!$F$1&gt;0,N(INDEX(BASELINE!$A2693:$ZZ2693,CALC!$F$1))&gt;0),N(INDEX(BASELINE!$A2693:$ZZ2693,CALC!$F$1)),N(INDEX(BASELINE!$A2693:$ZZ2693,CALC!$P$1))))=INT(SIMOPS!$D$3),IFERROR(UPPER(TRIM(INDEX(BASELINE!$A2693:$ZZ2693,CALC!$R$1)&amp;"")),"")&lt;&gt;"ENCERRADA"),1,0),0)</f>
        <v/>
      </c>
      <c r="B2693">
        <f>B2692+A2693</f>
        <v/>
      </c>
    </row>
    <row r="2694">
      <c r="A2694">
        <f>IFERROR(IF(AND(INDEX(BASELINE!$A2694:$ZZ2694,CALC!$H$1)&lt;&gt;"",INT(IF(AND(CALC!$F$1&gt;0,N(INDEX(BASELINE!$A2694:$ZZ2694,CALC!$F$1))&gt;0),N(INDEX(BASELINE!$A2694:$ZZ2694,CALC!$F$1)),N(INDEX(BASELINE!$A2694:$ZZ2694,CALC!$P$1))))=INT(SIMOPS!$D$3),IFERROR(UPPER(TRIM(INDEX(BASELINE!$A2694:$ZZ2694,CALC!$R$1)&amp;"")),"")&lt;&gt;"ENCERRADA"),1,0),0)</f>
        <v/>
      </c>
      <c r="B2694">
        <f>B2693+A2694</f>
        <v/>
      </c>
    </row>
    <row r="2695">
      <c r="A2695">
        <f>IFERROR(IF(AND(INDEX(BASELINE!$A2695:$ZZ2695,CALC!$H$1)&lt;&gt;"",INT(IF(AND(CALC!$F$1&gt;0,N(INDEX(BASELINE!$A2695:$ZZ2695,CALC!$F$1))&gt;0),N(INDEX(BASELINE!$A2695:$ZZ2695,CALC!$F$1)),N(INDEX(BASELINE!$A2695:$ZZ2695,CALC!$P$1))))=INT(SIMOPS!$D$3),IFERROR(UPPER(TRIM(INDEX(BASELINE!$A2695:$ZZ2695,CALC!$R$1)&amp;"")),"")&lt;&gt;"ENCERRADA"),1,0),0)</f>
        <v/>
      </c>
      <c r="B2695">
        <f>B2694+A2695</f>
        <v/>
      </c>
    </row>
    <row r="2696">
      <c r="A2696">
        <f>IFERROR(IF(AND(INDEX(BASELINE!$A2696:$ZZ2696,CALC!$H$1)&lt;&gt;"",INT(IF(AND(CALC!$F$1&gt;0,N(INDEX(BASELINE!$A2696:$ZZ2696,CALC!$F$1))&gt;0),N(INDEX(BASELINE!$A2696:$ZZ2696,CALC!$F$1)),N(INDEX(BASELINE!$A2696:$ZZ2696,CALC!$P$1))))=INT(SIMOPS!$D$3),IFERROR(UPPER(TRIM(INDEX(BASELINE!$A2696:$ZZ2696,CALC!$R$1)&amp;"")),"")&lt;&gt;"ENCERRADA"),1,0),0)</f>
        <v/>
      </c>
      <c r="B2696">
        <f>B2695+A2696</f>
        <v/>
      </c>
    </row>
    <row r="2697">
      <c r="A2697">
        <f>IFERROR(IF(AND(INDEX(BASELINE!$A2697:$ZZ2697,CALC!$H$1)&lt;&gt;"",INT(IF(AND(CALC!$F$1&gt;0,N(INDEX(BASELINE!$A2697:$ZZ2697,CALC!$F$1))&gt;0),N(INDEX(BASELINE!$A2697:$ZZ2697,CALC!$F$1)),N(INDEX(BASELINE!$A2697:$ZZ2697,CALC!$P$1))))=INT(SIMOPS!$D$3),IFERROR(UPPER(TRIM(INDEX(BASELINE!$A2697:$ZZ2697,CALC!$R$1)&amp;"")),"")&lt;&gt;"ENCERRADA"),1,0),0)</f>
        <v/>
      </c>
      <c r="B2697">
        <f>B2696+A2697</f>
        <v/>
      </c>
    </row>
    <row r="2698">
      <c r="A2698">
        <f>IFERROR(IF(AND(INDEX(BASELINE!$A2698:$ZZ2698,CALC!$H$1)&lt;&gt;"",INT(IF(AND(CALC!$F$1&gt;0,N(INDEX(BASELINE!$A2698:$ZZ2698,CALC!$F$1))&gt;0),N(INDEX(BASELINE!$A2698:$ZZ2698,CALC!$F$1)),N(INDEX(BASELINE!$A2698:$ZZ2698,CALC!$P$1))))=INT(SIMOPS!$D$3),IFERROR(UPPER(TRIM(INDEX(BASELINE!$A2698:$ZZ2698,CALC!$R$1)&amp;"")),"")&lt;&gt;"ENCERRADA"),1,0),0)</f>
        <v/>
      </c>
      <c r="B2698">
        <f>B2697+A2698</f>
        <v/>
      </c>
    </row>
    <row r="2699">
      <c r="A2699">
        <f>IFERROR(IF(AND(INDEX(BASELINE!$A2699:$ZZ2699,CALC!$H$1)&lt;&gt;"",INT(IF(AND(CALC!$F$1&gt;0,N(INDEX(BASELINE!$A2699:$ZZ2699,CALC!$F$1))&gt;0),N(INDEX(BASELINE!$A2699:$ZZ2699,CALC!$F$1)),N(INDEX(BASELINE!$A2699:$ZZ2699,CALC!$P$1))))=INT(SIMOPS!$D$3),IFERROR(UPPER(TRIM(INDEX(BASELINE!$A2699:$ZZ2699,CALC!$R$1)&amp;"")),"")&lt;&gt;"ENCERRADA"),1,0),0)</f>
        <v/>
      </c>
      <c r="B2699">
        <f>B2698+A2699</f>
        <v/>
      </c>
    </row>
    <row r="2700">
      <c r="A2700">
        <f>IFERROR(IF(AND(INDEX(BASELINE!$A2700:$ZZ2700,CALC!$H$1)&lt;&gt;"",INT(IF(AND(CALC!$F$1&gt;0,N(INDEX(BASELINE!$A2700:$ZZ2700,CALC!$F$1))&gt;0),N(INDEX(BASELINE!$A2700:$ZZ2700,CALC!$F$1)),N(INDEX(BASELINE!$A2700:$ZZ2700,CALC!$P$1))))=INT(SIMOPS!$D$3),IFERROR(UPPER(TRIM(INDEX(BASELINE!$A2700:$ZZ2700,CALC!$R$1)&amp;"")),"")&lt;&gt;"ENCERRADA"),1,0),0)</f>
        <v/>
      </c>
      <c r="B2700">
        <f>B2699+A2700</f>
        <v/>
      </c>
    </row>
    <row r="2701">
      <c r="A2701">
        <f>IFERROR(IF(AND(INDEX(BASELINE!$A2701:$ZZ2701,CALC!$H$1)&lt;&gt;"",INT(IF(AND(CALC!$F$1&gt;0,N(INDEX(BASELINE!$A2701:$ZZ2701,CALC!$F$1))&gt;0),N(INDEX(BASELINE!$A2701:$ZZ2701,CALC!$F$1)),N(INDEX(BASELINE!$A2701:$ZZ2701,CALC!$P$1))))=INT(SIMOPS!$D$3),IFERROR(UPPER(TRIM(INDEX(BASELINE!$A2701:$ZZ2701,CALC!$R$1)&amp;"")),"")&lt;&gt;"ENCERRADA"),1,0),0)</f>
        <v/>
      </c>
      <c r="B2701">
        <f>B2700+A2701</f>
        <v/>
      </c>
    </row>
    <row r="2702">
      <c r="A2702">
        <f>IFERROR(IF(AND(INDEX(BASELINE!$A2702:$ZZ2702,CALC!$H$1)&lt;&gt;"",INT(IF(AND(CALC!$F$1&gt;0,N(INDEX(BASELINE!$A2702:$ZZ2702,CALC!$F$1))&gt;0),N(INDEX(BASELINE!$A2702:$ZZ2702,CALC!$F$1)),N(INDEX(BASELINE!$A2702:$ZZ2702,CALC!$P$1))))=INT(SIMOPS!$D$3),IFERROR(UPPER(TRIM(INDEX(BASELINE!$A2702:$ZZ2702,CALC!$R$1)&amp;"")),"")&lt;&gt;"ENCERRADA"),1,0),0)</f>
        <v/>
      </c>
      <c r="B2702">
        <f>B2701+A2702</f>
        <v/>
      </c>
    </row>
    <row r="2703">
      <c r="A2703">
        <f>IFERROR(IF(AND(INDEX(BASELINE!$A2703:$ZZ2703,CALC!$H$1)&lt;&gt;"",INT(IF(AND(CALC!$F$1&gt;0,N(INDEX(BASELINE!$A2703:$ZZ2703,CALC!$F$1))&gt;0),N(INDEX(BASELINE!$A2703:$ZZ2703,CALC!$F$1)),N(INDEX(BASELINE!$A2703:$ZZ2703,CALC!$P$1))))=INT(SIMOPS!$D$3),IFERROR(UPPER(TRIM(INDEX(BASELINE!$A2703:$ZZ2703,CALC!$R$1)&amp;"")),"")&lt;&gt;"ENCERRADA"),1,0),0)</f>
        <v/>
      </c>
      <c r="B2703">
        <f>B2702+A2703</f>
        <v/>
      </c>
    </row>
    <row r="2704">
      <c r="A2704">
        <f>IFERROR(IF(AND(INDEX(BASELINE!$A2704:$ZZ2704,CALC!$H$1)&lt;&gt;"",INT(IF(AND(CALC!$F$1&gt;0,N(INDEX(BASELINE!$A2704:$ZZ2704,CALC!$F$1))&gt;0),N(INDEX(BASELINE!$A2704:$ZZ2704,CALC!$F$1)),N(INDEX(BASELINE!$A2704:$ZZ2704,CALC!$P$1))))=INT(SIMOPS!$D$3),IFERROR(UPPER(TRIM(INDEX(BASELINE!$A2704:$ZZ2704,CALC!$R$1)&amp;"")),"")&lt;&gt;"ENCERRADA"),1,0),0)</f>
        <v/>
      </c>
      <c r="B2704">
        <f>B2703+A2704</f>
        <v/>
      </c>
    </row>
    <row r="2705">
      <c r="A2705">
        <f>IFERROR(IF(AND(INDEX(BASELINE!$A2705:$ZZ2705,CALC!$H$1)&lt;&gt;"",INT(IF(AND(CALC!$F$1&gt;0,N(INDEX(BASELINE!$A2705:$ZZ2705,CALC!$F$1))&gt;0),N(INDEX(BASELINE!$A2705:$ZZ2705,CALC!$F$1)),N(INDEX(BASELINE!$A2705:$ZZ2705,CALC!$P$1))))=INT(SIMOPS!$D$3),IFERROR(UPPER(TRIM(INDEX(BASELINE!$A2705:$ZZ2705,CALC!$R$1)&amp;"")),"")&lt;&gt;"ENCERRADA"),1,0),0)</f>
        <v/>
      </c>
      <c r="B2705">
        <f>B2704+A2705</f>
        <v/>
      </c>
    </row>
    <row r="2706">
      <c r="A2706">
        <f>IFERROR(IF(AND(INDEX(BASELINE!$A2706:$ZZ2706,CALC!$H$1)&lt;&gt;"",INT(IF(AND(CALC!$F$1&gt;0,N(INDEX(BASELINE!$A2706:$ZZ2706,CALC!$F$1))&gt;0),N(INDEX(BASELINE!$A2706:$ZZ2706,CALC!$F$1)),N(INDEX(BASELINE!$A2706:$ZZ2706,CALC!$P$1))))=INT(SIMOPS!$D$3),IFERROR(UPPER(TRIM(INDEX(BASELINE!$A2706:$ZZ2706,CALC!$R$1)&amp;"")),"")&lt;&gt;"ENCERRADA"),1,0),0)</f>
        <v/>
      </c>
      <c r="B2706">
        <f>B2705+A2706</f>
        <v/>
      </c>
    </row>
    <row r="2707">
      <c r="A2707">
        <f>IFERROR(IF(AND(INDEX(BASELINE!$A2707:$ZZ2707,CALC!$H$1)&lt;&gt;"",INT(IF(AND(CALC!$F$1&gt;0,N(INDEX(BASELINE!$A2707:$ZZ2707,CALC!$F$1))&gt;0),N(INDEX(BASELINE!$A2707:$ZZ2707,CALC!$F$1)),N(INDEX(BASELINE!$A2707:$ZZ2707,CALC!$P$1))))=INT(SIMOPS!$D$3),IFERROR(UPPER(TRIM(INDEX(BASELINE!$A2707:$ZZ2707,CALC!$R$1)&amp;"")),"")&lt;&gt;"ENCERRADA"),1,0),0)</f>
        <v/>
      </c>
      <c r="B2707">
        <f>B2706+A2707</f>
        <v/>
      </c>
    </row>
    <row r="2708">
      <c r="A2708">
        <f>IFERROR(IF(AND(INDEX(BASELINE!$A2708:$ZZ2708,CALC!$H$1)&lt;&gt;"",INT(IF(AND(CALC!$F$1&gt;0,N(INDEX(BASELINE!$A2708:$ZZ2708,CALC!$F$1))&gt;0),N(INDEX(BASELINE!$A2708:$ZZ2708,CALC!$F$1)),N(INDEX(BASELINE!$A2708:$ZZ2708,CALC!$P$1))))=INT(SIMOPS!$D$3),IFERROR(UPPER(TRIM(INDEX(BASELINE!$A2708:$ZZ2708,CALC!$R$1)&amp;"")),"")&lt;&gt;"ENCERRADA"),1,0),0)</f>
        <v/>
      </c>
      <c r="B2708">
        <f>B2707+A2708</f>
        <v/>
      </c>
    </row>
    <row r="2709">
      <c r="A2709">
        <f>IFERROR(IF(AND(INDEX(BASELINE!$A2709:$ZZ2709,CALC!$H$1)&lt;&gt;"",INT(IF(AND(CALC!$F$1&gt;0,N(INDEX(BASELINE!$A2709:$ZZ2709,CALC!$F$1))&gt;0),N(INDEX(BASELINE!$A2709:$ZZ2709,CALC!$F$1)),N(INDEX(BASELINE!$A2709:$ZZ2709,CALC!$P$1))))=INT(SIMOPS!$D$3),IFERROR(UPPER(TRIM(INDEX(BASELINE!$A2709:$ZZ2709,CALC!$R$1)&amp;"")),"")&lt;&gt;"ENCERRADA"),1,0),0)</f>
        <v/>
      </c>
      <c r="B2709">
        <f>B2708+A2709</f>
        <v/>
      </c>
    </row>
    <row r="2710">
      <c r="A2710">
        <f>IFERROR(IF(AND(INDEX(BASELINE!$A2710:$ZZ2710,CALC!$H$1)&lt;&gt;"",INT(IF(AND(CALC!$F$1&gt;0,N(INDEX(BASELINE!$A2710:$ZZ2710,CALC!$F$1))&gt;0),N(INDEX(BASELINE!$A2710:$ZZ2710,CALC!$F$1)),N(INDEX(BASELINE!$A2710:$ZZ2710,CALC!$P$1))))=INT(SIMOPS!$D$3),IFERROR(UPPER(TRIM(INDEX(BASELINE!$A2710:$ZZ2710,CALC!$R$1)&amp;"")),"")&lt;&gt;"ENCERRADA"),1,0),0)</f>
        <v/>
      </c>
      <c r="B2710">
        <f>B2709+A2710</f>
        <v/>
      </c>
    </row>
    <row r="2711">
      <c r="A2711">
        <f>IFERROR(IF(AND(INDEX(BASELINE!$A2711:$ZZ2711,CALC!$H$1)&lt;&gt;"",INT(IF(AND(CALC!$F$1&gt;0,N(INDEX(BASELINE!$A2711:$ZZ2711,CALC!$F$1))&gt;0),N(INDEX(BASELINE!$A2711:$ZZ2711,CALC!$F$1)),N(INDEX(BASELINE!$A2711:$ZZ2711,CALC!$P$1))))=INT(SIMOPS!$D$3),IFERROR(UPPER(TRIM(INDEX(BASELINE!$A2711:$ZZ2711,CALC!$R$1)&amp;"")),"")&lt;&gt;"ENCERRADA"),1,0),0)</f>
        <v/>
      </c>
      <c r="B2711">
        <f>B2710+A2711</f>
        <v/>
      </c>
    </row>
    <row r="2712">
      <c r="A2712">
        <f>IFERROR(IF(AND(INDEX(BASELINE!$A2712:$ZZ2712,CALC!$H$1)&lt;&gt;"",INT(IF(AND(CALC!$F$1&gt;0,N(INDEX(BASELINE!$A2712:$ZZ2712,CALC!$F$1))&gt;0),N(INDEX(BASELINE!$A2712:$ZZ2712,CALC!$F$1)),N(INDEX(BASELINE!$A2712:$ZZ2712,CALC!$P$1))))=INT(SIMOPS!$D$3),IFERROR(UPPER(TRIM(INDEX(BASELINE!$A2712:$ZZ2712,CALC!$R$1)&amp;"")),"")&lt;&gt;"ENCERRADA"),1,0),0)</f>
        <v/>
      </c>
      <c r="B2712">
        <f>B2711+A2712</f>
        <v/>
      </c>
    </row>
    <row r="2713">
      <c r="A2713">
        <f>IFERROR(IF(AND(INDEX(BASELINE!$A2713:$ZZ2713,CALC!$H$1)&lt;&gt;"",INT(IF(AND(CALC!$F$1&gt;0,N(INDEX(BASELINE!$A2713:$ZZ2713,CALC!$F$1))&gt;0),N(INDEX(BASELINE!$A2713:$ZZ2713,CALC!$F$1)),N(INDEX(BASELINE!$A2713:$ZZ2713,CALC!$P$1))))=INT(SIMOPS!$D$3),IFERROR(UPPER(TRIM(INDEX(BASELINE!$A2713:$ZZ2713,CALC!$R$1)&amp;"")),"")&lt;&gt;"ENCERRADA"),1,0),0)</f>
        <v/>
      </c>
      <c r="B2713">
        <f>B2712+A2713</f>
        <v/>
      </c>
    </row>
    <row r="2714">
      <c r="A2714">
        <f>IFERROR(IF(AND(INDEX(BASELINE!$A2714:$ZZ2714,CALC!$H$1)&lt;&gt;"",INT(IF(AND(CALC!$F$1&gt;0,N(INDEX(BASELINE!$A2714:$ZZ2714,CALC!$F$1))&gt;0),N(INDEX(BASELINE!$A2714:$ZZ2714,CALC!$F$1)),N(INDEX(BASELINE!$A2714:$ZZ2714,CALC!$P$1))))=INT(SIMOPS!$D$3),IFERROR(UPPER(TRIM(INDEX(BASELINE!$A2714:$ZZ2714,CALC!$R$1)&amp;"")),"")&lt;&gt;"ENCERRADA"),1,0),0)</f>
        <v/>
      </c>
      <c r="B2714">
        <f>B2713+A2714</f>
        <v/>
      </c>
    </row>
    <row r="2715">
      <c r="A2715">
        <f>IFERROR(IF(AND(INDEX(BASELINE!$A2715:$ZZ2715,CALC!$H$1)&lt;&gt;"",INT(IF(AND(CALC!$F$1&gt;0,N(INDEX(BASELINE!$A2715:$ZZ2715,CALC!$F$1))&gt;0),N(INDEX(BASELINE!$A2715:$ZZ2715,CALC!$F$1)),N(INDEX(BASELINE!$A2715:$ZZ2715,CALC!$P$1))))=INT(SIMOPS!$D$3),IFERROR(UPPER(TRIM(INDEX(BASELINE!$A2715:$ZZ2715,CALC!$R$1)&amp;"")),"")&lt;&gt;"ENCERRADA"),1,0),0)</f>
        <v/>
      </c>
      <c r="B2715">
        <f>B2714+A2715</f>
        <v/>
      </c>
    </row>
    <row r="2716">
      <c r="A2716">
        <f>IFERROR(IF(AND(INDEX(BASELINE!$A2716:$ZZ2716,CALC!$H$1)&lt;&gt;"",INT(IF(AND(CALC!$F$1&gt;0,N(INDEX(BASELINE!$A2716:$ZZ2716,CALC!$F$1))&gt;0),N(INDEX(BASELINE!$A2716:$ZZ2716,CALC!$F$1)),N(INDEX(BASELINE!$A2716:$ZZ2716,CALC!$P$1))))=INT(SIMOPS!$D$3),IFERROR(UPPER(TRIM(INDEX(BASELINE!$A2716:$ZZ2716,CALC!$R$1)&amp;"")),"")&lt;&gt;"ENCERRADA"),1,0),0)</f>
        <v/>
      </c>
      <c r="B2716">
        <f>B2715+A2716</f>
        <v/>
      </c>
    </row>
    <row r="2717">
      <c r="A2717">
        <f>IFERROR(IF(AND(INDEX(BASELINE!$A2717:$ZZ2717,CALC!$H$1)&lt;&gt;"",INT(IF(AND(CALC!$F$1&gt;0,N(INDEX(BASELINE!$A2717:$ZZ2717,CALC!$F$1))&gt;0),N(INDEX(BASELINE!$A2717:$ZZ2717,CALC!$F$1)),N(INDEX(BASELINE!$A2717:$ZZ2717,CALC!$P$1))))=INT(SIMOPS!$D$3),IFERROR(UPPER(TRIM(INDEX(BASELINE!$A2717:$ZZ2717,CALC!$R$1)&amp;"")),"")&lt;&gt;"ENCERRADA"),1,0),0)</f>
        <v/>
      </c>
      <c r="B2717">
        <f>B2716+A2717</f>
        <v/>
      </c>
    </row>
    <row r="2718">
      <c r="A2718">
        <f>IFERROR(IF(AND(INDEX(BASELINE!$A2718:$ZZ2718,CALC!$H$1)&lt;&gt;"",INT(IF(AND(CALC!$F$1&gt;0,N(INDEX(BASELINE!$A2718:$ZZ2718,CALC!$F$1))&gt;0),N(INDEX(BASELINE!$A2718:$ZZ2718,CALC!$F$1)),N(INDEX(BASELINE!$A2718:$ZZ2718,CALC!$P$1))))=INT(SIMOPS!$D$3),IFERROR(UPPER(TRIM(INDEX(BASELINE!$A2718:$ZZ2718,CALC!$R$1)&amp;"")),"")&lt;&gt;"ENCERRADA"),1,0),0)</f>
        <v/>
      </c>
      <c r="B2718">
        <f>B2717+A2718</f>
        <v/>
      </c>
    </row>
    <row r="2719">
      <c r="A2719">
        <f>IFERROR(IF(AND(INDEX(BASELINE!$A2719:$ZZ2719,CALC!$H$1)&lt;&gt;"",INT(IF(AND(CALC!$F$1&gt;0,N(INDEX(BASELINE!$A2719:$ZZ2719,CALC!$F$1))&gt;0),N(INDEX(BASELINE!$A2719:$ZZ2719,CALC!$F$1)),N(INDEX(BASELINE!$A2719:$ZZ2719,CALC!$P$1))))=INT(SIMOPS!$D$3),IFERROR(UPPER(TRIM(INDEX(BASELINE!$A2719:$ZZ2719,CALC!$R$1)&amp;"")),"")&lt;&gt;"ENCERRADA"),1,0),0)</f>
        <v/>
      </c>
      <c r="B2719">
        <f>B2718+A2719</f>
        <v/>
      </c>
    </row>
    <row r="2720">
      <c r="A2720">
        <f>IFERROR(IF(AND(INDEX(BASELINE!$A2720:$ZZ2720,CALC!$H$1)&lt;&gt;"",INT(IF(AND(CALC!$F$1&gt;0,N(INDEX(BASELINE!$A2720:$ZZ2720,CALC!$F$1))&gt;0),N(INDEX(BASELINE!$A2720:$ZZ2720,CALC!$F$1)),N(INDEX(BASELINE!$A2720:$ZZ2720,CALC!$P$1))))=INT(SIMOPS!$D$3),IFERROR(UPPER(TRIM(INDEX(BASELINE!$A2720:$ZZ2720,CALC!$R$1)&amp;"")),"")&lt;&gt;"ENCERRADA"),1,0),0)</f>
        <v/>
      </c>
      <c r="B2720">
        <f>B2719+A2720</f>
        <v/>
      </c>
    </row>
    <row r="2721">
      <c r="A2721">
        <f>IFERROR(IF(AND(INDEX(BASELINE!$A2721:$ZZ2721,CALC!$H$1)&lt;&gt;"",INT(IF(AND(CALC!$F$1&gt;0,N(INDEX(BASELINE!$A2721:$ZZ2721,CALC!$F$1))&gt;0),N(INDEX(BASELINE!$A2721:$ZZ2721,CALC!$F$1)),N(INDEX(BASELINE!$A2721:$ZZ2721,CALC!$P$1))))=INT(SIMOPS!$D$3),IFERROR(UPPER(TRIM(INDEX(BASELINE!$A2721:$ZZ2721,CALC!$R$1)&amp;"")),"")&lt;&gt;"ENCERRADA"),1,0),0)</f>
        <v/>
      </c>
      <c r="B2721">
        <f>B2720+A2721</f>
        <v/>
      </c>
    </row>
    <row r="2722">
      <c r="A2722">
        <f>IFERROR(IF(AND(INDEX(BASELINE!$A2722:$ZZ2722,CALC!$H$1)&lt;&gt;"",INT(IF(AND(CALC!$F$1&gt;0,N(INDEX(BASELINE!$A2722:$ZZ2722,CALC!$F$1))&gt;0),N(INDEX(BASELINE!$A2722:$ZZ2722,CALC!$F$1)),N(INDEX(BASELINE!$A2722:$ZZ2722,CALC!$P$1))))=INT(SIMOPS!$D$3),IFERROR(UPPER(TRIM(INDEX(BASELINE!$A2722:$ZZ2722,CALC!$R$1)&amp;"")),"")&lt;&gt;"ENCERRADA"),1,0),0)</f>
        <v/>
      </c>
      <c r="B2722">
        <f>B2721+A2722</f>
        <v/>
      </c>
    </row>
    <row r="2723">
      <c r="A2723">
        <f>IFERROR(IF(AND(INDEX(BASELINE!$A2723:$ZZ2723,CALC!$H$1)&lt;&gt;"",INT(IF(AND(CALC!$F$1&gt;0,N(INDEX(BASELINE!$A2723:$ZZ2723,CALC!$F$1))&gt;0),N(INDEX(BASELINE!$A2723:$ZZ2723,CALC!$F$1)),N(INDEX(BASELINE!$A2723:$ZZ2723,CALC!$P$1))))=INT(SIMOPS!$D$3),IFERROR(UPPER(TRIM(INDEX(BASELINE!$A2723:$ZZ2723,CALC!$R$1)&amp;"")),"")&lt;&gt;"ENCERRADA"),1,0),0)</f>
        <v/>
      </c>
      <c r="B2723">
        <f>B2722+A2723</f>
        <v/>
      </c>
    </row>
    <row r="2724">
      <c r="A2724">
        <f>IFERROR(IF(AND(INDEX(BASELINE!$A2724:$ZZ2724,CALC!$H$1)&lt;&gt;"",INT(IF(AND(CALC!$F$1&gt;0,N(INDEX(BASELINE!$A2724:$ZZ2724,CALC!$F$1))&gt;0),N(INDEX(BASELINE!$A2724:$ZZ2724,CALC!$F$1)),N(INDEX(BASELINE!$A2724:$ZZ2724,CALC!$P$1))))=INT(SIMOPS!$D$3),IFERROR(UPPER(TRIM(INDEX(BASELINE!$A2724:$ZZ2724,CALC!$R$1)&amp;"")),"")&lt;&gt;"ENCERRADA"),1,0),0)</f>
        <v/>
      </c>
      <c r="B2724">
        <f>B2723+A2724</f>
        <v/>
      </c>
    </row>
    <row r="2725">
      <c r="A2725">
        <f>IFERROR(IF(AND(INDEX(BASELINE!$A2725:$ZZ2725,CALC!$H$1)&lt;&gt;"",INT(IF(AND(CALC!$F$1&gt;0,N(INDEX(BASELINE!$A2725:$ZZ2725,CALC!$F$1))&gt;0),N(INDEX(BASELINE!$A2725:$ZZ2725,CALC!$F$1)),N(INDEX(BASELINE!$A2725:$ZZ2725,CALC!$P$1))))=INT(SIMOPS!$D$3),IFERROR(UPPER(TRIM(INDEX(BASELINE!$A2725:$ZZ2725,CALC!$R$1)&amp;"")),"")&lt;&gt;"ENCERRADA"),1,0),0)</f>
        <v/>
      </c>
      <c r="B2725">
        <f>B2724+A2725</f>
        <v/>
      </c>
    </row>
    <row r="2726">
      <c r="A2726">
        <f>IFERROR(IF(AND(INDEX(BASELINE!$A2726:$ZZ2726,CALC!$H$1)&lt;&gt;"",INT(IF(AND(CALC!$F$1&gt;0,N(INDEX(BASELINE!$A2726:$ZZ2726,CALC!$F$1))&gt;0),N(INDEX(BASELINE!$A2726:$ZZ2726,CALC!$F$1)),N(INDEX(BASELINE!$A2726:$ZZ2726,CALC!$P$1))))=INT(SIMOPS!$D$3),IFERROR(UPPER(TRIM(INDEX(BASELINE!$A2726:$ZZ2726,CALC!$R$1)&amp;"")),"")&lt;&gt;"ENCERRADA"),1,0),0)</f>
        <v/>
      </c>
      <c r="B2726">
        <f>B2725+A2726</f>
        <v/>
      </c>
    </row>
    <row r="2727">
      <c r="A2727">
        <f>IFERROR(IF(AND(INDEX(BASELINE!$A2727:$ZZ2727,CALC!$H$1)&lt;&gt;"",INT(IF(AND(CALC!$F$1&gt;0,N(INDEX(BASELINE!$A2727:$ZZ2727,CALC!$F$1))&gt;0),N(INDEX(BASELINE!$A2727:$ZZ2727,CALC!$F$1)),N(INDEX(BASELINE!$A2727:$ZZ2727,CALC!$P$1))))=INT(SIMOPS!$D$3),IFERROR(UPPER(TRIM(INDEX(BASELINE!$A2727:$ZZ2727,CALC!$R$1)&amp;"")),"")&lt;&gt;"ENCERRADA"),1,0),0)</f>
        <v/>
      </c>
      <c r="B2727">
        <f>B2726+A2727</f>
        <v/>
      </c>
    </row>
    <row r="2728">
      <c r="A2728">
        <f>IFERROR(IF(AND(INDEX(BASELINE!$A2728:$ZZ2728,CALC!$H$1)&lt;&gt;"",INT(IF(AND(CALC!$F$1&gt;0,N(INDEX(BASELINE!$A2728:$ZZ2728,CALC!$F$1))&gt;0),N(INDEX(BASELINE!$A2728:$ZZ2728,CALC!$F$1)),N(INDEX(BASELINE!$A2728:$ZZ2728,CALC!$P$1))))=INT(SIMOPS!$D$3),IFERROR(UPPER(TRIM(INDEX(BASELINE!$A2728:$ZZ2728,CALC!$R$1)&amp;"")),"")&lt;&gt;"ENCERRADA"),1,0),0)</f>
        <v/>
      </c>
      <c r="B2728">
        <f>B2727+A2728</f>
        <v/>
      </c>
    </row>
    <row r="2729">
      <c r="A2729">
        <f>IFERROR(IF(AND(INDEX(BASELINE!$A2729:$ZZ2729,CALC!$H$1)&lt;&gt;"",INT(IF(AND(CALC!$F$1&gt;0,N(INDEX(BASELINE!$A2729:$ZZ2729,CALC!$F$1))&gt;0),N(INDEX(BASELINE!$A2729:$ZZ2729,CALC!$F$1)),N(INDEX(BASELINE!$A2729:$ZZ2729,CALC!$P$1))))=INT(SIMOPS!$D$3),IFERROR(UPPER(TRIM(INDEX(BASELINE!$A2729:$ZZ2729,CALC!$R$1)&amp;"")),"")&lt;&gt;"ENCERRADA"),1,0),0)</f>
        <v/>
      </c>
      <c r="B2729">
        <f>B2728+A2729</f>
        <v/>
      </c>
    </row>
    <row r="2730">
      <c r="A2730">
        <f>IFERROR(IF(AND(INDEX(BASELINE!$A2730:$ZZ2730,CALC!$H$1)&lt;&gt;"",INT(IF(AND(CALC!$F$1&gt;0,N(INDEX(BASELINE!$A2730:$ZZ2730,CALC!$F$1))&gt;0),N(INDEX(BASELINE!$A2730:$ZZ2730,CALC!$F$1)),N(INDEX(BASELINE!$A2730:$ZZ2730,CALC!$P$1))))=INT(SIMOPS!$D$3),IFERROR(UPPER(TRIM(INDEX(BASELINE!$A2730:$ZZ2730,CALC!$R$1)&amp;"")),"")&lt;&gt;"ENCERRADA"),1,0),0)</f>
        <v/>
      </c>
      <c r="B2730">
        <f>B2729+A2730</f>
        <v/>
      </c>
    </row>
    <row r="2731">
      <c r="A2731">
        <f>IFERROR(IF(AND(INDEX(BASELINE!$A2731:$ZZ2731,CALC!$H$1)&lt;&gt;"",INT(IF(AND(CALC!$F$1&gt;0,N(INDEX(BASELINE!$A2731:$ZZ2731,CALC!$F$1))&gt;0),N(INDEX(BASELINE!$A2731:$ZZ2731,CALC!$F$1)),N(INDEX(BASELINE!$A2731:$ZZ2731,CALC!$P$1))))=INT(SIMOPS!$D$3),IFERROR(UPPER(TRIM(INDEX(BASELINE!$A2731:$ZZ2731,CALC!$R$1)&amp;"")),"")&lt;&gt;"ENCERRADA"),1,0),0)</f>
        <v/>
      </c>
      <c r="B2731">
        <f>B2730+A2731</f>
        <v/>
      </c>
    </row>
    <row r="2732">
      <c r="A2732">
        <f>IFERROR(IF(AND(INDEX(BASELINE!$A2732:$ZZ2732,CALC!$H$1)&lt;&gt;"",INT(IF(AND(CALC!$F$1&gt;0,N(INDEX(BASELINE!$A2732:$ZZ2732,CALC!$F$1))&gt;0),N(INDEX(BASELINE!$A2732:$ZZ2732,CALC!$F$1)),N(INDEX(BASELINE!$A2732:$ZZ2732,CALC!$P$1))))=INT(SIMOPS!$D$3),IFERROR(UPPER(TRIM(INDEX(BASELINE!$A2732:$ZZ2732,CALC!$R$1)&amp;"")),"")&lt;&gt;"ENCERRADA"),1,0),0)</f>
        <v/>
      </c>
      <c r="B2732">
        <f>B2731+A2732</f>
        <v/>
      </c>
    </row>
    <row r="2733">
      <c r="A2733">
        <f>IFERROR(IF(AND(INDEX(BASELINE!$A2733:$ZZ2733,CALC!$H$1)&lt;&gt;"",INT(IF(AND(CALC!$F$1&gt;0,N(INDEX(BASELINE!$A2733:$ZZ2733,CALC!$F$1))&gt;0),N(INDEX(BASELINE!$A2733:$ZZ2733,CALC!$F$1)),N(INDEX(BASELINE!$A2733:$ZZ2733,CALC!$P$1))))=INT(SIMOPS!$D$3),IFERROR(UPPER(TRIM(INDEX(BASELINE!$A2733:$ZZ2733,CALC!$R$1)&amp;"")),"")&lt;&gt;"ENCERRADA"),1,0),0)</f>
        <v/>
      </c>
      <c r="B2733">
        <f>B2732+A2733</f>
        <v/>
      </c>
    </row>
    <row r="2734">
      <c r="A2734">
        <f>IFERROR(IF(AND(INDEX(BASELINE!$A2734:$ZZ2734,CALC!$H$1)&lt;&gt;"",INT(IF(AND(CALC!$F$1&gt;0,N(INDEX(BASELINE!$A2734:$ZZ2734,CALC!$F$1))&gt;0),N(INDEX(BASELINE!$A2734:$ZZ2734,CALC!$F$1)),N(INDEX(BASELINE!$A2734:$ZZ2734,CALC!$P$1))))=INT(SIMOPS!$D$3),IFERROR(UPPER(TRIM(INDEX(BASELINE!$A2734:$ZZ2734,CALC!$R$1)&amp;"")),"")&lt;&gt;"ENCERRADA"),1,0),0)</f>
        <v/>
      </c>
      <c r="B2734">
        <f>B2733+A2734</f>
        <v/>
      </c>
    </row>
    <row r="2735">
      <c r="A2735">
        <f>IFERROR(IF(AND(INDEX(BASELINE!$A2735:$ZZ2735,CALC!$H$1)&lt;&gt;"",INT(IF(AND(CALC!$F$1&gt;0,N(INDEX(BASELINE!$A2735:$ZZ2735,CALC!$F$1))&gt;0),N(INDEX(BASELINE!$A2735:$ZZ2735,CALC!$F$1)),N(INDEX(BASELINE!$A2735:$ZZ2735,CALC!$P$1))))=INT(SIMOPS!$D$3),IFERROR(UPPER(TRIM(INDEX(BASELINE!$A2735:$ZZ2735,CALC!$R$1)&amp;"")),"")&lt;&gt;"ENCERRADA"),1,0),0)</f>
        <v/>
      </c>
      <c r="B2735">
        <f>B2734+A2735</f>
        <v/>
      </c>
    </row>
    <row r="2736">
      <c r="A2736">
        <f>IFERROR(IF(AND(INDEX(BASELINE!$A2736:$ZZ2736,CALC!$H$1)&lt;&gt;"",INT(IF(AND(CALC!$F$1&gt;0,N(INDEX(BASELINE!$A2736:$ZZ2736,CALC!$F$1))&gt;0),N(INDEX(BASELINE!$A2736:$ZZ2736,CALC!$F$1)),N(INDEX(BASELINE!$A2736:$ZZ2736,CALC!$P$1))))=INT(SIMOPS!$D$3),IFERROR(UPPER(TRIM(INDEX(BASELINE!$A2736:$ZZ2736,CALC!$R$1)&amp;"")),"")&lt;&gt;"ENCERRADA"),1,0),0)</f>
        <v/>
      </c>
      <c r="B2736">
        <f>B2735+A2736</f>
        <v/>
      </c>
    </row>
    <row r="2737">
      <c r="A2737">
        <f>IFERROR(IF(AND(INDEX(BASELINE!$A2737:$ZZ2737,CALC!$H$1)&lt;&gt;"",INT(IF(AND(CALC!$F$1&gt;0,N(INDEX(BASELINE!$A2737:$ZZ2737,CALC!$F$1))&gt;0),N(INDEX(BASELINE!$A2737:$ZZ2737,CALC!$F$1)),N(INDEX(BASELINE!$A2737:$ZZ2737,CALC!$P$1))))=INT(SIMOPS!$D$3),IFERROR(UPPER(TRIM(INDEX(BASELINE!$A2737:$ZZ2737,CALC!$R$1)&amp;"")),"")&lt;&gt;"ENCERRADA"),1,0),0)</f>
        <v/>
      </c>
      <c r="B2737">
        <f>B2736+A2737</f>
        <v/>
      </c>
    </row>
    <row r="2738">
      <c r="A2738">
        <f>IFERROR(IF(AND(INDEX(BASELINE!$A2738:$ZZ2738,CALC!$H$1)&lt;&gt;"",INT(IF(AND(CALC!$F$1&gt;0,N(INDEX(BASELINE!$A2738:$ZZ2738,CALC!$F$1))&gt;0),N(INDEX(BASELINE!$A2738:$ZZ2738,CALC!$F$1)),N(INDEX(BASELINE!$A2738:$ZZ2738,CALC!$P$1))))=INT(SIMOPS!$D$3),IFERROR(UPPER(TRIM(INDEX(BASELINE!$A2738:$ZZ2738,CALC!$R$1)&amp;"")),"")&lt;&gt;"ENCERRADA"),1,0),0)</f>
        <v/>
      </c>
      <c r="B2738">
        <f>B2737+A2738</f>
        <v/>
      </c>
    </row>
    <row r="2739">
      <c r="A2739">
        <f>IFERROR(IF(AND(INDEX(BASELINE!$A2739:$ZZ2739,CALC!$H$1)&lt;&gt;"",INT(IF(AND(CALC!$F$1&gt;0,N(INDEX(BASELINE!$A2739:$ZZ2739,CALC!$F$1))&gt;0),N(INDEX(BASELINE!$A2739:$ZZ2739,CALC!$F$1)),N(INDEX(BASELINE!$A2739:$ZZ2739,CALC!$P$1))))=INT(SIMOPS!$D$3),IFERROR(UPPER(TRIM(INDEX(BASELINE!$A2739:$ZZ2739,CALC!$R$1)&amp;"")),"")&lt;&gt;"ENCERRADA"),1,0),0)</f>
        <v/>
      </c>
      <c r="B2739">
        <f>B2738+A2739</f>
        <v/>
      </c>
    </row>
    <row r="2740">
      <c r="A2740">
        <f>IFERROR(IF(AND(INDEX(BASELINE!$A2740:$ZZ2740,CALC!$H$1)&lt;&gt;"",INT(IF(AND(CALC!$F$1&gt;0,N(INDEX(BASELINE!$A2740:$ZZ2740,CALC!$F$1))&gt;0),N(INDEX(BASELINE!$A2740:$ZZ2740,CALC!$F$1)),N(INDEX(BASELINE!$A2740:$ZZ2740,CALC!$P$1))))=INT(SIMOPS!$D$3),IFERROR(UPPER(TRIM(INDEX(BASELINE!$A2740:$ZZ2740,CALC!$R$1)&amp;"")),"")&lt;&gt;"ENCERRADA"),1,0),0)</f>
        <v/>
      </c>
      <c r="B2740">
        <f>B2739+A2740</f>
        <v/>
      </c>
    </row>
    <row r="2741">
      <c r="A2741">
        <f>IFERROR(IF(AND(INDEX(BASELINE!$A2741:$ZZ2741,CALC!$H$1)&lt;&gt;"",INT(IF(AND(CALC!$F$1&gt;0,N(INDEX(BASELINE!$A2741:$ZZ2741,CALC!$F$1))&gt;0),N(INDEX(BASELINE!$A2741:$ZZ2741,CALC!$F$1)),N(INDEX(BASELINE!$A2741:$ZZ2741,CALC!$P$1))))=INT(SIMOPS!$D$3),IFERROR(UPPER(TRIM(INDEX(BASELINE!$A2741:$ZZ2741,CALC!$R$1)&amp;"")),"")&lt;&gt;"ENCERRADA"),1,0),0)</f>
        <v/>
      </c>
      <c r="B2741">
        <f>B2740+A2741</f>
        <v/>
      </c>
    </row>
    <row r="2742">
      <c r="A2742">
        <f>IFERROR(IF(AND(INDEX(BASELINE!$A2742:$ZZ2742,CALC!$H$1)&lt;&gt;"",INT(IF(AND(CALC!$F$1&gt;0,N(INDEX(BASELINE!$A2742:$ZZ2742,CALC!$F$1))&gt;0),N(INDEX(BASELINE!$A2742:$ZZ2742,CALC!$F$1)),N(INDEX(BASELINE!$A2742:$ZZ2742,CALC!$P$1))))=INT(SIMOPS!$D$3),IFERROR(UPPER(TRIM(INDEX(BASELINE!$A2742:$ZZ2742,CALC!$R$1)&amp;"")),"")&lt;&gt;"ENCERRADA"),1,0),0)</f>
        <v/>
      </c>
      <c r="B2742">
        <f>B2741+A2742</f>
        <v/>
      </c>
    </row>
    <row r="2743">
      <c r="A2743">
        <f>IFERROR(IF(AND(INDEX(BASELINE!$A2743:$ZZ2743,CALC!$H$1)&lt;&gt;"",INT(IF(AND(CALC!$F$1&gt;0,N(INDEX(BASELINE!$A2743:$ZZ2743,CALC!$F$1))&gt;0),N(INDEX(BASELINE!$A2743:$ZZ2743,CALC!$F$1)),N(INDEX(BASELINE!$A2743:$ZZ2743,CALC!$P$1))))=INT(SIMOPS!$D$3),IFERROR(UPPER(TRIM(INDEX(BASELINE!$A2743:$ZZ2743,CALC!$R$1)&amp;"")),"")&lt;&gt;"ENCERRADA"),1,0),0)</f>
        <v/>
      </c>
      <c r="B2743">
        <f>B2742+A2743</f>
        <v/>
      </c>
    </row>
    <row r="2744">
      <c r="A2744">
        <f>IFERROR(IF(AND(INDEX(BASELINE!$A2744:$ZZ2744,CALC!$H$1)&lt;&gt;"",INT(IF(AND(CALC!$F$1&gt;0,N(INDEX(BASELINE!$A2744:$ZZ2744,CALC!$F$1))&gt;0),N(INDEX(BASELINE!$A2744:$ZZ2744,CALC!$F$1)),N(INDEX(BASELINE!$A2744:$ZZ2744,CALC!$P$1))))=INT(SIMOPS!$D$3),IFERROR(UPPER(TRIM(INDEX(BASELINE!$A2744:$ZZ2744,CALC!$R$1)&amp;"")),"")&lt;&gt;"ENCERRADA"),1,0),0)</f>
        <v/>
      </c>
      <c r="B2744">
        <f>B2743+A2744</f>
        <v/>
      </c>
    </row>
    <row r="2745">
      <c r="A2745">
        <f>IFERROR(IF(AND(INDEX(BASELINE!$A2745:$ZZ2745,CALC!$H$1)&lt;&gt;"",INT(IF(AND(CALC!$F$1&gt;0,N(INDEX(BASELINE!$A2745:$ZZ2745,CALC!$F$1))&gt;0),N(INDEX(BASELINE!$A2745:$ZZ2745,CALC!$F$1)),N(INDEX(BASELINE!$A2745:$ZZ2745,CALC!$P$1))))=INT(SIMOPS!$D$3),IFERROR(UPPER(TRIM(INDEX(BASELINE!$A2745:$ZZ2745,CALC!$R$1)&amp;"")),"")&lt;&gt;"ENCERRADA"),1,0),0)</f>
        <v/>
      </c>
      <c r="B2745">
        <f>B2744+A2745</f>
        <v/>
      </c>
    </row>
    <row r="2746">
      <c r="A2746">
        <f>IFERROR(IF(AND(INDEX(BASELINE!$A2746:$ZZ2746,CALC!$H$1)&lt;&gt;"",INT(IF(AND(CALC!$F$1&gt;0,N(INDEX(BASELINE!$A2746:$ZZ2746,CALC!$F$1))&gt;0),N(INDEX(BASELINE!$A2746:$ZZ2746,CALC!$F$1)),N(INDEX(BASELINE!$A2746:$ZZ2746,CALC!$P$1))))=INT(SIMOPS!$D$3),IFERROR(UPPER(TRIM(INDEX(BASELINE!$A2746:$ZZ2746,CALC!$R$1)&amp;"")),"")&lt;&gt;"ENCERRADA"),1,0),0)</f>
        <v/>
      </c>
      <c r="B2746">
        <f>B2745+A2746</f>
        <v/>
      </c>
    </row>
    <row r="2747">
      <c r="A2747">
        <f>IFERROR(IF(AND(INDEX(BASELINE!$A2747:$ZZ2747,CALC!$H$1)&lt;&gt;"",INT(IF(AND(CALC!$F$1&gt;0,N(INDEX(BASELINE!$A2747:$ZZ2747,CALC!$F$1))&gt;0),N(INDEX(BASELINE!$A2747:$ZZ2747,CALC!$F$1)),N(INDEX(BASELINE!$A2747:$ZZ2747,CALC!$P$1))))=INT(SIMOPS!$D$3),IFERROR(UPPER(TRIM(INDEX(BASELINE!$A2747:$ZZ2747,CALC!$R$1)&amp;"")),"")&lt;&gt;"ENCERRADA"),1,0),0)</f>
        <v/>
      </c>
      <c r="B2747">
        <f>B2746+A2747</f>
        <v/>
      </c>
    </row>
    <row r="2748">
      <c r="A2748">
        <f>IFERROR(IF(AND(INDEX(BASELINE!$A2748:$ZZ2748,CALC!$H$1)&lt;&gt;"",INT(IF(AND(CALC!$F$1&gt;0,N(INDEX(BASELINE!$A2748:$ZZ2748,CALC!$F$1))&gt;0),N(INDEX(BASELINE!$A2748:$ZZ2748,CALC!$F$1)),N(INDEX(BASELINE!$A2748:$ZZ2748,CALC!$P$1))))=INT(SIMOPS!$D$3),IFERROR(UPPER(TRIM(INDEX(BASELINE!$A2748:$ZZ2748,CALC!$R$1)&amp;"")),"")&lt;&gt;"ENCERRADA"),1,0),0)</f>
        <v/>
      </c>
      <c r="B2748">
        <f>B2747+A2748</f>
        <v/>
      </c>
    </row>
    <row r="2749">
      <c r="A2749">
        <f>IFERROR(IF(AND(INDEX(BASELINE!$A2749:$ZZ2749,CALC!$H$1)&lt;&gt;"",INT(IF(AND(CALC!$F$1&gt;0,N(INDEX(BASELINE!$A2749:$ZZ2749,CALC!$F$1))&gt;0),N(INDEX(BASELINE!$A2749:$ZZ2749,CALC!$F$1)),N(INDEX(BASELINE!$A2749:$ZZ2749,CALC!$P$1))))=INT(SIMOPS!$D$3),IFERROR(UPPER(TRIM(INDEX(BASELINE!$A2749:$ZZ2749,CALC!$R$1)&amp;"")),"")&lt;&gt;"ENCERRADA"),1,0),0)</f>
        <v/>
      </c>
      <c r="B2749">
        <f>B2748+A2749</f>
        <v/>
      </c>
    </row>
    <row r="2750">
      <c r="A2750">
        <f>IFERROR(IF(AND(INDEX(BASELINE!$A2750:$ZZ2750,CALC!$H$1)&lt;&gt;"",INT(IF(AND(CALC!$F$1&gt;0,N(INDEX(BASELINE!$A2750:$ZZ2750,CALC!$F$1))&gt;0),N(INDEX(BASELINE!$A2750:$ZZ2750,CALC!$F$1)),N(INDEX(BASELINE!$A2750:$ZZ2750,CALC!$P$1))))=INT(SIMOPS!$D$3),IFERROR(UPPER(TRIM(INDEX(BASELINE!$A2750:$ZZ2750,CALC!$R$1)&amp;"")),"")&lt;&gt;"ENCERRADA"),1,0),0)</f>
        <v/>
      </c>
      <c r="B2750">
        <f>B2749+A2750</f>
        <v/>
      </c>
    </row>
    <row r="2751">
      <c r="A2751">
        <f>IFERROR(IF(AND(INDEX(BASELINE!$A2751:$ZZ2751,CALC!$H$1)&lt;&gt;"",INT(IF(AND(CALC!$F$1&gt;0,N(INDEX(BASELINE!$A2751:$ZZ2751,CALC!$F$1))&gt;0),N(INDEX(BASELINE!$A2751:$ZZ2751,CALC!$F$1)),N(INDEX(BASELINE!$A2751:$ZZ2751,CALC!$P$1))))=INT(SIMOPS!$D$3),IFERROR(UPPER(TRIM(INDEX(BASELINE!$A2751:$ZZ2751,CALC!$R$1)&amp;"")),"")&lt;&gt;"ENCERRADA"),1,0),0)</f>
        <v/>
      </c>
      <c r="B2751">
        <f>B2750+A2751</f>
        <v/>
      </c>
    </row>
    <row r="2752">
      <c r="A2752">
        <f>IFERROR(IF(AND(INDEX(BASELINE!$A2752:$ZZ2752,CALC!$H$1)&lt;&gt;"",INT(IF(AND(CALC!$F$1&gt;0,N(INDEX(BASELINE!$A2752:$ZZ2752,CALC!$F$1))&gt;0),N(INDEX(BASELINE!$A2752:$ZZ2752,CALC!$F$1)),N(INDEX(BASELINE!$A2752:$ZZ2752,CALC!$P$1))))=INT(SIMOPS!$D$3),IFERROR(UPPER(TRIM(INDEX(BASELINE!$A2752:$ZZ2752,CALC!$R$1)&amp;"")),"")&lt;&gt;"ENCERRADA"),1,0),0)</f>
        <v/>
      </c>
      <c r="B2752">
        <f>B2751+A2752</f>
        <v/>
      </c>
    </row>
    <row r="2753">
      <c r="A2753">
        <f>IFERROR(IF(AND(INDEX(BASELINE!$A2753:$ZZ2753,CALC!$H$1)&lt;&gt;"",INT(IF(AND(CALC!$F$1&gt;0,N(INDEX(BASELINE!$A2753:$ZZ2753,CALC!$F$1))&gt;0),N(INDEX(BASELINE!$A2753:$ZZ2753,CALC!$F$1)),N(INDEX(BASELINE!$A2753:$ZZ2753,CALC!$P$1))))=INT(SIMOPS!$D$3),IFERROR(UPPER(TRIM(INDEX(BASELINE!$A2753:$ZZ2753,CALC!$R$1)&amp;"")),"")&lt;&gt;"ENCERRADA"),1,0),0)</f>
        <v/>
      </c>
      <c r="B2753">
        <f>B2752+A2753</f>
        <v/>
      </c>
    </row>
    <row r="2754">
      <c r="A2754">
        <f>IFERROR(IF(AND(INDEX(BASELINE!$A2754:$ZZ2754,CALC!$H$1)&lt;&gt;"",INT(IF(AND(CALC!$F$1&gt;0,N(INDEX(BASELINE!$A2754:$ZZ2754,CALC!$F$1))&gt;0),N(INDEX(BASELINE!$A2754:$ZZ2754,CALC!$F$1)),N(INDEX(BASELINE!$A2754:$ZZ2754,CALC!$P$1))))=INT(SIMOPS!$D$3),IFERROR(UPPER(TRIM(INDEX(BASELINE!$A2754:$ZZ2754,CALC!$R$1)&amp;"")),"")&lt;&gt;"ENCERRADA"),1,0),0)</f>
        <v/>
      </c>
      <c r="B2754">
        <f>B2753+A2754</f>
        <v/>
      </c>
    </row>
    <row r="2755">
      <c r="A2755">
        <f>IFERROR(IF(AND(INDEX(BASELINE!$A2755:$ZZ2755,CALC!$H$1)&lt;&gt;"",INT(IF(AND(CALC!$F$1&gt;0,N(INDEX(BASELINE!$A2755:$ZZ2755,CALC!$F$1))&gt;0),N(INDEX(BASELINE!$A2755:$ZZ2755,CALC!$F$1)),N(INDEX(BASELINE!$A2755:$ZZ2755,CALC!$P$1))))=INT(SIMOPS!$D$3),IFERROR(UPPER(TRIM(INDEX(BASELINE!$A2755:$ZZ2755,CALC!$R$1)&amp;"")),"")&lt;&gt;"ENCERRADA"),1,0),0)</f>
        <v/>
      </c>
      <c r="B2755">
        <f>B2754+A2755</f>
        <v/>
      </c>
    </row>
    <row r="2756">
      <c r="A2756">
        <f>IFERROR(IF(AND(INDEX(BASELINE!$A2756:$ZZ2756,CALC!$H$1)&lt;&gt;"",INT(IF(AND(CALC!$F$1&gt;0,N(INDEX(BASELINE!$A2756:$ZZ2756,CALC!$F$1))&gt;0),N(INDEX(BASELINE!$A2756:$ZZ2756,CALC!$F$1)),N(INDEX(BASELINE!$A2756:$ZZ2756,CALC!$P$1))))=INT(SIMOPS!$D$3),IFERROR(UPPER(TRIM(INDEX(BASELINE!$A2756:$ZZ2756,CALC!$R$1)&amp;"")),"")&lt;&gt;"ENCERRADA"),1,0),0)</f>
        <v/>
      </c>
      <c r="B2756">
        <f>B2755+A2756</f>
        <v/>
      </c>
    </row>
    <row r="2757">
      <c r="A2757">
        <f>IFERROR(IF(AND(INDEX(BASELINE!$A2757:$ZZ2757,CALC!$H$1)&lt;&gt;"",INT(IF(AND(CALC!$F$1&gt;0,N(INDEX(BASELINE!$A2757:$ZZ2757,CALC!$F$1))&gt;0),N(INDEX(BASELINE!$A2757:$ZZ2757,CALC!$F$1)),N(INDEX(BASELINE!$A2757:$ZZ2757,CALC!$P$1))))=INT(SIMOPS!$D$3),IFERROR(UPPER(TRIM(INDEX(BASELINE!$A2757:$ZZ2757,CALC!$R$1)&amp;"")),"")&lt;&gt;"ENCERRADA"),1,0),0)</f>
        <v/>
      </c>
      <c r="B2757">
        <f>B2756+A2757</f>
        <v/>
      </c>
    </row>
    <row r="2758">
      <c r="A2758">
        <f>IFERROR(IF(AND(INDEX(BASELINE!$A2758:$ZZ2758,CALC!$H$1)&lt;&gt;"",INT(IF(AND(CALC!$F$1&gt;0,N(INDEX(BASELINE!$A2758:$ZZ2758,CALC!$F$1))&gt;0),N(INDEX(BASELINE!$A2758:$ZZ2758,CALC!$F$1)),N(INDEX(BASELINE!$A2758:$ZZ2758,CALC!$P$1))))=INT(SIMOPS!$D$3),IFERROR(UPPER(TRIM(INDEX(BASELINE!$A2758:$ZZ2758,CALC!$R$1)&amp;"")),"")&lt;&gt;"ENCERRADA"),1,0),0)</f>
        <v/>
      </c>
      <c r="B2758">
        <f>B2757+A2758</f>
        <v/>
      </c>
    </row>
    <row r="2759">
      <c r="A2759">
        <f>IFERROR(IF(AND(INDEX(BASELINE!$A2759:$ZZ2759,CALC!$H$1)&lt;&gt;"",INT(IF(AND(CALC!$F$1&gt;0,N(INDEX(BASELINE!$A2759:$ZZ2759,CALC!$F$1))&gt;0),N(INDEX(BASELINE!$A2759:$ZZ2759,CALC!$F$1)),N(INDEX(BASELINE!$A2759:$ZZ2759,CALC!$P$1))))=INT(SIMOPS!$D$3),IFERROR(UPPER(TRIM(INDEX(BASELINE!$A2759:$ZZ2759,CALC!$R$1)&amp;"")),"")&lt;&gt;"ENCERRADA"),1,0),0)</f>
        <v/>
      </c>
      <c r="B2759">
        <f>B2758+A2759</f>
        <v/>
      </c>
    </row>
    <row r="2760">
      <c r="A2760">
        <f>IFERROR(IF(AND(INDEX(BASELINE!$A2760:$ZZ2760,CALC!$H$1)&lt;&gt;"",INT(IF(AND(CALC!$F$1&gt;0,N(INDEX(BASELINE!$A2760:$ZZ2760,CALC!$F$1))&gt;0),N(INDEX(BASELINE!$A2760:$ZZ2760,CALC!$F$1)),N(INDEX(BASELINE!$A2760:$ZZ2760,CALC!$P$1))))=INT(SIMOPS!$D$3),IFERROR(UPPER(TRIM(INDEX(BASELINE!$A2760:$ZZ2760,CALC!$R$1)&amp;"")),"")&lt;&gt;"ENCERRADA"),1,0),0)</f>
        <v/>
      </c>
      <c r="B2760">
        <f>B2759+A2760</f>
        <v/>
      </c>
    </row>
    <row r="2761">
      <c r="A2761">
        <f>IFERROR(IF(AND(INDEX(BASELINE!$A2761:$ZZ2761,CALC!$H$1)&lt;&gt;"",INT(IF(AND(CALC!$F$1&gt;0,N(INDEX(BASELINE!$A2761:$ZZ2761,CALC!$F$1))&gt;0),N(INDEX(BASELINE!$A2761:$ZZ2761,CALC!$F$1)),N(INDEX(BASELINE!$A2761:$ZZ2761,CALC!$P$1))))=INT(SIMOPS!$D$3),IFERROR(UPPER(TRIM(INDEX(BASELINE!$A2761:$ZZ2761,CALC!$R$1)&amp;"")),"")&lt;&gt;"ENCERRADA"),1,0),0)</f>
        <v/>
      </c>
      <c r="B2761">
        <f>B2760+A2761</f>
        <v/>
      </c>
    </row>
    <row r="2762">
      <c r="A2762">
        <f>IFERROR(IF(AND(INDEX(BASELINE!$A2762:$ZZ2762,CALC!$H$1)&lt;&gt;"",INT(IF(AND(CALC!$F$1&gt;0,N(INDEX(BASELINE!$A2762:$ZZ2762,CALC!$F$1))&gt;0),N(INDEX(BASELINE!$A2762:$ZZ2762,CALC!$F$1)),N(INDEX(BASELINE!$A2762:$ZZ2762,CALC!$P$1))))=INT(SIMOPS!$D$3),IFERROR(UPPER(TRIM(INDEX(BASELINE!$A2762:$ZZ2762,CALC!$R$1)&amp;"")),"")&lt;&gt;"ENCERRADA"),1,0),0)</f>
        <v/>
      </c>
      <c r="B2762">
        <f>B2761+A2762</f>
        <v/>
      </c>
    </row>
    <row r="2763">
      <c r="A2763">
        <f>IFERROR(IF(AND(INDEX(BASELINE!$A2763:$ZZ2763,CALC!$H$1)&lt;&gt;"",INT(IF(AND(CALC!$F$1&gt;0,N(INDEX(BASELINE!$A2763:$ZZ2763,CALC!$F$1))&gt;0),N(INDEX(BASELINE!$A2763:$ZZ2763,CALC!$F$1)),N(INDEX(BASELINE!$A2763:$ZZ2763,CALC!$P$1))))=INT(SIMOPS!$D$3),IFERROR(UPPER(TRIM(INDEX(BASELINE!$A2763:$ZZ2763,CALC!$R$1)&amp;"")),"")&lt;&gt;"ENCERRADA"),1,0),0)</f>
        <v/>
      </c>
      <c r="B2763">
        <f>B2762+A2763</f>
        <v/>
      </c>
    </row>
    <row r="2764">
      <c r="A2764">
        <f>IFERROR(IF(AND(INDEX(BASELINE!$A2764:$ZZ2764,CALC!$H$1)&lt;&gt;"",INT(IF(AND(CALC!$F$1&gt;0,N(INDEX(BASELINE!$A2764:$ZZ2764,CALC!$F$1))&gt;0),N(INDEX(BASELINE!$A2764:$ZZ2764,CALC!$F$1)),N(INDEX(BASELINE!$A2764:$ZZ2764,CALC!$P$1))))=INT(SIMOPS!$D$3),IFERROR(UPPER(TRIM(INDEX(BASELINE!$A2764:$ZZ2764,CALC!$R$1)&amp;"")),"")&lt;&gt;"ENCERRADA"),1,0),0)</f>
        <v/>
      </c>
      <c r="B2764">
        <f>B2763+A2764</f>
        <v/>
      </c>
    </row>
    <row r="2765">
      <c r="A2765">
        <f>IFERROR(IF(AND(INDEX(BASELINE!$A2765:$ZZ2765,CALC!$H$1)&lt;&gt;"",INT(IF(AND(CALC!$F$1&gt;0,N(INDEX(BASELINE!$A2765:$ZZ2765,CALC!$F$1))&gt;0),N(INDEX(BASELINE!$A2765:$ZZ2765,CALC!$F$1)),N(INDEX(BASELINE!$A2765:$ZZ2765,CALC!$P$1))))=INT(SIMOPS!$D$3),IFERROR(UPPER(TRIM(INDEX(BASELINE!$A2765:$ZZ2765,CALC!$R$1)&amp;"")),"")&lt;&gt;"ENCERRADA"),1,0),0)</f>
        <v/>
      </c>
      <c r="B2765">
        <f>B2764+A2765</f>
        <v/>
      </c>
    </row>
    <row r="2766">
      <c r="A2766">
        <f>IFERROR(IF(AND(INDEX(BASELINE!$A2766:$ZZ2766,CALC!$H$1)&lt;&gt;"",INT(IF(AND(CALC!$F$1&gt;0,N(INDEX(BASELINE!$A2766:$ZZ2766,CALC!$F$1))&gt;0),N(INDEX(BASELINE!$A2766:$ZZ2766,CALC!$F$1)),N(INDEX(BASELINE!$A2766:$ZZ2766,CALC!$P$1))))=INT(SIMOPS!$D$3),IFERROR(UPPER(TRIM(INDEX(BASELINE!$A2766:$ZZ2766,CALC!$R$1)&amp;"")),"")&lt;&gt;"ENCERRADA"),1,0),0)</f>
        <v/>
      </c>
      <c r="B2766">
        <f>B2765+A2766</f>
        <v/>
      </c>
    </row>
    <row r="2767">
      <c r="A2767">
        <f>IFERROR(IF(AND(INDEX(BASELINE!$A2767:$ZZ2767,CALC!$H$1)&lt;&gt;"",INT(IF(AND(CALC!$F$1&gt;0,N(INDEX(BASELINE!$A2767:$ZZ2767,CALC!$F$1))&gt;0),N(INDEX(BASELINE!$A2767:$ZZ2767,CALC!$F$1)),N(INDEX(BASELINE!$A2767:$ZZ2767,CALC!$P$1))))=INT(SIMOPS!$D$3),IFERROR(UPPER(TRIM(INDEX(BASELINE!$A2767:$ZZ2767,CALC!$R$1)&amp;"")),"")&lt;&gt;"ENCERRADA"),1,0),0)</f>
        <v/>
      </c>
      <c r="B2767">
        <f>B2766+A2767</f>
        <v/>
      </c>
    </row>
    <row r="2768">
      <c r="A2768">
        <f>IFERROR(IF(AND(INDEX(BASELINE!$A2768:$ZZ2768,CALC!$H$1)&lt;&gt;"",INT(IF(AND(CALC!$F$1&gt;0,N(INDEX(BASELINE!$A2768:$ZZ2768,CALC!$F$1))&gt;0),N(INDEX(BASELINE!$A2768:$ZZ2768,CALC!$F$1)),N(INDEX(BASELINE!$A2768:$ZZ2768,CALC!$P$1))))=INT(SIMOPS!$D$3),IFERROR(UPPER(TRIM(INDEX(BASELINE!$A2768:$ZZ2768,CALC!$R$1)&amp;"")),"")&lt;&gt;"ENCERRADA"),1,0),0)</f>
        <v/>
      </c>
      <c r="B2768">
        <f>B2767+A2768</f>
        <v/>
      </c>
    </row>
    <row r="2769">
      <c r="A2769">
        <f>IFERROR(IF(AND(INDEX(BASELINE!$A2769:$ZZ2769,CALC!$H$1)&lt;&gt;"",INT(IF(AND(CALC!$F$1&gt;0,N(INDEX(BASELINE!$A2769:$ZZ2769,CALC!$F$1))&gt;0),N(INDEX(BASELINE!$A2769:$ZZ2769,CALC!$F$1)),N(INDEX(BASELINE!$A2769:$ZZ2769,CALC!$P$1))))=INT(SIMOPS!$D$3),IFERROR(UPPER(TRIM(INDEX(BASELINE!$A2769:$ZZ2769,CALC!$R$1)&amp;"")),"")&lt;&gt;"ENCERRADA"),1,0),0)</f>
        <v/>
      </c>
      <c r="B2769">
        <f>B2768+A2769</f>
        <v/>
      </c>
    </row>
    <row r="2770">
      <c r="A2770">
        <f>IFERROR(IF(AND(INDEX(BASELINE!$A2770:$ZZ2770,CALC!$H$1)&lt;&gt;"",INT(IF(AND(CALC!$F$1&gt;0,N(INDEX(BASELINE!$A2770:$ZZ2770,CALC!$F$1))&gt;0),N(INDEX(BASELINE!$A2770:$ZZ2770,CALC!$F$1)),N(INDEX(BASELINE!$A2770:$ZZ2770,CALC!$P$1))))=INT(SIMOPS!$D$3),IFERROR(UPPER(TRIM(INDEX(BASELINE!$A2770:$ZZ2770,CALC!$R$1)&amp;"")),"")&lt;&gt;"ENCERRADA"),1,0),0)</f>
        <v/>
      </c>
      <c r="B2770">
        <f>B2769+A2770</f>
        <v/>
      </c>
    </row>
    <row r="2771">
      <c r="A2771">
        <f>IFERROR(IF(AND(INDEX(BASELINE!$A2771:$ZZ2771,CALC!$H$1)&lt;&gt;"",INT(IF(AND(CALC!$F$1&gt;0,N(INDEX(BASELINE!$A2771:$ZZ2771,CALC!$F$1))&gt;0),N(INDEX(BASELINE!$A2771:$ZZ2771,CALC!$F$1)),N(INDEX(BASELINE!$A2771:$ZZ2771,CALC!$P$1))))=INT(SIMOPS!$D$3),IFERROR(UPPER(TRIM(INDEX(BASELINE!$A2771:$ZZ2771,CALC!$R$1)&amp;"")),"")&lt;&gt;"ENCERRADA"),1,0),0)</f>
        <v/>
      </c>
      <c r="B2771">
        <f>B2770+A2771</f>
        <v/>
      </c>
    </row>
    <row r="2772">
      <c r="A2772">
        <f>IFERROR(IF(AND(INDEX(BASELINE!$A2772:$ZZ2772,CALC!$H$1)&lt;&gt;"",INT(IF(AND(CALC!$F$1&gt;0,N(INDEX(BASELINE!$A2772:$ZZ2772,CALC!$F$1))&gt;0),N(INDEX(BASELINE!$A2772:$ZZ2772,CALC!$F$1)),N(INDEX(BASELINE!$A2772:$ZZ2772,CALC!$P$1))))=INT(SIMOPS!$D$3),IFERROR(UPPER(TRIM(INDEX(BASELINE!$A2772:$ZZ2772,CALC!$R$1)&amp;"")),"")&lt;&gt;"ENCERRADA"),1,0),0)</f>
        <v/>
      </c>
      <c r="B2772">
        <f>B2771+A2772</f>
        <v/>
      </c>
    </row>
    <row r="2773">
      <c r="A2773">
        <f>IFERROR(IF(AND(INDEX(BASELINE!$A2773:$ZZ2773,CALC!$H$1)&lt;&gt;"",INT(IF(AND(CALC!$F$1&gt;0,N(INDEX(BASELINE!$A2773:$ZZ2773,CALC!$F$1))&gt;0),N(INDEX(BASELINE!$A2773:$ZZ2773,CALC!$F$1)),N(INDEX(BASELINE!$A2773:$ZZ2773,CALC!$P$1))))=INT(SIMOPS!$D$3),IFERROR(UPPER(TRIM(INDEX(BASELINE!$A2773:$ZZ2773,CALC!$R$1)&amp;"")),"")&lt;&gt;"ENCERRADA"),1,0),0)</f>
        <v/>
      </c>
      <c r="B2773">
        <f>B2772+A2773</f>
        <v/>
      </c>
    </row>
    <row r="2774">
      <c r="A2774">
        <f>IFERROR(IF(AND(INDEX(BASELINE!$A2774:$ZZ2774,CALC!$H$1)&lt;&gt;"",INT(IF(AND(CALC!$F$1&gt;0,N(INDEX(BASELINE!$A2774:$ZZ2774,CALC!$F$1))&gt;0),N(INDEX(BASELINE!$A2774:$ZZ2774,CALC!$F$1)),N(INDEX(BASELINE!$A2774:$ZZ2774,CALC!$P$1))))=INT(SIMOPS!$D$3),IFERROR(UPPER(TRIM(INDEX(BASELINE!$A2774:$ZZ2774,CALC!$R$1)&amp;"")),"")&lt;&gt;"ENCERRADA"),1,0),0)</f>
        <v/>
      </c>
      <c r="B2774">
        <f>B2773+A2774</f>
        <v/>
      </c>
    </row>
    <row r="2775">
      <c r="A2775">
        <f>IFERROR(IF(AND(INDEX(BASELINE!$A2775:$ZZ2775,CALC!$H$1)&lt;&gt;"",INT(IF(AND(CALC!$F$1&gt;0,N(INDEX(BASELINE!$A2775:$ZZ2775,CALC!$F$1))&gt;0),N(INDEX(BASELINE!$A2775:$ZZ2775,CALC!$F$1)),N(INDEX(BASELINE!$A2775:$ZZ2775,CALC!$P$1))))=INT(SIMOPS!$D$3),IFERROR(UPPER(TRIM(INDEX(BASELINE!$A2775:$ZZ2775,CALC!$R$1)&amp;"")),"")&lt;&gt;"ENCERRADA"),1,0),0)</f>
        <v/>
      </c>
      <c r="B2775">
        <f>B2774+A2775</f>
        <v/>
      </c>
    </row>
    <row r="2776">
      <c r="A2776">
        <f>IFERROR(IF(AND(INDEX(BASELINE!$A2776:$ZZ2776,CALC!$H$1)&lt;&gt;"",INT(IF(AND(CALC!$F$1&gt;0,N(INDEX(BASELINE!$A2776:$ZZ2776,CALC!$F$1))&gt;0),N(INDEX(BASELINE!$A2776:$ZZ2776,CALC!$F$1)),N(INDEX(BASELINE!$A2776:$ZZ2776,CALC!$P$1))))=INT(SIMOPS!$D$3),IFERROR(UPPER(TRIM(INDEX(BASELINE!$A2776:$ZZ2776,CALC!$R$1)&amp;"")),"")&lt;&gt;"ENCERRADA"),1,0),0)</f>
        <v/>
      </c>
      <c r="B2776">
        <f>B2775+A2776</f>
        <v/>
      </c>
    </row>
    <row r="2777">
      <c r="A2777">
        <f>IFERROR(IF(AND(INDEX(BASELINE!$A2777:$ZZ2777,CALC!$H$1)&lt;&gt;"",INT(IF(AND(CALC!$F$1&gt;0,N(INDEX(BASELINE!$A2777:$ZZ2777,CALC!$F$1))&gt;0),N(INDEX(BASELINE!$A2777:$ZZ2777,CALC!$F$1)),N(INDEX(BASELINE!$A2777:$ZZ2777,CALC!$P$1))))=INT(SIMOPS!$D$3),IFERROR(UPPER(TRIM(INDEX(BASELINE!$A2777:$ZZ2777,CALC!$R$1)&amp;"")),"")&lt;&gt;"ENCERRADA"),1,0),0)</f>
        <v/>
      </c>
      <c r="B2777">
        <f>B2776+A2777</f>
        <v/>
      </c>
    </row>
    <row r="2778">
      <c r="A2778">
        <f>IFERROR(IF(AND(INDEX(BASELINE!$A2778:$ZZ2778,CALC!$H$1)&lt;&gt;"",INT(IF(AND(CALC!$F$1&gt;0,N(INDEX(BASELINE!$A2778:$ZZ2778,CALC!$F$1))&gt;0),N(INDEX(BASELINE!$A2778:$ZZ2778,CALC!$F$1)),N(INDEX(BASELINE!$A2778:$ZZ2778,CALC!$P$1))))=INT(SIMOPS!$D$3),IFERROR(UPPER(TRIM(INDEX(BASELINE!$A2778:$ZZ2778,CALC!$R$1)&amp;"")),"")&lt;&gt;"ENCERRADA"),1,0),0)</f>
        <v/>
      </c>
      <c r="B2778">
        <f>B2777+A2778</f>
        <v/>
      </c>
    </row>
    <row r="2779">
      <c r="A2779">
        <f>IFERROR(IF(AND(INDEX(BASELINE!$A2779:$ZZ2779,CALC!$H$1)&lt;&gt;"",INT(IF(AND(CALC!$F$1&gt;0,N(INDEX(BASELINE!$A2779:$ZZ2779,CALC!$F$1))&gt;0),N(INDEX(BASELINE!$A2779:$ZZ2779,CALC!$F$1)),N(INDEX(BASELINE!$A2779:$ZZ2779,CALC!$P$1))))=INT(SIMOPS!$D$3),IFERROR(UPPER(TRIM(INDEX(BASELINE!$A2779:$ZZ2779,CALC!$R$1)&amp;"")),"")&lt;&gt;"ENCERRADA"),1,0),0)</f>
        <v/>
      </c>
      <c r="B2779">
        <f>B2778+A2779</f>
        <v/>
      </c>
    </row>
    <row r="2780">
      <c r="A2780">
        <f>IFERROR(IF(AND(INDEX(BASELINE!$A2780:$ZZ2780,CALC!$H$1)&lt;&gt;"",INT(IF(AND(CALC!$F$1&gt;0,N(INDEX(BASELINE!$A2780:$ZZ2780,CALC!$F$1))&gt;0),N(INDEX(BASELINE!$A2780:$ZZ2780,CALC!$F$1)),N(INDEX(BASELINE!$A2780:$ZZ2780,CALC!$P$1))))=INT(SIMOPS!$D$3),IFERROR(UPPER(TRIM(INDEX(BASELINE!$A2780:$ZZ2780,CALC!$R$1)&amp;"")),"")&lt;&gt;"ENCERRADA"),1,0),0)</f>
        <v/>
      </c>
      <c r="B2780">
        <f>B2779+A2780</f>
        <v/>
      </c>
    </row>
    <row r="2781">
      <c r="A2781">
        <f>IFERROR(IF(AND(INDEX(BASELINE!$A2781:$ZZ2781,CALC!$H$1)&lt;&gt;"",INT(IF(AND(CALC!$F$1&gt;0,N(INDEX(BASELINE!$A2781:$ZZ2781,CALC!$F$1))&gt;0),N(INDEX(BASELINE!$A2781:$ZZ2781,CALC!$F$1)),N(INDEX(BASELINE!$A2781:$ZZ2781,CALC!$P$1))))=INT(SIMOPS!$D$3),IFERROR(UPPER(TRIM(INDEX(BASELINE!$A2781:$ZZ2781,CALC!$R$1)&amp;"")),"")&lt;&gt;"ENCERRADA"),1,0),0)</f>
        <v/>
      </c>
      <c r="B2781">
        <f>B2780+A2781</f>
        <v/>
      </c>
    </row>
    <row r="2782">
      <c r="A2782">
        <f>IFERROR(IF(AND(INDEX(BASELINE!$A2782:$ZZ2782,CALC!$H$1)&lt;&gt;"",INT(IF(AND(CALC!$F$1&gt;0,N(INDEX(BASELINE!$A2782:$ZZ2782,CALC!$F$1))&gt;0),N(INDEX(BASELINE!$A2782:$ZZ2782,CALC!$F$1)),N(INDEX(BASELINE!$A2782:$ZZ2782,CALC!$P$1))))=INT(SIMOPS!$D$3),IFERROR(UPPER(TRIM(INDEX(BASELINE!$A2782:$ZZ2782,CALC!$R$1)&amp;"")),"")&lt;&gt;"ENCERRADA"),1,0),0)</f>
        <v/>
      </c>
      <c r="B2782">
        <f>B2781+A2782</f>
        <v/>
      </c>
    </row>
    <row r="2783">
      <c r="A2783">
        <f>IFERROR(IF(AND(INDEX(BASELINE!$A2783:$ZZ2783,CALC!$H$1)&lt;&gt;"",INT(IF(AND(CALC!$F$1&gt;0,N(INDEX(BASELINE!$A2783:$ZZ2783,CALC!$F$1))&gt;0),N(INDEX(BASELINE!$A2783:$ZZ2783,CALC!$F$1)),N(INDEX(BASELINE!$A2783:$ZZ2783,CALC!$P$1))))=INT(SIMOPS!$D$3),IFERROR(UPPER(TRIM(INDEX(BASELINE!$A2783:$ZZ2783,CALC!$R$1)&amp;"")),"")&lt;&gt;"ENCERRADA"),1,0),0)</f>
        <v/>
      </c>
      <c r="B2783">
        <f>B2782+A2783</f>
        <v/>
      </c>
    </row>
    <row r="2784">
      <c r="A2784">
        <f>IFERROR(IF(AND(INDEX(BASELINE!$A2784:$ZZ2784,CALC!$H$1)&lt;&gt;"",INT(IF(AND(CALC!$F$1&gt;0,N(INDEX(BASELINE!$A2784:$ZZ2784,CALC!$F$1))&gt;0),N(INDEX(BASELINE!$A2784:$ZZ2784,CALC!$F$1)),N(INDEX(BASELINE!$A2784:$ZZ2784,CALC!$P$1))))=INT(SIMOPS!$D$3),IFERROR(UPPER(TRIM(INDEX(BASELINE!$A2784:$ZZ2784,CALC!$R$1)&amp;"")),"")&lt;&gt;"ENCERRADA"),1,0),0)</f>
        <v/>
      </c>
      <c r="B2784">
        <f>B2783+A2784</f>
        <v/>
      </c>
    </row>
    <row r="2785">
      <c r="A2785">
        <f>IFERROR(IF(AND(INDEX(BASELINE!$A2785:$ZZ2785,CALC!$H$1)&lt;&gt;"",INT(IF(AND(CALC!$F$1&gt;0,N(INDEX(BASELINE!$A2785:$ZZ2785,CALC!$F$1))&gt;0),N(INDEX(BASELINE!$A2785:$ZZ2785,CALC!$F$1)),N(INDEX(BASELINE!$A2785:$ZZ2785,CALC!$P$1))))=INT(SIMOPS!$D$3),IFERROR(UPPER(TRIM(INDEX(BASELINE!$A2785:$ZZ2785,CALC!$R$1)&amp;"")),"")&lt;&gt;"ENCERRADA"),1,0),0)</f>
        <v/>
      </c>
      <c r="B2785">
        <f>B2784+A2785</f>
        <v/>
      </c>
    </row>
    <row r="2786">
      <c r="A2786">
        <f>IFERROR(IF(AND(INDEX(BASELINE!$A2786:$ZZ2786,CALC!$H$1)&lt;&gt;"",INT(IF(AND(CALC!$F$1&gt;0,N(INDEX(BASELINE!$A2786:$ZZ2786,CALC!$F$1))&gt;0),N(INDEX(BASELINE!$A2786:$ZZ2786,CALC!$F$1)),N(INDEX(BASELINE!$A2786:$ZZ2786,CALC!$P$1))))=INT(SIMOPS!$D$3),IFERROR(UPPER(TRIM(INDEX(BASELINE!$A2786:$ZZ2786,CALC!$R$1)&amp;"")),"")&lt;&gt;"ENCERRADA"),1,0),0)</f>
        <v/>
      </c>
      <c r="B2786">
        <f>B2785+A2786</f>
        <v/>
      </c>
    </row>
    <row r="2787">
      <c r="A2787">
        <f>IFERROR(IF(AND(INDEX(BASELINE!$A2787:$ZZ2787,CALC!$H$1)&lt;&gt;"",INT(IF(AND(CALC!$F$1&gt;0,N(INDEX(BASELINE!$A2787:$ZZ2787,CALC!$F$1))&gt;0),N(INDEX(BASELINE!$A2787:$ZZ2787,CALC!$F$1)),N(INDEX(BASELINE!$A2787:$ZZ2787,CALC!$P$1))))=INT(SIMOPS!$D$3),IFERROR(UPPER(TRIM(INDEX(BASELINE!$A2787:$ZZ2787,CALC!$R$1)&amp;"")),"")&lt;&gt;"ENCERRADA"),1,0),0)</f>
        <v/>
      </c>
      <c r="B2787">
        <f>B2786+A2787</f>
        <v/>
      </c>
    </row>
    <row r="2788">
      <c r="A2788">
        <f>IFERROR(IF(AND(INDEX(BASELINE!$A2788:$ZZ2788,CALC!$H$1)&lt;&gt;"",INT(IF(AND(CALC!$F$1&gt;0,N(INDEX(BASELINE!$A2788:$ZZ2788,CALC!$F$1))&gt;0),N(INDEX(BASELINE!$A2788:$ZZ2788,CALC!$F$1)),N(INDEX(BASELINE!$A2788:$ZZ2788,CALC!$P$1))))=INT(SIMOPS!$D$3),IFERROR(UPPER(TRIM(INDEX(BASELINE!$A2788:$ZZ2788,CALC!$R$1)&amp;"")),"")&lt;&gt;"ENCERRADA"),1,0),0)</f>
        <v/>
      </c>
      <c r="B2788">
        <f>B2787+A2788</f>
        <v/>
      </c>
    </row>
    <row r="2789">
      <c r="A2789">
        <f>IFERROR(IF(AND(INDEX(BASELINE!$A2789:$ZZ2789,CALC!$H$1)&lt;&gt;"",INT(IF(AND(CALC!$F$1&gt;0,N(INDEX(BASELINE!$A2789:$ZZ2789,CALC!$F$1))&gt;0),N(INDEX(BASELINE!$A2789:$ZZ2789,CALC!$F$1)),N(INDEX(BASELINE!$A2789:$ZZ2789,CALC!$P$1))))=INT(SIMOPS!$D$3),IFERROR(UPPER(TRIM(INDEX(BASELINE!$A2789:$ZZ2789,CALC!$R$1)&amp;"")),"")&lt;&gt;"ENCERRADA"),1,0),0)</f>
        <v/>
      </c>
      <c r="B2789">
        <f>B2788+A2789</f>
        <v/>
      </c>
    </row>
    <row r="2790">
      <c r="A2790">
        <f>IFERROR(IF(AND(INDEX(BASELINE!$A2790:$ZZ2790,CALC!$H$1)&lt;&gt;"",INT(IF(AND(CALC!$F$1&gt;0,N(INDEX(BASELINE!$A2790:$ZZ2790,CALC!$F$1))&gt;0),N(INDEX(BASELINE!$A2790:$ZZ2790,CALC!$F$1)),N(INDEX(BASELINE!$A2790:$ZZ2790,CALC!$P$1))))=INT(SIMOPS!$D$3),IFERROR(UPPER(TRIM(INDEX(BASELINE!$A2790:$ZZ2790,CALC!$R$1)&amp;"")),"")&lt;&gt;"ENCERRADA"),1,0),0)</f>
        <v/>
      </c>
      <c r="B2790">
        <f>B2789+A2790</f>
        <v/>
      </c>
    </row>
    <row r="2791">
      <c r="A2791">
        <f>IFERROR(IF(AND(INDEX(BASELINE!$A2791:$ZZ2791,CALC!$H$1)&lt;&gt;"",INT(IF(AND(CALC!$F$1&gt;0,N(INDEX(BASELINE!$A2791:$ZZ2791,CALC!$F$1))&gt;0),N(INDEX(BASELINE!$A2791:$ZZ2791,CALC!$F$1)),N(INDEX(BASELINE!$A2791:$ZZ2791,CALC!$P$1))))=INT(SIMOPS!$D$3),IFERROR(UPPER(TRIM(INDEX(BASELINE!$A2791:$ZZ2791,CALC!$R$1)&amp;"")),"")&lt;&gt;"ENCERRADA"),1,0),0)</f>
        <v/>
      </c>
      <c r="B2791">
        <f>B2790+A2791</f>
        <v/>
      </c>
    </row>
    <row r="2792">
      <c r="A2792">
        <f>IFERROR(IF(AND(INDEX(BASELINE!$A2792:$ZZ2792,CALC!$H$1)&lt;&gt;"",INT(IF(AND(CALC!$F$1&gt;0,N(INDEX(BASELINE!$A2792:$ZZ2792,CALC!$F$1))&gt;0),N(INDEX(BASELINE!$A2792:$ZZ2792,CALC!$F$1)),N(INDEX(BASELINE!$A2792:$ZZ2792,CALC!$P$1))))=INT(SIMOPS!$D$3),IFERROR(UPPER(TRIM(INDEX(BASELINE!$A2792:$ZZ2792,CALC!$R$1)&amp;"")),"")&lt;&gt;"ENCERRADA"),1,0),0)</f>
        <v/>
      </c>
      <c r="B2792">
        <f>B2791+A2792</f>
        <v/>
      </c>
    </row>
    <row r="2793">
      <c r="A2793">
        <f>IFERROR(IF(AND(INDEX(BASELINE!$A2793:$ZZ2793,CALC!$H$1)&lt;&gt;"",INT(IF(AND(CALC!$F$1&gt;0,N(INDEX(BASELINE!$A2793:$ZZ2793,CALC!$F$1))&gt;0),N(INDEX(BASELINE!$A2793:$ZZ2793,CALC!$F$1)),N(INDEX(BASELINE!$A2793:$ZZ2793,CALC!$P$1))))=INT(SIMOPS!$D$3),IFERROR(UPPER(TRIM(INDEX(BASELINE!$A2793:$ZZ2793,CALC!$R$1)&amp;"")),"")&lt;&gt;"ENCERRADA"),1,0),0)</f>
        <v/>
      </c>
      <c r="B2793">
        <f>B2792+A2793</f>
        <v/>
      </c>
    </row>
    <row r="2794">
      <c r="A2794">
        <f>IFERROR(IF(AND(INDEX(BASELINE!$A2794:$ZZ2794,CALC!$H$1)&lt;&gt;"",INT(IF(AND(CALC!$F$1&gt;0,N(INDEX(BASELINE!$A2794:$ZZ2794,CALC!$F$1))&gt;0),N(INDEX(BASELINE!$A2794:$ZZ2794,CALC!$F$1)),N(INDEX(BASELINE!$A2794:$ZZ2794,CALC!$P$1))))=INT(SIMOPS!$D$3),IFERROR(UPPER(TRIM(INDEX(BASELINE!$A2794:$ZZ2794,CALC!$R$1)&amp;"")),"")&lt;&gt;"ENCERRADA"),1,0),0)</f>
        <v/>
      </c>
      <c r="B2794">
        <f>B2793+A2794</f>
        <v/>
      </c>
    </row>
    <row r="2795">
      <c r="A2795">
        <f>IFERROR(IF(AND(INDEX(BASELINE!$A2795:$ZZ2795,CALC!$H$1)&lt;&gt;"",INT(IF(AND(CALC!$F$1&gt;0,N(INDEX(BASELINE!$A2795:$ZZ2795,CALC!$F$1))&gt;0),N(INDEX(BASELINE!$A2795:$ZZ2795,CALC!$F$1)),N(INDEX(BASELINE!$A2795:$ZZ2795,CALC!$P$1))))=INT(SIMOPS!$D$3),IFERROR(UPPER(TRIM(INDEX(BASELINE!$A2795:$ZZ2795,CALC!$R$1)&amp;"")),"")&lt;&gt;"ENCERRADA"),1,0),0)</f>
        <v/>
      </c>
      <c r="B2795">
        <f>B2794+A2795</f>
        <v/>
      </c>
    </row>
    <row r="2796">
      <c r="A2796">
        <f>IFERROR(IF(AND(INDEX(BASELINE!$A2796:$ZZ2796,CALC!$H$1)&lt;&gt;"",INT(IF(AND(CALC!$F$1&gt;0,N(INDEX(BASELINE!$A2796:$ZZ2796,CALC!$F$1))&gt;0),N(INDEX(BASELINE!$A2796:$ZZ2796,CALC!$F$1)),N(INDEX(BASELINE!$A2796:$ZZ2796,CALC!$P$1))))=INT(SIMOPS!$D$3),IFERROR(UPPER(TRIM(INDEX(BASELINE!$A2796:$ZZ2796,CALC!$R$1)&amp;"")),"")&lt;&gt;"ENCERRADA"),1,0),0)</f>
        <v/>
      </c>
      <c r="B2796">
        <f>B2795+A2796</f>
        <v/>
      </c>
    </row>
    <row r="2797">
      <c r="A2797">
        <f>IFERROR(IF(AND(INDEX(BASELINE!$A2797:$ZZ2797,CALC!$H$1)&lt;&gt;"",INT(IF(AND(CALC!$F$1&gt;0,N(INDEX(BASELINE!$A2797:$ZZ2797,CALC!$F$1))&gt;0),N(INDEX(BASELINE!$A2797:$ZZ2797,CALC!$F$1)),N(INDEX(BASELINE!$A2797:$ZZ2797,CALC!$P$1))))=INT(SIMOPS!$D$3),IFERROR(UPPER(TRIM(INDEX(BASELINE!$A2797:$ZZ2797,CALC!$R$1)&amp;"")),"")&lt;&gt;"ENCERRADA"),1,0),0)</f>
        <v/>
      </c>
      <c r="B2797">
        <f>B2796+A2797</f>
        <v/>
      </c>
    </row>
    <row r="2798">
      <c r="A2798">
        <f>IFERROR(IF(AND(INDEX(BASELINE!$A2798:$ZZ2798,CALC!$H$1)&lt;&gt;"",INT(IF(AND(CALC!$F$1&gt;0,N(INDEX(BASELINE!$A2798:$ZZ2798,CALC!$F$1))&gt;0),N(INDEX(BASELINE!$A2798:$ZZ2798,CALC!$F$1)),N(INDEX(BASELINE!$A2798:$ZZ2798,CALC!$P$1))))=INT(SIMOPS!$D$3),IFERROR(UPPER(TRIM(INDEX(BASELINE!$A2798:$ZZ2798,CALC!$R$1)&amp;"")),"")&lt;&gt;"ENCERRADA"),1,0),0)</f>
        <v/>
      </c>
      <c r="B2798">
        <f>B2797+A2798</f>
        <v/>
      </c>
    </row>
    <row r="2799">
      <c r="A2799">
        <f>IFERROR(IF(AND(INDEX(BASELINE!$A2799:$ZZ2799,CALC!$H$1)&lt;&gt;"",INT(IF(AND(CALC!$F$1&gt;0,N(INDEX(BASELINE!$A2799:$ZZ2799,CALC!$F$1))&gt;0),N(INDEX(BASELINE!$A2799:$ZZ2799,CALC!$F$1)),N(INDEX(BASELINE!$A2799:$ZZ2799,CALC!$P$1))))=INT(SIMOPS!$D$3),IFERROR(UPPER(TRIM(INDEX(BASELINE!$A2799:$ZZ2799,CALC!$R$1)&amp;"")),"")&lt;&gt;"ENCERRADA"),1,0),0)</f>
        <v/>
      </c>
      <c r="B2799">
        <f>B2798+A2799</f>
        <v/>
      </c>
    </row>
    <row r="2800">
      <c r="A2800">
        <f>IFERROR(IF(AND(INDEX(BASELINE!$A2800:$ZZ2800,CALC!$H$1)&lt;&gt;"",INT(IF(AND(CALC!$F$1&gt;0,N(INDEX(BASELINE!$A2800:$ZZ2800,CALC!$F$1))&gt;0),N(INDEX(BASELINE!$A2800:$ZZ2800,CALC!$F$1)),N(INDEX(BASELINE!$A2800:$ZZ2800,CALC!$P$1))))=INT(SIMOPS!$D$3),IFERROR(UPPER(TRIM(INDEX(BASELINE!$A2800:$ZZ2800,CALC!$R$1)&amp;"")),"")&lt;&gt;"ENCERRADA"),1,0),0)</f>
        <v/>
      </c>
      <c r="B2800">
        <f>B2799+A2800</f>
        <v/>
      </c>
    </row>
    <row r="2801">
      <c r="A2801">
        <f>IFERROR(IF(AND(INDEX(BASELINE!$A2801:$ZZ2801,CALC!$H$1)&lt;&gt;"",INT(IF(AND(CALC!$F$1&gt;0,N(INDEX(BASELINE!$A2801:$ZZ2801,CALC!$F$1))&gt;0),N(INDEX(BASELINE!$A2801:$ZZ2801,CALC!$F$1)),N(INDEX(BASELINE!$A2801:$ZZ2801,CALC!$P$1))))=INT(SIMOPS!$D$3),IFERROR(UPPER(TRIM(INDEX(BASELINE!$A2801:$ZZ2801,CALC!$R$1)&amp;"")),"")&lt;&gt;"ENCERRADA"),1,0),0)</f>
        <v/>
      </c>
      <c r="B2801">
        <f>B2800+A2801</f>
        <v/>
      </c>
    </row>
    <row r="2802">
      <c r="A2802">
        <f>IFERROR(IF(AND(INDEX(BASELINE!$A2802:$ZZ2802,CALC!$H$1)&lt;&gt;"",INT(IF(AND(CALC!$F$1&gt;0,N(INDEX(BASELINE!$A2802:$ZZ2802,CALC!$F$1))&gt;0),N(INDEX(BASELINE!$A2802:$ZZ2802,CALC!$F$1)),N(INDEX(BASELINE!$A2802:$ZZ2802,CALC!$P$1))))=INT(SIMOPS!$D$3),IFERROR(UPPER(TRIM(INDEX(BASELINE!$A2802:$ZZ2802,CALC!$R$1)&amp;"")),"")&lt;&gt;"ENCERRADA"),1,0),0)</f>
        <v/>
      </c>
      <c r="B2802">
        <f>B2801+A2802</f>
        <v/>
      </c>
    </row>
    <row r="2803">
      <c r="A2803">
        <f>IFERROR(IF(AND(INDEX(BASELINE!$A2803:$ZZ2803,CALC!$H$1)&lt;&gt;"",INT(IF(AND(CALC!$F$1&gt;0,N(INDEX(BASELINE!$A2803:$ZZ2803,CALC!$F$1))&gt;0),N(INDEX(BASELINE!$A2803:$ZZ2803,CALC!$F$1)),N(INDEX(BASELINE!$A2803:$ZZ2803,CALC!$P$1))))=INT(SIMOPS!$D$3),IFERROR(UPPER(TRIM(INDEX(BASELINE!$A2803:$ZZ2803,CALC!$R$1)&amp;"")),"")&lt;&gt;"ENCERRADA"),1,0),0)</f>
        <v/>
      </c>
      <c r="B2803">
        <f>B2802+A2803</f>
        <v/>
      </c>
    </row>
    <row r="2804">
      <c r="A2804">
        <f>IFERROR(IF(AND(INDEX(BASELINE!$A2804:$ZZ2804,CALC!$H$1)&lt;&gt;"",INT(IF(AND(CALC!$F$1&gt;0,N(INDEX(BASELINE!$A2804:$ZZ2804,CALC!$F$1))&gt;0),N(INDEX(BASELINE!$A2804:$ZZ2804,CALC!$F$1)),N(INDEX(BASELINE!$A2804:$ZZ2804,CALC!$P$1))))=INT(SIMOPS!$D$3),IFERROR(UPPER(TRIM(INDEX(BASELINE!$A2804:$ZZ2804,CALC!$R$1)&amp;"")),"")&lt;&gt;"ENCERRADA"),1,0),0)</f>
        <v/>
      </c>
      <c r="B2804">
        <f>B2803+A2804</f>
        <v/>
      </c>
    </row>
    <row r="2805">
      <c r="A2805">
        <f>IFERROR(IF(AND(INDEX(BASELINE!$A2805:$ZZ2805,CALC!$H$1)&lt;&gt;"",INT(IF(AND(CALC!$F$1&gt;0,N(INDEX(BASELINE!$A2805:$ZZ2805,CALC!$F$1))&gt;0),N(INDEX(BASELINE!$A2805:$ZZ2805,CALC!$F$1)),N(INDEX(BASELINE!$A2805:$ZZ2805,CALC!$P$1))))=INT(SIMOPS!$D$3),IFERROR(UPPER(TRIM(INDEX(BASELINE!$A2805:$ZZ2805,CALC!$R$1)&amp;"")),"")&lt;&gt;"ENCERRADA"),1,0),0)</f>
        <v/>
      </c>
      <c r="B2805">
        <f>B2804+A2805</f>
        <v/>
      </c>
    </row>
    <row r="2806">
      <c r="A2806">
        <f>IFERROR(IF(AND(INDEX(BASELINE!$A2806:$ZZ2806,CALC!$H$1)&lt;&gt;"",INT(IF(AND(CALC!$F$1&gt;0,N(INDEX(BASELINE!$A2806:$ZZ2806,CALC!$F$1))&gt;0),N(INDEX(BASELINE!$A2806:$ZZ2806,CALC!$F$1)),N(INDEX(BASELINE!$A2806:$ZZ2806,CALC!$P$1))))=INT(SIMOPS!$D$3),IFERROR(UPPER(TRIM(INDEX(BASELINE!$A2806:$ZZ2806,CALC!$R$1)&amp;"")),"")&lt;&gt;"ENCERRADA"),1,0),0)</f>
        <v/>
      </c>
      <c r="B2806">
        <f>B2805+A2806</f>
        <v/>
      </c>
    </row>
    <row r="2807">
      <c r="A2807">
        <f>IFERROR(IF(AND(INDEX(BASELINE!$A2807:$ZZ2807,CALC!$H$1)&lt;&gt;"",INT(IF(AND(CALC!$F$1&gt;0,N(INDEX(BASELINE!$A2807:$ZZ2807,CALC!$F$1))&gt;0),N(INDEX(BASELINE!$A2807:$ZZ2807,CALC!$F$1)),N(INDEX(BASELINE!$A2807:$ZZ2807,CALC!$P$1))))=INT(SIMOPS!$D$3),IFERROR(UPPER(TRIM(INDEX(BASELINE!$A2807:$ZZ2807,CALC!$R$1)&amp;"")),"")&lt;&gt;"ENCERRADA"),1,0),0)</f>
        <v/>
      </c>
      <c r="B2807">
        <f>B2806+A2807</f>
        <v/>
      </c>
    </row>
    <row r="2808">
      <c r="A2808">
        <f>IFERROR(IF(AND(INDEX(BASELINE!$A2808:$ZZ2808,CALC!$H$1)&lt;&gt;"",INT(IF(AND(CALC!$F$1&gt;0,N(INDEX(BASELINE!$A2808:$ZZ2808,CALC!$F$1))&gt;0),N(INDEX(BASELINE!$A2808:$ZZ2808,CALC!$F$1)),N(INDEX(BASELINE!$A2808:$ZZ2808,CALC!$P$1))))=INT(SIMOPS!$D$3),IFERROR(UPPER(TRIM(INDEX(BASELINE!$A2808:$ZZ2808,CALC!$R$1)&amp;"")),"")&lt;&gt;"ENCERRADA"),1,0),0)</f>
        <v/>
      </c>
      <c r="B2808">
        <f>B2807+A2808</f>
        <v/>
      </c>
    </row>
    <row r="2809">
      <c r="A2809">
        <f>IFERROR(IF(AND(INDEX(BASELINE!$A2809:$ZZ2809,CALC!$H$1)&lt;&gt;"",INT(IF(AND(CALC!$F$1&gt;0,N(INDEX(BASELINE!$A2809:$ZZ2809,CALC!$F$1))&gt;0),N(INDEX(BASELINE!$A2809:$ZZ2809,CALC!$F$1)),N(INDEX(BASELINE!$A2809:$ZZ2809,CALC!$P$1))))=INT(SIMOPS!$D$3),IFERROR(UPPER(TRIM(INDEX(BASELINE!$A2809:$ZZ2809,CALC!$R$1)&amp;"")),"")&lt;&gt;"ENCERRADA"),1,0),0)</f>
        <v/>
      </c>
      <c r="B2809">
        <f>B2808+A2809</f>
        <v/>
      </c>
    </row>
    <row r="2810">
      <c r="A2810">
        <f>IFERROR(IF(AND(INDEX(BASELINE!$A2810:$ZZ2810,CALC!$H$1)&lt;&gt;"",INT(IF(AND(CALC!$F$1&gt;0,N(INDEX(BASELINE!$A2810:$ZZ2810,CALC!$F$1))&gt;0),N(INDEX(BASELINE!$A2810:$ZZ2810,CALC!$F$1)),N(INDEX(BASELINE!$A2810:$ZZ2810,CALC!$P$1))))=INT(SIMOPS!$D$3),IFERROR(UPPER(TRIM(INDEX(BASELINE!$A2810:$ZZ2810,CALC!$R$1)&amp;"")),"")&lt;&gt;"ENCERRADA"),1,0),0)</f>
        <v/>
      </c>
      <c r="B2810">
        <f>B2809+A2810</f>
        <v/>
      </c>
    </row>
    <row r="2811">
      <c r="A2811">
        <f>IFERROR(IF(AND(INDEX(BASELINE!$A2811:$ZZ2811,CALC!$H$1)&lt;&gt;"",INT(IF(AND(CALC!$F$1&gt;0,N(INDEX(BASELINE!$A2811:$ZZ2811,CALC!$F$1))&gt;0),N(INDEX(BASELINE!$A2811:$ZZ2811,CALC!$F$1)),N(INDEX(BASELINE!$A2811:$ZZ2811,CALC!$P$1))))=INT(SIMOPS!$D$3),IFERROR(UPPER(TRIM(INDEX(BASELINE!$A2811:$ZZ2811,CALC!$R$1)&amp;"")),"")&lt;&gt;"ENCERRADA"),1,0),0)</f>
        <v/>
      </c>
      <c r="B2811">
        <f>B2810+A2811</f>
        <v/>
      </c>
    </row>
    <row r="2812">
      <c r="A2812">
        <f>IFERROR(IF(AND(INDEX(BASELINE!$A2812:$ZZ2812,CALC!$H$1)&lt;&gt;"",INT(IF(AND(CALC!$F$1&gt;0,N(INDEX(BASELINE!$A2812:$ZZ2812,CALC!$F$1))&gt;0),N(INDEX(BASELINE!$A2812:$ZZ2812,CALC!$F$1)),N(INDEX(BASELINE!$A2812:$ZZ2812,CALC!$P$1))))=INT(SIMOPS!$D$3),IFERROR(UPPER(TRIM(INDEX(BASELINE!$A2812:$ZZ2812,CALC!$R$1)&amp;"")),"")&lt;&gt;"ENCERRADA"),1,0),0)</f>
        <v/>
      </c>
      <c r="B2812">
        <f>B2811+A2812</f>
        <v/>
      </c>
    </row>
    <row r="2813">
      <c r="A2813">
        <f>IFERROR(IF(AND(INDEX(BASELINE!$A2813:$ZZ2813,CALC!$H$1)&lt;&gt;"",INT(IF(AND(CALC!$F$1&gt;0,N(INDEX(BASELINE!$A2813:$ZZ2813,CALC!$F$1))&gt;0),N(INDEX(BASELINE!$A2813:$ZZ2813,CALC!$F$1)),N(INDEX(BASELINE!$A2813:$ZZ2813,CALC!$P$1))))=INT(SIMOPS!$D$3),IFERROR(UPPER(TRIM(INDEX(BASELINE!$A2813:$ZZ2813,CALC!$R$1)&amp;"")),"")&lt;&gt;"ENCERRADA"),1,0),0)</f>
        <v/>
      </c>
      <c r="B2813">
        <f>B2812+A2813</f>
        <v/>
      </c>
    </row>
    <row r="2814">
      <c r="A2814">
        <f>IFERROR(IF(AND(INDEX(BASELINE!$A2814:$ZZ2814,CALC!$H$1)&lt;&gt;"",INT(IF(AND(CALC!$F$1&gt;0,N(INDEX(BASELINE!$A2814:$ZZ2814,CALC!$F$1))&gt;0),N(INDEX(BASELINE!$A2814:$ZZ2814,CALC!$F$1)),N(INDEX(BASELINE!$A2814:$ZZ2814,CALC!$P$1))))=INT(SIMOPS!$D$3),IFERROR(UPPER(TRIM(INDEX(BASELINE!$A2814:$ZZ2814,CALC!$R$1)&amp;"")),"")&lt;&gt;"ENCERRADA"),1,0),0)</f>
        <v/>
      </c>
      <c r="B2814">
        <f>B2813+A2814</f>
        <v/>
      </c>
    </row>
    <row r="2815">
      <c r="A2815">
        <f>IFERROR(IF(AND(INDEX(BASELINE!$A2815:$ZZ2815,CALC!$H$1)&lt;&gt;"",INT(IF(AND(CALC!$F$1&gt;0,N(INDEX(BASELINE!$A2815:$ZZ2815,CALC!$F$1))&gt;0),N(INDEX(BASELINE!$A2815:$ZZ2815,CALC!$F$1)),N(INDEX(BASELINE!$A2815:$ZZ2815,CALC!$P$1))))=INT(SIMOPS!$D$3),IFERROR(UPPER(TRIM(INDEX(BASELINE!$A2815:$ZZ2815,CALC!$R$1)&amp;"")),"")&lt;&gt;"ENCERRADA"),1,0),0)</f>
        <v/>
      </c>
      <c r="B2815">
        <f>B2814+A2815</f>
        <v/>
      </c>
    </row>
    <row r="2816">
      <c r="A2816">
        <f>IFERROR(IF(AND(INDEX(BASELINE!$A2816:$ZZ2816,CALC!$H$1)&lt;&gt;"",INT(IF(AND(CALC!$F$1&gt;0,N(INDEX(BASELINE!$A2816:$ZZ2816,CALC!$F$1))&gt;0),N(INDEX(BASELINE!$A2816:$ZZ2816,CALC!$F$1)),N(INDEX(BASELINE!$A2816:$ZZ2816,CALC!$P$1))))=INT(SIMOPS!$D$3),IFERROR(UPPER(TRIM(INDEX(BASELINE!$A2816:$ZZ2816,CALC!$R$1)&amp;"")),"")&lt;&gt;"ENCERRADA"),1,0),0)</f>
        <v/>
      </c>
      <c r="B2816">
        <f>B2815+A2816</f>
        <v/>
      </c>
    </row>
    <row r="2817">
      <c r="A2817">
        <f>IFERROR(IF(AND(INDEX(BASELINE!$A2817:$ZZ2817,CALC!$H$1)&lt;&gt;"",INT(IF(AND(CALC!$F$1&gt;0,N(INDEX(BASELINE!$A2817:$ZZ2817,CALC!$F$1))&gt;0),N(INDEX(BASELINE!$A2817:$ZZ2817,CALC!$F$1)),N(INDEX(BASELINE!$A2817:$ZZ2817,CALC!$P$1))))=INT(SIMOPS!$D$3),IFERROR(UPPER(TRIM(INDEX(BASELINE!$A2817:$ZZ2817,CALC!$R$1)&amp;"")),"")&lt;&gt;"ENCERRADA"),1,0),0)</f>
        <v/>
      </c>
      <c r="B2817">
        <f>B2816+A2817</f>
        <v/>
      </c>
    </row>
    <row r="2818">
      <c r="A2818">
        <f>IFERROR(IF(AND(INDEX(BASELINE!$A2818:$ZZ2818,CALC!$H$1)&lt;&gt;"",INT(IF(AND(CALC!$F$1&gt;0,N(INDEX(BASELINE!$A2818:$ZZ2818,CALC!$F$1))&gt;0),N(INDEX(BASELINE!$A2818:$ZZ2818,CALC!$F$1)),N(INDEX(BASELINE!$A2818:$ZZ2818,CALC!$P$1))))=INT(SIMOPS!$D$3),IFERROR(UPPER(TRIM(INDEX(BASELINE!$A2818:$ZZ2818,CALC!$R$1)&amp;"")),"")&lt;&gt;"ENCERRADA"),1,0),0)</f>
        <v/>
      </c>
      <c r="B2818">
        <f>B2817+A2818</f>
        <v/>
      </c>
    </row>
    <row r="2819">
      <c r="A2819">
        <f>IFERROR(IF(AND(INDEX(BASELINE!$A2819:$ZZ2819,CALC!$H$1)&lt;&gt;"",INT(IF(AND(CALC!$F$1&gt;0,N(INDEX(BASELINE!$A2819:$ZZ2819,CALC!$F$1))&gt;0),N(INDEX(BASELINE!$A2819:$ZZ2819,CALC!$F$1)),N(INDEX(BASELINE!$A2819:$ZZ2819,CALC!$P$1))))=INT(SIMOPS!$D$3),IFERROR(UPPER(TRIM(INDEX(BASELINE!$A2819:$ZZ2819,CALC!$R$1)&amp;"")),"")&lt;&gt;"ENCERRADA"),1,0),0)</f>
        <v/>
      </c>
      <c r="B2819">
        <f>B2818+A2819</f>
        <v/>
      </c>
    </row>
    <row r="2820">
      <c r="A2820">
        <f>IFERROR(IF(AND(INDEX(BASELINE!$A2820:$ZZ2820,CALC!$H$1)&lt;&gt;"",INT(IF(AND(CALC!$F$1&gt;0,N(INDEX(BASELINE!$A2820:$ZZ2820,CALC!$F$1))&gt;0),N(INDEX(BASELINE!$A2820:$ZZ2820,CALC!$F$1)),N(INDEX(BASELINE!$A2820:$ZZ2820,CALC!$P$1))))=INT(SIMOPS!$D$3),IFERROR(UPPER(TRIM(INDEX(BASELINE!$A2820:$ZZ2820,CALC!$R$1)&amp;"")),"")&lt;&gt;"ENCERRADA"),1,0),0)</f>
        <v/>
      </c>
      <c r="B2820">
        <f>B2819+A2820</f>
        <v/>
      </c>
    </row>
    <row r="2821">
      <c r="A2821">
        <f>IFERROR(IF(AND(INDEX(BASELINE!$A2821:$ZZ2821,CALC!$H$1)&lt;&gt;"",INT(IF(AND(CALC!$F$1&gt;0,N(INDEX(BASELINE!$A2821:$ZZ2821,CALC!$F$1))&gt;0),N(INDEX(BASELINE!$A2821:$ZZ2821,CALC!$F$1)),N(INDEX(BASELINE!$A2821:$ZZ2821,CALC!$P$1))))=INT(SIMOPS!$D$3),IFERROR(UPPER(TRIM(INDEX(BASELINE!$A2821:$ZZ2821,CALC!$R$1)&amp;"")),"")&lt;&gt;"ENCERRADA"),1,0),0)</f>
        <v/>
      </c>
      <c r="B2821">
        <f>B2820+A2821</f>
        <v/>
      </c>
    </row>
    <row r="2822">
      <c r="A2822">
        <f>IFERROR(IF(AND(INDEX(BASELINE!$A2822:$ZZ2822,CALC!$H$1)&lt;&gt;"",INT(IF(AND(CALC!$F$1&gt;0,N(INDEX(BASELINE!$A2822:$ZZ2822,CALC!$F$1))&gt;0),N(INDEX(BASELINE!$A2822:$ZZ2822,CALC!$F$1)),N(INDEX(BASELINE!$A2822:$ZZ2822,CALC!$P$1))))=INT(SIMOPS!$D$3),IFERROR(UPPER(TRIM(INDEX(BASELINE!$A2822:$ZZ2822,CALC!$R$1)&amp;"")),"")&lt;&gt;"ENCERRADA"),1,0),0)</f>
        <v/>
      </c>
      <c r="B2822">
        <f>B2821+A2822</f>
        <v/>
      </c>
    </row>
    <row r="2823">
      <c r="A2823">
        <f>IFERROR(IF(AND(INDEX(BASELINE!$A2823:$ZZ2823,CALC!$H$1)&lt;&gt;"",INT(IF(AND(CALC!$F$1&gt;0,N(INDEX(BASELINE!$A2823:$ZZ2823,CALC!$F$1))&gt;0),N(INDEX(BASELINE!$A2823:$ZZ2823,CALC!$F$1)),N(INDEX(BASELINE!$A2823:$ZZ2823,CALC!$P$1))))=INT(SIMOPS!$D$3),IFERROR(UPPER(TRIM(INDEX(BASELINE!$A2823:$ZZ2823,CALC!$R$1)&amp;"")),"")&lt;&gt;"ENCERRADA"),1,0),0)</f>
        <v/>
      </c>
      <c r="B2823">
        <f>B2822+A2823</f>
        <v/>
      </c>
    </row>
    <row r="2824">
      <c r="A2824">
        <f>IFERROR(IF(AND(INDEX(BASELINE!$A2824:$ZZ2824,CALC!$H$1)&lt;&gt;"",INT(IF(AND(CALC!$F$1&gt;0,N(INDEX(BASELINE!$A2824:$ZZ2824,CALC!$F$1))&gt;0),N(INDEX(BASELINE!$A2824:$ZZ2824,CALC!$F$1)),N(INDEX(BASELINE!$A2824:$ZZ2824,CALC!$P$1))))=INT(SIMOPS!$D$3),IFERROR(UPPER(TRIM(INDEX(BASELINE!$A2824:$ZZ2824,CALC!$R$1)&amp;"")),"")&lt;&gt;"ENCERRADA"),1,0),0)</f>
        <v/>
      </c>
      <c r="B2824">
        <f>B2823+A2824</f>
        <v/>
      </c>
    </row>
    <row r="2825">
      <c r="A2825">
        <f>IFERROR(IF(AND(INDEX(BASELINE!$A2825:$ZZ2825,CALC!$H$1)&lt;&gt;"",INT(IF(AND(CALC!$F$1&gt;0,N(INDEX(BASELINE!$A2825:$ZZ2825,CALC!$F$1))&gt;0),N(INDEX(BASELINE!$A2825:$ZZ2825,CALC!$F$1)),N(INDEX(BASELINE!$A2825:$ZZ2825,CALC!$P$1))))=INT(SIMOPS!$D$3),IFERROR(UPPER(TRIM(INDEX(BASELINE!$A2825:$ZZ2825,CALC!$R$1)&amp;"")),"")&lt;&gt;"ENCERRADA"),1,0),0)</f>
        <v/>
      </c>
      <c r="B2825">
        <f>B2824+A2825</f>
        <v/>
      </c>
    </row>
    <row r="2826">
      <c r="A2826">
        <f>IFERROR(IF(AND(INDEX(BASELINE!$A2826:$ZZ2826,CALC!$H$1)&lt;&gt;"",INT(IF(AND(CALC!$F$1&gt;0,N(INDEX(BASELINE!$A2826:$ZZ2826,CALC!$F$1))&gt;0),N(INDEX(BASELINE!$A2826:$ZZ2826,CALC!$F$1)),N(INDEX(BASELINE!$A2826:$ZZ2826,CALC!$P$1))))=INT(SIMOPS!$D$3),IFERROR(UPPER(TRIM(INDEX(BASELINE!$A2826:$ZZ2826,CALC!$R$1)&amp;"")),"")&lt;&gt;"ENCERRADA"),1,0),0)</f>
        <v/>
      </c>
      <c r="B2826">
        <f>B2825+A2826</f>
        <v/>
      </c>
    </row>
    <row r="2827">
      <c r="A2827">
        <f>IFERROR(IF(AND(INDEX(BASELINE!$A2827:$ZZ2827,CALC!$H$1)&lt;&gt;"",INT(IF(AND(CALC!$F$1&gt;0,N(INDEX(BASELINE!$A2827:$ZZ2827,CALC!$F$1))&gt;0),N(INDEX(BASELINE!$A2827:$ZZ2827,CALC!$F$1)),N(INDEX(BASELINE!$A2827:$ZZ2827,CALC!$P$1))))=INT(SIMOPS!$D$3),IFERROR(UPPER(TRIM(INDEX(BASELINE!$A2827:$ZZ2827,CALC!$R$1)&amp;"")),"")&lt;&gt;"ENCERRADA"),1,0),0)</f>
        <v/>
      </c>
      <c r="B2827">
        <f>B2826+A2827</f>
        <v/>
      </c>
    </row>
    <row r="2828">
      <c r="A2828">
        <f>IFERROR(IF(AND(INDEX(BASELINE!$A2828:$ZZ2828,CALC!$H$1)&lt;&gt;"",INT(IF(AND(CALC!$F$1&gt;0,N(INDEX(BASELINE!$A2828:$ZZ2828,CALC!$F$1))&gt;0),N(INDEX(BASELINE!$A2828:$ZZ2828,CALC!$F$1)),N(INDEX(BASELINE!$A2828:$ZZ2828,CALC!$P$1))))=INT(SIMOPS!$D$3),IFERROR(UPPER(TRIM(INDEX(BASELINE!$A2828:$ZZ2828,CALC!$R$1)&amp;"")),"")&lt;&gt;"ENCERRADA"),1,0),0)</f>
        <v/>
      </c>
      <c r="B2828">
        <f>B2827+A2828</f>
        <v/>
      </c>
    </row>
    <row r="2829">
      <c r="A2829">
        <f>IFERROR(IF(AND(INDEX(BASELINE!$A2829:$ZZ2829,CALC!$H$1)&lt;&gt;"",INT(IF(AND(CALC!$F$1&gt;0,N(INDEX(BASELINE!$A2829:$ZZ2829,CALC!$F$1))&gt;0),N(INDEX(BASELINE!$A2829:$ZZ2829,CALC!$F$1)),N(INDEX(BASELINE!$A2829:$ZZ2829,CALC!$P$1))))=INT(SIMOPS!$D$3),IFERROR(UPPER(TRIM(INDEX(BASELINE!$A2829:$ZZ2829,CALC!$R$1)&amp;"")),"")&lt;&gt;"ENCERRADA"),1,0),0)</f>
        <v/>
      </c>
      <c r="B2829">
        <f>B2828+A2829</f>
        <v/>
      </c>
    </row>
    <row r="2830">
      <c r="A2830">
        <f>IFERROR(IF(AND(INDEX(BASELINE!$A2830:$ZZ2830,CALC!$H$1)&lt;&gt;"",INT(IF(AND(CALC!$F$1&gt;0,N(INDEX(BASELINE!$A2830:$ZZ2830,CALC!$F$1))&gt;0),N(INDEX(BASELINE!$A2830:$ZZ2830,CALC!$F$1)),N(INDEX(BASELINE!$A2830:$ZZ2830,CALC!$P$1))))=INT(SIMOPS!$D$3),IFERROR(UPPER(TRIM(INDEX(BASELINE!$A2830:$ZZ2830,CALC!$R$1)&amp;"")),"")&lt;&gt;"ENCERRADA"),1,0),0)</f>
        <v/>
      </c>
      <c r="B2830">
        <f>B2829+A2830</f>
        <v/>
      </c>
    </row>
    <row r="2831">
      <c r="A2831">
        <f>IFERROR(IF(AND(INDEX(BASELINE!$A2831:$ZZ2831,CALC!$H$1)&lt;&gt;"",INT(IF(AND(CALC!$F$1&gt;0,N(INDEX(BASELINE!$A2831:$ZZ2831,CALC!$F$1))&gt;0),N(INDEX(BASELINE!$A2831:$ZZ2831,CALC!$F$1)),N(INDEX(BASELINE!$A2831:$ZZ2831,CALC!$P$1))))=INT(SIMOPS!$D$3),IFERROR(UPPER(TRIM(INDEX(BASELINE!$A2831:$ZZ2831,CALC!$R$1)&amp;"")),"")&lt;&gt;"ENCERRADA"),1,0),0)</f>
        <v/>
      </c>
      <c r="B2831">
        <f>B2830+A2831</f>
        <v/>
      </c>
    </row>
    <row r="2832">
      <c r="A2832">
        <f>IFERROR(IF(AND(INDEX(BASELINE!$A2832:$ZZ2832,CALC!$H$1)&lt;&gt;"",INT(IF(AND(CALC!$F$1&gt;0,N(INDEX(BASELINE!$A2832:$ZZ2832,CALC!$F$1))&gt;0),N(INDEX(BASELINE!$A2832:$ZZ2832,CALC!$F$1)),N(INDEX(BASELINE!$A2832:$ZZ2832,CALC!$P$1))))=INT(SIMOPS!$D$3),IFERROR(UPPER(TRIM(INDEX(BASELINE!$A2832:$ZZ2832,CALC!$R$1)&amp;"")),"")&lt;&gt;"ENCERRADA"),1,0),0)</f>
        <v/>
      </c>
      <c r="B2832">
        <f>B2831+A2832</f>
        <v/>
      </c>
    </row>
    <row r="2833">
      <c r="A2833">
        <f>IFERROR(IF(AND(INDEX(BASELINE!$A2833:$ZZ2833,CALC!$H$1)&lt;&gt;"",INT(IF(AND(CALC!$F$1&gt;0,N(INDEX(BASELINE!$A2833:$ZZ2833,CALC!$F$1))&gt;0),N(INDEX(BASELINE!$A2833:$ZZ2833,CALC!$F$1)),N(INDEX(BASELINE!$A2833:$ZZ2833,CALC!$P$1))))=INT(SIMOPS!$D$3),IFERROR(UPPER(TRIM(INDEX(BASELINE!$A2833:$ZZ2833,CALC!$R$1)&amp;"")),"")&lt;&gt;"ENCERRADA"),1,0),0)</f>
        <v/>
      </c>
      <c r="B2833">
        <f>B2832+A2833</f>
        <v/>
      </c>
    </row>
    <row r="2834">
      <c r="A2834">
        <f>IFERROR(IF(AND(INDEX(BASELINE!$A2834:$ZZ2834,CALC!$H$1)&lt;&gt;"",INT(IF(AND(CALC!$F$1&gt;0,N(INDEX(BASELINE!$A2834:$ZZ2834,CALC!$F$1))&gt;0),N(INDEX(BASELINE!$A2834:$ZZ2834,CALC!$F$1)),N(INDEX(BASELINE!$A2834:$ZZ2834,CALC!$P$1))))=INT(SIMOPS!$D$3),IFERROR(UPPER(TRIM(INDEX(BASELINE!$A2834:$ZZ2834,CALC!$R$1)&amp;"")),"")&lt;&gt;"ENCERRADA"),1,0),0)</f>
        <v/>
      </c>
      <c r="B2834">
        <f>B2833+A2834</f>
        <v/>
      </c>
    </row>
    <row r="2835">
      <c r="A2835">
        <f>IFERROR(IF(AND(INDEX(BASELINE!$A2835:$ZZ2835,CALC!$H$1)&lt;&gt;"",INT(IF(AND(CALC!$F$1&gt;0,N(INDEX(BASELINE!$A2835:$ZZ2835,CALC!$F$1))&gt;0),N(INDEX(BASELINE!$A2835:$ZZ2835,CALC!$F$1)),N(INDEX(BASELINE!$A2835:$ZZ2835,CALC!$P$1))))=INT(SIMOPS!$D$3),IFERROR(UPPER(TRIM(INDEX(BASELINE!$A2835:$ZZ2835,CALC!$R$1)&amp;"")),"")&lt;&gt;"ENCERRADA"),1,0),0)</f>
        <v/>
      </c>
      <c r="B2835">
        <f>B2834+A2835</f>
        <v/>
      </c>
    </row>
    <row r="2836">
      <c r="A2836">
        <f>IFERROR(IF(AND(INDEX(BASELINE!$A2836:$ZZ2836,CALC!$H$1)&lt;&gt;"",INT(IF(AND(CALC!$F$1&gt;0,N(INDEX(BASELINE!$A2836:$ZZ2836,CALC!$F$1))&gt;0),N(INDEX(BASELINE!$A2836:$ZZ2836,CALC!$F$1)),N(INDEX(BASELINE!$A2836:$ZZ2836,CALC!$P$1))))=INT(SIMOPS!$D$3),IFERROR(UPPER(TRIM(INDEX(BASELINE!$A2836:$ZZ2836,CALC!$R$1)&amp;"")),"")&lt;&gt;"ENCERRADA"),1,0),0)</f>
        <v/>
      </c>
      <c r="B2836">
        <f>B2835+A2836</f>
        <v/>
      </c>
    </row>
    <row r="2837">
      <c r="A2837">
        <f>IFERROR(IF(AND(INDEX(BASELINE!$A2837:$ZZ2837,CALC!$H$1)&lt;&gt;"",INT(IF(AND(CALC!$F$1&gt;0,N(INDEX(BASELINE!$A2837:$ZZ2837,CALC!$F$1))&gt;0),N(INDEX(BASELINE!$A2837:$ZZ2837,CALC!$F$1)),N(INDEX(BASELINE!$A2837:$ZZ2837,CALC!$P$1))))=INT(SIMOPS!$D$3),IFERROR(UPPER(TRIM(INDEX(BASELINE!$A2837:$ZZ2837,CALC!$R$1)&amp;"")),"")&lt;&gt;"ENCERRADA"),1,0),0)</f>
        <v/>
      </c>
      <c r="B2837">
        <f>B2836+A2837</f>
        <v/>
      </c>
    </row>
    <row r="2838">
      <c r="A2838">
        <f>IFERROR(IF(AND(INDEX(BASELINE!$A2838:$ZZ2838,CALC!$H$1)&lt;&gt;"",INT(IF(AND(CALC!$F$1&gt;0,N(INDEX(BASELINE!$A2838:$ZZ2838,CALC!$F$1))&gt;0),N(INDEX(BASELINE!$A2838:$ZZ2838,CALC!$F$1)),N(INDEX(BASELINE!$A2838:$ZZ2838,CALC!$P$1))))=INT(SIMOPS!$D$3),IFERROR(UPPER(TRIM(INDEX(BASELINE!$A2838:$ZZ2838,CALC!$R$1)&amp;"")),"")&lt;&gt;"ENCERRADA"),1,0),0)</f>
        <v/>
      </c>
      <c r="B2838">
        <f>B2837+A2838</f>
        <v/>
      </c>
    </row>
    <row r="2839">
      <c r="A2839">
        <f>IFERROR(IF(AND(INDEX(BASELINE!$A2839:$ZZ2839,CALC!$H$1)&lt;&gt;"",INT(IF(AND(CALC!$F$1&gt;0,N(INDEX(BASELINE!$A2839:$ZZ2839,CALC!$F$1))&gt;0),N(INDEX(BASELINE!$A2839:$ZZ2839,CALC!$F$1)),N(INDEX(BASELINE!$A2839:$ZZ2839,CALC!$P$1))))=INT(SIMOPS!$D$3),IFERROR(UPPER(TRIM(INDEX(BASELINE!$A2839:$ZZ2839,CALC!$R$1)&amp;"")),"")&lt;&gt;"ENCERRADA"),1,0),0)</f>
        <v/>
      </c>
      <c r="B2839">
        <f>B2838+A2839</f>
        <v/>
      </c>
    </row>
    <row r="2840">
      <c r="A2840">
        <f>IFERROR(IF(AND(INDEX(BASELINE!$A2840:$ZZ2840,CALC!$H$1)&lt;&gt;"",INT(IF(AND(CALC!$F$1&gt;0,N(INDEX(BASELINE!$A2840:$ZZ2840,CALC!$F$1))&gt;0),N(INDEX(BASELINE!$A2840:$ZZ2840,CALC!$F$1)),N(INDEX(BASELINE!$A2840:$ZZ2840,CALC!$P$1))))=INT(SIMOPS!$D$3),IFERROR(UPPER(TRIM(INDEX(BASELINE!$A2840:$ZZ2840,CALC!$R$1)&amp;"")),"")&lt;&gt;"ENCERRADA"),1,0),0)</f>
        <v/>
      </c>
      <c r="B2840">
        <f>B2839+A2840</f>
        <v/>
      </c>
    </row>
    <row r="2841">
      <c r="A2841">
        <f>IFERROR(IF(AND(INDEX(BASELINE!$A2841:$ZZ2841,CALC!$H$1)&lt;&gt;"",INT(IF(AND(CALC!$F$1&gt;0,N(INDEX(BASELINE!$A2841:$ZZ2841,CALC!$F$1))&gt;0),N(INDEX(BASELINE!$A2841:$ZZ2841,CALC!$F$1)),N(INDEX(BASELINE!$A2841:$ZZ2841,CALC!$P$1))))=INT(SIMOPS!$D$3),IFERROR(UPPER(TRIM(INDEX(BASELINE!$A2841:$ZZ2841,CALC!$R$1)&amp;"")),"")&lt;&gt;"ENCERRADA"),1,0),0)</f>
        <v/>
      </c>
      <c r="B2841">
        <f>B2840+A2841</f>
        <v/>
      </c>
    </row>
    <row r="2842">
      <c r="A2842">
        <f>IFERROR(IF(AND(INDEX(BASELINE!$A2842:$ZZ2842,CALC!$H$1)&lt;&gt;"",INT(IF(AND(CALC!$F$1&gt;0,N(INDEX(BASELINE!$A2842:$ZZ2842,CALC!$F$1))&gt;0),N(INDEX(BASELINE!$A2842:$ZZ2842,CALC!$F$1)),N(INDEX(BASELINE!$A2842:$ZZ2842,CALC!$P$1))))=INT(SIMOPS!$D$3),IFERROR(UPPER(TRIM(INDEX(BASELINE!$A2842:$ZZ2842,CALC!$R$1)&amp;"")),"")&lt;&gt;"ENCERRADA"),1,0),0)</f>
        <v/>
      </c>
      <c r="B2842">
        <f>B2841+A2842</f>
        <v/>
      </c>
    </row>
    <row r="2843">
      <c r="A2843">
        <f>IFERROR(IF(AND(INDEX(BASELINE!$A2843:$ZZ2843,CALC!$H$1)&lt;&gt;"",INT(IF(AND(CALC!$F$1&gt;0,N(INDEX(BASELINE!$A2843:$ZZ2843,CALC!$F$1))&gt;0),N(INDEX(BASELINE!$A2843:$ZZ2843,CALC!$F$1)),N(INDEX(BASELINE!$A2843:$ZZ2843,CALC!$P$1))))=INT(SIMOPS!$D$3),IFERROR(UPPER(TRIM(INDEX(BASELINE!$A2843:$ZZ2843,CALC!$R$1)&amp;"")),"")&lt;&gt;"ENCERRADA"),1,0),0)</f>
        <v/>
      </c>
      <c r="B2843">
        <f>B2842+A2843</f>
        <v/>
      </c>
    </row>
    <row r="2844">
      <c r="A2844">
        <f>IFERROR(IF(AND(INDEX(BASELINE!$A2844:$ZZ2844,CALC!$H$1)&lt;&gt;"",INT(IF(AND(CALC!$F$1&gt;0,N(INDEX(BASELINE!$A2844:$ZZ2844,CALC!$F$1))&gt;0),N(INDEX(BASELINE!$A2844:$ZZ2844,CALC!$F$1)),N(INDEX(BASELINE!$A2844:$ZZ2844,CALC!$P$1))))=INT(SIMOPS!$D$3),IFERROR(UPPER(TRIM(INDEX(BASELINE!$A2844:$ZZ2844,CALC!$R$1)&amp;"")),"")&lt;&gt;"ENCERRADA"),1,0),0)</f>
        <v/>
      </c>
      <c r="B2844">
        <f>B2843+A2844</f>
        <v/>
      </c>
    </row>
    <row r="2845">
      <c r="A2845">
        <f>IFERROR(IF(AND(INDEX(BASELINE!$A2845:$ZZ2845,CALC!$H$1)&lt;&gt;"",INT(IF(AND(CALC!$F$1&gt;0,N(INDEX(BASELINE!$A2845:$ZZ2845,CALC!$F$1))&gt;0),N(INDEX(BASELINE!$A2845:$ZZ2845,CALC!$F$1)),N(INDEX(BASELINE!$A2845:$ZZ2845,CALC!$P$1))))=INT(SIMOPS!$D$3),IFERROR(UPPER(TRIM(INDEX(BASELINE!$A2845:$ZZ2845,CALC!$R$1)&amp;"")),"")&lt;&gt;"ENCERRADA"),1,0),0)</f>
        <v/>
      </c>
      <c r="B2845">
        <f>B2844+A2845</f>
        <v/>
      </c>
    </row>
    <row r="2846">
      <c r="A2846">
        <f>IFERROR(IF(AND(INDEX(BASELINE!$A2846:$ZZ2846,CALC!$H$1)&lt;&gt;"",INT(IF(AND(CALC!$F$1&gt;0,N(INDEX(BASELINE!$A2846:$ZZ2846,CALC!$F$1))&gt;0),N(INDEX(BASELINE!$A2846:$ZZ2846,CALC!$F$1)),N(INDEX(BASELINE!$A2846:$ZZ2846,CALC!$P$1))))=INT(SIMOPS!$D$3),IFERROR(UPPER(TRIM(INDEX(BASELINE!$A2846:$ZZ2846,CALC!$R$1)&amp;"")),"")&lt;&gt;"ENCERRADA"),1,0),0)</f>
        <v/>
      </c>
      <c r="B2846">
        <f>B2845+A2846</f>
        <v/>
      </c>
    </row>
    <row r="2847">
      <c r="A2847">
        <f>IFERROR(IF(AND(INDEX(BASELINE!$A2847:$ZZ2847,CALC!$H$1)&lt;&gt;"",INT(IF(AND(CALC!$F$1&gt;0,N(INDEX(BASELINE!$A2847:$ZZ2847,CALC!$F$1))&gt;0),N(INDEX(BASELINE!$A2847:$ZZ2847,CALC!$F$1)),N(INDEX(BASELINE!$A2847:$ZZ2847,CALC!$P$1))))=INT(SIMOPS!$D$3),IFERROR(UPPER(TRIM(INDEX(BASELINE!$A2847:$ZZ2847,CALC!$R$1)&amp;"")),"")&lt;&gt;"ENCERRADA"),1,0),0)</f>
        <v/>
      </c>
      <c r="B2847">
        <f>B2846+A2847</f>
        <v/>
      </c>
    </row>
    <row r="2848">
      <c r="A2848">
        <f>IFERROR(IF(AND(INDEX(BASELINE!$A2848:$ZZ2848,CALC!$H$1)&lt;&gt;"",INT(IF(AND(CALC!$F$1&gt;0,N(INDEX(BASELINE!$A2848:$ZZ2848,CALC!$F$1))&gt;0),N(INDEX(BASELINE!$A2848:$ZZ2848,CALC!$F$1)),N(INDEX(BASELINE!$A2848:$ZZ2848,CALC!$P$1))))=INT(SIMOPS!$D$3),IFERROR(UPPER(TRIM(INDEX(BASELINE!$A2848:$ZZ2848,CALC!$R$1)&amp;"")),"")&lt;&gt;"ENCERRADA"),1,0),0)</f>
        <v/>
      </c>
      <c r="B2848">
        <f>B2847+A2848</f>
        <v/>
      </c>
    </row>
    <row r="2849">
      <c r="A2849">
        <f>IFERROR(IF(AND(INDEX(BASELINE!$A2849:$ZZ2849,CALC!$H$1)&lt;&gt;"",INT(IF(AND(CALC!$F$1&gt;0,N(INDEX(BASELINE!$A2849:$ZZ2849,CALC!$F$1))&gt;0),N(INDEX(BASELINE!$A2849:$ZZ2849,CALC!$F$1)),N(INDEX(BASELINE!$A2849:$ZZ2849,CALC!$P$1))))=INT(SIMOPS!$D$3),IFERROR(UPPER(TRIM(INDEX(BASELINE!$A2849:$ZZ2849,CALC!$R$1)&amp;"")),"")&lt;&gt;"ENCERRADA"),1,0),0)</f>
        <v/>
      </c>
      <c r="B2849">
        <f>B2848+A2849</f>
        <v/>
      </c>
    </row>
    <row r="2850">
      <c r="A2850">
        <f>IFERROR(IF(AND(INDEX(BASELINE!$A2850:$ZZ2850,CALC!$H$1)&lt;&gt;"",INT(IF(AND(CALC!$F$1&gt;0,N(INDEX(BASELINE!$A2850:$ZZ2850,CALC!$F$1))&gt;0),N(INDEX(BASELINE!$A2850:$ZZ2850,CALC!$F$1)),N(INDEX(BASELINE!$A2850:$ZZ2850,CALC!$P$1))))=INT(SIMOPS!$D$3),IFERROR(UPPER(TRIM(INDEX(BASELINE!$A2850:$ZZ2850,CALC!$R$1)&amp;"")),"")&lt;&gt;"ENCERRADA"),1,0),0)</f>
        <v/>
      </c>
      <c r="B2850">
        <f>B2849+A2850</f>
        <v/>
      </c>
    </row>
    <row r="2851">
      <c r="A2851">
        <f>IFERROR(IF(AND(INDEX(BASELINE!$A2851:$ZZ2851,CALC!$H$1)&lt;&gt;"",INT(IF(AND(CALC!$F$1&gt;0,N(INDEX(BASELINE!$A2851:$ZZ2851,CALC!$F$1))&gt;0),N(INDEX(BASELINE!$A2851:$ZZ2851,CALC!$F$1)),N(INDEX(BASELINE!$A2851:$ZZ2851,CALC!$P$1))))=INT(SIMOPS!$D$3),IFERROR(UPPER(TRIM(INDEX(BASELINE!$A2851:$ZZ2851,CALC!$R$1)&amp;"")),"")&lt;&gt;"ENCERRADA"),1,0),0)</f>
        <v/>
      </c>
      <c r="B2851">
        <f>B2850+A2851</f>
        <v/>
      </c>
    </row>
    <row r="2852">
      <c r="A2852">
        <f>IFERROR(IF(AND(INDEX(BASELINE!$A2852:$ZZ2852,CALC!$H$1)&lt;&gt;"",INT(IF(AND(CALC!$F$1&gt;0,N(INDEX(BASELINE!$A2852:$ZZ2852,CALC!$F$1))&gt;0),N(INDEX(BASELINE!$A2852:$ZZ2852,CALC!$F$1)),N(INDEX(BASELINE!$A2852:$ZZ2852,CALC!$P$1))))=INT(SIMOPS!$D$3),IFERROR(UPPER(TRIM(INDEX(BASELINE!$A2852:$ZZ2852,CALC!$R$1)&amp;"")),"")&lt;&gt;"ENCERRADA"),1,0),0)</f>
        <v/>
      </c>
      <c r="B2852">
        <f>B2851+A2852</f>
        <v/>
      </c>
    </row>
    <row r="2853">
      <c r="A2853">
        <f>IFERROR(IF(AND(INDEX(BASELINE!$A2853:$ZZ2853,CALC!$H$1)&lt;&gt;"",INT(IF(AND(CALC!$F$1&gt;0,N(INDEX(BASELINE!$A2853:$ZZ2853,CALC!$F$1))&gt;0),N(INDEX(BASELINE!$A2853:$ZZ2853,CALC!$F$1)),N(INDEX(BASELINE!$A2853:$ZZ2853,CALC!$P$1))))=INT(SIMOPS!$D$3),IFERROR(UPPER(TRIM(INDEX(BASELINE!$A2853:$ZZ2853,CALC!$R$1)&amp;"")),"")&lt;&gt;"ENCERRADA"),1,0),0)</f>
        <v/>
      </c>
      <c r="B2853">
        <f>B2852+A2853</f>
        <v/>
      </c>
    </row>
    <row r="2854">
      <c r="A2854">
        <f>IFERROR(IF(AND(INDEX(BASELINE!$A2854:$ZZ2854,CALC!$H$1)&lt;&gt;"",INT(IF(AND(CALC!$F$1&gt;0,N(INDEX(BASELINE!$A2854:$ZZ2854,CALC!$F$1))&gt;0),N(INDEX(BASELINE!$A2854:$ZZ2854,CALC!$F$1)),N(INDEX(BASELINE!$A2854:$ZZ2854,CALC!$P$1))))=INT(SIMOPS!$D$3),IFERROR(UPPER(TRIM(INDEX(BASELINE!$A2854:$ZZ2854,CALC!$R$1)&amp;"")),"")&lt;&gt;"ENCERRADA"),1,0),0)</f>
        <v/>
      </c>
      <c r="B2854">
        <f>B2853+A2854</f>
        <v/>
      </c>
    </row>
    <row r="2855">
      <c r="A2855">
        <f>IFERROR(IF(AND(INDEX(BASELINE!$A2855:$ZZ2855,CALC!$H$1)&lt;&gt;"",INT(IF(AND(CALC!$F$1&gt;0,N(INDEX(BASELINE!$A2855:$ZZ2855,CALC!$F$1))&gt;0),N(INDEX(BASELINE!$A2855:$ZZ2855,CALC!$F$1)),N(INDEX(BASELINE!$A2855:$ZZ2855,CALC!$P$1))))=INT(SIMOPS!$D$3),IFERROR(UPPER(TRIM(INDEX(BASELINE!$A2855:$ZZ2855,CALC!$R$1)&amp;"")),"")&lt;&gt;"ENCERRADA"),1,0),0)</f>
        <v/>
      </c>
      <c r="B2855">
        <f>B2854+A2855</f>
        <v/>
      </c>
    </row>
    <row r="2856">
      <c r="A2856">
        <f>IFERROR(IF(AND(INDEX(BASELINE!$A2856:$ZZ2856,CALC!$H$1)&lt;&gt;"",INT(IF(AND(CALC!$F$1&gt;0,N(INDEX(BASELINE!$A2856:$ZZ2856,CALC!$F$1))&gt;0),N(INDEX(BASELINE!$A2856:$ZZ2856,CALC!$F$1)),N(INDEX(BASELINE!$A2856:$ZZ2856,CALC!$P$1))))=INT(SIMOPS!$D$3),IFERROR(UPPER(TRIM(INDEX(BASELINE!$A2856:$ZZ2856,CALC!$R$1)&amp;"")),"")&lt;&gt;"ENCERRADA"),1,0),0)</f>
        <v/>
      </c>
      <c r="B2856">
        <f>B2855+A2856</f>
        <v/>
      </c>
    </row>
    <row r="2857">
      <c r="A2857">
        <f>IFERROR(IF(AND(INDEX(BASELINE!$A2857:$ZZ2857,CALC!$H$1)&lt;&gt;"",INT(IF(AND(CALC!$F$1&gt;0,N(INDEX(BASELINE!$A2857:$ZZ2857,CALC!$F$1))&gt;0),N(INDEX(BASELINE!$A2857:$ZZ2857,CALC!$F$1)),N(INDEX(BASELINE!$A2857:$ZZ2857,CALC!$P$1))))=INT(SIMOPS!$D$3),IFERROR(UPPER(TRIM(INDEX(BASELINE!$A2857:$ZZ2857,CALC!$R$1)&amp;"")),"")&lt;&gt;"ENCERRADA"),1,0),0)</f>
        <v/>
      </c>
      <c r="B2857">
        <f>B2856+A2857</f>
        <v/>
      </c>
    </row>
    <row r="2858">
      <c r="A2858">
        <f>IFERROR(IF(AND(INDEX(BASELINE!$A2858:$ZZ2858,CALC!$H$1)&lt;&gt;"",INT(IF(AND(CALC!$F$1&gt;0,N(INDEX(BASELINE!$A2858:$ZZ2858,CALC!$F$1))&gt;0),N(INDEX(BASELINE!$A2858:$ZZ2858,CALC!$F$1)),N(INDEX(BASELINE!$A2858:$ZZ2858,CALC!$P$1))))=INT(SIMOPS!$D$3),IFERROR(UPPER(TRIM(INDEX(BASELINE!$A2858:$ZZ2858,CALC!$R$1)&amp;"")),"")&lt;&gt;"ENCERRADA"),1,0),0)</f>
        <v/>
      </c>
      <c r="B2858">
        <f>B2857+A2858</f>
        <v/>
      </c>
    </row>
    <row r="2859">
      <c r="A2859">
        <f>IFERROR(IF(AND(INDEX(BASELINE!$A2859:$ZZ2859,CALC!$H$1)&lt;&gt;"",INT(IF(AND(CALC!$F$1&gt;0,N(INDEX(BASELINE!$A2859:$ZZ2859,CALC!$F$1))&gt;0),N(INDEX(BASELINE!$A2859:$ZZ2859,CALC!$F$1)),N(INDEX(BASELINE!$A2859:$ZZ2859,CALC!$P$1))))=INT(SIMOPS!$D$3),IFERROR(UPPER(TRIM(INDEX(BASELINE!$A2859:$ZZ2859,CALC!$R$1)&amp;"")),"")&lt;&gt;"ENCERRADA"),1,0),0)</f>
        <v/>
      </c>
      <c r="B2859">
        <f>B2858+A2859</f>
        <v/>
      </c>
    </row>
    <row r="2860">
      <c r="A2860">
        <f>IFERROR(IF(AND(INDEX(BASELINE!$A2860:$ZZ2860,CALC!$H$1)&lt;&gt;"",INT(IF(AND(CALC!$F$1&gt;0,N(INDEX(BASELINE!$A2860:$ZZ2860,CALC!$F$1))&gt;0),N(INDEX(BASELINE!$A2860:$ZZ2860,CALC!$F$1)),N(INDEX(BASELINE!$A2860:$ZZ2860,CALC!$P$1))))=INT(SIMOPS!$D$3),IFERROR(UPPER(TRIM(INDEX(BASELINE!$A2860:$ZZ2860,CALC!$R$1)&amp;"")),"")&lt;&gt;"ENCERRADA"),1,0),0)</f>
        <v/>
      </c>
      <c r="B2860">
        <f>B2859+A2860</f>
        <v/>
      </c>
    </row>
    <row r="2861">
      <c r="A2861">
        <f>IFERROR(IF(AND(INDEX(BASELINE!$A2861:$ZZ2861,CALC!$H$1)&lt;&gt;"",INT(IF(AND(CALC!$F$1&gt;0,N(INDEX(BASELINE!$A2861:$ZZ2861,CALC!$F$1))&gt;0),N(INDEX(BASELINE!$A2861:$ZZ2861,CALC!$F$1)),N(INDEX(BASELINE!$A2861:$ZZ2861,CALC!$P$1))))=INT(SIMOPS!$D$3),IFERROR(UPPER(TRIM(INDEX(BASELINE!$A2861:$ZZ2861,CALC!$R$1)&amp;"")),"")&lt;&gt;"ENCERRADA"),1,0),0)</f>
        <v/>
      </c>
      <c r="B2861">
        <f>B2860+A2861</f>
        <v/>
      </c>
    </row>
    <row r="2862">
      <c r="A2862">
        <f>IFERROR(IF(AND(INDEX(BASELINE!$A2862:$ZZ2862,CALC!$H$1)&lt;&gt;"",INT(IF(AND(CALC!$F$1&gt;0,N(INDEX(BASELINE!$A2862:$ZZ2862,CALC!$F$1))&gt;0),N(INDEX(BASELINE!$A2862:$ZZ2862,CALC!$F$1)),N(INDEX(BASELINE!$A2862:$ZZ2862,CALC!$P$1))))=INT(SIMOPS!$D$3),IFERROR(UPPER(TRIM(INDEX(BASELINE!$A2862:$ZZ2862,CALC!$R$1)&amp;"")),"")&lt;&gt;"ENCERRADA"),1,0),0)</f>
        <v/>
      </c>
      <c r="B2862">
        <f>B2861+A2862</f>
        <v/>
      </c>
    </row>
    <row r="2863">
      <c r="A2863">
        <f>IFERROR(IF(AND(INDEX(BASELINE!$A2863:$ZZ2863,CALC!$H$1)&lt;&gt;"",INT(IF(AND(CALC!$F$1&gt;0,N(INDEX(BASELINE!$A2863:$ZZ2863,CALC!$F$1))&gt;0),N(INDEX(BASELINE!$A2863:$ZZ2863,CALC!$F$1)),N(INDEX(BASELINE!$A2863:$ZZ2863,CALC!$P$1))))=INT(SIMOPS!$D$3),IFERROR(UPPER(TRIM(INDEX(BASELINE!$A2863:$ZZ2863,CALC!$R$1)&amp;"")),"")&lt;&gt;"ENCERRADA"),1,0),0)</f>
        <v/>
      </c>
      <c r="B2863">
        <f>B2862+A2863</f>
        <v/>
      </c>
    </row>
    <row r="2864">
      <c r="A2864">
        <f>IFERROR(IF(AND(INDEX(BASELINE!$A2864:$ZZ2864,CALC!$H$1)&lt;&gt;"",INT(IF(AND(CALC!$F$1&gt;0,N(INDEX(BASELINE!$A2864:$ZZ2864,CALC!$F$1))&gt;0),N(INDEX(BASELINE!$A2864:$ZZ2864,CALC!$F$1)),N(INDEX(BASELINE!$A2864:$ZZ2864,CALC!$P$1))))=INT(SIMOPS!$D$3),IFERROR(UPPER(TRIM(INDEX(BASELINE!$A2864:$ZZ2864,CALC!$R$1)&amp;"")),"")&lt;&gt;"ENCERRADA"),1,0),0)</f>
        <v/>
      </c>
      <c r="B2864">
        <f>B2863+A2864</f>
        <v/>
      </c>
    </row>
    <row r="2865">
      <c r="A2865">
        <f>IFERROR(IF(AND(INDEX(BASELINE!$A2865:$ZZ2865,CALC!$H$1)&lt;&gt;"",INT(IF(AND(CALC!$F$1&gt;0,N(INDEX(BASELINE!$A2865:$ZZ2865,CALC!$F$1))&gt;0),N(INDEX(BASELINE!$A2865:$ZZ2865,CALC!$F$1)),N(INDEX(BASELINE!$A2865:$ZZ2865,CALC!$P$1))))=INT(SIMOPS!$D$3),IFERROR(UPPER(TRIM(INDEX(BASELINE!$A2865:$ZZ2865,CALC!$R$1)&amp;"")),"")&lt;&gt;"ENCERRADA"),1,0),0)</f>
        <v/>
      </c>
      <c r="B2865">
        <f>B2864+A2865</f>
        <v/>
      </c>
    </row>
    <row r="2866">
      <c r="A2866">
        <f>IFERROR(IF(AND(INDEX(BASELINE!$A2866:$ZZ2866,CALC!$H$1)&lt;&gt;"",INT(IF(AND(CALC!$F$1&gt;0,N(INDEX(BASELINE!$A2866:$ZZ2866,CALC!$F$1))&gt;0),N(INDEX(BASELINE!$A2866:$ZZ2866,CALC!$F$1)),N(INDEX(BASELINE!$A2866:$ZZ2866,CALC!$P$1))))=INT(SIMOPS!$D$3),IFERROR(UPPER(TRIM(INDEX(BASELINE!$A2866:$ZZ2866,CALC!$R$1)&amp;"")),"")&lt;&gt;"ENCERRADA"),1,0),0)</f>
        <v/>
      </c>
      <c r="B2866">
        <f>B2865+A2866</f>
        <v/>
      </c>
    </row>
    <row r="2867">
      <c r="A2867">
        <f>IFERROR(IF(AND(INDEX(BASELINE!$A2867:$ZZ2867,CALC!$H$1)&lt;&gt;"",INT(IF(AND(CALC!$F$1&gt;0,N(INDEX(BASELINE!$A2867:$ZZ2867,CALC!$F$1))&gt;0),N(INDEX(BASELINE!$A2867:$ZZ2867,CALC!$F$1)),N(INDEX(BASELINE!$A2867:$ZZ2867,CALC!$P$1))))=INT(SIMOPS!$D$3),IFERROR(UPPER(TRIM(INDEX(BASELINE!$A2867:$ZZ2867,CALC!$R$1)&amp;"")),"")&lt;&gt;"ENCERRADA"),1,0),0)</f>
        <v/>
      </c>
      <c r="B2867">
        <f>B2866+A2867</f>
        <v/>
      </c>
    </row>
    <row r="2868">
      <c r="A2868">
        <f>IFERROR(IF(AND(INDEX(BASELINE!$A2868:$ZZ2868,CALC!$H$1)&lt;&gt;"",INT(IF(AND(CALC!$F$1&gt;0,N(INDEX(BASELINE!$A2868:$ZZ2868,CALC!$F$1))&gt;0),N(INDEX(BASELINE!$A2868:$ZZ2868,CALC!$F$1)),N(INDEX(BASELINE!$A2868:$ZZ2868,CALC!$P$1))))=INT(SIMOPS!$D$3),IFERROR(UPPER(TRIM(INDEX(BASELINE!$A2868:$ZZ2868,CALC!$R$1)&amp;"")),"")&lt;&gt;"ENCERRADA"),1,0),0)</f>
        <v/>
      </c>
      <c r="B2868">
        <f>B2867+A2868</f>
        <v/>
      </c>
    </row>
    <row r="2869">
      <c r="A2869">
        <f>IFERROR(IF(AND(INDEX(BASELINE!$A2869:$ZZ2869,CALC!$H$1)&lt;&gt;"",INT(IF(AND(CALC!$F$1&gt;0,N(INDEX(BASELINE!$A2869:$ZZ2869,CALC!$F$1))&gt;0),N(INDEX(BASELINE!$A2869:$ZZ2869,CALC!$F$1)),N(INDEX(BASELINE!$A2869:$ZZ2869,CALC!$P$1))))=INT(SIMOPS!$D$3),IFERROR(UPPER(TRIM(INDEX(BASELINE!$A2869:$ZZ2869,CALC!$R$1)&amp;"")),"")&lt;&gt;"ENCERRADA"),1,0),0)</f>
        <v/>
      </c>
      <c r="B2869">
        <f>B2868+A2869</f>
        <v/>
      </c>
    </row>
    <row r="2870">
      <c r="A2870">
        <f>IFERROR(IF(AND(INDEX(BASELINE!$A2870:$ZZ2870,CALC!$H$1)&lt;&gt;"",INT(IF(AND(CALC!$F$1&gt;0,N(INDEX(BASELINE!$A2870:$ZZ2870,CALC!$F$1))&gt;0),N(INDEX(BASELINE!$A2870:$ZZ2870,CALC!$F$1)),N(INDEX(BASELINE!$A2870:$ZZ2870,CALC!$P$1))))=INT(SIMOPS!$D$3),IFERROR(UPPER(TRIM(INDEX(BASELINE!$A2870:$ZZ2870,CALC!$R$1)&amp;"")),"")&lt;&gt;"ENCERRADA"),1,0),0)</f>
        <v/>
      </c>
      <c r="B2870">
        <f>B2869+A2870</f>
        <v/>
      </c>
    </row>
    <row r="2871">
      <c r="A2871">
        <f>IFERROR(IF(AND(INDEX(BASELINE!$A2871:$ZZ2871,CALC!$H$1)&lt;&gt;"",INT(IF(AND(CALC!$F$1&gt;0,N(INDEX(BASELINE!$A2871:$ZZ2871,CALC!$F$1))&gt;0),N(INDEX(BASELINE!$A2871:$ZZ2871,CALC!$F$1)),N(INDEX(BASELINE!$A2871:$ZZ2871,CALC!$P$1))))=INT(SIMOPS!$D$3),IFERROR(UPPER(TRIM(INDEX(BASELINE!$A2871:$ZZ2871,CALC!$R$1)&amp;"")),"")&lt;&gt;"ENCERRADA"),1,0),0)</f>
        <v/>
      </c>
      <c r="B2871">
        <f>B2870+A2871</f>
        <v/>
      </c>
    </row>
    <row r="2872">
      <c r="A2872">
        <f>IFERROR(IF(AND(INDEX(BASELINE!$A2872:$ZZ2872,CALC!$H$1)&lt;&gt;"",INT(IF(AND(CALC!$F$1&gt;0,N(INDEX(BASELINE!$A2872:$ZZ2872,CALC!$F$1))&gt;0),N(INDEX(BASELINE!$A2872:$ZZ2872,CALC!$F$1)),N(INDEX(BASELINE!$A2872:$ZZ2872,CALC!$P$1))))=INT(SIMOPS!$D$3),IFERROR(UPPER(TRIM(INDEX(BASELINE!$A2872:$ZZ2872,CALC!$R$1)&amp;"")),"")&lt;&gt;"ENCERRADA"),1,0),0)</f>
        <v/>
      </c>
      <c r="B2872">
        <f>B2871+A2872</f>
        <v/>
      </c>
    </row>
    <row r="2873">
      <c r="A2873">
        <f>IFERROR(IF(AND(INDEX(BASELINE!$A2873:$ZZ2873,CALC!$H$1)&lt;&gt;"",INT(IF(AND(CALC!$F$1&gt;0,N(INDEX(BASELINE!$A2873:$ZZ2873,CALC!$F$1))&gt;0),N(INDEX(BASELINE!$A2873:$ZZ2873,CALC!$F$1)),N(INDEX(BASELINE!$A2873:$ZZ2873,CALC!$P$1))))=INT(SIMOPS!$D$3),IFERROR(UPPER(TRIM(INDEX(BASELINE!$A2873:$ZZ2873,CALC!$R$1)&amp;"")),"")&lt;&gt;"ENCERRADA"),1,0),0)</f>
        <v/>
      </c>
      <c r="B2873">
        <f>B2872+A2873</f>
        <v/>
      </c>
    </row>
    <row r="2874">
      <c r="A2874">
        <f>IFERROR(IF(AND(INDEX(BASELINE!$A2874:$ZZ2874,CALC!$H$1)&lt;&gt;"",INT(IF(AND(CALC!$F$1&gt;0,N(INDEX(BASELINE!$A2874:$ZZ2874,CALC!$F$1))&gt;0),N(INDEX(BASELINE!$A2874:$ZZ2874,CALC!$F$1)),N(INDEX(BASELINE!$A2874:$ZZ2874,CALC!$P$1))))=INT(SIMOPS!$D$3),IFERROR(UPPER(TRIM(INDEX(BASELINE!$A2874:$ZZ2874,CALC!$R$1)&amp;"")),"")&lt;&gt;"ENCERRADA"),1,0),0)</f>
        <v/>
      </c>
      <c r="B2874">
        <f>B2873+A2874</f>
        <v/>
      </c>
    </row>
    <row r="2875">
      <c r="A2875">
        <f>IFERROR(IF(AND(INDEX(BASELINE!$A2875:$ZZ2875,CALC!$H$1)&lt;&gt;"",INT(IF(AND(CALC!$F$1&gt;0,N(INDEX(BASELINE!$A2875:$ZZ2875,CALC!$F$1))&gt;0),N(INDEX(BASELINE!$A2875:$ZZ2875,CALC!$F$1)),N(INDEX(BASELINE!$A2875:$ZZ2875,CALC!$P$1))))=INT(SIMOPS!$D$3),IFERROR(UPPER(TRIM(INDEX(BASELINE!$A2875:$ZZ2875,CALC!$R$1)&amp;"")),"")&lt;&gt;"ENCERRADA"),1,0),0)</f>
        <v/>
      </c>
      <c r="B2875">
        <f>B2874+A2875</f>
        <v/>
      </c>
    </row>
    <row r="2876">
      <c r="A2876">
        <f>IFERROR(IF(AND(INDEX(BASELINE!$A2876:$ZZ2876,CALC!$H$1)&lt;&gt;"",INT(IF(AND(CALC!$F$1&gt;0,N(INDEX(BASELINE!$A2876:$ZZ2876,CALC!$F$1))&gt;0),N(INDEX(BASELINE!$A2876:$ZZ2876,CALC!$F$1)),N(INDEX(BASELINE!$A2876:$ZZ2876,CALC!$P$1))))=INT(SIMOPS!$D$3),IFERROR(UPPER(TRIM(INDEX(BASELINE!$A2876:$ZZ2876,CALC!$R$1)&amp;"")),"")&lt;&gt;"ENCERRADA"),1,0),0)</f>
        <v/>
      </c>
      <c r="B2876">
        <f>B2875+A2876</f>
        <v/>
      </c>
    </row>
    <row r="2877">
      <c r="A2877">
        <f>IFERROR(IF(AND(INDEX(BASELINE!$A2877:$ZZ2877,CALC!$H$1)&lt;&gt;"",INT(IF(AND(CALC!$F$1&gt;0,N(INDEX(BASELINE!$A2877:$ZZ2877,CALC!$F$1))&gt;0),N(INDEX(BASELINE!$A2877:$ZZ2877,CALC!$F$1)),N(INDEX(BASELINE!$A2877:$ZZ2877,CALC!$P$1))))=INT(SIMOPS!$D$3),IFERROR(UPPER(TRIM(INDEX(BASELINE!$A2877:$ZZ2877,CALC!$R$1)&amp;"")),"")&lt;&gt;"ENCERRADA"),1,0),0)</f>
        <v/>
      </c>
      <c r="B2877">
        <f>B2876+A2877</f>
        <v/>
      </c>
    </row>
    <row r="2878">
      <c r="A2878">
        <f>IFERROR(IF(AND(INDEX(BASELINE!$A2878:$ZZ2878,CALC!$H$1)&lt;&gt;"",INT(IF(AND(CALC!$F$1&gt;0,N(INDEX(BASELINE!$A2878:$ZZ2878,CALC!$F$1))&gt;0),N(INDEX(BASELINE!$A2878:$ZZ2878,CALC!$F$1)),N(INDEX(BASELINE!$A2878:$ZZ2878,CALC!$P$1))))=INT(SIMOPS!$D$3),IFERROR(UPPER(TRIM(INDEX(BASELINE!$A2878:$ZZ2878,CALC!$R$1)&amp;"")),"")&lt;&gt;"ENCERRADA"),1,0),0)</f>
        <v/>
      </c>
      <c r="B2878">
        <f>B2877+A2878</f>
        <v/>
      </c>
    </row>
    <row r="2879">
      <c r="A2879">
        <f>IFERROR(IF(AND(INDEX(BASELINE!$A2879:$ZZ2879,CALC!$H$1)&lt;&gt;"",INT(IF(AND(CALC!$F$1&gt;0,N(INDEX(BASELINE!$A2879:$ZZ2879,CALC!$F$1))&gt;0),N(INDEX(BASELINE!$A2879:$ZZ2879,CALC!$F$1)),N(INDEX(BASELINE!$A2879:$ZZ2879,CALC!$P$1))))=INT(SIMOPS!$D$3),IFERROR(UPPER(TRIM(INDEX(BASELINE!$A2879:$ZZ2879,CALC!$R$1)&amp;"")),"")&lt;&gt;"ENCERRADA"),1,0),0)</f>
        <v/>
      </c>
      <c r="B2879">
        <f>B2878+A2879</f>
        <v/>
      </c>
    </row>
    <row r="2880">
      <c r="A2880">
        <f>IFERROR(IF(AND(INDEX(BASELINE!$A2880:$ZZ2880,CALC!$H$1)&lt;&gt;"",INT(IF(AND(CALC!$F$1&gt;0,N(INDEX(BASELINE!$A2880:$ZZ2880,CALC!$F$1))&gt;0),N(INDEX(BASELINE!$A2880:$ZZ2880,CALC!$F$1)),N(INDEX(BASELINE!$A2880:$ZZ2880,CALC!$P$1))))=INT(SIMOPS!$D$3),IFERROR(UPPER(TRIM(INDEX(BASELINE!$A2880:$ZZ2880,CALC!$R$1)&amp;"")),"")&lt;&gt;"ENCERRADA"),1,0),0)</f>
        <v/>
      </c>
      <c r="B2880">
        <f>B2879+A2880</f>
        <v/>
      </c>
    </row>
    <row r="2881">
      <c r="A2881">
        <f>IFERROR(IF(AND(INDEX(BASELINE!$A2881:$ZZ2881,CALC!$H$1)&lt;&gt;"",INT(IF(AND(CALC!$F$1&gt;0,N(INDEX(BASELINE!$A2881:$ZZ2881,CALC!$F$1))&gt;0),N(INDEX(BASELINE!$A2881:$ZZ2881,CALC!$F$1)),N(INDEX(BASELINE!$A2881:$ZZ2881,CALC!$P$1))))=INT(SIMOPS!$D$3),IFERROR(UPPER(TRIM(INDEX(BASELINE!$A2881:$ZZ2881,CALC!$R$1)&amp;"")),"")&lt;&gt;"ENCERRADA"),1,0),0)</f>
        <v/>
      </c>
      <c r="B2881">
        <f>B2880+A2881</f>
        <v/>
      </c>
    </row>
    <row r="2882">
      <c r="A2882">
        <f>IFERROR(IF(AND(INDEX(BASELINE!$A2882:$ZZ2882,CALC!$H$1)&lt;&gt;"",INT(IF(AND(CALC!$F$1&gt;0,N(INDEX(BASELINE!$A2882:$ZZ2882,CALC!$F$1))&gt;0),N(INDEX(BASELINE!$A2882:$ZZ2882,CALC!$F$1)),N(INDEX(BASELINE!$A2882:$ZZ2882,CALC!$P$1))))=INT(SIMOPS!$D$3),IFERROR(UPPER(TRIM(INDEX(BASELINE!$A2882:$ZZ2882,CALC!$R$1)&amp;"")),"")&lt;&gt;"ENCERRADA"),1,0),0)</f>
        <v/>
      </c>
      <c r="B2882">
        <f>B2881+A2882</f>
        <v/>
      </c>
    </row>
    <row r="2883">
      <c r="A2883">
        <f>IFERROR(IF(AND(INDEX(BASELINE!$A2883:$ZZ2883,CALC!$H$1)&lt;&gt;"",INT(IF(AND(CALC!$F$1&gt;0,N(INDEX(BASELINE!$A2883:$ZZ2883,CALC!$F$1))&gt;0),N(INDEX(BASELINE!$A2883:$ZZ2883,CALC!$F$1)),N(INDEX(BASELINE!$A2883:$ZZ2883,CALC!$P$1))))=INT(SIMOPS!$D$3),IFERROR(UPPER(TRIM(INDEX(BASELINE!$A2883:$ZZ2883,CALC!$R$1)&amp;"")),"")&lt;&gt;"ENCERRADA"),1,0),0)</f>
        <v/>
      </c>
      <c r="B2883">
        <f>B2882+A2883</f>
        <v/>
      </c>
    </row>
    <row r="2884">
      <c r="A2884">
        <f>IFERROR(IF(AND(INDEX(BASELINE!$A2884:$ZZ2884,CALC!$H$1)&lt;&gt;"",INT(IF(AND(CALC!$F$1&gt;0,N(INDEX(BASELINE!$A2884:$ZZ2884,CALC!$F$1))&gt;0),N(INDEX(BASELINE!$A2884:$ZZ2884,CALC!$F$1)),N(INDEX(BASELINE!$A2884:$ZZ2884,CALC!$P$1))))=INT(SIMOPS!$D$3),IFERROR(UPPER(TRIM(INDEX(BASELINE!$A2884:$ZZ2884,CALC!$R$1)&amp;"")),"")&lt;&gt;"ENCERRADA"),1,0),0)</f>
        <v/>
      </c>
      <c r="B2884">
        <f>B2883+A2884</f>
        <v/>
      </c>
    </row>
    <row r="2885">
      <c r="A2885">
        <f>IFERROR(IF(AND(INDEX(BASELINE!$A2885:$ZZ2885,CALC!$H$1)&lt;&gt;"",INT(IF(AND(CALC!$F$1&gt;0,N(INDEX(BASELINE!$A2885:$ZZ2885,CALC!$F$1))&gt;0),N(INDEX(BASELINE!$A2885:$ZZ2885,CALC!$F$1)),N(INDEX(BASELINE!$A2885:$ZZ2885,CALC!$P$1))))=INT(SIMOPS!$D$3),IFERROR(UPPER(TRIM(INDEX(BASELINE!$A2885:$ZZ2885,CALC!$R$1)&amp;"")),"")&lt;&gt;"ENCERRADA"),1,0),0)</f>
        <v/>
      </c>
      <c r="B2885">
        <f>B2884+A2885</f>
        <v/>
      </c>
    </row>
    <row r="2886">
      <c r="A2886">
        <f>IFERROR(IF(AND(INDEX(BASELINE!$A2886:$ZZ2886,CALC!$H$1)&lt;&gt;"",INT(IF(AND(CALC!$F$1&gt;0,N(INDEX(BASELINE!$A2886:$ZZ2886,CALC!$F$1))&gt;0),N(INDEX(BASELINE!$A2886:$ZZ2886,CALC!$F$1)),N(INDEX(BASELINE!$A2886:$ZZ2886,CALC!$P$1))))=INT(SIMOPS!$D$3),IFERROR(UPPER(TRIM(INDEX(BASELINE!$A2886:$ZZ2886,CALC!$R$1)&amp;"")),"")&lt;&gt;"ENCERRADA"),1,0),0)</f>
        <v/>
      </c>
      <c r="B2886">
        <f>B2885+A2886</f>
        <v/>
      </c>
    </row>
    <row r="2887">
      <c r="A2887">
        <f>IFERROR(IF(AND(INDEX(BASELINE!$A2887:$ZZ2887,CALC!$H$1)&lt;&gt;"",INT(IF(AND(CALC!$F$1&gt;0,N(INDEX(BASELINE!$A2887:$ZZ2887,CALC!$F$1))&gt;0),N(INDEX(BASELINE!$A2887:$ZZ2887,CALC!$F$1)),N(INDEX(BASELINE!$A2887:$ZZ2887,CALC!$P$1))))=INT(SIMOPS!$D$3),IFERROR(UPPER(TRIM(INDEX(BASELINE!$A2887:$ZZ2887,CALC!$R$1)&amp;"")),"")&lt;&gt;"ENCERRADA"),1,0),0)</f>
        <v/>
      </c>
      <c r="B2887">
        <f>B2886+A2887</f>
        <v/>
      </c>
    </row>
    <row r="2888">
      <c r="A2888">
        <f>IFERROR(IF(AND(INDEX(BASELINE!$A2888:$ZZ2888,CALC!$H$1)&lt;&gt;"",INT(IF(AND(CALC!$F$1&gt;0,N(INDEX(BASELINE!$A2888:$ZZ2888,CALC!$F$1))&gt;0),N(INDEX(BASELINE!$A2888:$ZZ2888,CALC!$F$1)),N(INDEX(BASELINE!$A2888:$ZZ2888,CALC!$P$1))))=INT(SIMOPS!$D$3),IFERROR(UPPER(TRIM(INDEX(BASELINE!$A2888:$ZZ2888,CALC!$R$1)&amp;"")),"")&lt;&gt;"ENCERRADA"),1,0),0)</f>
        <v/>
      </c>
      <c r="B2888">
        <f>B2887+A2888</f>
        <v/>
      </c>
    </row>
    <row r="2889">
      <c r="A2889">
        <f>IFERROR(IF(AND(INDEX(BASELINE!$A2889:$ZZ2889,CALC!$H$1)&lt;&gt;"",INT(IF(AND(CALC!$F$1&gt;0,N(INDEX(BASELINE!$A2889:$ZZ2889,CALC!$F$1))&gt;0),N(INDEX(BASELINE!$A2889:$ZZ2889,CALC!$F$1)),N(INDEX(BASELINE!$A2889:$ZZ2889,CALC!$P$1))))=INT(SIMOPS!$D$3),IFERROR(UPPER(TRIM(INDEX(BASELINE!$A2889:$ZZ2889,CALC!$R$1)&amp;"")),"")&lt;&gt;"ENCERRADA"),1,0),0)</f>
        <v/>
      </c>
      <c r="B2889">
        <f>B2888+A2889</f>
        <v/>
      </c>
    </row>
    <row r="2890">
      <c r="A2890">
        <f>IFERROR(IF(AND(INDEX(BASELINE!$A2890:$ZZ2890,CALC!$H$1)&lt;&gt;"",INT(IF(AND(CALC!$F$1&gt;0,N(INDEX(BASELINE!$A2890:$ZZ2890,CALC!$F$1))&gt;0),N(INDEX(BASELINE!$A2890:$ZZ2890,CALC!$F$1)),N(INDEX(BASELINE!$A2890:$ZZ2890,CALC!$P$1))))=INT(SIMOPS!$D$3),IFERROR(UPPER(TRIM(INDEX(BASELINE!$A2890:$ZZ2890,CALC!$R$1)&amp;"")),"")&lt;&gt;"ENCERRADA"),1,0),0)</f>
        <v/>
      </c>
      <c r="B2890">
        <f>B2889+A2890</f>
        <v/>
      </c>
    </row>
    <row r="2891">
      <c r="A2891">
        <f>IFERROR(IF(AND(INDEX(BASELINE!$A2891:$ZZ2891,CALC!$H$1)&lt;&gt;"",INT(IF(AND(CALC!$F$1&gt;0,N(INDEX(BASELINE!$A2891:$ZZ2891,CALC!$F$1))&gt;0),N(INDEX(BASELINE!$A2891:$ZZ2891,CALC!$F$1)),N(INDEX(BASELINE!$A2891:$ZZ2891,CALC!$P$1))))=INT(SIMOPS!$D$3),IFERROR(UPPER(TRIM(INDEX(BASELINE!$A2891:$ZZ2891,CALC!$R$1)&amp;"")),"")&lt;&gt;"ENCERRADA"),1,0),0)</f>
        <v/>
      </c>
      <c r="B2891">
        <f>B2890+A2891</f>
        <v/>
      </c>
    </row>
    <row r="2892">
      <c r="A2892">
        <f>IFERROR(IF(AND(INDEX(BASELINE!$A2892:$ZZ2892,CALC!$H$1)&lt;&gt;"",INT(IF(AND(CALC!$F$1&gt;0,N(INDEX(BASELINE!$A2892:$ZZ2892,CALC!$F$1))&gt;0),N(INDEX(BASELINE!$A2892:$ZZ2892,CALC!$F$1)),N(INDEX(BASELINE!$A2892:$ZZ2892,CALC!$P$1))))=INT(SIMOPS!$D$3),IFERROR(UPPER(TRIM(INDEX(BASELINE!$A2892:$ZZ2892,CALC!$R$1)&amp;"")),"")&lt;&gt;"ENCERRADA"),1,0),0)</f>
        <v/>
      </c>
      <c r="B2892">
        <f>B2891+A2892</f>
        <v/>
      </c>
    </row>
    <row r="2893">
      <c r="A2893">
        <f>IFERROR(IF(AND(INDEX(BASELINE!$A2893:$ZZ2893,CALC!$H$1)&lt;&gt;"",INT(IF(AND(CALC!$F$1&gt;0,N(INDEX(BASELINE!$A2893:$ZZ2893,CALC!$F$1))&gt;0),N(INDEX(BASELINE!$A2893:$ZZ2893,CALC!$F$1)),N(INDEX(BASELINE!$A2893:$ZZ2893,CALC!$P$1))))=INT(SIMOPS!$D$3),IFERROR(UPPER(TRIM(INDEX(BASELINE!$A2893:$ZZ2893,CALC!$R$1)&amp;"")),"")&lt;&gt;"ENCERRADA"),1,0),0)</f>
        <v/>
      </c>
      <c r="B2893">
        <f>B2892+A2893</f>
        <v/>
      </c>
    </row>
    <row r="2894">
      <c r="A2894">
        <f>IFERROR(IF(AND(INDEX(BASELINE!$A2894:$ZZ2894,CALC!$H$1)&lt;&gt;"",INT(IF(AND(CALC!$F$1&gt;0,N(INDEX(BASELINE!$A2894:$ZZ2894,CALC!$F$1))&gt;0),N(INDEX(BASELINE!$A2894:$ZZ2894,CALC!$F$1)),N(INDEX(BASELINE!$A2894:$ZZ2894,CALC!$P$1))))=INT(SIMOPS!$D$3),IFERROR(UPPER(TRIM(INDEX(BASELINE!$A2894:$ZZ2894,CALC!$R$1)&amp;"")),"")&lt;&gt;"ENCERRADA"),1,0),0)</f>
        <v/>
      </c>
      <c r="B2894">
        <f>B2893+A2894</f>
        <v/>
      </c>
    </row>
    <row r="2895">
      <c r="A2895">
        <f>IFERROR(IF(AND(INDEX(BASELINE!$A2895:$ZZ2895,CALC!$H$1)&lt;&gt;"",INT(IF(AND(CALC!$F$1&gt;0,N(INDEX(BASELINE!$A2895:$ZZ2895,CALC!$F$1))&gt;0),N(INDEX(BASELINE!$A2895:$ZZ2895,CALC!$F$1)),N(INDEX(BASELINE!$A2895:$ZZ2895,CALC!$P$1))))=INT(SIMOPS!$D$3),IFERROR(UPPER(TRIM(INDEX(BASELINE!$A2895:$ZZ2895,CALC!$R$1)&amp;"")),"")&lt;&gt;"ENCERRADA"),1,0),0)</f>
        <v/>
      </c>
      <c r="B2895">
        <f>B2894+A2895</f>
        <v/>
      </c>
    </row>
    <row r="2896">
      <c r="A2896">
        <f>IFERROR(IF(AND(INDEX(BASELINE!$A2896:$ZZ2896,CALC!$H$1)&lt;&gt;"",INT(IF(AND(CALC!$F$1&gt;0,N(INDEX(BASELINE!$A2896:$ZZ2896,CALC!$F$1))&gt;0),N(INDEX(BASELINE!$A2896:$ZZ2896,CALC!$F$1)),N(INDEX(BASELINE!$A2896:$ZZ2896,CALC!$P$1))))=INT(SIMOPS!$D$3),IFERROR(UPPER(TRIM(INDEX(BASELINE!$A2896:$ZZ2896,CALC!$R$1)&amp;"")),"")&lt;&gt;"ENCERRADA"),1,0),0)</f>
        <v/>
      </c>
      <c r="B2896">
        <f>B2895+A2896</f>
        <v/>
      </c>
    </row>
    <row r="2897">
      <c r="A2897">
        <f>IFERROR(IF(AND(INDEX(BASELINE!$A2897:$ZZ2897,CALC!$H$1)&lt;&gt;"",INT(IF(AND(CALC!$F$1&gt;0,N(INDEX(BASELINE!$A2897:$ZZ2897,CALC!$F$1))&gt;0),N(INDEX(BASELINE!$A2897:$ZZ2897,CALC!$F$1)),N(INDEX(BASELINE!$A2897:$ZZ2897,CALC!$P$1))))=INT(SIMOPS!$D$3),IFERROR(UPPER(TRIM(INDEX(BASELINE!$A2897:$ZZ2897,CALC!$R$1)&amp;"")),"")&lt;&gt;"ENCERRADA"),1,0),0)</f>
        <v/>
      </c>
      <c r="B2897">
        <f>B2896+A2897</f>
        <v/>
      </c>
    </row>
    <row r="2898">
      <c r="A2898">
        <f>IFERROR(IF(AND(INDEX(BASELINE!$A2898:$ZZ2898,CALC!$H$1)&lt;&gt;"",INT(IF(AND(CALC!$F$1&gt;0,N(INDEX(BASELINE!$A2898:$ZZ2898,CALC!$F$1))&gt;0),N(INDEX(BASELINE!$A2898:$ZZ2898,CALC!$F$1)),N(INDEX(BASELINE!$A2898:$ZZ2898,CALC!$P$1))))=INT(SIMOPS!$D$3),IFERROR(UPPER(TRIM(INDEX(BASELINE!$A2898:$ZZ2898,CALC!$R$1)&amp;"")),"")&lt;&gt;"ENCERRADA"),1,0),0)</f>
        <v/>
      </c>
      <c r="B2898">
        <f>B2897+A2898</f>
        <v/>
      </c>
    </row>
    <row r="2899">
      <c r="A2899">
        <f>IFERROR(IF(AND(INDEX(BASELINE!$A2899:$ZZ2899,CALC!$H$1)&lt;&gt;"",INT(IF(AND(CALC!$F$1&gt;0,N(INDEX(BASELINE!$A2899:$ZZ2899,CALC!$F$1))&gt;0),N(INDEX(BASELINE!$A2899:$ZZ2899,CALC!$F$1)),N(INDEX(BASELINE!$A2899:$ZZ2899,CALC!$P$1))))=INT(SIMOPS!$D$3),IFERROR(UPPER(TRIM(INDEX(BASELINE!$A2899:$ZZ2899,CALC!$R$1)&amp;"")),"")&lt;&gt;"ENCERRADA"),1,0),0)</f>
        <v/>
      </c>
      <c r="B2899">
        <f>B2898+A2899</f>
        <v/>
      </c>
    </row>
    <row r="2900">
      <c r="A2900">
        <f>IFERROR(IF(AND(INDEX(BASELINE!$A2900:$ZZ2900,CALC!$H$1)&lt;&gt;"",INT(IF(AND(CALC!$F$1&gt;0,N(INDEX(BASELINE!$A2900:$ZZ2900,CALC!$F$1))&gt;0),N(INDEX(BASELINE!$A2900:$ZZ2900,CALC!$F$1)),N(INDEX(BASELINE!$A2900:$ZZ2900,CALC!$P$1))))=INT(SIMOPS!$D$3),IFERROR(UPPER(TRIM(INDEX(BASELINE!$A2900:$ZZ2900,CALC!$R$1)&amp;"")),"")&lt;&gt;"ENCERRADA"),1,0),0)</f>
        <v/>
      </c>
      <c r="B2900">
        <f>B2899+A2900</f>
        <v/>
      </c>
    </row>
    <row r="2901">
      <c r="A2901">
        <f>IFERROR(IF(AND(INDEX(BASELINE!$A2901:$ZZ2901,CALC!$H$1)&lt;&gt;"",INT(IF(AND(CALC!$F$1&gt;0,N(INDEX(BASELINE!$A2901:$ZZ2901,CALC!$F$1))&gt;0),N(INDEX(BASELINE!$A2901:$ZZ2901,CALC!$F$1)),N(INDEX(BASELINE!$A2901:$ZZ2901,CALC!$P$1))))=INT(SIMOPS!$D$3),IFERROR(UPPER(TRIM(INDEX(BASELINE!$A2901:$ZZ2901,CALC!$R$1)&amp;"")),"")&lt;&gt;"ENCERRADA"),1,0),0)</f>
        <v/>
      </c>
      <c r="B2901">
        <f>B2900+A2901</f>
        <v/>
      </c>
    </row>
    <row r="2902">
      <c r="A2902">
        <f>IFERROR(IF(AND(INDEX(BASELINE!$A2902:$ZZ2902,CALC!$H$1)&lt;&gt;"",INT(IF(AND(CALC!$F$1&gt;0,N(INDEX(BASELINE!$A2902:$ZZ2902,CALC!$F$1))&gt;0),N(INDEX(BASELINE!$A2902:$ZZ2902,CALC!$F$1)),N(INDEX(BASELINE!$A2902:$ZZ2902,CALC!$P$1))))=INT(SIMOPS!$D$3),IFERROR(UPPER(TRIM(INDEX(BASELINE!$A2902:$ZZ2902,CALC!$R$1)&amp;"")),"")&lt;&gt;"ENCERRADA"),1,0),0)</f>
        <v/>
      </c>
      <c r="B2902">
        <f>B2901+A2902</f>
        <v/>
      </c>
    </row>
    <row r="2903">
      <c r="A2903">
        <f>IFERROR(IF(AND(INDEX(BASELINE!$A2903:$ZZ2903,CALC!$H$1)&lt;&gt;"",INT(IF(AND(CALC!$F$1&gt;0,N(INDEX(BASELINE!$A2903:$ZZ2903,CALC!$F$1))&gt;0),N(INDEX(BASELINE!$A2903:$ZZ2903,CALC!$F$1)),N(INDEX(BASELINE!$A2903:$ZZ2903,CALC!$P$1))))=INT(SIMOPS!$D$3),IFERROR(UPPER(TRIM(INDEX(BASELINE!$A2903:$ZZ2903,CALC!$R$1)&amp;"")),"")&lt;&gt;"ENCERRADA"),1,0),0)</f>
        <v/>
      </c>
      <c r="B2903">
        <f>B2902+A2903</f>
        <v/>
      </c>
    </row>
    <row r="2904">
      <c r="A2904">
        <f>IFERROR(IF(AND(INDEX(BASELINE!$A2904:$ZZ2904,CALC!$H$1)&lt;&gt;"",INT(IF(AND(CALC!$F$1&gt;0,N(INDEX(BASELINE!$A2904:$ZZ2904,CALC!$F$1))&gt;0),N(INDEX(BASELINE!$A2904:$ZZ2904,CALC!$F$1)),N(INDEX(BASELINE!$A2904:$ZZ2904,CALC!$P$1))))=INT(SIMOPS!$D$3),IFERROR(UPPER(TRIM(INDEX(BASELINE!$A2904:$ZZ2904,CALC!$R$1)&amp;"")),"")&lt;&gt;"ENCERRADA"),1,0),0)</f>
        <v/>
      </c>
      <c r="B2904">
        <f>B2903+A2904</f>
        <v/>
      </c>
    </row>
    <row r="2905">
      <c r="A2905">
        <f>IFERROR(IF(AND(INDEX(BASELINE!$A2905:$ZZ2905,CALC!$H$1)&lt;&gt;"",INT(IF(AND(CALC!$F$1&gt;0,N(INDEX(BASELINE!$A2905:$ZZ2905,CALC!$F$1))&gt;0),N(INDEX(BASELINE!$A2905:$ZZ2905,CALC!$F$1)),N(INDEX(BASELINE!$A2905:$ZZ2905,CALC!$P$1))))=INT(SIMOPS!$D$3),IFERROR(UPPER(TRIM(INDEX(BASELINE!$A2905:$ZZ2905,CALC!$R$1)&amp;"")),"")&lt;&gt;"ENCERRADA"),1,0),0)</f>
        <v/>
      </c>
      <c r="B2905">
        <f>B2904+A2905</f>
        <v/>
      </c>
    </row>
    <row r="2906">
      <c r="A2906">
        <f>IFERROR(IF(AND(INDEX(BASELINE!$A2906:$ZZ2906,CALC!$H$1)&lt;&gt;"",INT(IF(AND(CALC!$F$1&gt;0,N(INDEX(BASELINE!$A2906:$ZZ2906,CALC!$F$1))&gt;0),N(INDEX(BASELINE!$A2906:$ZZ2906,CALC!$F$1)),N(INDEX(BASELINE!$A2906:$ZZ2906,CALC!$P$1))))=INT(SIMOPS!$D$3),IFERROR(UPPER(TRIM(INDEX(BASELINE!$A2906:$ZZ2906,CALC!$R$1)&amp;"")),"")&lt;&gt;"ENCERRADA"),1,0),0)</f>
        <v/>
      </c>
      <c r="B2906">
        <f>B2905+A2906</f>
        <v/>
      </c>
    </row>
    <row r="2907">
      <c r="A2907">
        <f>IFERROR(IF(AND(INDEX(BASELINE!$A2907:$ZZ2907,CALC!$H$1)&lt;&gt;"",INT(IF(AND(CALC!$F$1&gt;0,N(INDEX(BASELINE!$A2907:$ZZ2907,CALC!$F$1))&gt;0),N(INDEX(BASELINE!$A2907:$ZZ2907,CALC!$F$1)),N(INDEX(BASELINE!$A2907:$ZZ2907,CALC!$P$1))))=INT(SIMOPS!$D$3),IFERROR(UPPER(TRIM(INDEX(BASELINE!$A2907:$ZZ2907,CALC!$R$1)&amp;"")),"")&lt;&gt;"ENCERRADA"),1,0),0)</f>
        <v/>
      </c>
      <c r="B2907">
        <f>B2906+A2907</f>
        <v/>
      </c>
    </row>
    <row r="2908">
      <c r="A2908">
        <f>IFERROR(IF(AND(INDEX(BASELINE!$A2908:$ZZ2908,CALC!$H$1)&lt;&gt;"",INT(IF(AND(CALC!$F$1&gt;0,N(INDEX(BASELINE!$A2908:$ZZ2908,CALC!$F$1))&gt;0),N(INDEX(BASELINE!$A2908:$ZZ2908,CALC!$F$1)),N(INDEX(BASELINE!$A2908:$ZZ2908,CALC!$P$1))))=INT(SIMOPS!$D$3),IFERROR(UPPER(TRIM(INDEX(BASELINE!$A2908:$ZZ2908,CALC!$R$1)&amp;"")),"")&lt;&gt;"ENCERRADA"),1,0),0)</f>
        <v/>
      </c>
      <c r="B2908">
        <f>B2907+A2908</f>
        <v/>
      </c>
    </row>
    <row r="2909">
      <c r="A2909">
        <f>IFERROR(IF(AND(INDEX(BASELINE!$A2909:$ZZ2909,CALC!$H$1)&lt;&gt;"",INT(IF(AND(CALC!$F$1&gt;0,N(INDEX(BASELINE!$A2909:$ZZ2909,CALC!$F$1))&gt;0),N(INDEX(BASELINE!$A2909:$ZZ2909,CALC!$F$1)),N(INDEX(BASELINE!$A2909:$ZZ2909,CALC!$P$1))))=INT(SIMOPS!$D$3),IFERROR(UPPER(TRIM(INDEX(BASELINE!$A2909:$ZZ2909,CALC!$R$1)&amp;"")),"")&lt;&gt;"ENCERRADA"),1,0),0)</f>
        <v/>
      </c>
      <c r="B2909">
        <f>B2908+A2909</f>
        <v/>
      </c>
    </row>
    <row r="2910">
      <c r="A2910">
        <f>IFERROR(IF(AND(INDEX(BASELINE!$A2910:$ZZ2910,CALC!$H$1)&lt;&gt;"",INT(IF(AND(CALC!$F$1&gt;0,N(INDEX(BASELINE!$A2910:$ZZ2910,CALC!$F$1))&gt;0),N(INDEX(BASELINE!$A2910:$ZZ2910,CALC!$F$1)),N(INDEX(BASELINE!$A2910:$ZZ2910,CALC!$P$1))))=INT(SIMOPS!$D$3),IFERROR(UPPER(TRIM(INDEX(BASELINE!$A2910:$ZZ2910,CALC!$R$1)&amp;"")),"")&lt;&gt;"ENCERRADA"),1,0),0)</f>
        <v/>
      </c>
      <c r="B2910">
        <f>B2909+A2910</f>
        <v/>
      </c>
    </row>
    <row r="2911">
      <c r="A2911">
        <f>IFERROR(IF(AND(INDEX(BASELINE!$A2911:$ZZ2911,CALC!$H$1)&lt;&gt;"",INT(IF(AND(CALC!$F$1&gt;0,N(INDEX(BASELINE!$A2911:$ZZ2911,CALC!$F$1))&gt;0),N(INDEX(BASELINE!$A2911:$ZZ2911,CALC!$F$1)),N(INDEX(BASELINE!$A2911:$ZZ2911,CALC!$P$1))))=INT(SIMOPS!$D$3),IFERROR(UPPER(TRIM(INDEX(BASELINE!$A2911:$ZZ2911,CALC!$R$1)&amp;"")),"")&lt;&gt;"ENCERRADA"),1,0),0)</f>
        <v/>
      </c>
      <c r="B2911">
        <f>B2910+A2911</f>
        <v/>
      </c>
    </row>
    <row r="2912">
      <c r="A2912">
        <f>IFERROR(IF(AND(INDEX(BASELINE!$A2912:$ZZ2912,CALC!$H$1)&lt;&gt;"",INT(IF(AND(CALC!$F$1&gt;0,N(INDEX(BASELINE!$A2912:$ZZ2912,CALC!$F$1))&gt;0),N(INDEX(BASELINE!$A2912:$ZZ2912,CALC!$F$1)),N(INDEX(BASELINE!$A2912:$ZZ2912,CALC!$P$1))))=INT(SIMOPS!$D$3),IFERROR(UPPER(TRIM(INDEX(BASELINE!$A2912:$ZZ2912,CALC!$R$1)&amp;"")),"")&lt;&gt;"ENCERRADA"),1,0),0)</f>
        <v/>
      </c>
      <c r="B2912">
        <f>B2911+A2912</f>
        <v/>
      </c>
    </row>
    <row r="2913">
      <c r="A2913">
        <f>IFERROR(IF(AND(INDEX(BASELINE!$A2913:$ZZ2913,CALC!$H$1)&lt;&gt;"",INT(IF(AND(CALC!$F$1&gt;0,N(INDEX(BASELINE!$A2913:$ZZ2913,CALC!$F$1))&gt;0),N(INDEX(BASELINE!$A2913:$ZZ2913,CALC!$F$1)),N(INDEX(BASELINE!$A2913:$ZZ2913,CALC!$P$1))))=INT(SIMOPS!$D$3),IFERROR(UPPER(TRIM(INDEX(BASELINE!$A2913:$ZZ2913,CALC!$R$1)&amp;"")),"")&lt;&gt;"ENCERRADA"),1,0),0)</f>
        <v/>
      </c>
      <c r="B2913">
        <f>B2912+A2913</f>
        <v/>
      </c>
    </row>
    <row r="2914">
      <c r="A2914">
        <f>IFERROR(IF(AND(INDEX(BASELINE!$A2914:$ZZ2914,CALC!$H$1)&lt;&gt;"",INT(IF(AND(CALC!$F$1&gt;0,N(INDEX(BASELINE!$A2914:$ZZ2914,CALC!$F$1))&gt;0),N(INDEX(BASELINE!$A2914:$ZZ2914,CALC!$F$1)),N(INDEX(BASELINE!$A2914:$ZZ2914,CALC!$P$1))))=INT(SIMOPS!$D$3),IFERROR(UPPER(TRIM(INDEX(BASELINE!$A2914:$ZZ2914,CALC!$R$1)&amp;"")),"")&lt;&gt;"ENCERRADA"),1,0),0)</f>
        <v/>
      </c>
      <c r="B2914">
        <f>B2913+A2914</f>
        <v/>
      </c>
    </row>
    <row r="2915">
      <c r="A2915">
        <f>IFERROR(IF(AND(INDEX(BASELINE!$A2915:$ZZ2915,CALC!$H$1)&lt;&gt;"",INT(IF(AND(CALC!$F$1&gt;0,N(INDEX(BASELINE!$A2915:$ZZ2915,CALC!$F$1))&gt;0),N(INDEX(BASELINE!$A2915:$ZZ2915,CALC!$F$1)),N(INDEX(BASELINE!$A2915:$ZZ2915,CALC!$P$1))))=INT(SIMOPS!$D$3),IFERROR(UPPER(TRIM(INDEX(BASELINE!$A2915:$ZZ2915,CALC!$R$1)&amp;"")),"")&lt;&gt;"ENCERRADA"),1,0),0)</f>
        <v/>
      </c>
      <c r="B2915">
        <f>B2914+A2915</f>
        <v/>
      </c>
    </row>
    <row r="2916">
      <c r="A2916">
        <f>IFERROR(IF(AND(INDEX(BASELINE!$A2916:$ZZ2916,CALC!$H$1)&lt;&gt;"",INT(IF(AND(CALC!$F$1&gt;0,N(INDEX(BASELINE!$A2916:$ZZ2916,CALC!$F$1))&gt;0),N(INDEX(BASELINE!$A2916:$ZZ2916,CALC!$F$1)),N(INDEX(BASELINE!$A2916:$ZZ2916,CALC!$P$1))))=INT(SIMOPS!$D$3),IFERROR(UPPER(TRIM(INDEX(BASELINE!$A2916:$ZZ2916,CALC!$R$1)&amp;"")),"")&lt;&gt;"ENCERRADA"),1,0),0)</f>
        <v/>
      </c>
      <c r="B2916">
        <f>B2915+A2916</f>
        <v/>
      </c>
    </row>
    <row r="2917">
      <c r="A2917">
        <f>IFERROR(IF(AND(INDEX(BASELINE!$A2917:$ZZ2917,CALC!$H$1)&lt;&gt;"",INT(IF(AND(CALC!$F$1&gt;0,N(INDEX(BASELINE!$A2917:$ZZ2917,CALC!$F$1))&gt;0),N(INDEX(BASELINE!$A2917:$ZZ2917,CALC!$F$1)),N(INDEX(BASELINE!$A2917:$ZZ2917,CALC!$P$1))))=INT(SIMOPS!$D$3),IFERROR(UPPER(TRIM(INDEX(BASELINE!$A2917:$ZZ2917,CALC!$R$1)&amp;"")),"")&lt;&gt;"ENCERRADA"),1,0),0)</f>
        <v/>
      </c>
      <c r="B2917">
        <f>B2916+A2917</f>
        <v/>
      </c>
    </row>
    <row r="2918">
      <c r="A2918">
        <f>IFERROR(IF(AND(INDEX(BASELINE!$A2918:$ZZ2918,CALC!$H$1)&lt;&gt;"",INT(IF(AND(CALC!$F$1&gt;0,N(INDEX(BASELINE!$A2918:$ZZ2918,CALC!$F$1))&gt;0),N(INDEX(BASELINE!$A2918:$ZZ2918,CALC!$F$1)),N(INDEX(BASELINE!$A2918:$ZZ2918,CALC!$P$1))))=INT(SIMOPS!$D$3),IFERROR(UPPER(TRIM(INDEX(BASELINE!$A2918:$ZZ2918,CALC!$R$1)&amp;"")),"")&lt;&gt;"ENCERRADA"),1,0),0)</f>
        <v/>
      </c>
      <c r="B2918">
        <f>B2917+A2918</f>
        <v/>
      </c>
    </row>
    <row r="2919">
      <c r="A2919">
        <f>IFERROR(IF(AND(INDEX(BASELINE!$A2919:$ZZ2919,CALC!$H$1)&lt;&gt;"",INT(IF(AND(CALC!$F$1&gt;0,N(INDEX(BASELINE!$A2919:$ZZ2919,CALC!$F$1))&gt;0),N(INDEX(BASELINE!$A2919:$ZZ2919,CALC!$F$1)),N(INDEX(BASELINE!$A2919:$ZZ2919,CALC!$P$1))))=INT(SIMOPS!$D$3),IFERROR(UPPER(TRIM(INDEX(BASELINE!$A2919:$ZZ2919,CALC!$R$1)&amp;"")),"")&lt;&gt;"ENCERRADA"),1,0),0)</f>
        <v/>
      </c>
      <c r="B2919">
        <f>B2918+A2919</f>
        <v/>
      </c>
    </row>
    <row r="2920">
      <c r="A2920">
        <f>IFERROR(IF(AND(INDEX(BASELINE!$A2920:$ZZ2920,CALC!$H$1)&lt;&gt;"",INT(IF(AND(CALC!$F$1&gt;0,N(INDEX(BASELINE!$A2920:$ZZ2920,CALC!$F$1))&gt;0),N(INDEX(BASELINE!$A2920:$ZZ2920,CALC!$F$1)),N(INDEX(BASELINE!$A2920:$ZZ2920,CALC!$P$1))))=INT(SIMOPS!$D$3),IFERROR(UPPER(TRIM(INDEX(BASELINE!$A2920:$ZZ2920,CALC!$R$1)&amp;"")),"")&lt;&gt;"ENCERRADA"),1,0),0)</f>
        <v/>
      </c>
      <c r="B2920">
        <f>B2919+A2920</f>
        <v/>
      </c>
    </row>
    <row r="2921">
      <c r="A2921">
        <f>IFERROR(IF(AND(INDEX(BASELINE!$A2921:$ZZ2921,CALC!$H$1)&lt;&gt;"",INT(IF(AND(CALC!$F$1&gt;0,N(INDEX(BASELINE!$A2921:$ZZ2921,CALC!$F$1))&gt;0),N(INDEX(BASELINE!$A2921:$ZZ2921,CALC!$F$1)),N(INDEX(BASELINE!$A2921:$ZZ2921,CALC!$P$1))))=INT(SIMOPS!$D$3),IFERROR(UPPER(TRIM(INDEX(BASELINE!$A2921:$ZZ2921,CALC!$R$1)&amp;"")),"")&lt;&gt;"ENCERRADA"),1,0),0)</f>
        <v/>
      </c>
      <c r="B2921">
        <f>B2920+A2921</f>
        <v/>
      </c>
    </row>
    <row r="2922">
      <c r="A2922">
        <f>IFERROR(IF(AND(INDEX(BASELINE!$A2922:$ZZ2922,CALC!$H$1)&lt;&gt;"",INT(IF(AND(CALC!$F$1&gt;0,N(INDEX(BASELINE!$A2922:$ZZ2922,CALC!$F$1))&gt;0),N(INDEX(BASELINE!$A2922:$ZZ2922,CALC!$F$1)),N(INDEX(BASELINE!$A2922:$ZZ2922,CALC!$P$1))))=INT(SIMOPS!$D$3),IFERROR(UPPER(TRIM(INDEX(BASELINE!$A2922:$ZZ2922,CALC!$R$1)&amp;"")),"")&lt;&gt;"ENCERRADA"),1,0),0)</f>
        <v/>
      </c>
      <c r="B2922">
        <f>B2921+A2922</f>
        <v/>
      </c>
    </row>
    <row r="2923">
      <c r="A2923">
        <f>IFERROR(IF(AND(INDEX(BASELINE!$A2923:$ZZ2923,CALC!$H$1)&lt;&gt;"",INT(IF(AND(CALC!$F$1&gt;0,N(INDEX(BASELINE!$A2923:$ZZ2923,CALC!$F$1))&gt;0),N(INDEX(BASELINE!$A2923:$ZZ2923,CALC!$F$1)),N(INDEX(BASELINE!$A2923:$ZZ2923,CALC!$P$1))))=INT(SIMOPS!$D$3),IFERROR(UPPER(TRIM(INDEX(BASELINE!$A2923:$ZZ2923,CALC!$R$1)&amp;"")),"")&lt;&gt;"ENCERRADA"),1,0),0)</f>
        <v/>
      </c>
      <c r="B2923">
        <f>B2922+A2923</f>
        <v/>
      </c>
    </row>
    <row r="2924">
      <c r="A2924">
        <f>IFERROR(IF(AND(INDEX(BASELINE!$A2924:$ZZ2924,CALC!$H$1)&lt;&gt;"",INT(IF(AND(CALC!$F$1&gt;0,N(INDEX(BASELINE!$A2924:$ZZ2924,CALC!$F$1))&gt;0),N(INDEX(BASELINE!$A2924:$ZZ2924,CALC!$F$1)),N(INDEX(BASELINE!$A2924:$ZZ2924,CALC!$P$1))))=INT(SIMOPS!$D$3),IFERROR(UPPER(TRIM(INDEX(BASELINE!$A2924:$ZZ2924,CALC!$R$1)&amp;"")),"")&lt;&gt;"ENCERRADA"),1,0),0)</f>
        <v/>
      </c>
      <c r="B2924">
        <f>B2923+A2924</f>
        <v/>
      </c>
    </row>
    <row r="2925">
      <c r="A2925">
        <f>IFERROR(IF(AND(INDEX(BASELINE!$A2925:$ZZ2925,CALC!$H$1)&lt;&gt;"",INT(IF(AND(CALC!$F$1&gt;0,N(INDEX(BASELINE!$A2925:$ZZ2925,CALC!$F$1))&gt;0),N(INDEX(BASELINE!$A2925:$ZZ2925,CALC!$F$1)),N(INDEX(BASELINE!$A2925:$ZZ2925,CALC!$P$1))))=INT(SIMOPS!$D$3),IFERROR(UPPER(TRIM(INDEX(BASELINE!$A2925:$ZZ2925,CALC!$R$1)&amp;"")),"")&lt;&gt;"ENCERRADA"),1,0),0)</f>
        <v/>
      </c>
      <c r="B2925">
        <f>B2924+A2925</f>
        <v/>
      </c>
    </row>
    <row r="2926">
      <c r="A2926">
        <f>IFERROR(IF(AND(INDEX(BASELINE!$A2926:$ZZ2926,CALC!$H$1)&lt;&gt;"",INT(IF(AND(CALC!$F$1&gt;0,N(INDEX(BASELINE!$A2926:$ZZ2926,CALC!$F$1))&gt;0),N(INDEX(BASELINE!$A2926:$ZZ2926,CALC!$F$1)),N(INDEX(BASELINE!$A2926:$ZZ2926,CALC!$P$1))))=INT(SIMOPS!$D$3),IFERROR(UPPER(TRIM(INDEX(BASELINE!$A2926:$ZZ2926,CALC!$R$1)&amp;"")),"")&lt;&gt;"ENCERRADA"),1,0),0)</f>
        <v/>
      </c>
      <c r="B2926">
        <f>B2925+A2926</f>
        <v/>
      </c>
    </row>
    <row r="2927">
      <c r="A2927">
        <f>IFERROR(IF(AND(INDEX(BASELINE!$A2927:$ZZ2927,CALC!$H$1)&lt;&gt;"",INT(IF(AND(CALC!$F$1&gt;0,N(INDEX(BASELINE!$A2927:$ZZ2927,CALC!$F$1))&gt;0),N(INDEX(BASELINE!$A2927:$ZZ2927,CALC!$F$1)),N(INDEX(BASELINE!$A2927:$ZZ2927,CALC!$P$1))))=INT(SIMOPS!$D$3),IFERROR(UPPER(TRIM(INDEX(BASELINE!$A2927:$ZZ2927,CALC!$R$1)&amp;"")),"")&lt;&gt;"ENCERRADA"),1,0),0)</f>
        <v/>
      </c>
      <c r="B2927">
        <f>B2926+A2927</f>
        <v/>
      </c>
    </row>
    <row r="2928">
      <c r="A2928">
        <f>IFERROR(IF(AND(INDEX(BASELINE!$A2928:$ZZ2928,CALC!$H$1)&lt;&gt;"",INT(IF(AND(CALC!$F$1&gt;0,N(INDEX(BASELINE!$A2928:$ZZ2928,CALC!$F$1))&gt;0),N(INDEX(BASELINE!$A2928:$ZZ2928,CALC!$F$1)),N(INDEX(BASELINE!$A2928:$ZZ2928,CALC!$P$1))))=INT(SIMOPS!$D$3),IFERROR(UPPER(TRIM(INDEX(BASELINE!$A2928:$ZZ2928,CALC!$R$1)&amp;"")),"")&lt;&gt;"ENCERRADA"),1,0),0)</f>
        <v/>
      </c>
      <c r="B2928">
        <f>B2927+A2928</f>
        <v/>
      </c>
    </row>
    <row r="2929">
      <c r="A2929">
        <f>IFERROR(IF(AND(INDEX(BASELINE!$A2929:$ZZ2929,CALC!$H$1)&lt;&gt;"",INT(IF(AND(CALC!$F$1&gt;0,N(INDEX(BASELINE!$A2929:$ZZ2929,CALC!$F$1))&gt;0),N(INDEX(BASELINE!$A2929:$ZZ2929,CALC!$F$1)),N(INDEX(BASELINE!$A2929:$ZZ2929,CALC!$P$1))))=INT(SIMOPS!$D$3),IFERROR(UPPER(TRIM(INDEX(BASELINE!$A2929:$ZZ2929,CALC!$R$1)&amp;"")),"")&lt;&gt;"ENCERRADA"),1,0),0)</f>
        <v/>
      </c>
      <c r="B2929">
        <f>B2928+A2929</f>
        <v/>
      </c>
    </row>
    <row r="2930">
      <c r="A2930">
        <f>IFERROR(IF(AND(INDEX(BASELINE!$A2930:$ZZ2930,CALC!$H$1)&lt;&gt;"",INT(IF(AND(CALC!$F$1&gt;0,N(INDEX(BASELINE!$A2930:$ZZ2930,CALC!$F$1))&gt;0),N(INDEX(BASELINE!$A2930:$ZZ2930,CALC!$F$1)),N(INDEX(BASELINE!$A2930:$ZZ2930,CALC!$P$1))))=INT(SIMOPS!$D$3),IFERROR(UPPER(TRIM(INDEX(BASELINE!$A2930:$ZZ2930,CALC!$R$1)&amp;"")),"")&lt;&gt;"ENCERRADA"),1,0),0)</f>
        <v/>
      </c>
      <c r="B2930">
        <f>B2929+A2930</f>
        <v/>
      </c>
    </row>
    <row r="2931">
      <c r="A2931">
        <f>IFERROR(IF(AND(INDEX(BASELINE!$A2931:$ZZ2931,CALC!$H$1)&lt;&gt;"",INT(IF(AND(CALC!$F$1&gt;0,N(INDEX(BASELINE!$A2931:$ZZ2931,CALC!$F$1))&gt;0),N(INDEX(BASELINE!$A2931:$ZZ2931,CALC!$F$1)),N(INDEX(BASELINE!$A2931:$ZZ2931,CALC!$P$1))))=INT(SIMOPS!$D$3),IFERROR(UPPER(TRIM(INDEX(BASELINE!$A2931:$ZZ2931,CALC!$R$1)&amp;"")),"")&lt;&gt;"ENCERRADA"),1,0),0)</f>
        <v/>
      </c>
      <c r="B2931">
        <f>B2930+A2931</f>
        <v/>
      </c>
    </row>
    <row r="2932">
      <c r="A2932">
        <f>IFERROR(IF(AND(INDEX(BASELINE!$A2932:$ZZ2932,CALC!$H$1)&lt;&gt;"",INT(IF(AND(CALC!$F$1&gt;0,N(INDEX(BASELINE!$A2932:$ZZ2932,CALC!$F$1))&gt;0),N(INDEX(BASELINE!$A2932:$ZZ2932,CALC!$F$1)),N(INDEX(BASELINE!$A2932:$ZZ2932,CALC!$P$1))))=INT(SIMOPS!$D$3),IFERROR(UPPER(TRIM(INDEX(BASELINE!$A2932:$ZZ2932,CALC!$R$1)&amp;"")),"")&lt;&gt;"ENCERRADA"),1,0),0)</f>
        <v/>
      </c>
      <c r="B2932">
        <f>B2931+A2932</f>
        <v/>
      </c>
    </row>
    <row r="2933">
      <c r="A2933">
        <f>IFERROR(IF(AND(INDEX(BASELINE!$A2933:$ZZ2933,CALC!$H$1)&lt;&gt;"",INT(IF(AND(CALC!$F$1&gt;0,N(INDEX(BASELINE!$A2933:$ZZ2933,CALC!$F$1))&gt;0),N(INDEX(BASELINE!$A2933:$ZZ2933,CALC!$F$1)),N(INDEX(BASELINE!$A2933:$ZZ2933,CALC!$P$1))))=INT(SIMOPS!$D$3),IFERROR(UPPER(TRIM(INDEX(BASELINE!$A2933:$ZZ2933,CALC!$R$1)&amp;"")),"")&lt;&gt;"ENCERRADA"),1,0),0)</f>
        <v/>
      </c>
      <c r="B2933">
        <f>B2932+A2933</f>
        <v/>
      </c>
    </row>
    <row r="2934">
      <c r="A2934">
        <f>IFERROR(IF(AND(INDEX(BASELINE!$A2934:$ZZ2934,CALC!$H$1)&lt;&gt;"",INT(IF(AND(CALC!$F$1&gt;0,N(INDEX(BASELINE!$A2934:$ZZ2934,CALC!$F$1))&gt;0),N(INDEX(BASELINE!$A2934:$ZZ2934,CALC!$F$1)),N(INDEX(BASELINE!$A2934:$ZZ2934,CALC!$P$1))))=INT(SIMOPS!$D$3),IFERROR(UPPER(TRIM(INDEX(BASELINE!$A2934:$ZZ2934,CALC!$R$1)&amp;"")),"")&lt;&gt;"ENCERRADA"),1,0),0)</f>
        <v/>
      </c>
      <c r="B2934">
        <f>B2933+A2934</f>
        <v/>
      </c>
    </row>
    <row r="2935">
      <c r="A2935">
        <f>IFERROR(IF(AND(INDEX(BASELINE!$A2935:$ZZ2935,CALC!$H$1)&lt;&gt;"",INT(IF(AND(CALC!$F$1&gt;0,N(INDEX(BASELINE!$A2935:$ZZ2935,CALC!$F$1))&gt;0),N(INDEX(BASELINE!$A2935:$ZZ2935,CALC!$F$1)),N(INDEX(BASELINE!$A2935:$ZZ2935,CALC!$P$1))))=INT(SIMOPS!$D$3),IFERROR(UPPER(TRIM(INDEX(BASELINE!$A2935:$ZZ2935,CALC!$R$1)&amp;"")),"")&lt;&gt;"ENCERRADA"),1,0),0)</f>
        <v/>
      </c>
      <c r="B2935">
        <f>B2934+A2935</f>
        <v/>
      </c>
    </row>
    <row r="2936">
      <c r="A2936">
        <f>IFERROR(IF(AND(INDEX(BASELINE!$A2936:$ZZ2936,CALC!$H$1)&lt;&gt;"",INT(IF(AND(CALC!$F$1&gt;0,N(INDEX(BASELINE!$A2936:$ZZ2936,CALC!$F$1))&gt;0),N(INDEX(BASELINE!$A2936:$ZZ2936,CALC!$F$1)),N(INDEX(BASELINE!$A2936:$ZZ2936,CALC!$P$1))))=INT(SIMOPS!$D$3),IFERROR(UPPER(TRIM(INDEX(BASELINE!$A2936:$ZZ2936,CALC!$R$1)&amp;"")),"")&lt;&gt;"ENCERRADA"),1,0),0)</f>
        <v/>
      </c>
      <c r="B2936">
        <f>B2935+A2936</f>
        <v/>
      </c>
    </row>
    <row r="2937">
      <c r="A2937">
        <f>IFERROR(IF(AND(INDEX(BASELINE!$A2937:$ZZ2937,CALC!$H$1)&lt;&gt;"",INT(IF(AND(CALC!$F$1&gt;0,N(INDEX(BASELINE!$A2937:$ZZ2937,CALC!$F$1))&gt;0),N(INDEX(BASELINE!$A2937:$ZZ2937,CALC!$F$1)),N(INDEX(BASELINE!$A2937:$ZZ2937,CALC!$P$1))))=INT(SIMOPS!$D$3),IFERROR(UPPER(TRIM(INDEX(BASELINE!$A2937:$ZZ2937,CALC!$R$1)&amp;"")),"")&lt;&gt;"ENCERRADA"),1,0),0)</f>
        <v/>
      </c>
      <c r="B2937">
        <f>B2936+A2937</f>
        <v/>
      </c>
    </row>
    <row r="2938">
      <c r="A2938">
        <f>IFERROR(IF(AND(INDEX(BASELINE!$A2938:$ZZ2938,CALC!$H$1)&lt;&gt;"",INT(IF(AND(CALC!$F$1&gt;0,N(INDEX(BASELINE!$A2938:$ZZ2938,CALC!$F$1))&gt;0),N(INDEX(BASELINE!$A2938:$ZZ2938,CALC!$F$1)),N(INDEX(BASELINE!$A2938:$ZZ2938,CALC!$P$1))))=INT(SIMOPS!$D$3),IFERROR(UPPER(TRIM(INDEX(BASELINE!$A2938:$ZZ2938,CALC!$R$1)&amp;"")),"")&lt;&gt;"ENCERRADA"),1,0),0)</f>
        <v/>
      </c>
      <c r="B2938">
        <f>B2937+A2938</f>
        <v/>
      </c>
    </row>
    <row r="2939">
      <c r="A2939">
        <f>IFERROR(IF(AND(INDEX(BASELINE!$A2939:$ZZ2939,CALC!$H$1)&lt;&gt;"",INT(IF(AND(CALC!$F$1&gt;0,N(INDEX(BASELINE!$A2939:$ZZ2939,CALC!$F$1))&gt;0),N(INDEX(BASELINE!$A2939:$ZZ2939,CALC!$F$1)),N(INDEX(BASELINE!$A2939:$ZZ2939,CALC!$P$1))))=INT(SIMOPS!$D$3),IFERROR(UPPER(TRIM(INDEX(BASELINE!$A2939:$ZZ2939,CALC!$R$1)&amp;"")),"")&lt;&gt;"ENCERRADA"),1,0),0)</f>
        <v/>
      </c>
      <c r="B2939">
        <f>B2938+A2939</f>
        <v/>
      </c>
    </row>
    <row r="2940">
      <c r="A2940">
        <f>IFERROR(IF(AND(INDEX(BASELINE!$A2940:$ZZ2940,CALC!$H$1)&lt;&gt;"",INT(IF(AND(CALC!$F$1&gt;0,N(INDEX(BASELINE!$A2940:$ZZ2940,CALC!$F$1))&gt;0),N(INDEX(BASELINE!$A2940:$ZZ2940,CALC!$F$1)),N(INDEX(BASELINE!$A2940:$ZZ2940,CALC!$P$1))))=INT(SIMOPS!$D$3),IFERROR(UPPER(TRIM(INDEX(BASELINE!$A2940:$ZZ2940,CALC!$R$1)&amp;"")),"")&lt;&gt;"ENCERRADA"),1,0),0)</f>
        <v/>
      </c>
      <c r="B2940">
        <f>B2939+A2940</f>
        <v/>
      </c>
    </row>
    <row r="2941">
      <c r="A2941">
        <f>IFERROR(IF(AND(INDEX(BASELINE!$A2941:$ZZ2941,CALC!$H$1)&lt;&gt;"",INT(IF(AND(CALC!$F$1&gt;0,N(INDEX(BASELINE!$A2941:$ZZ2941,CALC!$F$1))&gt;0),N(INDEX(BASELINE!$A2941:$ZZ2941,CALC!$F$1)),N(INDEX(BASELINE!$A2941:$ZZ2941,CALC!$P$1))))=INT(SIMOPS!$D$3),IFERROR(UPPER(TRIM(INDEX(BASELINE!$A2941:$ZZ2941,CALC!$R$1)&amp;"")),"")&lt;&gt;"ENCERRADA"),1,0),0)</f>
        <v/>
      </c>
      <c r="B2941">
        <f>B2940+A2941</f>
        <v/>
      </c>
    </row>
    <row r="2942">
      <c r="A2942">
        <f>IFERROR(IF(AND(INDEX(BASELINE!$A2942:$ZZ2942,CALC!$H$1)&lt;&gt;"",INT(IF(AND(CALC!$F$1&gt;0,N(INDEX(BASELINE!$A2942:$ZZ2942,CALC!$F$1))&gt;0),N(INDEX(BASELINE!$A2942:$ZZ2942,CALC!$F$1)),N(INDEX(BASELINE!$A2942:$ZZ2942,CALC!$P$1))))=INT(SIMOPS!$D$3),IFERROR(UPPER(TRIM(INDEX(BASELINE!$A2942:$ZZ2942,CALC!$R$1)&amp;"")),"")&lt;&gt;"ENCERRADA"),1,0),0)</f>
        <v/>
      </c>
      <c r="B2942">
        <f>B2941+A2942</f>
        <v/>
      </c>
    </row>
    <row r="2943">
      <c r="A2943">
        <f>IFERROR(IF(AND(INDEX(BASELINE!$A2943:$ZZ2943,CALC!$H$1)&lt;&gt;"",INT(IF(AND(CALC!$F$1&gt;0,N(INDEX(BASELINE!$A2943:$ZZ2943,CALC!$F$1))&gt;0),N(INDEX(BASELINE!$A2943:$ZZ2943,CALC!$F$1)),N(INDEX(BASELINE!$A2943:$ZZ2943,CALC!$P$1))))=INT(SIMOPS!$D$3),IFERROR(UPPER(TRIM(INDEX(BASELINE!$A2943:$ZZ2943,CALC!$R$1)&amp;"")),"")&lt;&gt;"ENCERRADA"),1,0),0)</f>
        <v/>
      </c>
      <c r="B2943">
        <f>B2942+A2943</f>
        <v/>
      </c>
    </row>
    <row r="2944">
      <c r="A2944">
        <f>IFERROR(IF(AND(INDEX(BASELINE!$A2944:$ZZ2944,CALC!$H$1)&lt;&gt;"",INT(IF(AND(CALC!$F$1&gt;0,N(INDEX(BASELINE!$A2944:$ZZ2944,CALC!$F$1))&gt;0),N(INDEX(BASELINE!$A2944:$ZZ2944,CALC!$F$1)),N(INDEX(BASELINE!$A2944:$ZZ2944,CALC!$P$1))))=INT(SIMOPS!$D$3),IFERROR(UPPER(TRIM(INDEX(BASELINE!$A2944:$ZZ2944,CALC!$R$1)&amp;"")),"")&lt;&gt;"ENCERRADA"),1,0),0)</f>
        <v/>
      </c>
      <c r="B2944">
        <f>B2943+A2944</f>
        <v/>
      </c>
    </row>
    <row r="2945">
      <c r="A2945">
        <f>IFERROR(IF(AND(INDEX(BASELINE!$A2945:$ZZ2945,CALC!$H$1)&lt;&gt;"",INT(IF(AND(CALC!$F$1&gt;0,N(INDEX(BASELINE!$A2945:$ZZ2945,CALC!$F$1))&gt;0),N(INDEX(BASELINE!$A2945:$ZZ2945,CALC!$F$1)),N(INDEX(BASELINE!$A2945:$ZZ2945,CALC!$P$1))))=INT(SIMOPS!$D$3),IFERROR(UPPER(TRIM(INDEX(BASELINE!$A2945:$ZZ2945,CALC!$R$1)&amp;"")),"")&lt;&gt;"ENCERRADA"),1,0),0)</f>
        <v/>
      </c>
      <c r="B2945">
        <f>B2944+A2945</f>
        <v/>
      </c>
    </row>
    <row r="2946">
      <c r="A2946">
        <f>IFERROR(IF(AND(INDEX(BASELINE!$A2946:$ZZ2946,CALC!$H$1)&lt;&gt;"",INT(IF(AND(CALC!$F$1&gt;0,N(INDEX(BASELINE!$A2946:$ZZ2946,CALC!$F$1))&gt;0),N(INDEX(BASELINE!$A2946:$ZZ2946,CALC!$F$1)),N(INDEX(BASELINE!$A2946:$ZZ2946,CALC!$P$1))))=INT(SIMOPS!$D$3),IFERROR(UPPER(TRIM(INDEX(BASELINE!$A2946:$ZZ2946,CALC!$R$1)&amp;"")),"")&lt;&gt;"ENCERRADA"),1,0),0)</f>
        <v/>
      </c>
      <c r="B2946">
        <f>B2945+A2946</f>
        <v/>
      </c>
    </row>
    <row r="2947">
      <c r="A2947">
        <f>IFERROR(IF(AND(INDEX(BASELINE!$A2947:$ZZ2947,CALC!$H$1)&lt;&gt;"",INT(IF(AND(CALC!$F$1&gt;0,N(INDEX(BASELINE!$A2947:$ZZ2947,CALC!$F$1))&gt;0),N(INDEX(BASELINE!$A2947:$ZZ2947,CALC!$F$1)),N(INDEX(BASELINE!$A2947:$ZZ2947,CALC!$P$1))))=INT(SIMOPS!$D$3),IFERROR(UPPER(TRIM(INDEX(BASELINE!$A2947:$ZZ2947,CALC!$R$1)&amp;"")),"")&lt;&gt;"ENCERRADA"),1,0),0)</f>
        <v/>
      </c>
      <c r="B2947">
        <f>B2946+A2947</f>
        <v/>
      </c>
    </row>
    <row r="2948">
      <c r="A2948">
        <f>IFERROR(IF(AND(INDEX(BASELINE!$A2948:$ZZ2948,CALC!$H$1)&lt;&gt;"",INT(IF(AND(CALC!$F$1&gt;0,N(INDEX(BASELINE!$A2948:$ZZ2948,CALC!$F$1))&gt;0),N(INDEX(BASELINE!$A2948:$ZZ2948,CALC!$F$1)),N(INDEX(BASELINE!$A2948:$ZZ2948,CALC!$P$1))))=INT(SIMOPS!$D$3),IFERROR(UPPER(TRIM(INDEX(BASELINE!$A2948:$ZZ2948,CALC!$R$1)&amp;"")),"")&lt;&gt;"ENCERRADA"),1,0),0)</f>
        <v/>
      </c>
      <c r="B2948">
        <f>B2947+A2948</f>
        <v/>
      </c>
    </row>
    <row r="2949">
      <c r="A2949">
        <f>IFERROR(IF(AND(INDEX(BASELINE!$A2949:$ZZ2949,CALC!$H$1)&lt;&gt;"",INT(IF(AND(CALC!$F$1&gt;0,N(INDEX(BASELINE!$A2949:$ZZ2949,CALC!$F$1))&gt;0),N(INDEX(BASELINE!$A2949:$ZZ2949,CALC!$F$1)),N(INDEX(BASELINE!$A2949:$ZZ2949,CALC!$P$1))))=INT(SIMOPS!$D$3),IFERROR(UPPER(TRIM(INDEX(BASELINE!$A2949:$ZZ2949,CALC!$R$1)&amp;"")),"")&lt;&gt;"ENCERRADA"),1,0),0)</f>
        <v/>
      </c>
      <c r="B2949">
        <f>B2948+A2949</f>
        <v/>
      </c>
    </row>
    <row r="2950">
      <c r="A2950">
        <f>IFERROR(IF(AND(INDEX(BASELINE!$A2950:$ZZ2950,CALC!$H$1)&lt;&gt;"",INT(IF(AND(CALC!$F$1&gt;0,N(INDEX(BASELINE!$A2950:$ZZ2950,CALC!$F$1))&gt;0),N(INDEX(BASELINE!$A2950:$ZZ2950,CALC!$F$1)),N(INDEX(BASELINE!$A2950:$ZZ2950,CALC!$P$1))))=INT(SIMOPS!$D$3),IFERROR(UPPER(TRIM(INDEX(BASELINE!$A2950:$ZZ2950,CALC!$R$1)&amp;"")),"")&lt;&gt;"ENCERRADA"),1,0),0)</f>
        <v/>
      </c>
      <c r="B2950">
        <f>B2949+A2950</f>
        <v/>
      </c>
    </row>
    <row r="2951">
      <c r="A2951">
        <f>IFERROR(IF(AND(INDEX(BASELINE!$A2951:$ZZ2951,CALC!$H$1)&lt;&gt;"",INT(IF(AND(CALC!$F$1&gt;0,N(INDEX(BASELINE!$A2951:$ZZ2951,CALC!$F$1))&gt;0),N(INDEX(BASELINE!$A2951:$ZZ2951,CALC!$F$1)),N(INDEX(BASELINE!$A2951:$ZZ2951,CALC!$P$1))))=INT(SIMOPS!$D$3),IFERROR(UPPER(TRIM(INDEX(BASELINE!$A2951:$ZZ2951,CALC!$R$1)&amp;"")),"")&lt;&gt;"ENCERRADA"),1,0),0)</f>
        <v/>
      </c>
      <c r="B2951">
        <f>B2950+A2951</f>
        <v/>
      </c>
    </row>
    <row r="2952">
      <c r="A2952">
        <f>IFERROR(IF(AND(INDEX(BASELINE!$A2952:$ZZ2952,CALC!$H$1)&lt;&gt;"",INT(IF(AND(CALC!$F$1&gt;0,N(INDEX(BASELINE!$A2952:$ZZ2952,CALC!$F$1))&gt;0),N(INDEX(BASELINE!$A2952:$ZZ2952,CALC!$F$1)),N(INDEX(BASELINE!$A2952:$ZZ2952,CALC!$P$1))))=INT(SIMOPS!$D$3),IFERROR(UPPER(TRIM(INDEX(BASELINE!$A2952:$ZZ2952,CALC!$R$1)&amp;"")),"")&lt;&gt;"ENCERRADA"),1,0),0)</f>
        <v/>
      </c>
      <c r="B2952">
        <f>B2951+A2952</f>
        <v/>
      </c>
    </row>
    <row r="2953">
      <c r="A2953">
        <f>IFERROR(IF(AND(INDEX(BASELINE!$A2953:$ZZ2953,CALC!$H$1)&lt;&gt;"",INT(IF(AND(CALC!$F$1&gt;0,N(INDEX(BASELINE!$A2953:$ZZ2953,CALC!$F$1))&gt;0),N(INDEX(BASELINE!$A2953:$ZZ2953,CALC!$F$1)),N(INDEX(BASELINE!$A2953:$ZZ2953,CALC!$P$1))))=INT(SIMOPS!$D$3),IFERROR(UPPER(TRIM(INDEX(BASELINE!$A2953:$ZZ2953,CALC!$R$1)&amp;"")),"")&lt;&gt;"ENCERRADA"),1,0),0)</f>
        <v/>
      </c>
      <c r="B2953">
        <f>B2952+A2953</f>
        <v/>
      </c>
    </row>
    <row r="2954">
      <c r="A2954">
        <f>IFERROR(IF(AND(INDEX(BASELINE!$A2954:$ZZ2954,CALC!$H$1)&lt;&gt;"",INT(IF(AND(CALC!$F$1&gt;0,N(INDEX(BASELINE!$A2954:$ZZ2954,CALC!$F$1))&gt;0),N(INDEX(BASELINE!$A2954:$ZZ2954,CALC!$F$1)),N(INDEX(BASELINE!$A2954:$ZZ2954,CALC!$P$1))))=INT(SIMOPS!$D$3),IFERROR(UPPER(TRIM(INDEX(BASELINE!$A2954:$ZZ2954,CALC!$R$1)&amp;"")),"")&lt;&gt;"ENCERRADA"),1,0),0)</f>
        <v/>
      </c>
      <c r="B2954">
        <f>B2953+A2954</f>
        <v/>
      </c>
    </row>
    <row r="2955">
      <c r="A2955">
        <f>IFERROR(IF(AND(INDEX(BASELINE!$A2955:$ZZ2955,CALC!$H$1)&lt;&gt;"",INT(IF(AND(CALC!$F$1&gt;0,N(INDEX(BASELINE!$A2955:$ZZ2955,CALC!$F$1))&gt;0),N(INDEX(BASELINE!$A2955:$ZZ2955,CALC!$F$1)),N(INDEX(BASELINE!$A2955:$ZZ2955,CALC!$P$1))))=INT(SIMOPS!$D$3),IFERROR(UPPER(TRIM(INDEX(BASELINE!$A2955:$ZZ2955,CALC!$R$1)&amp;"")),"")&lt;&gt;"ENCERRADA"),1,0),0)</f>
        <v/>
      </c>
      <c r="B2955">
        <f>B2954+A2955</f>
        <v/>
      </c>
    </row>
    <row r="2956">
      <c r="A2956">
        <f>IFERROR(IF(AND(INDEX(BASELINE!$A2956:$ZZ2956,CALC!$H$1)&lt;&gt;"",INT(IF(AND(CALC!$F$1&gt;0,N(INDEX(BASELINE!$A2956:$ZZ2956,CALC!$F$1))&gt;0),N(INDEX(BASELINE!$A2956:$ZZ2956,CALC!$F$1)),N(INDEX(BASELINE!$A2956:$ZZ2956,CALC!$P$1))))=INT(SIMOPS!$D$3),IFERROR(UPPER(TRIM(INDEX(BASELINE!$A2956:$ZZ2956,CALC!$R$1)&amp;"")),"")&lt;&gt;"ENCERRADA"),1,0),0)</f>
        <v/>
      </c>
      <c r="B2956">
        <f>B2955+A2956</f>
        <v/>
      </c>
    </row>
    <row r="2957">
      <c r="A2957">
        <f>IFERROR(IF(AND(INDEX(BASELINE!$A2957:$ZZ2957,CALC!$H$1)&lt;&gt;"",INT(IF(AND(CALC!$F$1&gt;0,N(INDEX(BASELINE!$A2957:$ZZ2957,CALC!$F$1))&gt;0),N(INDEX(BASELINE!$A2957:$ZZ2957,CALC!$F$1)),N(INDEX(BASELINE!$A2957:$ZZ2957,CALC!$P$1))))=INT(SIMOPS!$D$3),IFERROR(UPPER(TRIM(INDEX(BASELINE!$A2957:$ZZ2957,CALC!$R$1)&amp;"")),"")&lt;&gt;"ENCERRADA"),1,0),0)</f>
        <v/>
      </c>
      <c r="B2957">
        <f>B2956+A2957</f>
        <v/>
      </c>
    </row>
    <row r="2958">
      <c r="A2958">
        <f>IFERROR(IF(AND(INDEX(BASELINE!$A2958:$ZZ2958,CALC!$H$1)&lt;&gt;"",INT(IF(AND(CALC!$F$1&gt;0,N(INDEX(BASELINE!$A2958:$ZZ2958,CALC!$F$1))&gt;0),N(INDEX(BASELINE!$A2958:$ZZ2958,CALC!$F$1)),N(INDEX(BASELINE!$A2958:$ZZ2958,CALC!$P$1))))=INT(SIMOPS!$D$3),IFERROR(UPPER(TRIM(INDEX(BASELINE!$A2958:$ZZ2958,CALC!$R$1)&amp;"")),"")&lt;&gt;"ENCERRADA"),1,0),0)</f>
        <v/>
      </c>
      <c r="B2958">
        <f>B2957+A2958</f>
        <v/>
      </c>
    </row>
    <row r="2959">
      <c r="A2959">
        <f>IFERROR(IF(AND(INDEX(BASELINE!$A2959:$ZZ2959,CALC!$H$1)&lt;&gt;"",INT(IF(AND(CALC!$F$1&gt;0,N(INDEX(BASELINE!$A2959:$ZZ2959,CALC!$F$1))&gt;0),N(INDEX(BASELINE!$A2959:$ZZ2959,CALC!$F$1)),N(INDEX(BASELINE!$A2959:$ZZ2959,CALC!$P$1))))=INT(SIMOPS!$D$3),IFERROR(UPPER(TRIM(INDEX(BASELINE!$A2959:$ZZ2959,CALC!$R$1)&amp;"")),"")&lt;&gt;"ENCERRADA"),1,0),0)</f>
        <v/>
      </c>
      <c r="B2959">
        <f>B2958+A2959</f>
        <v/>
      </c>
    </row>
    <row r="2960">
      <c r="A2960">
        <f>IFERROR(IF(AND(INDEX(BASELINE!$A2960:$ZZ2960,CALC!$H$1)&lt;&gt;"",INT(IF(AND(CALC!$F$1&gt;0,N(INDEX(BASELINE!$A2960:$ZZ2960,CALC!$F$1))&gt;0),N(INDEX(BASELINE!$A2960:$ZZ2960,CALC!$F$1)),N(INDEX(BASELINE!$A2960:$ZZ2960,CALC!$P$1))))=INT(SIMOPS!$D$3),IFERROR(UPPER(TRIM(INDEX(BASELINE!$A2960:$ZZ2960,CALC!$R$1)&amp;"")),"")&lt;&gt;"ENCERRADA"),1,0),0)</f>
        <v/>
      </c>
      <c r="B2960">
        <f>B2959+A2960</f>
        <v/>
      </c>
    </row>
    <row r="2961">
      <c r="A2961">
        <f>IFERROR(IF(AND(INDEX(BASELINE!$A2961:$ZZ2961,CALC!$H$1)&lt;&gt;"",INT(IF(AND(CALC!$F$1&gt;0,N(INDEX(BASELINE!$A2961:$ZZ2961,CALC!$F$1))&gt;0),N(INDEX(BASELINE!$A2961:$ZZ2961,CALC!$F$1)),N(INDEX(BASELINE!$A2961:$ZZ2961,CALC!$P$1))))=INT(SIMOPS!$D$3),IFERROR(UPPER(TRIM(INDEX(BASELINE!$A2961:$ZZ2961,CALC!$R$1)&amp;"")),"")&lt;&gt;"ENCERRADA"),1,0),0)</f>
        <v/>
      </c>
      <c r="B2961">
        <f>B2960+A2961</f>
        <v/>
      </c>
    </row>
    <row r="2962">
      <c r="A2962">
        <f>IFERROR(IF(AND(INDEX(BASELINE!$A2962:$ZZ2962,CALC!$H$1)&lt;&gt;"",INT(IF(AND(CALC!$F$1&gt;0,N(INDEX(BASELINE!$A2962:$ZZ2962,CALC!$F$1))&gt;0),N(INDEX(BASELINE!$A2962:$ZZ2962,CALC!$F$1)),N(INDEX(BASELINE!$A2962:$ZZ2962,CALC!$P$1))))=INT(SIMOPS!$D$3),IFERROR(UPPER(TRIM(INDEX(BASELINE!$A2962:$ZZ2962,CALC!$R$1)&amp;"")),"")&lt;&gt;"ENCERRADA"),1,0),0)</f>
        <v/>
      </c>
      <c r="B2962">
        <f>B2961+A2962</f>
        <v/>
      </c>
    </row>
    <row r="2963">
      <c r="A2963">
        <f>IFERROR(IF(AND(INDEX(BASELINE!$A2963:$ZZ2963,CALC!$H$1)&lt;&gt;"",INT(IF(AND(CALC!$F$1&gt;0,N(INDEX(BASELINE!$A2963:$ZZ2963,CALC!$F$1))&gt;0),N(INDEX(BASELINE!$A2963:$ZZ2963,CALC!$F$1)),N(INDEX(BASELINE!$A2963:$ZZ2963,CALC!$P$1))))=INT(SIMOPS!$D$3),IFERROR(UPPER(TRIM(INDEX(BASELINE!$A2963:$ZZ2963,CALC!$R$1)&amp;"")),"")&lt;&gt;"ENCERRADA"),1,0),0)</f>
        <v/>
      </c>
      <c r="B2963">
        <f>B2962+A2963</f>
        <v/>
      </c>
    </row>
    <row r="2964">
      <c r="A2964">
        <f>IFERROR(IF(AND(INDEX(BASELINE!$A2964:$ZZ2964,CALC!$H$1)&lt;&gt;"",INT(IF(AND(CALC!$F$1&gt;0,N(INDEX(BASELINE!$A2964:$ZZ2964,CALC!$F$1))&gt;0),N(INDEX(BASELINE!$A2964:$ZZ2964,CALC!$F$1)),N(INDEX(BASELINE!$A2964:$ZZ2964,CALC!$P$1))))=INT(SIMOPS!$D$3),IFERROR(UPPER(TRIM(INDEX(BASELINE!$A2964:$ZZ2964,CALC!$R$1)&amp;"")),"")&lt;&gt;"ENCERRADA"),1,0),0)</f>
        <v/>
      </c>
      <c r="B2964">
        <f>B2963+A2964</f>
        <v/>
      </c>
    </row>
    <row r="2965">
      <c r="A2965">
        <f>IFERROR(IF(AND(INDEX(BASELINE!$A2965:$ZZ2965,CALC!$H$1)&lt;&gt;"",INT(IF(AND(CALC!$F$1&gt;0,N(INDEX(BASELINE!$A2965:$ZZ2965,CALC!$F$1))&gt;0),N(INDEX(BASELINE!$A2965:$ZZ2965,CALC!$F$1)),N(INDEX(BASELINE!$A2965:$ZZ2965,CALC!$P$1))))=INT(SIMOPS!$D$3),IFERROR(UPPER(TRIM(INDEX(BASELINE!$A2965:$ZZ2965,CALC!$R$1)&amp;"")),"")&lt;&gt;"ENCERRADA"),1,0),0)</f>
        <v/>
      </c>
      <c r="B2965">
        <f>B2964+A2965</f>
        <v/>
      </c>
    </row>
    <row r="2966">
      <c r="A2966">
        <f>IFERROR(IF(AND(INDEX(BASELINE!$A2966:$ZZ2966,CALC!$H$1)&lt;&gt;"",INT(IF(AND(CALC!$F$1&gt;0,N(INDEX(BASELINE!$A2966:$ZZ2966,CALC!$F$1))&gt;0),N(INDEX(BASELINE!$A2966:$ZZ2966,CALC!$F$1)),N(INDEX(BASELINE!$A2966:$ZZ2966,CALC!$P$1))))=INT(SIMOPS!$D$3),IFERROR(UPPER(TRIM(INDEX(BASELINE!$A2966:$ZZ2966,CALC!$R$1)&amp;"")),"")&lt;&gt;"ENCERRADA"),1,0),0)</f>
        <v/>
      </c>
      <c r="B2966">
        <f>B2965+A2966</f>
        <v/>
      </c>
    </row>
    <row r="2967">
      <c r="A2967">
        <f>IFERROR(IF(AND(INDEX(BASELINE!$A2967:$ZZ2967,CALC!$H$1)&lt;&gt;"",INT(IF(AND(CALC!$F$1&gt;0,N(INDEX(BASELINE!$A2967:$ZZ2967,CALC!$F$1))&gt;0),N(INDEX(BASELINE!$A2967:$ZZ2967,CALC!$F$1)),N(INDEX(BASELINE!$A2967:$ZZ2967,CALC!$P$1))))=INT(SIMOPS!$D$3),IFERROR(UPPER(TRIM(INDEX(BASELINE!$A2967:$ZZ2967,CALC!$R$1)&amp;"")),"")&lt;&gt;"ENCERRADA"),1,0),0)</f>
        <v/>
      </c>
      <c r="B2967">
        <f>B2966+A2967</f>
        <v/>
      </c>
    </row>
    <row r="2968">
      <c r="A2968">
        <f>IFERROR(IF(AND(INDEX(BASELINE!$A2968:$ZZ2968,CALC!$H$1)&lt;&gt;"",INT(IF(AND(CALC!$F$1&gt;0,N(INDEX(BASELINE!$A2968:$ZZ2968,CALC!$F$1))&gt;0),N(INDEX(BASELINE!$A2968:$ZZ2968,CALC!$F$1)),N(INDEX(BASELINE!$A2968:$ZZ2968,CALC!$P$1))))=INT(SIMOPS!$D$3),IFERROR(UPPER(TRIM(INDEX(BASELINE!$A2968:$ZZ2968,CALC!$R$1)&amp;"")),"")&lt;&gt;"ENCERRADA"),1,0),0)</f>
        <v/>
      </c>
      <c r="B2968">
        <f>B2967+A2968</f>
        <v/>
      </c>
    </row>
    <row r="2969">
      <c r="A2969">
        <f>IFERROR(IF(AND(INDEX(BASELINE!$A2969:$ZZ2969,CALC!$H$1)&lt;&gt;"",INT(IF(AND(CALC!$F$1&gt;0,N(INDEX(BASELINE!$A2969:$ZZ2969,CALC!$F$1))&gt;0),N(INDEX(BASELINE!$A2969:$ZZ2969,CALC!$F$1)),N(INDEX(BASELINE!$A2969:$ZZ2969,CALC!$P$1))))=INT(SIMOPS!$D$3),IFERROR(UPPER(TRIM(INDEX(BASELINE!$A2969:$ZZ2969,CALC!$R$1)&amp;"")),"")&lt;&gt;"ENCERRADA"),1,0),0)</f>
        <v/>
      </c>
      <c r="B2969">
        <f>B2968+A2969</f>
        <v/>
      </c>
    </row>
    <row r="2970">
      <c r="A2970">
        <f>IFERROR(IF(AND(INDEX(BASELINE!$A2970:$ZZ2970,CALC!$H$1)&lt;&gt;"",INT(IF(AND(CALC!$F$1&gt;0,N(INDEX(BASELINE!$A2970:$ZZ2970,CALC!$F$1))&gt;0),N(INDEX(BASELINE!$A2970:$ZZ2970,CALC!$F$1)),N(INDEX(BASELINE!$A2970:$ZZ2970,CALC!$P$1))))=INT(SIMOPS!$D$3),IFERROR(UPPER(TRIM(INDEX(BASELINE!$A2970:$ZZ2970,CALC!$R$1)&amp;"")),"")&lt;&gt;"ENCERRADA"),1,0),0)</f>
        <v/>
      </c>
      <c r="B2970">
        <f>B2969+A2970</f>
        <v/>
      </c>
    </row>
    <row r="2971">
      <c r="A2971">
        <f>IFERROR(IF(AND(INDEX(BASELINE!$A2971:$ZZ2971,CALC!$H$1)&lt;&gt;"",INT(IF(AND(CALC!$F$1&gt;0,N(INDEX(BASELINE!$A2971:$ZZ2971,CALC!$F$1))&gt;0),N(INDEX(BASELINE!$A2971:$ZZ2971,CALC!$F$1)),N(INDEX(BASELINE!$A2971:$ZZ2971,CALC!$P$1))))=INT(SIMOPS!$D$3),IFERROR(UPPER(TRIM(INDEX(BASELINE!$A2971:$ZZ2971,CALC!$R$1)&amp;"")),"")&lt;&gt;"ENCERRADA"),1,0),0)</f>
        <v/>
      </c>
      <c r="B2971">
        <f>B2970+A2971</f>
        <v/>
      </c>
    </row>
    <row r="2972">
      <c r="A2972">
        <f>IFERROR(IF(AND(INDEX(BASELINE!$A2972:$ZZ2972,CALC!$H$1)&lt;&gt;"",INT(IF(AND(CALC!$F$1&gt;0,N(INDEX(BASELINE!$A2972:$ZZ2972,CALC!$F$1))&gt;0),N(INDEX(BASELINE!$A2972:$ZZ2972,CALC!$F$1)),N(INDEX(BASELINE!$A2972:$ZZ2972,CALC!$P$1))))=INT(SIMOPS!$D$3),IFERROR(UPPER(TRIM(INDEX(BASELINE!$A2972:$ZZ2972,CALC!$R$1)&amp;"")),"")&lt;&gt;"ENCERRADA"),1,0),0)</f>
        <v/>
      </c>
      <c r="B2972">
        <f>B2971+A2972</f>
        <v/>
      </c>
    </row>
    <row r="2973">
      <c r="A2973">
        <f>IFERROR(IF(AND(INDEX(BASELINE!$A2973:$ZZ2973,CALC!$H$1)&lt;&gt;"",INT(IF(AND(CALC!$F$1&gt;0,N(INDEX(BASELINE!$A2973:$ZZ2973,CALC!$F$1))&gt;0),N(INDEX(BASELINE!$A2973:$ZZ2973,CALC!$F$1)),N(INDEX(BASELINE!$A2973:$ZZ2973,CALC!$P$1))))=INT(SIMOPS!$D$3),IFERROR(UPPER(TRIM(INDEX(BASELINE!$A2973:$ZZ2973,CALC!$R$1)&amp;"")),"")&lt;&gt;"ENCERRADA"),1,0),0)</f>
        <v/>
      </c>
      <c r="B2973">
        <f>B2972+A2973</f>
        <v/>
      </c>
    </row>
    <row r="2974">
      <c r="A2974">
        <f>IFERROR(IF(AND(INDEX(BASELINE!$A2974:$ZZ2974,CALC!$H$1)&lt;&gt;"",INT(IF(AND(CALC!$F$1&gt;0,N(INDEX(BASELINE!$A2974:$ZZ2974,CALC!$F$1))&gt;0),N(INDEX(BASELINE!$A2974:$ZZ2974,CALC!$F$1)),N(INDEX(BASELINE!$A2974:$ZZ2974,CALC!$P$1))))=INT(SIMOPS!$D$3),IFERROR(UPPER(TRIM(INDEX(BASELINE!$A2974:$ZZ2974,CALC!$R$1)&amp;"")),"")&lt;&gt;"ENCERRADA"),1,0),0)</f>
        <v/>
      </c>
      <c r="B2974">
        <f>B2973+A2974</f>
        <v/>
      </c>
    </row>
    <row r="2975">
      <c r="A2975">
        <f>IFERROR(IF(AND(INDEX(BASELINE!$A2975:$ZZ2975,CALC!$H$1)&lt;&gt;"",INT(IF(AND(CALC!$F$1&gt;0,N(INDEX(BASELINE!$A2975:$ZZ2975,CALC!$F$1))&gt;0),N(INDEX(BASELINE!$A2975:$ZZ2975,CALC!$F$1)),N(INDEX(BASELINE!$A2975:$ZZ2975,CALC!$P$1))))=INT(SIMOPS!$D$3),IFERROR(UPPER(TRIM(INDEX(BASELINE!$A2975:$ZZ2975,CALC!$R$1)&amp;"")),"")&lt;&gt;"ENCERRADA"),1,0),0)</f>
        <v/>
      </c>
      <c r="B2975">
        <f>B2974+A2975</f>
        <v/>
      </c>
    </row>
    <row r="2976">
      <c r="A2976">
        <f>IFERROR(IF(AND(INDEX(BASELINE!$A2976:$ZZ2976,CALC!$H$1)&lt;&gt;"",INT(IF(AND(CALC!$F$1&gt;0,N(INDEX(BASELINE!$A2976:$ZZ2976,CALC!$F$1))&gt;0),N(INDEX(BASELINE!$A2976:$ZZ2976,CALC!$F$1)),N(INDEX(BASELINE!$A2976:$ZZ2976,CALC!$P$1))))=INT(SIMOPS!$D$3),IFERROR(UPPER(TRIM(INDEX(BASELINE!$A2976:$ZZ2976,CALC!$R$1)&amp;"")),"")&lt;&gt;"ENCERRADA"),1,0),0)</f>
        <v/>
      </c>
      <c r="B2976">
        <f>B2975+A2976</f>
        <v/>
      </c>
    </row>
    <row r="2977">
      <c r="A2977">
        <f>IFERROR(IF(AND(INDEX(BASELINE!$A2977:$ZZ2977,CALC!$H$1)&lt;&gt;"",INT(IF(AND(CALC!$F$1&gt;0,N(INDEX(BASELINE!$A2977:$ZZ2977,CALC!$F$1))&gt;0),N(INDEX(BASELINE!$A2977:$ZZ2977,CALC!$F$1)),N(INDEX(BASELINE!$A2977:$ZZ2977,CALC!$P$1))))=INT(SIMOPS!$D$3),IFERROR(UPPER(TRIM(INDEX(BASELINE!$A2977:$ZZ2977,CALC!$R$1)&amp;"")),"")&lt;&gt;"ENCERRADA"),1,0),0)</f>
        <v/>
      </c>
      <c r="B2977">
        <f>B2976+A2977</f>
        <v/>
      </c>
    </row>
    <row r="2978">
      <c r="A2978">
        <f>IFERROR(IF(AND(INDEX(BASELINE!$A2978:$ZZ2978,CALC!$H$1)&lt;&gt;"",INT(IF(AND(CALC!$F$1&gt;0,N(INDEX(BASELINE!$A2978:$ZZ2978,CALC!$F$1))&gt;0),N(INDEX(BASELINE!$A2978:$ZZ2978,CALC!$F$1)),N(INDEX(BASELINE!$A2978:$ZZ2978,CALC!$P$1))))=INT(SIMOPS!$D$3),IFERROR(UPPER(TRIM(INDEX(BASELINE!$A2978:$ZZ2978,CALC!$R$1)&amp;"")),"")&lt;&gt;"ENCERRADA"),1,0),0)</f>
        <v/>
      </c>
      <c r="B2978">
        <f>B2977+A2978</f>
        <v/>
      </c>
    </row>
    <row r="2979">
      <c r="A2979">
        <f>IFERROR(IF(AND(INDEX(BASELINE!$A2979:$ZZ2979,CALC!$H$1)&lt;&gt;"",INT(IF(AND(CALC!$F$1&gt;0,N(INDEX(BASELINE!$A2979:$ZZ2979,CALC!$F$1))&gt;0),N(INDEX(BASELINE!$A2979:$ZZ2979,CALC!$F$1)),N(INDEX(BASELINE!$A2979:$ZZ2979,CALC!$P$1))))=INT(SIMOPS!$D$3),IFERROR(UPPER(TRIM(INDEX(BASELINE!$A2979:$ZZ2979,CALC!$R$1)&amp;"")),"")&lt;&gt;"ENCERRADA"),1,0),0)</f>
        <v/>
      </c>
      <c r="B2979">
        <f>B2978+A2979</f>
        <v/>
      </c>
    </row>
    <row r="2980">
      <c r="A2980">
        <f>IFERROR(IF(AND(INDEX(BASELINE!$A2980:$ZZ2980,CALC!$H$1)&lt;&gt;"",INT(IF(AND(CALC!$F$1&gt;0,N(INDEX(BASELINE!$A2980:$ZZ2980,CALC!$F$1))&gt;0),N(INDEX(BASELINE!$A2980:$ZZ2980,CALC!$F$1)),N(INDEX(BASELINE!$A2980:$ZZ2980,CALC!$P$1))))=INT(SIMOPS!$D$3),IFERROR(UPPER(TRIM(INDEX(BASELINE!$A2980:$ZZ2980,CALC!$R$1)&amp;"")),"")&lt;&gt;"ENCERRADA"),1,0),0)</f>
        <v/>
      </c>
      <c r="B2980">
        <f>B2979+A2980</f>
        <v/>
      </c>
    </row>
    <row r="2981">
      <c r="A2981">
        <f>IFERROR(IF(AND(INDEX(BASELINE!$A2981:$ZZ2981,CALC!$H$1)&lt;&gt;"",INT(IF(AND(CALC!$F$1&gt;0,N(INDEX(BASELINE!$A2981:$ZZ2981,CALC!$F$1))&gt;0),N(INDEX(BASELINE!$A2981:$ZZ2981,CALC!$F$1)),N(INDEX(BASELINE!$A2981:$ZZ2981,CALC!$P$1))))=INT(SIMOPS!$D$3),IFERROR(UPPER(TRIM(INDEX(BASELINE!$A2981:$ZZ2981,CALC!$R$1)&amp;"")),"")&lt;&gt;"ENCERRADA"),1,0),0)</f>
        <v/>
      </c>
      <c r="B2981">
        <f>B2980+A2981</f>
        <v/>
      </c>
    </row>
    <row r="2982">
      <c r="A2982">
        <f>IFERROR(IF(AND(INDEX(BASELINE!$A2982:$ZZ2982,CALC!$H$1)&lt;&gt;"",INT(IF(AND(CALC!$F$1&gt;0,N(INDEX(BASELINE!$A2982:$ZZ2982,CALC!$F$1))&gt;0),N(INDEX(BASELINE!$A2982:$ZZ2982,CALC!$F$1)),N(INDEX(BASELINE!$A2982:$ZZ2982,CALC!$P$1))))=INT(SIMOPS!$D$3),IFERROR(UPPER(TRIM(INDEX(BASELINE!$A2982:$ZZ2982,CALC!$R$1)&amp;"")),"")&lt;&gt;"ENCERRADA"),1,0),0)</f>
        <v/>
      </c>
      <c r="B2982">
        <f>B2981+A2982</f>
        <v/>
      </c>
    </row>
    <row r="2983">
      <c r="A2983">
        <f>IFERROR(IF(AND(INDEX(BASELINE!$A2983:$ZZ2983,CALC!$H$1)&lt;&gt;"",INT(IF(AND(CALC!$F$1&gt;0,N(INDEX(BASELINE!$A2983:$ZZ2983,CALC!$F$1))&gt;0),N(INDEX(BASELINE!$A2983:$ZZ2983,CALC!$F$1)),N(INDEX(BASELINE!$A2983:$ZZ2983,CALC!$P$1))))=INT(SIMOPS!$D$3),IFERROR(UPPER(TRIM(INDEX(BASELINE!$A2983:$ZZ2983,CALC!$R$1)&amp;"")),"")&lt;&gt;"ENCERRADA"),1,0),0)</f>
        <v/>
      </c>
      <c r="B2983">
        <f>B2982+A2983</f>
        <v/>
      </c>
    </row>
    <row r="2984">
      <c r="A2984">
        <f>IFERROR(IF(AND(INDEX(BASELINE!$A2984:$ZZ2984,CALC!$H$1)&lt;&gt;"",INT(IF(AND(CALC!$F$1&gt;0,N(INDEX(BASELINE!$A2984:$ZZ2984,CALC!$F$1))&gt;0),N(INDEX(BASELINE!$A2984:$ZZ2984,CALC!$F$1)),N(INDEX(BASELINE!$A2984:$ZZ2984,CALC!$P$1))))=INT(SIMOPS!$D$3),IFERROR(UPPER(TRIM(INDEX(BASELINE!$A2984:$ZZ2984,CALC!$R$1)&amp;"")),"")&lt;&gt;"ENCERRADA"),1,0),0)</f>
        <v/>
      </c>
      <c r="B2984">
        <f>B2983+A2984</f>
        <v/>
      </c>
    </row>
    <row r="2985">
      <c r="A2985">
        <f>IFERROR(IF(AND(INDEX(BASELINE!$A2985:$ZZ2985,CALC!$H$1)&lt;&gt;"",INT(IF(AND(CALC!$F$1&gt;0,N(INDEX(BASELINE!$A2985:$ZZ2985,CALC!$F$1))&gt;0),N(INDEX(BASELINE!$A2985:$ZZ2985,CALC!$F$1)),N(INDEX(BASELINE!$A2985:$ZZ2985,CALC!$P$1))))=INT(SIMOPS!$D$3),IFERROR(UPPER(TRIM(INDEX(BASELINE!$A2985:$ZZ2985,CALC!$R$1)&amp;"")),"")&lt;&gt;"ENCERRADA"),1,0),0)</f>
        <v/>
      </c>
      <c r="B2985">
        <f>B2984+A2985</f>
        <v/>
      </c>
    </row>
    <row r="2986">
      <c r="A2986">
        <f>IFERROR(IF(AND(INDEX(BASELINE!$A2986:$ZZ2986,CALC!$H$1)&lt;&gt;"",INT(IF(AND(CALC!$F$1&gt;0,N(INDEX(BASELINE!$A2986:$ZZ2986,CALC!$F$1))&gt;0),N(INDEX(BASELINE!$A2986:$ZZ2986,CALC!$F$1)),N(INDEX(BASELINE!$A2986:$ZZ2986,CALC!$P$1))))=INT(SIMOPS!$D$3),IFERROR(UPPER(TRIM(INDEX(BASELINE!$A2986:$ZZ2986,CALC!$R$1)&amp;"")),"")&lt;&gt;"ENCERRADA"),1,0),0)</f>
        <v/>
      </c>
      <c r="B2986">
        <f>B2985+A2986</f>
        <v/>
      </c>
    </row>
    <row r="2987">
      <c r="A2987">
        <f>IFERROR(IF(AND(INDEX(BASELINE!$A2987:$ZZ2987,CALC!$H$1)&lt;&gt;"",INT(IF(AND(CALC!$F$1&gt;0,N(INDEX(BASELINE!$A2987:$ZZ2987,CALC!$F$1))&gt;0),N(INDEX(BASELINE!$A2987:$ZZ2987,CALC!$F$1)),N(INDEX(BASELINE!$A2987:$ZZ2987,CALC!$P$1))))=INT(SIMOPS!$D$3),IFERROR(UPPER(TRIM(INDEX(BASELINE!$A2987:$ZZ2987,CALC!$R$1)&amp;"")),"")&lt;&gt;"ENCERRADA"),1,0),0)</f>
        <v/>
      </c>
      <c r="B2987">
        <f>B2986+A2987</f>
        <v/>
      </c>
    </row>
    <row r="2988">
      <c r="A2988">
        <f>IFERROR(IF(AND(INDEX(BASELINE!$A2988:$ZZ2988,CALC!$H$1)&lt;&gt;"",INT(IF(AND(CALC!$F$1&gt;0,N(INDEX(BASELINE!$A2988:$ZZ2988,CALC!$F$1))&gt;0),N(INDEX(BASELINE!$A2988:$ZZ2988,CALC!$F$1)),N(INDEX(BASELINE!$A2988:$ZZ2988,CALC!$P$1))))=INT(SIMOPS!$D$3),IFERROR(UPPER(TRIM(INDEX(BASELINE!$A2988:$ZZ2988,CALC!$R$1)&amp;"")),"")&lt;&gt;"ENCERRADA"),1,0),0)</f>
        <v/>
      </c>
      <c r="B2988">
        <f>B2987+A2988</f>
        <v/>
      </c>
    </row>
    <row r="2989">
      <c r="A2989">
        <f>IFERROR(IF(AND(INDEX(BASELINE!$A2989:$ZZ2989,CALC!$H$1)&lt;&gt;"",INT(IF(AND(CALC!$F$1&gt;0,N(INDEX(BASELINE!$A2989:$ZZ2989,CALC!$F$1))&gt;0),N(INDEX(BASELINE!$A2989:$ZZ2989,CALC!$F$1)),N(INDEX(BASELINE!$A2989:$ZZ2989,CALC!$P$1))))=INT(SIMOPS!$D$3),IFERROR(UPPER(TRIM(INDEX(BASELINE!$A2989:$ZZ2989,CALC!$R$1)&amp;"")),"")&lt;&gt;"ENCERRADA"),1,0),0)</f>
        <v/>
      </c>
      <c r="B2989">
        <f>B2988+A2989</f>
        <v/>
      </c>
    </row>
    <row r="2990">
      <c r="A2990">
        <f>IFERROR(IF(AND(INDEX(BASELINE!$A2990:$ZZ2990,CALC!$H$1)&lt;&gt;"",INT(IF(AND(CALC!$F$1&gt;0,N(INDEX(BASELINE!$A2990:$ZZ2990,CALC!$F$1))&gt;0),N(INDEX(BASELINE!$A2990:$ZZ2990,CALC!$F$1)),N(INDEX(BASELINE!$A2990:$ZZ2990,CALC!$P$1))))=INT(SIMOPS!$D$3),IFERROR(UPPER(TRIM(INDEX(BASELINE!$A2990:$ZZ2990,CALC!$R$1)&amp;"")),"")&lt;&gt;"ENCERRADA"),1,0),0)</f>
        <v/>
      </c>
      <c r="B2990">
        <f>B2989+A2990</f>
        <v/>
      </c>
    </row>
    <row r="2991">
      <c r="A2991">
        <f>IFERROR(IF(AND(INDEX(BASELINE!$A2991:$ZZ2991,CALC!$H$1)&lt;&gt;"",INT(IF(AND(CALC!$F$1&gt;0,N(INDEX(BASELINE!$A2991:$ZZ2991,CALC!$F$1))&gt;0),N(INDEX(BASELINE!$A2991:$ZZ2991,CALC!$F$1)),N(INDEX(BASELINE!$A2991:$ZZ2991,CALC!$P$1))))=INT(SIMOPS!$D$3),IFERROR(UPPER(TRIM(INDEX(BASELINE!$A2991:$ZZ2991,CALC!$R$1)&amp;"")),"")&lt;&gt;"ENCERRADA"),1,0),0)</f>
        <v/>
      </c>
      <c r="B2991">
        <f>B2990+A2991</f>
        <v/>
      </c>
    </row>
    <row r="2992">
      <c r="A2992">
        <f>IFERROR(IF(AND(INDEX(BASELINE!$A2992:$ZZ2992,CALC!$H$1)&lt;&gt;"",INT(IF(AND(CALC!$F$1&gt;0,N(INDEX(BASELINE!$A2992:$ZZ2992,CALC!$F$1))&gt;0),N(INDEX(BASELINE!$A2992:$ZZ2992,CALC!$F$1)),N(INDEX(BASELINE!$A2992:$ZZ2992,CALC!$P$1))))=INT(SIMOPS!$D$3),IFERROR(UPPER(TRIM(INDEX(BASELINE!$A2992:$ZZ2992,CALC!$R$1)&amp;"")),"")&lt;&gt;"ENCERRADA"),1,0),0)</f>
        <v/>
      </c>
      <c r="B2992">
        <f>B2991+A2992</f>
        <v/>
      </c>
    </row>
    <row r="2993">
      <c r="A2993">
        <f>IFERROR(IF(AND(INDEX(BASELINE!$A2993:$ZZ2993,CALC!$H$1)&lt;&gt;"",INT(IF(AND(CALC!$F$1&gt;0,N(INDEX(BASELINE!$A2993:$ZZ2993,CALC!$F$1))&gt;0),N(INDEX(BASELINE!$A2993:$ZZ2993,CALC!$F$1)),N(INDEX(BASELINE!$A2993:$ZZ2993,CALC!$P$1))))=INT(SIMOPS!$D$3),IFERROR(UPPER(TRIM(INDEX(BASELINE!$A2993:$ZZ2993,CALC!$R$1)&amp;"")),"")&lt;&gt;"ENCERRADA"),1,0),0)</f>
        <v/>
      </c>
      <c r="B2993">
        <f>B2992+A2993</f>
        <v/>
      </c>
    </row>
    <row r="2994">
      <c r="A2994">
        <f>IFERROR(IF(AND(INDEX(BASELINE!$A2994:$ZZ2994,CALC!$H$1)&lt;&gt;"",INT(IF(AND(CALC!$F$1&gt;0,N(INDEX(BASELINE!$A2994:$ZZ2994,CALC!$F$1))&gt;0),N(INDEX(BASELINE!$A2994:$ZZ2994,CALC!$F$1)),N(INDEX(BASELINE!$A2994:$ZZ2994,CALC!$P$1))))=INT(SIMOPS!$D$3),IFERROR(UPPER(TRIM(INDEX(BASELINE!$A2994:$ZZ2994,CALC!$R$1)&amp;"")),"")&lt;&gt;"ENCERRADA"),1,0),0)</f>
        <v/>
      </c>
      <c r="B2994">
        <f>B2993+A2994</f>
        <v/>
      </c>
    </row>
    <row r="2995">
      <c r="A2995">
        <f>IFERROR(IF(AND(INDEX(BASELINE!$A2995:$ZZ2995,CALC!$H$1)&lt;&gt;"",INT(IF(AND(CALC!$F$1&gt;0,N(INDEX(BASELINE!$A2995:$ZZ2995,CALC!$F$1))&gt;0),N(INDEX(BASELINE!$A2995:$ZZ2995,CALC!$F$1)),N(INDEX(BASELINE!$A2995:$ZZ2995,CALC!$P$1))))=INT(SIMOPS!$D$3),IFERROR(UPPER(TRIM(INDEX(BASELINE!$A2995:$ZZ2995,CALC!$R$1)&amp;"")),"")&lt;&gt;"ENCERRADA"),1,0),0)</f>
        <v/>
      </c>
      <c r="B2995">
        <f>B2994+A2995</f>
        <v/>
      </c>
    </row>
    <row r="2996">
      <c r="A2996">
        <f>IFERROR(IF(AND(INDEX(BASELINE!$A2996:$ZZ2996,CALC!$H$1)&lt;&gt;"",INT(IF(AND(CALC!$F$1&gt;0,N(INDEX(BASELINE!$A2996:$ZZ2996,CALC!$F$1))&gt;0),N(INDEX(BASELINE!$A2996:$ZZ2996,CALC!$F$1)),N(INDEX(BASELINE!$A2996:$ZZ2996,CALC!$P$1))))=INT(SIMOPS!$D$3),IFERROR(UPPER(TRIM(INDEX(BASELINE!$A2996:$ZZ2996,CALC!$R$1)&amp;"")),"")&lt;&gt;"ENCERRADA"),1,0),0)</f>
        <v/>
      </c>
      <c r="B2996">
        <f>B2995+A2996</f>
        <v/>
      </c>
    </row>
    <row r="2997">
      <c r="A2997">
        <f>IFERROR(IF(AND(INDEX(BASELINE!$A2997:$ZZ2997,CALC!$H$1)&lt;&gt;"",INT(IF(AND(CALC!$F$1&gt;0,N(INDEX(BASELINE!$A2997:$ZZ2997,CALC!$F$1))&gt;0),N(INDEX(BASELINE!$A2997:$ZZ2997,CALC!$F$1)),N(INDEX(BASELINE!$A2997:$ZZ2997,CALC!$P$1))))=INT(SIMOPS!$D$3),IFERROR(UPPER(TRIM(INDEX(BASELINE!$A2997:$ZZ2997,CALC!$R$1)&amp;"")),"")&lt;&gt;"ENCERRADA"),1,0),0)</f>
        <v/>
      </c>
      <c r="B2997">
        <f>B2996+A2997</f>
        <v/>
      </c>
    </row>
    <row r="2998">
      <c r="A2998">
        <f>IFERROR(IF(AND(INDEX(BASELINE!$A2998:$ZZ2998,CALC!$H$1)&lt;&gt;"",INT(IF(AND(CALC!$F$1&gt;0,N(INDEX(BASELINE!$A2998:$ZZ2998,CALC!$F$1))&gt;0),N(INDEX(BASELINE!$A2998:$ZZ2998,CALC!$F$1)),N(INDEX(BASELINE!$A2998:$ZZ2998,CALC!$P$1))))=INT(SIMOPS!$D$3),IFERROR(UPPER(TRIM(INDEX(BASELINE!$A2998:$ZZ2998,CALC!$R$1)&amp;"")),"")&lt;&gt;"ENCERRADA"),1,0),0)</f>
        <v/>
      </c>
      <c r="B2998">
        <f>B2997+A2998</f>
        <v/>
      </c>
    </row>
    <row r="2999">
      <c r="A2999">
        <f>IFERROR(IF(AND(INDEX(BASELINE!$A2999:$ZZ2999,CALC!$H$1)&lt;&gt;"",INT(IF(AND(CALC!$F$1&gt;0,N(INDEX(BASELINE!$A2999:$ZZ2999,CALC!$F$1))&gt;0),N(INDEX(BASELINE!$A2999:$ZZ2999,CALC!$F$1)),N(INDEX(BASELINE!$A2999:$ZZ2999,CALC!$P$1))))=INT(SIMOPS!$D$3),IFERROR(UPPER(TRIM(INDEX(BASELINE!$A2999:$ZZ2999,CALC!$R$1)&amp;"")),"")&lt;&gt;"ENCERRADA"),1,0),0)</f>
        <v/>
      </c>
      <c r="B2999">
        <f>B2998+A2999</f>
        <v/>
      </c>
    </row>
    <row r="3000">
      <c r="A3000">
        <f>IFERROR(IF(AND(INDEX(BASELINE!$A3000:$ZZ3000,CALC!$H$1)&lt;&gt;"",INT(IF(AND(CALC!$F$1&gt;0,N(INDEX(BASELINE!$A3000:$ZZ3000,CALC!$F$1))&gt;0),N(INDEX(BASELINE!$A3000:$ZZ3000,CALC!$F$1)),N(INDEX(BASELINE!$A3000:$ZZ3000,CALC!$P$1))))=INT(SIMOPS!$D$3),IFERROR(UPPER(TRIM(INDEX(BASELINE!$A3000:$ZZ3000,CALC!$R$1)&amp;"")),"")&lt;&gt;"ENCERRADA"),1,0),0)</f>
        <v/>
      </c>
      <c r="B3000">
        <f>B2999+A3000</f>
        <v/>
      </c>
    </row>
    <row r="3001">
      <c r="A3001">
        <f>IFERROR(IF(AND(INDEX(BASELINE!$A3001:$ZZ3001,CALC!$H$1)&lt;&gt;"",INT(IF(AND(CALC!$F$1&gt;0,N(INDEX(BASELINE!$A3001:$ZZ3001,CALC!$F$1))&gt;0),N(INDEX(BASELINE!$A3001:$ZZ3001,CALC!$F$1)),N(INDEX(BASELINE!$A3001:$ZZ3001,CALC!$P$1))))=INT(SIMOPS!$D$3),IFERROR(UPPER(TRIM(INDEX(BASELINE!$A3001:$ZZ3001,CALC!$R$1)&amp;"")),"")&lt;&gt;"ENCERRADA"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2026-10-27T19:14:52Z</dcterms:created>
  <dcterms:modified xmlns:dcterms="http://purl.org/dc/terms/" xmlns:xsi="http://www.w3.org/2001/XMLSchema-instance" xsi:type="dcterms:W3CDTF">2026-10-27T19:14:52Z</dcterms:modified>
</cp:coreProperties>
</file>