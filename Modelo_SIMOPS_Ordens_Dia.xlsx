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OPS" sheetId="1" state="visible" r:id="rId1"/>
    <sheet xmlns:r="http://schemas.openxmlformats.org/officeDocument/2006/relationships" name="COMO USAR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LC" sheetId="4" state="hidden" r:id="rId4"/>
  </sheets>
  <definedNames>
    <definedName name="_xlnm.Print_Titles" localSheetId="0">'SIMOPS'!$8:$8</definedName>
    <definedName name="_xlnm._FilterDatabase" localSheetId="2" hidden="1">'BASELINE'!$A$1:$T$558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##"/>
    <numFmt numFmtId="166" formatCode="0.0;;0.0"/>
    <numFmt numFmtId="167" formatCode="yyyy-mm-dd h:mm:ss"/>
  </numFmts>
  <fonts count="13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i val="1"/>
      <color rgb="00667085"/>
      <sz val="9"/>
    </font>
    <font>
      <name val="Calibri"/>
      <b val="1"/>
      <color rgb="001F3A5F"/>
      <sz val="10"/>
    </font>
    <font>
      <name val="Calibri"/>
      <b val="1"/>
      <sz val="11"/>
    </font>
    <font>
      <name val="Calibri"/>
      <i val="1"/>
      <color rgb="00667085"/>
    </font>
    <font>
      <name val="Calibri"/>
      <b val="1"/>
      <sz val="12"/>
    </font>
    <font>
      <name val="Calibri"/>
      <b val="1"/>
      <color rgb="00B42318"/>
    </font>
    <font>
      <name val="Calibri"/>
      <b val="1"/>
      <color rgb="00FFFFFF"/>
      <sz val="10"/>
    </font>
    <font>
      <name val="Calibri"/>
      <sz val="10"/>
    </font>
    <font>
      <name val="Calibri"/>
      <color rgb="0098A2B3"/>
      <sz val="8"/>
    </font>
    <font>
      <name val="Calibri"/>
      <b val="1"/>
      <color rgb="001F3A5F"/>
      <sz val="12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applyAlignment="1" pivotButton="0" quotePrefix="0" xfId="0">
      <alignment horizontal="left"/>
    </xf>
    <xf numFmtId="0" fontId="5" fillId="0" borderId="0" pivotButton="0" quotePrefix="0" xfId="0"/>
    <xf numFmtId="0" fontId="3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166" fontId="9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4C1D95"/>
      </font>
      <fill>
        <patternFill patternType="solid">
          <fgColor rgb="00DDD6FE"/>
          <bgColor rgb="00DDD6FE"/>
        </patternFill>
      </fill>
    </dxf>
    <dxf>
      <fill>
        <patternFill patternType="solid">
          <fgColor rgb="00F2F4F7"/>
          <bgColor rgb="00F2F4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40" customWidth="1" min="4" max="4"/>
    <col width="40" customWidth="1" min="5" max="5"/>
    <col width="7" customWidth="1" min="6" max="6"/>
    <col width="16" customWidth="1" min="7" max="7"/>
    <col width="26" customWidth="1" min="8" max="8"/>
    <col width="30" customWidth="1" min="9" max="9"/>
    <col width="10" customWidth="1" min="10" max="10"/>
    <col hidden="1" width="6" customWidth="1" min="11" max="11"/>
  </cols>
  <sheetData>
    <row r="1">
      <c r="A1" s="1" t="inlineStr">
        <is>
          <t>SIMOPS — Ordens programadas para o dia</t>
        </is>
      </c>
    </row>
    <row r="2">
      <c r="A2" s="2" t="inlineStr">
        <is>
          <t>Fonte: aba BASELINE (colar a exportação atualizada em A:T). Só é preciso informar a data abaixo.</t>
        </is>
      </c>
    </row>
    <row r="3">
      <c r="A3" s="3" t="inlineStr">
        <is>
          <t>Data de execução</t>
        </is>
      </c>
      <c r="D3" s="4">
        <f>TODAY()+1</f>
        <v/>
      </c>
      <c r="E3" s="5">
        <f>TEXT(D3,"dddd")</f>
        <v/>
      </c>
      <c r="G3" s="6" t="inlineStr">
        <is>
          <t>Operações</t>
        </is>
      </c>
      <c r="I3" s="7">
        <f>COUNT($A$9:$A$158)</f>
        <v/>
      </c>
      <c r="J3" s="6" t="inlineStr">
        <is>
          <t>Break-in</t>
        </is>
      </c>
      <c r="K3" s="8">
        <f>COUNTIF($J$9:$J$158,"SIM")</f>
        <v/>
      </c>
    </row>
    <row r="4">
      <c r="A4" s="2" t="inlineStr">
        <is>
          <t>Ordens encerradas ficam de fora</t>
        </is>
      </c>
      <c r="E4" s="2" t="inlineStr">
        <is>
          <t>← D3 vem como amanhã (=HOJE()+1); digite outra data para sobrescrever</t>
        </is>
      </c>
      <c r="G4" s="6" t="inlineStr">
        <is>
          <t>Ordens</t>
        </is>
      </c>
      <c r="I4" s="7">
        <f>SUMPRODUCT(($B$9:$B$158&lt;&gt;"")/COUNTIF($B$9:$B$158,$B$9:$B$158&amp;""))</f>
        <v/>
      </c>
    </row>
    <row r="5">
      <c r="G5" s="6" t="inlineStr">
        <is>
          <t>HH total</t>
        </is>
      </c>
      <c r="I5" s="7">
        <f>SUM($F$9:$F$158)</f>
        <v/>
      </c>
    </row>
    <row r="6">
      <c r="A6" s="9">
        <f>IF(CALC!$D$1&gt;150,"ATENÇÃO: "&amp;CALC!$D$1&amp;" operações no dia, mas a lista mostra só 150. Estenda as fórmulas para baixo.","")</f>
        <v/>
      </c>
    </row>
    <row r="8" ht="22" customHeight="1">
      <c r="A8" s="10" t="inlineStr">
        <is>
          <t>#</t>
        </is>
      </c>
      <c r="B8" s="11" t="inlineStr">
        <is>
          <t>Ordem</t>
        </is>
      </c>
      <c r="C8" s="10" t="inlineStr">
        <is>
          <t>Op.</t>
        </is>
      </c>
      <c r="D8" s="11" t="inlineStr">
        <is>
          <t>Descrição da ordem</t>
        </is>
      </c>
      <c r="E8" s="11" t="inlineStr">
        <is>
          <t>Descrição da operação</t>
        </is>
      </c>
      <c r="F8" s="10" t="inlineStr">
        <is>
          <t>HH</t>
        </is>
      </c>
      <c r="G8" s="11" t="inlineStr">
        <is>
          <t>Centro de trabalho</t>
        </is>
      </c>
      <c r="H8" s="11" t="inlineStr">
        <is>
          <t>Local de instalação</t>
        </is>
      </c>
      <c r="I8" s="11" t="inlineStr">
        <is>
          <t>Denominação do LI</t>
        </is>
      </c>
      <c r="J8" s="10" t="inlineStr">
        <is>
          <t>Break-in</t>
        </is>
      </c>
      <c r="K8" s="11" t="inlineStr">
        <is>
          <t>lin</t>
        </is>
      </c>
    </row>
    <row r="9" ht="17" customHeight="1">
      <c r="A9" s="12">
        <f>IF($K9="","",1)</f>
        <v/>
      </c>
      <c r="B9" s="13">
        <f>IF($K9="","",IF(INDEX(BASELINE!$I$2:$I$3001,$K9)="","",INDEX(BASELINE!$I$2:$I$3001,$K9)))</f>
        <v/>
      </c>
      <c r="C9" s="12">
        <f>IF($K9="","",IF(INDEX(BASELINE!$J$2:$J$3001,$K9)="","",INDEX(BASELINE!$J$2:$J$3001,$K9)))</f>
        <v/>
      </c>
      <c r="D9" s="13">
        <f>IF($K9="","",IF(INDEX(BASELINE!$M$2:$M$3001,$K9)="","",INDEX(BASELINE!$M$2:$M$3001,$K9)))</f>
        <v/>
      </c>
      <c r="E9" s="13">
        <f>IF($K9="","",IF(INDEX(BASELINE!$L$2:$L$3001,$K9)="","",INDEX(BASELINE!$L$2:$L$3001,$K9)))</f>
        <v/>
      </c>
      <c r="F9" s="14">
        <f>IF($K9="","",IF(INDEX(BASELINE!$P$2:$P$3001,$K9)="","",INDEX(BASELINE!$P$2:$P$3001,$K9)))</f>
        <v/>
      </c>
      <c r="G9" s="13">
        <f>IF($K9="","",IF(INDEX(BASELINE!$K$2:$K$3001,$K9)="","",INDEX(BASELINE!$K$2:$K$3001,$K9)))</f>
        <v/>
      </c>
      <c r="H9" s="13">
        <f>IF($K9="","",IF(INDEX(BASELINE!$N$2:$N$3001,$K9)="","",INDEX(BASELINE!$N$2:$N$3001,$K9)))</f>
        <v/>
      </c>
      <c r="I9" s="13">
        <f>IF($K9="","",IF(INDEX(BASELINE!$O$2:$O$3001,$K9)="","",INDEX(BASELINE!$O$2:$O$3001,$K9)))</f>
        <v/>
      </c>
      <c r="J9" s="12">
        <f>IF($K9="","",IF(ISNUMBER(SEARCH("break",INDEX(BASELINE!$T$2:$T$3001,$K9)&amp;"")),"SIM",""))</f>
        <v/>
      </c>
      <c r="K9" s="15">
        <f>IF(1&lt;=CALC!$D$1,MATCH(1,CALC!$B$2:$B$3001,0),"")</f>
        <v/>
      </c>
    </row>
    <row r="10" ht="17" customHeight="1">
      <c r="A10" s="12">
        <f>IF($K10="","",2)</f>
        <v/>
      </c>
      <c r="B10" s="13">
        <f>IF($K10="","",IF(INDEX(BASELINE!$I$2:$I$3001,$K10)="","",INDEX(BASELINE!$I$2:$I$3001,$K10)))</f>
        <v/>
      </c>
      <c r="C10" s="12">
        <f>IF($K10="","",IF(INDEX(BASELINE!$J$2:$J$3001,$K10)="","",INDEX(BASELINE!$J$2:$J$3001,$K10)))</f>
        <v/>
      </c>
      <c r="D10" s="13">
        <f>IF($K10="","",IF(INDEX(BASELINE!$M$2:$M$3001,$K10)="","",INDEX(BASELINE!$M$2:$M$3001,$K10)))</f>
        <v/>
      </c>
      <c r="E10" s="13">
        <f>IF($K10="","",IF(INDEX(BASELINE!$L$2:$L$3001,$K10)="","",INDEX(BASELINE!$L$2:$L$3001,$K10)))</f>
        <v/>
      </c>
      <c r="F10" s="14">
        <f>IF($K10="","",IF(INDEX(BASELINE!$P$2:$P$3001,$K10)="","",INDEX(BASELINE!$P$2:$P$3001,$K10)))</f>
        <v/>
      </c>
      <c r="G10" s="13">
        <f>IF($K10="","",IF(INDEX(BASELINE!$K$2:$K$3001,$K10)="","",INDEX(BASELINE!$K$2:$K$3001,$K10)))</f>
        <v/>
      </c>
      <c r="H10" s="13">
        <f>IF($K10="","",IF(INDEX(BASELINE!$N$2:$N$3001,$K10)="","",INDEX(BASELINE!$N$2:$N$3001,$K10)))</f>
        <v/>
      </c>
      <c r="I10" s="13">
        <f>IF($K10="","",IF(INDEX(BASELINE!$O$2:$O$3001,$K10)="","",INDEX(BASELINE!$O$2:$O$3001,$K10)))</f>
        <v/>
      </c>
      <c r="J10" s="12">
        <f>IF($K10="","",IF(ISNUMBER(SEARCH("break",INDEX(BASELINE!$T$2:$T$3001,$K10)&amp;"")),"SIM",""))</f>
        <v/>
      </c>
      <c r="K10" s="15">
        <f>IF(2&lt;=CALC!$D$1,MATCH(2,CALC!$B$2:$B$3001,0),"")</f>
        <v/>
      </c>
    </row>
    <row r="11" ht="17" customHeight="1">
      <c r="A11" s="12">
        <f>IF($K11="","",3)</f>
        <v/>
      </c>
      <c r="B11" s="13">
        <f>IF($K11="","",IF(INDEX(BASELINE!$I$2:$I$3001,$K11)="","",INDEX(BASELINE!$I$2:$I$3001,$K11)))</f>
        <v/>
      </c>
      <c r="C11" s="12">
        <f>IF($K11="","",IF(INDEX(BASELINE!$J$2:$J$3001,$K11)="","",INDEX(BASELINE!$J$2:$J$3001,$K11)))</f>
        <v/>
      </c>
      <c r="D11" s="13">
        <f>IF($K11="","",IF(INDEX(BASELINE!$M$2:$M$3001,$K11)="","",INDEX(BASELINE!$M$2:$M$3001,$K11)))</f>
        <v/>
      </c>
      <c r="E11" s="13">
        <f>IF($K11="","",IF(INDEX(BASELINE!$L$2:$L$3001,$K11)="","",INDEX(BASELINE!$L$2:$L$3001,$K11)))</f>
        <v/>
      </c>
      <c r="F11" s="14">
        <f>IF($K11="","",IF(INDEX(BASELINE!$P$2:$P$3001,$K11)="","",INDEX(BASELINE!$P$2:$P$3001,$K11)))</f>
        <v/>
      </c>
      <c r="G11" s="13">
        <f>IF($K11="","",IF(INDEX(BASELINE!$K$2:$K$3001,$K11)="","",INDEX(BASELINE!$K$2:$K$3001,$K11)))</f>
        <v/>
      </c>
      <c r="H11" s="13">
        <f>IF($K11="","",IF(INDEX(BASELINE!$N$2:$N$3001,$K11)="","",INDEX(BASELINE!$N$2:$N$3001,$K11)))</f>
        <v/>
      </c>
      <c r="I11" s="13">
        <f>IF($K11="","",IF(INDEX(BASELINE!$O$2:$O$3001,$K11)="","",INDEX(BASELINE!$O$2:$O$3001,$K11)))</f>
        <v/>
      </c>
      <c r="J11" s="12">
        <f>IF($K11="","",IF(ISNUMBER(SEARCH("break",INDEX(BASELINE!$T$2:$T$3001,$K11)&amp;"")),"SIM",""))</f>
        <v/>
      </c>
      <c r="K11" s="15">
        <f>IF(3&lt;=CALC!$D$1,MATCH(3,CALC!$B$2:$B$3001,0),"")</f>
        <v/>
      </c>
    </row>
    <row r="12" ht="17" customHeight="1">
      <c r="A12" s="12">
        <f>IF($K12="","",4)</f>
        <v/>
      </c>
      <c r="B12" s="13">
        <f>IF($K12="","",IF(INDEX(BASELINE!$I$2:$I$3001,$K12)="","",INDEX(BASELINE!$I$2:$I$3001,$K12)))</f>
        <v/>
      </c>
      <c r="C12" s="12">
        <f>IF($K12="","",IF(INDEX(BASELINE!$J$2:$J$3001,$K12)="","",INDEX(BASELINE!$J$2:$J$3001,$K12)))</f>
        <v/>
      </c>
      <c r="D12" s="13">
        <f>IF($K12="","",IF(INDEX(BASELINE!$M$2:$M$3001,$K12)="","",INDEX(BASELINE!$M$2:$M$3001,$K12)))</f>
        <v/>
      </c>
      <c r="E12" s="13">
        <f>IF($K12="","",IF(INDEX(BASELINE!$L$2:$L$3001,$K12)="","",INDEX(BASELINE!$L$2:$L$3001,$K12)))</f>
        <v/>
      </c>
      <c r="F12" s="14">
        <f>IF($K12="","",IF(INDEX(BASELINE!$P$2:$P$3001,$K12)="","",INDEX(BASELINE!$P$2:$P$3001,$K12)))</f>
        <v/>
      </c>
      <c r="G12" s="13">
        <f>IF($K12="","",IF(INDEX(BASELINE!$K$2:$K$3001,$K12)="","",INDEX(BASELINE!$K$2:$K$3001,$K12)))</f>
        <v/>
      </c>
      <c r="H12" s="13">
        <f>IF($K12="","",IF(INDEX(BASELINE!$N$2:$N$3001,$K12)="","",INDEX(BASELINE!$N$2:$N$3001,$K12)))</f>
        <v/>
      </c>
      <c r="I12" s="13">
        <f>IF($K12="","",IF(INDEX(BASELINE!$O$2:$O$3001,$K12)="","",INDEX(BASELINE!$O$2:$O$3001,$K12)))</f>
        <v/>
      </c>
      <c r="J12" s="12">
        <f>IF($K12="","",IF(ISNUMBER(SEARCH("break",INDEX(BASELINE!$T$2:$T$3001,$K12)&amp;"")),"SIM",""))</f>
        <v/>
      </c>
      <c r="K12" s="15">
        <f>IF(4&lt;=CALC!$D$1,MATCH(4,CALC!$B$2:$B$3001,0),"")</f>
        <v/>
      </c>
    </row>
    <row r="13" ht="17" customHeight="1">
      <c r="A13" s="12">
        <f>IF($K13="","",5)</f>
        <v/>
      </c>
      <c r="B13" s="13">
        <f>IF($K13="","",IF(INDEX(BASELINE!$I$2:$I$3001,$K13)="","",INDEX(BASELINE!$I$2:$I$3001,$K13)))</f>
        <v/>
      </c>
      <c r="C13" s="12">
        <f>IF($K13="","",IF(INDEX(BASELINE!$J$2:$J$3001,$K13)="","",INDEX(BASELINE!$J$2:$J$3001,$K13)))</f>
        <v/>
      </c>
      <c r="D13" s="13">
        <f>IF($K13="","",IF(INDEX(BASELINE!$M$2:$M$3001,$K13)="","",INDEX(BASELINE!$M$2:$M$3001,$K13)))</f>
        <v/>
      </c>
      <c r="E13" s="13">
        <f>IF($K13="","",IF(INDEX(BASELINE!$L$2:$L$3001,$K13)="","",INDEX(BASELINE!$L$2:$L$3001,$K13)))</f>
        <v/>
      </c>
      <c r="F13" s="14">
        <f>IF($K13="","",IF(INDEX(BASELINE!$P$2:$P$3001,$K13)="","",INDEX(BASELINE!$P$2:$P$3001,$K13)))</f>
        <v/>
      </c>
      <c r="G13" s="13">
        <f>IF($K13="","",IF(INDEX(BASELINE!$K$2:$K$3001,$K13)="","",INDEX(BASELINE!$K$2:$K$3001,$K13)))</f>
        <v/>
      </c>
      <c r="H13" s="13">
        <f>IF($K13="","",IF(INDEX(BASELINE!$N$2:$N$3001,$K13)="","",INDEX(BASELINE!$N$2:$N$3001,$K13)))</f>
        <v/>
      </c>
      <c r="I13" s="13">
        <f>IF($K13="","",IF(INDEX(BASELINE!$O$2:$O$3001,$K13)="","",INDEX(BASELINE!$O$2:$O$3001,$K13)))</f>
        <v/>
      </c>
      <c r="J13" s="12">
        <f>IF($K13="","",IF(ISNUMBER(SEARCH("break",INDEX(BASELINE!$T$2:$T$3001,$K13)&amp;"")),"SIM",""))</f>
        <v/>
      </c>
      <c r="K13" s="15">
        <f>IF(5&lt;=CALC!$D$1,MATCH(5,CALC!$B$2:$B$3001,0),"")</f>
        <v/>
      </c>
    </row>
    <row r="14" ht="17" customHeight="1">
      <c r="A14" s="12">
        <f>IF($K14="","",6)</f>
        <v/>
      </c>
      <c r="B14" s="13">
        <f>IF($K14="","",IF(INDEX(BASELINE!$I$2:$I$3001,$K14)="","",INDEX(BASELINE!$I$2:$I$3001,$K14)))</f>
        <v/>
      </c>
      <c r="C14" s="12">
        <f>IF($K14="","",IF(INDEX(BASELINE!$J$2:$J$3001,$K14)="","",INDEX(BASELINE!$J$2:$J$3001,$K14)))</f>
        <v/>
      </c>
      <c r="D14" s="13">
        <f>IF($K14="","",IF(INDEX(BASELINE!$M$2:$M$3001,$K14)="","",INDEX(BASELINE!$M$2:$M$3001,$K14)))</f>
        <v/>
      </c>
      <c r="E14" s="13">
        <f>IF($K14="","",IF(INDEX(BASELINE!$L$2:$L$3001,$K14)="","",INDEX(BASELINE!$L$2:$L$3001,$K14)))</f>
        <v/>
      </c>
      <c r="F14" s="14">
        <f>IF($K14="","",IF(INDEX(BASELINE!$P$2:$P$3001,$K14)="","",INDEX(BASELINE!$P$2:$P$3001,$K14)))</f>
        <v/>
      </c>
      <c r="G14" s="13">
        <f>IF($K14="","",IF(INDEX(BASELINE!$K$2:$K$3001,$K14)="","",INDEX(BASELINE!$K$2:$K$3001,$K14)))</f>
        <v/>
      </c>
      <c r="H14" s="13">
        <f>IF($K14="","",IF(INDEX(BASELINE!$N$2:$N$3001,$K14)="","",INDEX(BASELINE!$N$2:$N$3001,$K14)))</f>
        <v/>
      </c>
      <c r="I14" s="13">
        <f>IF($K14="","",IF(INDEX(BASELINE!$O$2:$O$3001,$K14)="","",INDEX(BASELINE!$O$2:$O$3001,$K14)))</f>
        <v/>
      </c>
      <c r="J14" s="12">
        <f>IF($K14="","",IF(ISNUMBER(SEARCH("break",INDEX(BASELINE!$T$2:$T$3001,$K14)&amp;"")),"SIM",""))</f>
        <v/>
      </c>
      <c r="K14" s="15">
        <f>IF(6&lt;=CALC!$D$1,MATCH(6,CALC!$B$2:$B$3001,0),"")</f>
        <v/>
      </c>
    </row>
    <row r="15" ht="17" customHeight="1">
      <c r="A15" s="12">
        <f>IF($K15="","",7)</f>
        <v/>
      </c>
      <c r="B15" s="13">
        <f>IF($K15="","",IF(INDEX(BASELINE!$I$2:$I$3001,$K15)="","",INDEX(BASELINE!$I$2:$I$3001,$K15)))</f>
        <v/>
      </c>
      <c r="C15" s="12">
        <f>IF($K15="","",IF(INDEX(BASELINE!$J$2:$J$3001,$K15)="","",INDEX(BASELINE!$J$2:$J$3001,$K15)))</f>
        <v/>
      </c>
      <c r="D15" s="13">
        <f>IF($K15="","",IF(INDEX(BASELINE!$M$2:$M$3001,$K15)="","",INDEX(BASELINE!$M$2:$M$3001,$K15)))</f>
        <v/>
      </c>
      <c r="E15" s="13">
        <f>IF($K15="","",IF(INDEX(BASELINE!$L$2:$L$3001,$K15)="","",INDEX(BASELINE!$L$2:$L$3001,$K15)))</f>
        <v/>
      </c>
      <c r="F15" s="14">
        <f>IF($K15="","",IF(INDEX(BASELINE!$P$2:$P$3001,$K15)="","",INDEX(BASELINE!$P$2:$P$3001,$K15)))</f>
        <v/>
      </c>
      <c r="G15" s="13">
        <f>IF($K15="","",IF(INDEX(BASELINE!$K$2:$K$3001,$K15)="","",INDEX(BASELINE!$K$2:$K$3001,$K15)))</f>
        <v/>
      </c>
      <c r="H15" s="13">
        <f>IF($K15="","",IF(INDEX(BASELINE!$N$2:$N$3001,$K15)="","",INDEX(BASELINE!$N$2:$N$3001,$K15)))</f>
        <v/>
      </c>
      <c r="I15" s="13">
        <f>IF($K15="","",IF(INDEX(BASELINE!$O$2:$O$3001,$K15)="","",INDEX(BASELINE!$O$2:$O$3001,$K15)))</f>
        <v/>
      </c>
      <c r="J15" s="12">
        <f>IF($K15="","",IF(ISNUMBER(SEARCH("break",INDEX(BASELINE!$T$2:$T$3001,$K15)&amp;"")),"SIM",""))</f>
        <v/>
      </c>
      <c r="K15" s="15">
        <f>IF(7&lt;=CALC!$D$1,MATCH(7,CALC!$B$2:$B$3001,0),"")</f>
        <v/>
      </c>
    </row>
    <row r="16" ht="17" customHeight="1">
      <c r="A16" s="12">
        <f>IF($K16="","",8)</f>
        <v/>
      </c>
      <c r="B16" s="13">
        <f>IF($K16="","",IF(INDEX(BASELINE!$I$2:$I$3001,$K16)="","",INDEX(BASELINE!$I$2:$I$3001,$K16)))</f>
        <v/>
      </c>
      <c r="C16" s="12">
        <f>IF($K16="","",IF(INDEX(BASELINE!$J$2:$J$3001,$K16)="","",INDEX(BASELINE!$J$2:$J$3001,$K16)))</f>
        <v/>
      </c>
      <c r="D16" s="13">
        <f>IF($K16="","",IF(INDEX(BASELINE!$M$2:$M$3001,$K16)="","",INDEX(BASELINE!$M$2:$M$3001,$K16)))</f>
        <v/>
      </c>
      <c r="E16" s="13">
        <f>IF($K16="","",IF(INDEX(BASELINE!$L$2:$L$3001,$K16)="","",INDEX(BASELINE!$L$2:$L$3001,$K16)))</f>
        <v/>
      </c>
      <c r="F16" s="14">
        <f>IF($K16="","",IF(INDEX(BASELINE!$P$2:$P$3001,$K16)="","",INDEX(BASELINE!$P$2:$P$3001,$K16)))</f>
        <v/>
      </c>
      <c r="G16" s="13">
        <f>IF($K16="","",IF(INDEX(BASELINE!$K$2:$K$3001,$K16)="","",INDEX(BASELINE!$K$2:$K$3001,$K16)))</f>
        <v/>
      </c>
      <c r="H16" s="13">
        <f>IF($K16="","",IF(INDEX(BASELINE!$N$2:$N$3001,$K16)="","",INDEX(BASELINE!$N$2:$N$3001,$K16)))</f>
        <v/>
      </c>
      <c r="I16" s="13">
        <f>IF($K16="","",IF(INDEX(BASELINE!$O$2:$O$3001,$K16)="","",INDEX(BASELINE!$O$2:$O$3001,$K16)))</f>
        <v/>
      </c>
      <c r="J16" s="12">
        <f>IF($K16="","",IF(ISNUMBER(SEARCH("break",INDEX(BASELINE!$T$2:$T$3001,$K16)&amp;"")),"SIM",""))</f>
        <v/>
      </c>
      <c r="K16" s="15">
        <f>IF(8&lt;=CALC!$D$1,MATCH(8,CALC!$B$2:$B$3001,0),"")</f>
        <v/>
      </c>
    </row>
    <row r="17" ht="17" customHeight="1">
      <c r="A17" s="12">
        <f>IF($K17="","",9)</f>
        <v/>
      </c>
      <c r="B17" s="13">
        <f>IF($K17="","",IF(INDEX(BASELINE!$I$2:$I$3001,$K17)="","",INDEX(BASELINE!$I$2:$I$3001,$K17)))</f>
        <v/>
      </c>
      <c r="C17" s="12">
        <f>IF($K17="","",IF(INDEX(BASELINE!$J$2:$J$3001,$K17)="","",INDEX(BASELINE!$J$2:$J$3001,$K17)))</f>
        <v/>
      </c>
      <c r="D17" s="13">
        <f>IF($K17="","",IF(INDEX(BASELINE!$M$2:$M$3001,$K17)="","",INDEX(BASELINE!$M$2:$M$3001,$K17)))</f>
        <v/>
      </c>
      <c r="E17" s="13">
        <f>IF($K17="","",IF(INDEX(BASELINE!$L$2:$L$3001,$K17)="","",INDEX(BASELINE!$L$2:$L$3001,$K17)))</f>
        <v/>
      </c>
      <c r="F17" s="14">
        <f>IF($K17="","",IF(INDEX(BASELINE!$P$2:$P$3001,$K17)="","",INDEX(BASELINE!$P$2:$P$3001,$K17)))</f>
        <v/>
      </c>
      <c r="G17" s="13">
        <f>IF($K17="","",IF(INDEX(BASELINE!$K$2:$K$3001,$K17)="","",INDEX(BASELINE!$K$2:$K$3001,$K17)))</f>
        <v/>
      </c>
      <c r="H17" s="13">
        <f>IF($K17="","",IF(INDEX(BASELINE!$N$2:$N$3001,$K17)="","",INDEX(BASELINE!$N$2:$N$3001,$K17)))</f>
        <v/>
      </c>
      <c r="I17" s="13">
        <f>IF($K17="","",IF(INDEX(BASELINE!$O$2:$O$3001,$K17)="","",INDEX(BASELINE!$O$2:$O$3001,$K17)))</f>
        <v/>
      </c>
      <c r="J17" s="12">
        <f>IF($K17="","",IF(ISNUMBER(SEARCH("break",INDEX(BASELINE!$T$2:$T$3001,$K17)&amp;"")),"SIM",""))</f>
        <v/>
      </c>
      <c r="K17" s="15">
        <f>IF(9&lt;=CALC!$D$1,MATCH(9,CALC!$B$2:$B$3001,0),"")</f>
        <v/>
      </c>
    </row>
    <row r="18" ht="17" customHeight="1">
      <c r="A18" s="12">
        <f>IF($K18="","",10)</f>
        <v/>
      </c>
      <c r="B18" s="13">
        <f>IF($K18="","",IF(INDEX(BASELINE!$I$2:$I$3001,$K18)="","",INDEX(BASELINE!$I$2:$I$3001,$K18)))</f>
        <v/>
      </c>
      <c r="C18" s="12">
        <f>IF($K18="","",IF(INDEX(BASELINE!$J$2:$J$3001,$K18)="","",INDEX(BASELINE!$J$2:$J$3001,$K18)))</f>
        <v/>
      </c>
      <c r="D18" s="13">
        <f>IF($K18="","",IF(INDEX(BASELINE!$M$2:$M$3001,$K18)="","",INDEX(BASELINE!$M$2:$M$3001,$K18)))</f>
        <v/>
      </c>
      <c r="E18" s="13">
        <f>IF($K18="","",IF(INDEX(BASELINE!$L$2:$L$3001,$K18)="","",INDEX(BASELINE!$L$2:$L$3001,$K18)))</f>
        <v/>
      </c>
      <c r="F18" s="14">
        <f>IF($K18="","",IF(INDEX(BASELINE!$P$2:$P$3001,$K18)="","",INDEX(BASELINE!$P$2:$P$3001,$K18)))</f>
        <v/>
      </c>
      <c r="G18" s="13">
        <f>IF($K18="","",IF(INDEX(BASELINE!$K$2:$K$3001,$K18)="","",INDEX(BASELINE!$K$2:$K$3001,$K18)))</f>
        <v/>
      </c>
      <c r="H18" s="13">
        <f>IF($K18="","",IF(INDEX(BASELINE!$N$2:$N$3001,$K18)="","",INDEX(BASELINE!$N$2:$N$3001,$K18)))</f>
        <v/>
      </c>
      <c r="I18" s="13">
        <f>IF($K18="","",IF(INDEX(BASELINE!$O$2:$O$3001,$K18)="","",INDEX(BASELINE!$O$2:$O$3001,$K18)))</f>
        <v/>
      </c>
      <c r="J18" s="12">
        <f>IF($K18="","",IF(ISNUMBER(SEARCH("break",INDEX(BASELINE!$T$2:$T$3001,$K18)&amp;"")),"SIM",""))</f>
        <v/>
      </c>
      <c r="K18" s="15">
        <f>IF(10&lt;=CALC!$D$1,MATCH(10,CALC!$B$2:$B$3001,0),"")</f>
        <v/>
      </c>
    </row>
    <row r="19" ht="17" customHeight="1">
      <c r="A19" s="12">
        <f>IF($K19="","",11)</f>
        <v/>
      </c>
      <c r="B19" s="13">
        <f>IF($K19="","",IF(INDEX(BASELINE!$I$2:$I$3001,$K19)="","",INDEX(BASELINE!$I$2:$I$3001,$K19)))</f>
        <v/>
      </c>
      <c r="C19" s="12">
        <f>IF($K19="","",IF(INDEX(BASELINE!$J$2:$J$3001,$K19)="","",INDEX(BASELINE!$J$2:$J$3001,$K19)))</f>
        <v/>
      </c>
      <c r="D19" s="13">
        <f>IF($K19="","",IF(INDEX(BASELINE!$M$2:$M$3001,$K19)="","",INDEX(BASELINE!$M$2:$M$3001,$K19)))</f>
        <v/>
      </c>
      <c r="E19" s="13">
        <f>IF($K19="","",IF(INDEX(BASELINE!$L$2:$L$3001,$K19)="","",INDEX(BASELINE!$L$2:$L$3001,$K19)))</f>
        <v/>
      </c>
      <c r="F19" s="14">
        <f>IF($K19="","",IF(INDEX(BASELINE!$P$2:$P$3001,$K19)="","",INDEX(BASELINE!$P$2:$P$3001,$K19)))</f>
        <v/>
      </c>
      <c r="G19" s="13">
        <f>IF($K19="","",IF(INDEX(BASELINE!$K$2:$K$3001,$K19)="","",INDEX(BASELINE!$K$2:$K$3001,$K19)))</f>
        <v/>
      </c>
      <c r="H19" s="13">
        <f>IF($K19="","",IF(INDEX(BASELINE!$N$2:$N$3001,$K19)="","",INDEX(BASELINE!$N$2:$N$3001,$K19)))</f>
        <v/>
      </c>
      <c r="I19" s="13">
        <f>IF($K19="","",IF(INDEX(BASELINE!$O$2:$O$3001,$K19)="","",INDEX(BASELINE!$O$2:$O$3001,$K19)))</f>
        <v/>
      </c>
      <c r="J19" s="12">
        <f>IF($K19="","",IF(ISNUMBER(SEARCH("break",INDEX(BASELINE!$T$2:$T$3001,$K19)&amp;"")),"SIM",""))</f>
        <v/>
      </c>
      <c r="K19" s="15">
        <f>IF(11&lt;=CALC!$D$1,MATCH(11,CALC!$B$2:$B$3001,0),"")</f>
        <v/>
      </c>
    </row>
    <row r="20" ht="17" customHeight="1">
      <c r="A20" s="12">
        <f>IF($K20="","",12)</f>
        <v/>
      </c>
      <c r="B20" s="13">
        <f>IF($K20="","",IF(INDEX(BASELINE!$I$2:$I$3001,$K20)="","",INDEX(BASELINE!$I$2:$I$3001,$K20)))</f>
        <v/>
      </c>
      <c r="C20" s="12">
        <f>IF($K20="","",IF(INDEX(BASELINE!$J$2:$J$3001,$K20)="","",INDEX(BASELINE!$J$2:$J$3001,$K20)))</f>
        <v/>
      </c>
      <c r="D20" s="13">
        <f>IF($K20="","",IF(INDEX(BASELINE!$M$2:$M$3001,$K20)="","",INDEX(BASELINE!$M$2:$M$3001,$K20)))</f>
        <v/>
      </c>
      <c r="E20" s="13">
        <f>IF($K20="","",IF(INDEX(BASELINE!$L$2:$L$3001,$K20)="","",INDEX(BASELINE!$L$2:$L$3001,$K20)))</f>
        <v/>
      </c>
      <c r="F20" s="14">
        <f>IF($K20="","",IF(INDEX(BASELINE!$P$2:$P$3001,$K20)="","",INDEX(BASELINE!$P$2:$P$3001,$K20)))</f>
        <v/>
      </c>
      <c r="G20" s="13">
        <f>IF($K20="","",IF(INDEX(BASELINE!$K$2:$K$3001,$K20)="","",INDEX(BASELINE!$K$2:$K$3001,$K20)))</f>
        <v/>
      </c>
      <c r="H20" s="13">
        <f>IF($K20="","",IF(INDEX(BASELINE!$N$2:$N$3001,$K20)="","",INDEX(BASELINE!$N$2:$N$3001,$K20)))</f>
        <v/>
      </c>
      <c r="I20" s="13">
        <f>IF($K20="","",IF(INDEX(BASELINE!$O$2:$O$3001,$K20)="","",INDEX(BASELINE!$O$2:$O$3001,$K20)))</f>
        <v/>
      </c>
      <c r="J20" s="12">
        <f>IF($K20="","",IF(ISNUMBER(SEARCH("break",INDEX(BASELINE!$T$2:$T$3001,$K20)&amp;"")),"SIM",""))</f>
        <v/>
      </c>
      <c r="K20" s="15">
        <f>IF(12&lt;=CALC!$D$1,MATCH(12,CALC!$B$2:$B$3001,0),"")</f>
        <v/>
      </c>
    </row>
    <row r="21" ht="17" customHeight="1">
      <c r="A21" s="12">
        <f>IF($K21="","",13)</f>
        <v/>
      </c>
      <c r="B21" s="13">
        <f>IF($K21="","",IF(INDEX(BASELINE!$I$2:$I$3001,$K21)="","",INDEX(BASELINE!$I$2:$I$3001,$K21)))</f>
        <v/>
      </c>
      <c r="C21" s="12">
        <f>IF($K21="","",IF(INDEX(BASELINE!$J$2:$J$3001,$K21)="","",INDEX(BASELINE!$J$2:$J$3001,$K21)))</f>
        <v/>
      </c>
      <c r="D21" s="13">
        <f>IF($K21="","",IF(INDEX(BASELINE!$M$2:$M$3001,$K21)="","",INDEX(BASELINE!$M$2:$M$3001,$K21)))</f>
        <v/>
      </c>
      <c r="E21" s="13">
        <f>IF($K21="","",IF(INDEX(BASELINE!$L$2:$L$3001,$K21)="","",INDEX(BASELINE!$L$2:$L$3001,$K21)))</f>
        <v/>
      </c>
      <c r="F21" s="14">
        <f>IF($K21="","",IF(INDEX(BASELINE!$P$2:$P$3001,$K21)="","",INDEX(BASELINE!$P$2:$P$3001,$K21)))</f>
        <v/>
      </c>
      <c r="G21" s="13">
        <f>IF($K21="","",IF(INDEX(BASELINE!$K$2:$K$3001,$K21)="","",INDEX(BASELINE!$K$2:$K$3001,$K21)))</f>
        <v/>
      </c>
      <c r="H21" s="13">
        <f>IF($K21="","",IF(INDEX(BASELINE!$N$2:$N$3001,$K21)="","",INDEX(BASELINE!$N$2:$N$3001,$K21)))</f>
        <v/>
      </c>
      <c r="I21" s="13">
        <f>IF($K21="","",IF(INDEX(BASELINE!$O$2:$O$3001,$K21)="","",INDEX(BASELINE!$O$2:$O$3001,$K21)))</f>
        <v/>
      </c>
      <c r="J21" s="12">
        <f>IF($K21="","",IF(ISNUMBER(SEARCH("break",INDEX(BASELINE!$T$2:$T$3001,$K21)&amp;"")),"SIM",""))</f>
        <v/>
      </c>
      <c r="K21" s="15">
        <f>IF(13&lt;=CALC!$D$1,MATCH(13,CALC!$B$2:$B$3001,0),"")</f>
        <v/>
      </c>
    </row>
    <row r="22" ht="17" customHeight="1">
      <c r="A22" s="12">
        <f>IF($K22="","",14)</f>
        <v/>
      </c>
      <c r="B22" s="13">
        <f>IF($K22="","",IF(INDEX(BASELINE!$I$2:$I$3001,$K22)="","",INDEX(BASELINE!$I$2:$I$3001,$K22)))</f>
        <v/>
      </c>
      <c r="C22" s="12">
        <f>IF($K22="","",IF(INDEX(BASELINE!$J$2:$J$3001,$K22)="","",INDEX(BASELINE!$J$2:$J$3001,$K22)))</f>
        <v/>
      </c>
      <c r="D22" s="13">
        <f>IF($K22="","",IF(INDEX(BASELINE!$M$2:$M$3001,$K22)="","",INDEX(BASELINE!$M$2:$M$3001,$K22)))</f>
        <v/>
      </c>
      <c r="E22" s="13">
        <f>IF($K22="","",IF(INDEX(BASELINE!$L$2:$L$3001,$K22)="","",INDEX(BASELINE!$L$2:$L$3001,$K22)))</f>
        <v/>
      </c>
      <c r="F22" s="14">
        <f>IF($K22="","",IF(INDEX(BASELINE!$P$2:$P$3001,$K22)="","",INDEX(BASELINE!$P$2:$P$3001,$K22)))</f>
        <v/>
      </c>
      <c r="G22" s="13">
        <f>IF($K22="","",IF(INDEX(BASELINE!$K$2:$K$3001,$K22)="","",INDEX(BASELINE!$K$2:$K$3001,$K22)))</f>
        <v/>
      </c>
      <c r="H22" s="13">
        <f>IF($K22="","",IF(INDEX(BASELINE!$N$2:$N$3001,$K22)="","",INDEX(BASELINE!$N$2:$N$3001,$K22)))</f>
        <v/>
      </c>
      <c r="I22" s="13">
        <f>IF($K22="","",IF(INDEX(BASELINE!$O$2:$O$3001,$K22)="","",INDEX(BASELINE!$O$2:$O$3001,$K22)))</f>
        <v/>
      </c>
      <c r="J22" s="12">
        <f>IF($K22="","",IF(ISNUMBER(SEARCH("break",INDEX(BASELINE!$T$2:$T$3001,$K22)&amp;"")),"SIM",""))</f>
        <v/>
      </c>
      <c r="K22" s="15">
        <f>IF(14&lt;=CALC!$D$1,MATCH(14,CALC!$B$2:$B$3001,0),"")</f>
        <v/>
      </c>
    </row>
    <row r="23" ht="17" customHeight="1">
      <c r="A23" s="12">
        <f>IF($K23="","",15)</f>
        <v/>
      </c>
      <c r="B23" s="13">
        <f>IF($K23="","",IF(INDEX(BASELINE!$I$2:$I$3001,$K23)="","",INDEX(BASELINE!$I$2:$I$3001,$K23)))</f>
        <v/>
      </c>
      <c r="C23" s="12">
        <f>IF($K23="","",IF(INDEX(BASELINE!$J$2:$J$3001,$K23)="","",INDEX(BASELINE!$J$2:$J$3001,$K23)))</f>
        <v/>
      </c>
      <c r="D23" s="13">
        <f>IF($K23="","",IF(INDEX(BASELINE!$M$2:$M$3001,$K23)="","",INDEX(BASELINE!$M$2:$M$3001,$K23)))</f>
        <v/>
      </c>
      <c r="E23" s="13">
        <f>IF($K23="","",IF(INDEX(BASELINE!$L$2:$L$3001,$K23)="","",INDEX(BASELINE!$L$2:$L$3001,$K23)))</f>
        <v/>
      </c>
      <c r="F23" s="14">
        <f>IF($K23="","",IF(INDEX(BASELINE!$P$2:$P$3001,$K23)="","",INDEX(BASELINE!$P$2:$P$3001,$K23)))</f>
        <v/>
      </c>
      <c r="G23" s="13">
        <f>IF($K23="","",IF(INDEX(BASELINE!$K$2:$K$3001,$K23)="","",INDEX(BASELINE!$K$2:$K$3001,$K23)))</f>
        <v/>
      </c>
      <c r="H23" s="13">
        <f>IF($K23="","",IF(INDEX(BASELINE!$N$2:$N$3001,$K23)="","",INDEX(BASELINE!$N$2:$N$3001,$K23)))</f>
        <v/>
      </c>
      <c r="I23" s="13">
        <f>IF($K23="","",IF(INDEX(BASELINE!$O$2:$O$3001,$K23)="","",INDEX(BASELINE!$O$2:$O$3001,$K23)))</f>
        <v/>
      </c>
      <c r="J23" s="12">
        <f>IF($K23="","",IF(ISNUMBER(SEARCH("break",INDEX(BASELINE!$T$2:$T$3001,$K23)&amp;"")),"SIM",""))</f>
        <v/>
      </c>
      <c r="K23" s="15">
        <f>IF(15&lt;=CALC!$D$1,MATCH(15,CALC!$B$2:$B$3001,0),"")</f>
        <v/>
      </c>
    </row>
    <row r="24" ht="17" customHeight="1">
      <c r="A24" s="12">
        <f>IF($K24="","",16)</f>
        <v/>
      </c>
      <c r="B24" s="13">
        <f>IF($K24="","",IF(INDEX(BASELINE!$I$2:$I$3001,$K24)="","",INDEX(BASELINE!$I$2:$I$3001,$K24)))</f>
        <v/>
      </c>
      <c r="C24" s="12">
        <f>IF($K24="","",IF(INDEX(BASELINE!$J$2:$J$3001,$K24)="","",INDEX(BASELINE!$J$2:$J$3001,$K24)))</f>
        <v/>
      </c>
      <c r="D24" s="13">
        <f>IF($K24="","",IF(INDEX(BASELINE!$M$2:$M$3001,$K24)="","",INDEX(BASELINE!$M$2:$M$3001,$K24)))</f>
        <v/>
      </c>
      <c r="E24" s="13">
        <f>IF($K24="","",IF(INDEX(BASELINE!$L$2:$L$3001,$K24)="","",INDEX(BASELINE!$L$2:$L$3001,$K24)))</f>
        <v/>
      </c>
      <c r="F24" s="14">
        <f>IF($K24="","",IF(INDEX(BASELINE!$P$2:$P$3001,$K24)="","",INDEX(BASELINE!$P$2:$P$3001,$K24)))</f>
        <v/>
      </c>
      <c r="G24" s="13">
        <f>IF($K24="","",IF(INDEX(BASELINE!$K$2:$K$3001,$K24)="","",INDEX(BASELINE!$K$2:$K$3001,$K24)))</f>
        <v/>
      </c>
      <c r="H24" s="13">
        <f>IF($K24="","",IF(INDEX(BASELINE!$N$2:$N$3001,$K24)="","",INDEX(BASELINE!$N$2:$N$3001,$K24)))</f>
        <v/>
      </c>
      <c r="I24" s="13">
        <f>IF($K24="","",IF(INDEX(BASELINE!$O$2:$O$3001,$K24)="","",INDEX(BASELINE!$O$2:$O$3001,$K24)))</f>
        <v/>
      </c>
      <c r="J24" s="12">
        <f>IF($K24="","",IF(ISNUMBER(SEARCH("break",INDEX(BASELINE!$T$2:$T$3001,$K24)&amp;"")),"SIM",""))</f>
        <v/>
      </c>
      <c r="K24" s="15">
        <f>IF(16&lt;=CALC!$D$1,MATCH(16,CALC!$B$2:$B$3001,0),"")</f>
        <v/>
      </c>
    </row>
    <row r="25" ht="17" customHeight="1">
      <c r="A25" s="12">
        <f>IF($K25="","",17)</f>
        <v/>
      </c>
      <c r="B25" s="13">
        <f>IF($K25="","",IF(INDEX(BASELINE!$I$2:$I$3001,$K25)="","",INDEX(BASELINE!$I$2:$I$3001,$K25)))</f>
        <v/>
      </c>
      <c r="C25" s="12">
        <f>IF($K25="","",IF(INDEX(BASELINE!$J$2:$J$3001,$K25)="","",INDEX(BASELINE!$J$2:$J$3001,$K25)))</f>
        <v/>
      </c>
      <c r="D25" s="13">
        <f>IF($K25="","",IF(INDEX(BASELINE!$M$2:$M$3001,$K25)="","",INDEX(BASELINE!$M$2:$M$3001,$K25)))</f>
        <v/>
      </c>
      <c r="E25" s="13">
        <f>IF($K25="","",IF(INDEX(BASELINE!$L$2:$L$3001,$K25)="","",INDEX(BASELINE!$L$2:$L$3001,$K25)))</f>
        <v/>
      </c>
      <c r="F25" s="14">
        <f>IF($K25="","",IF(INDEX(BASELINE!$P$2:$P$3001,$K25)="","",INDEX(BASELINE!$P$2:$P$3001,$K25)))</f>
        <v/>
      </c>
      <c r="G25" s="13">
        <f>IF($K25="","",IF(INDEX(BASELINE!$K$2:$K$3001,$K25)="","",INDEX(BASELINE!$K$2:$K$3001,$K25)))</f>
        <v/>
      </c>
      <c r="H25" s="13">
        <f>IF($K25="","",IF(INDEX(BASELINE!$N$2:$N$3001,$K25)="","",INDEX(BASELINE!$N$2:$N$3001,$K25)))</f>
        <v/>
      </c>
      <c r="I25" s="13">
        <f>IF($K25="","",IF(INDEX(BASELINE!$O$2:$O$3001,$K25)="","",INDEX(BASELINE!$O$2:$O$3001,$K25)))</f>
        <v/>
      </c>
      <c r="J25" s="12">
        <f>IF($K25="","",IF(ISNUMBER(SEARCH("break",INDEX(BASELINE!$T$2:$T$3001,$K25)&amp;"")),"SIM",""))</f>
        <v/>
      </c>
      <c r="K25" s="15">
        <f>IF(17&lt;=CALC!$D$1,MATCH(17,CALC!$B$2:$B$3001,0),"")</f>
        <v/>
      </c>
    </row>
    <row r="26" ht="17" customHeight="1">
      <c r="A26" s="12">
        <f>IF($K26="","",18)</f>
        <v/>
      </c>
      <c r="B26" s="13">
        <f>IF($K26="","",IF(INDEX(BASELINE!$I$2:$I$3001,$K26)="","",INDEX(BASELINE!$I$2:$I$3001,$K26)))</f>
        <v/>
      </c>
      <c r="C26" s="12">
        <f>IF($K26="","",IF(INDEX(BASELINE!$J$2:$J$3001,$K26)="","",INDEX(BASELINE!$J$2:$J$3001,$K26)))</f>
        <v/>
      </c>
      <c r="D26" s="13">
        <f>IF($K26="","",IF(INDEX(BASELINE!$M$2:$M$3001,$K26)="","",INDEX(BASELINE!$M$2:$M$3001,$K26)))</f>
        <v/>
      </c>
      <c r="E26" s="13">
        <f>IF($K26="","",IF(INDEX(BASELINE!$L$2:$L$3001,$K26)="","",INDEX(BASELINE!$L$2:$L$3001,$K26)))</f>
        <v/>
      </c>
      <c r="F26" s="14">
        <f>IF($K26="","",IF(INDEX(BASELINE!$P$2:$P$3001,$K26)="","",INDEX(BASELINE!$P$2:$P$3001,$K26)))</f>
        <v/>
      </c>
      <c r="G26" s="13">
        <f>IF($K26="","",IF(INDEX(BASELINE!$K$2:$K$3001,$K26)="","",INDEX(BASELINE!$K$2:$K$3001,$K26)))</f>
        <v/>
      </c>
      <c r="H26" s="13">
        <f>IF($K26="","",IF(INDEX(BASELINE!$N$2:$N$3001,$K26)="","",INDEX(BASELINE!$N$2:$N$3001,$K26)))</f>
        <v/>
      </c>
      <c r="I26" s="13">
        <f>IF($K26="","",IF(INDEX(BASELINE!$O$2:$O$3001,$K26)="","",INDEX(BASELINE!$O$2:$O$3001,$K26)))</f>
        <v/>
      </c>
      <c r="J26" s="12">
        <f>IF($K26="","",IF(ISNUMBER(SEARCH("break",INDEX(BASELINE!$T$2:$T$3001,$K26)&amp;"")),"SIM",""))</f>
        <v/>
      </c>
      <c r="K26" s="15">
        <f>IF(18&lt;=CALC!$D$1,MATCH(18,CALC!$B$2:$B$3001,0),"")</f>
        <v/>
      </c>
    </row>
    <row r="27" ht="17" customHeight="1">
      <c r="A27" s="12">
        <f>IF($K27="","",19)</f>
        <v/>
      </c>
      <c r="B27" s="13">
        <f>IF($K27="","",IF(INDEX(BASELINE!$I$2:$I$3001,$K27)="","",INDEX(BASELINE!$I$2:$I$3001,$K27)))</f>
        <v/>
      </c>
      <c r="C27" s="12">
        <f>IF($K27="","",IF(INDEX(BASELINE!$J$2:$J$3001,$K27)="","",INDEX(BASELINE!$J$2:$J$3001,$K27)))</f>
        <v/>
      </c>
      <c r="D27" s="13">
        <f>IF($K27="","",IF(INDEX(BASELINE!$M$2:$M$3001,$K27)="","",INDEX(BASELINE!$M$2:$M$3001,$K27)))</f>
        <v/>
      </c>
      <c r="E27" s="13">
        <f>IF($K27="","",IF(INDEX(BASELINE!$L$2:$L$3001,$K27)="","",INDEX(BASELINE!$L$2:$L$3001,$K27)))</f>
        <v/>
      </c>
      <c r="F27" s="14">
        <f>IF($K27="","",IF(INDEX(BASELINE!$P$2:$P$3001,$K27)="","",INDEX(BASELINE!$P$2:$P$3001,$K27)))</f>
        <v/>
      </c>
      <c r="G27" s="13">
        <f>IF($K27="","",IF(INDEX(BASELINE!$K$2:$K$3001,$K27)="","",INDEX(BASELINE!$K$2:$K$3001,$K27)))</f>
        <v/>
      </c>
      <c r="H27" s="13">
        <f>IF($K27="","",IF(INDEX(BASELINE!$N$2:$N$3001,$K27)="","",INDEX(BASELINE!$N$2:$N$3001,$K27)))</f>
        <v/>
      </c>
      <c r="I27" s="13">
        <f>IF($K27="","",IF(INDEX(BASELINE!$O$2:$O$3001,$K27)="","",INDEX(BASELINE!$O$2:$O$3001,$K27)))</f>
        <v/>
      </c>
      <c r="J27" s="12">
        <f>IF($K27="","",IF(ISNUMBER(SEARCH("break",INDEX(BASELINE!$T$2:$T$3001,$K27)&amp;"")),"SIM",""))</f>
        <v/>
      </c>
      <c r="K27" s="15">
        <f>IF(19&lt;=CALC!$D$1,MATCH(19,CALC!$B$2:$B$3001,0),"")</f>
        <v/>
      </c>
    </row>
    <row r="28" ht="17" customHeight="1">
      <c r="A28" s="12">
        <f>IF($K28="","",20)</f>
        <v/>
      </c>
      <c r="B28" s="13">
        <f>IF($K28="","",IF(INDEX(BASELINE!$I$2:$I$3001,$K28)="","",INDEX(BASELINE!$I$2:$I$3001,$K28)))</f>
        <v/>
      </c>
      <c r="C28" s="12">
        <f>IF($K28="","",IF(INDEX(BASELINE!$J$2:$J$3001,$K28)="","",INDEX(BASELINE!$J$2:$J$3001,$K28)))</f>
        <v/>
      </c>
      <c r="D28" s="13">
        <f>IF($K28="","",IF(INDEX(BASELINE!$M$2:$M$3001,$K28)="","",INDEX(BASELINE!$M$2:$M$3001,$K28)))</f>
        <v/>
      </c>
      <c r="E28" s="13">
        <f>IF($K28="","",IF(INDEX(BASELINE!$L$2:$L$3001,$K28)="","",INDEX(BASELINE!$L$2:$L$3001,$K28)))</f>
        <v/>
      </c>
      <c r="F28" s="14">
        <f>IF($K28="","",IF(INDEX(BASELINE!$P$2:$P$3001,$K28)="","",INDEX(BASELINE!$P$2:$P$3001,$K28)))</f>
        <v/>
      </c>
      <c r="G28" s="13">
        <f>IF($K28="","",IF(INDEX(BASELINE!$K$2:$K$3001,$K28)="","",INDEX(BASELINE!$K$2:$K$3001,$K28)))</f>
        <v/>
      </c>
      <c r="H28" s="13">
        <f>IF($K28="","",IF(INDEX(BASELINE!$N$2:$N$3001,$K28)="","",INDEX(BASELINE!$N$2:$N$3001,$K28)))</f>
        <v/>
      </c>
      <c r="I28" s="13">
        <f>IF($K28="","",IF(INDEX(BASELINE!$O$2:$O$3001,$K28)="","",INDEX(BASELINE!$O$2:$O$3001,$K28)))</f>
        <v/>
      </c>
      <c r="J28" s="12">
        <f>IF($K28="","",IF(ISNUMBER(SEARCH("break",INDEX(BASELINE!$T$2:$T$3001,$K28)&amp;"")),"SIM",""))</f>
        <v/>
      </c>
      <c r="K28" s="15">
        <f>IF(20&lt;=CALC!$D$1,MATCH(20,CALC!$B$2:$B$3001,0),"")</f>
        <v/>
      </c>
    </row>
    <row r="29" ht="17" customHeight="1">
      <c r="A29" s="12">
        <f>IF($K29="","",21)</f>
        <v/>
      </c>
      <c r="B29" s="13">
        <f>IF($K29="","",IF(INDEX(BASELINE!$I$2:$I$3001,$K29)="","",INDEX(BASELINE!$I$2:$I$3001,$K29)))</f>
        <v/>
      </c>
      <c r="C29" s="12">
        <f>IF($K29="","",IF(INDEX(BASELINE!$J$2:$J$3001,$K29)="","",INDEX(BASELINE!$J$2:$J$3001,$K29)))</f>
        <v/>
      </c>
      <c r="D29" s="13">
        <f>IF($K29="","",IF(INDEX(BASELINE!$M$2:$M$3001,$K29)="","",INDEX(BASELINE!$M$2:$M$3001,$K29)))</f>
        <v/>
      </c>
      <c r="E29" s="13">
        <f>IF($K29="","",IF(INDEX(BASELINE!$L$2:$L$3001,$K29)="","",INDEX(BASELINE!$L$2:$L$3001,$K29)))</f>
        <v/>
      </c>
      <c r="F29" s="14">
        <f>IF($K29="","",IF(INDEX(BASELINE!$P$2:$P$3001,$K29)="","",INDEX(BASELINE!$P$2:$P$3001,$K29)))</f>
        <v/>
      </c>
      <c r="G29" s="13">
        <f>IF($K29="","",IF(INDEX(BASELINE!$K$2:$K$3001,$K29)="","",INDEX(BASELINE!$K$2:$K$3001,$K29)))</f>
        <v/>
      </c>
      <c r="H29" s="13">
        <f>IF($K29="","",IF(INDEX(BASELINE!$N$2:$N$3001,$K29)="","",INDEX(BASELINE!$N$2:$N$3001,$K29)))</f>
        <v/>
      </c>
      <c r="I29" s="13">
        <f>IF($K29="","",IF(INDEX(BASELINE!$O$2:$O$3001,$K29)="","",INDEX(BASELINE!$O$2:$O$3001,$K29)))</f>
        <v/>
      </c>
      <c r="J29" s="12">
        <f>IF($K29="","",IF(ISNUMBER(SEARCH("break",INDEX(BASELINE!$T$2:$T$3001,$K29)&amp;"")),"SIM",""))</f>
        <v/>
      </c>
      <c r="K29" s="15">
        <f>IF(21&lt;=CALC!$D$1,MATCH(21,CALC!$B$2:$B$3001,0),"")</f>
        <v/>
      </c>
    </row>
    <row r="30" ht="17" customHeight="1">
      <c r="A30" s="12">
        <f>IF($K30="","",22)</f>
        <v/>
      </c>
      <c r="B30" s="13">
        <f>IF($K30="","",IF(INDEX(BASELINE!$I$2:$I$3001,$K30)="","",INDEX(BASELINE!$I$2:$I$3001,$K30)))</f>
        <v/>
      </c>
      <c r="C30" s="12">
        <f>IF($K30="","",IF(INDEX(BASELINE!$J$2:$J$3001,$K30)="","",INDEX(BASELINE!$J$2:$J$3001,$K30)))</f>
        <v/>
      </c>
      <c r="D30" s="13">
        <f>IF($K30="","",IF(INDEX(BASELINE!$M$2:$M$3001,$K30)="","",INDEX(BASELINE!$M$2:$M$3001,$K30)))</f>
        <v/>
      </c>
      <c r="E30" s="13">
        <f>IF($K30="","",IF(INDEX(BASELINE!$L$2:$L$3001,$K30)="","",INDEX(BASELINE!$L$2:$L$3001,$K30)))</f>
        <v/>
      </c>
      <c r="F30" s="14">
        <f>IF($K30="","",IF(INDEX(BASELINE!$P$2:$P$3001,$K30)="","",INDEX(BASELINE!$P$2:$P$3001,$K30)))</f>
        <v/>
      </c>
      <c r="G30" s="13">
        <f>IF($K30="","",IF(INDEX(BASELINE!$K$2:$K$3001,$K30)="","",INDEX(BASELINE!$K$2:$K$3001,$K30)))</f>
        <v/>
      </c>
      <c r="H30" s="13">
        <f>IF($K30="","",IF(INDEX(BASELINE!$N$2:$N$3001,$K30)="","",INDEX(BASELINE!$N$2:$N$3001,$K30)))</f>
        <v/>
      </c>
      <c r="I30" s="13">
        <f>IF($K30="","",IF(INDEX(BASELINE!$O$2:$O$3001,$K30)="","",INDEX(BASELINE!$O$2:$O$3001,$K30)))</f>
        <v/>
      </c>
      <c r="J30" s="12">
        <f>IF($K30="","",IF(ISNUMBER(SEARCH("break",INDEX(BASELINE!$T$2:$T$3001,$K30)&amp;"")),"SIM",""))</f>
        <v/>
      </c>
      <c r="K30" s="15">
        <f>IF(22&lt;=CALC!$D$1,MATCH(22,CALC!$B$2:$B$3001,0),"")</f>
        <v/>
      </c>
    </row>
    <row r="31" ht="17" customHeight="1">
      <c r="A31" s="12">
        <f>IF($K31="","",23)</f>
        <v/>
      </c>
      <c r="B31" s="13">
        <f>IF($K31="","",IF(INDEX(BASELINE!$I$2:$I$3001,$K31)="","",INDEX(BASELINE!$I$2:$I$3001,$K31)))</f>
        <v/>
      </c>
      <c r="C31" s="12">
        <f>IF($K31="","",IF(INDEX(BASELINE!$J$2:$J$3001,$K31)="","",INDEX(BASELINE!$J$2:$J$3001,$K31)))</f>
        <v/>
      </c>
      <c r="D31" s="13">
        <f>IF($K31="","",IF(INDEX(BASELINE!$M$2:$M$3001,$K31)="","",INDEX(BASELINE!$M$2:$M$3001,$K31)))</f>
        <v/>
      </c>
      <c r="E31" s="13">
        <f>IF($K31="","",IF(INDEX(BASELINE!$L$2:$L$3001,$K31)="","",INDEX(BASELINE!$L$2:$L$3001,$K31)))</f>
        <v/>
      </c>
      <c r="F31" s="14">
        <f>IF($K31="","",IF(INDEX(BASELINE!$P$2:$P$3001,$K31)="","",INDEX(BASELINE!$P$2:$P$3001,$K31)))</f>
        <v/>
      </c>
      <c r="G31" s="13">
        <f>IF($K31="","",IF(INDEX(BASELINE!$K$2:$K$3001,$K31)="","",INDEX(BASELINE!$K$2:$K$3001,$K31)))</f>
        <v/>
      </c>
      <c r="H31" s="13">
        <f>IF($K31="","",IF(INDEX(BASELINE!$N$2:$N$3001,$K31)="","",INDEX(BASELINE!$N$2:$N$3001,$K31)))</f>
        <v/>
      </c>
      <c r="I31" s="13">
        <f>IF($K31="","",IF(INDEX(BASELINE!$O$2:$O$3001,$K31)="","",INDEX(BASELINE!$O$2:$O$3001,$K31)))</f>
        <v/>
      </c>
      <c r="J31" s="12">
        <f>IF($K31="","",IF(ISNUMBER(SEARCH("break",INDEX(BASELINE!$T$2:$T$3001,$K31)&amp;"")),"SIM",""))</f>
        <v/>
      </c>
      <c r="K31" s="15">
        <f>IF(23&lt;=CALC!$D$1,MATCH(23,CALC!$B$2:$B$3001,0),"")</f>
        <v/>
      </c>
    </row>
    <row r="32" ht="17" customHeight="1">
      <c r="A32" s="12">
        <f>IF($K32="","",24)</f>
        <v/>
      </c>
      <c r="B32" s="13">
        <f>IF($K32="","",IF(INDEX(BASELINE!$I$2:$I$3001,$K32)="","",INDEX(BASELINE!$I$2:$I$3001,$K32)))</f>
        <v/>
      </c>
      <c r="C32" s="12">
        <f>IF($K32="","",IF(INDEX(BASELINE!$J$2:$J$3001,$K32)="","",INDEX(BASELINE!$J$2:$J$3001,$K32)))</f>
        <v/>
      </c>
      <c r="D32" s="13">
        <f>IF($K32="","",IF(INDEX(BASELINE!$M$2:$M$3001,$K32)="","",INDEX(BASELINE!$M$2:$M$3001,$K32)))</f>
        <v/>
      </c>
      <c r="E32" s="13">
        <f>IF($K32="","",IF(INDEX(BASELINE!$L$2:$L$3001,$K32)="","",INDEX(BASELINE!$L$2:$L$3001,$K32)))</f>
        <v/>
      </c>
      <c r="F32" s="14">
        <f>IF($K32="","",IF(INDEX(BASELINE!$P$2:$P$3001,$K32)="","",INDEX(BASELINE!$P$2:$P$3001,$K32)))</f>
        <v/>
      </c>
      <c r="G32" s="13">
        <f>IF($K32="","",IF(INDEX(BASELINE!$K$2:$K$3001,$K32)="","",INDEX(BASELINE!$K$2:$K$3001,$K32)))</f>
        <v/>
      </c>
      <c r="H32" s="13">
        <f>IF($K32="","",IF(INDEX(BASELINE!$N$2:$N$3001,$K32)="","",INDEX(BASELINE!$N$2:$N$3001,$K32)))</f>
        <v/>
      </c>
      <c r="I32" s="13">
        <f>IF($K32="","",IF(INDEX(BASELINE!$O$2:$O$3001,$K32)="","",INDEX(BASELINE!$O$2:$O$3001,$K32)))</f>
        <v/>
      </c>
      <c r="J32" s="12">
        <f>IF($K32="","",IF(ISNUMBER(SEARCH("break",INDEX(BASELINE!$T$2:$T$3001,$K32)&amp;"")),"SIM",""))</f>
        <v/>
      </c>
      <c r="K32" s="15">
        <f>IF(24&lt;=CALC!$D$1,MATCH(24,CALC!$B$2:$B$3001,0),"")</f>
        <v/>
      </c>
    </row>
    <row r="33" ht="17" customHeight="1">
      <c r="A33" s="12">
        <f>IF($K33="","",25)</f>
        <v/>
      </c>
      <c r="B33" s="13">
        <f>IF($K33="","",IF(INDEX(BASELINE!$I$2:$I$3001,$K33)="","",INDEX(BASELINE!$I$2:$I$3001,$K33)))</f>
        <v/>
      </c>
      <c r="C33" s="12">
        <f>IF($K33="","",IF(INDEX(BASELINE!$J$2:$J$3001,$K33)="","",INDEX(BASELINE!$J$2:$J$3001,$K33)))</f>
        <v/>
      </c>
      <c r="D33" s="13">
        <f>IF($K33="","",IF(INDEX(BASELINE!$M$2:$M$3001,$K33)="","",INDEX(BASELINE!$M$2:$M$3001,$K33)))</f>
        <v/>
      </c>
      <c r="E33" s="13">
        <f>IF($K33="","",IF(INDEX(BASELINE!$L$2:$L$3001,$K33)="","",INDEX(BASELINE!$L$2:$L$3001,$K33)))</f>
        <v/>
      </c>
      <c r="F33" s="14">
        <f>IF($K33="","",IF(INDEX(BASELINE!$P$2:$P$3001,$K33)="","",INDEX(BASELINE!$P$2:$P$3001,$K33)))</f>
        <v/>
      </c>
      <c r="G33" s="13">
        <f>IF($K33="","",IF(INDEX(BASELINE!$K$2:$K$3001,$K33)="","",INDEX(BASELINE!$K$2:$K$3001,$K33)))</f>
        <v/>
      </c>
      <c r="H33" s="13">
        <f>IF($K33="","",IF(INDEX(BASELINE!$N$2:$N$3001,$K33)="","",INDEX(BASELINE!$N$2:$N$3001,$K33)))</f>
        <v/>
      </c>
      <c r="I33" s="13">
        <f>IF($K33="","",IF(INDEX(BASELINE!$O$2:$O$3001,$K33)="","",INDEX(BASELINE!$O$2:$O$3001,$K33)))</f>
        <v/>
      </c>
      <c r="J33" s="12">
        <f>IF($K33="","",IF(ISNUMBER(SEARCH("break",INDEX(BASELINE!$T$2:$T$3001,$K33)&amp;"")),"SIM",""))</f>
        <v/>
      </c>
      <c r="K33" s="15">
        <f>IF(25&lt;=CALC!$D$1,MATCH(25,CALC!$B$2:$B$3001,0),"")</f>
        <v/>
      </c>
    </row>
    <row r="34" ht="17" customHeight="1">
      <c r="A34" s="12">
        <f>IF($K34="","",26)</f>
        <v/>
      </c>
      <c r="B34" s="13">
        <f>IF($K34="","",IF(INDEX(BASELINE!$I$2:$I$3001,$K34)="","",INDEX(BASELINE!$I$2:$I$3001,$K34)))</f>
        <v/>
      </c>
      <c r="C34" s="12">
        <f>IF($K34="","",IF(INDEX(BASELINE!$J$2:$J$3001,$K34)="","",INDEX(BASELINE!$J$2:$J$3001,$K34)))</f>
        <v/>
      </c>
      <c r="D34" s="13">
        <f>IF($K34="","",IF(INDEX(BASELINE!$M$2:$M$3001,$K34)="","",INDEX(BASELINE!$M$2:$M$3001,$K34)))</f>
        <v/>
      </c>
      <c r="E34" s="13">
        <f>IF($K34="","",IF(INDEX(BASELINE!$L$2:$L$3001,$K34)="","",INDEX(BASELINE!$L$2:$L$3001,$K34)))</f>
        <v/>
      </c>
      <c r="F34" s="14">
        <f>IF($K34="","",IF(INDEX(BASELINE!$P$2:$P$3001,$K34)="","",INDEX(BASELINE!$P$2:$P$3001,$K34)))</f>
        <v/>
      </c>
      <c r="G34" s="13">
        <f>IF($K34="","",IF(INDEX(BASELINE!$K$2:$K$3001,$K34)="","",INDEX(BASELINE!$K$2:$K$3001,$K34)))</f>
        <v/>
      </c>
      <c r="H34" s="13">
        <f>IF($K34="","",IF(INDEX(BASELINE!$N$2:$N$3001,$K34)="","",INDEX(BASELINE!$N$2:$N$3001,$K34)))</f>
        <v/>
      </c>
      <c r="I34" s="13">
        <f>IF($K34="","",IF(INDEX(BASELINE!$O$2:$O$3001,$K34)="","",INDEX(BASELINE!$O$2:$O$3001,$K34)))</f>
        <v/>
      </c>
      <c r="J34" s="12">
        <f>IF($K34="","",IF(ISNUMBER(SEARCH("break",INDEX(BASELINE!$T$2:$T$3001,$K34)&amp;"")),"SIM",""))</f>
        <v/>
      </c>
      <c r="K34" s="15">
        <f>IF(26&lt;=CALC!$D$1,MATCH(26,CALC!$B$2:$B$3001,0),"")</f>
        <v/>
      </c>
    </row>
    <row r="35" ht="17" customHeight="1">
      <c r="A35" s="12">
        <f>IF($K35="","",27)</f>
        <v/>
      </c>
      <c r="B35" s="13">
        <f>IF($K35="","",IF(INDEX(BASELINE!$I$2:$I$3001,$K35)="","",INDEX(BASELINE!$I$2:$I$3001,$K35)))</f>
        <v/>
      </c>
      <c r="C35" s="12">
        <f>IF($K35="","",IF(INDEX(BASELINE!$J$2:$J$3001,$K35)="","",INDEX(BASELINE!$J$2:$J$3001,$K35)))</f>
        <v/>
      </c>
      <c r="D35" s="13">
        <f>IF($K35="","",IF(INDEX(BASELINE!$M$2:$M$3001,$K35)="","",INDEX(BASELINE!$M$2:$M$3001,$K35)))</f>
        <v/>
      </c>
      <c r="E35" s="13">
        <f>IF($K35="","",IF(INDEX(BASELINE!$L$2:$L$3001,$K35)="","",INDEX(BASELINE!$L$2:$L$3001,$K35)))</f>
        <v/>
      </c>
      <c r="F35" s="14">
        <f>IF($K35="","",IF(INDEX(BASELINE!$P$2:$P$3001,$K35)="","",INDEX(BASELINE!$P$2:$P$3001,$K35)))</f>
        <v/>
      </c>
      <c r="G35" s="13">
        <f>IF($K35="","",IF(INDEX(BASELINE!$K$2:$K$3001,$K35)="","",INDEX(BASELINE!$K$2:$K$3001,$K35)))</f>
        <v/>
      </c>
      <c r="H35" s="13">
        <f>IF($K35="","",IF(INDEX(BASELINE!$N$2:$N$3001,$K35)="","",INDEX(BASELINE!$N$2:$N$3001,$K35)))</f>
        <v/>
      </c>
      <c r="I35" s="13">
        <f>IF($K35="","",IF(INDEX(BASELINE!$O$2:$O$3001,$K35)="","",INDEX(BASELINE!$O$2:$O$3001,$K35)))</f>
        <v/>
      </c>
      <c r="J35" s="12">
        <f>IF($K35="","",IF(ISNUMBER(SEARCH("break",INDEX(BASELINE!$T$2:$T$3001,$K35)&amp;"")),"SIM",""))</f>
        <v/>
      </c>
      <c r="K35" s="15">
        <f>IF(27&lt;=CALC!$D$1,MATCH(27,CALC!$B$2:$B$3001,0),"")</f>
        <v/>
      </c>
    </row>
    <row r="36" ht="17" customHeight="1">
      <c r="A36" s="12">
        <f>IF($K36="","",28)</f>
        <v/>
      </c>
      <c r="B36" s="13">
        <f>IF($K36="","",IF(INDEX(BASELINE!$I$2:$I$3001,$K36)="","",INDEX(BASELINE!$I$2:$I$3001,$K36)))</f>
        <v/>
      </c>
      <c r="C36" s="12">
        <f>IF($K36="","",IF(INDEX(BASELINE!$J$2:$J$3001,$K36)="","",INDEX(BASELINE!$J$2:$J$3001,$K36)))</f>
        <v/>
      </c>
      <c r="D36" s="13">
        <f>IF($K36="","",IF(INDEX(BASELINE!$M$2:$M$3001,$K36)="","",INDEX(BASELINE!$M$2:$M$3001,$K36)))</f>
        <v/>
      </c>
      <c r="E36" s="13">
        <f>IF($K36="","",IF(INDEX(BASELINE!$L$2:$L$3001,$K36)="","",INDEX(BASELINE!$L$2:$L$3001,$K36)))</f>
        <v/>
      </c>
      <c r="F36" s="14">
        <f>IF($K36="","",IF(INDEX(BASELINE!$P$2:$P$3001,$K36)="","",INDEX(BASELINE!$P$2:$P$3001,$K36)))</f>
        <v/>
      </c>
      <c r="G36" s="13">
        <f>IF($K36="","",IF(INDEX(BASELINE!$K$2:$K$3001,$K36)="","",INDEX(BASELINE!$K$2:$K$3001,$K36)))</f>
        <v/>
      </c>
      <c r="H36" s="13">
        <f>IF($K36="","",IF(INDEX(BASELINE!$N$2:$N$3001,$K36)="","",INDEX(BASELINE!$N$2:$N$3001,$K36)))</f>
        <v/>
      </c>
      <c r="I36" s="13">
        <f>IF($K36="","",IF(INDEX(BASELINE!$O$2:$O$3001,$K36)="","",INDEX(BASELINE!$O$2:$O$3001,$K36)))</f>
        <v/>
      </c>
      <c r="J36" s="12">
        <f>IF($K36="","",IF(ISNUMBER(SEARCH("break",INDEX(BASELINE!$T$2:$T$3001,$K36)&amp;"")),"SIM",""))</f>
        <v/>
      </c>
      <c r="K36" s="15">
        <f>IF(28&lt;=CALC!$D$1,MATCH(28,CALC!$B$2:$B$3001,0),"")</f>
        <v/>
      </c>
    </row>
    <row r="37" ht="17" customHeight="1">
      <c r="A37" s="12">
        <f>IF($K37="","",29)</f>
        <v/>
      </c>
      <c r="B37" s="13">
        <f>IF($K37="","",IF(INDEX(BASELINE!$I$2:$I$3001,$K37)="","",INDEX(BASELINE!$I$2:$I$3001,$K37)))</f>
        <v/>
      </c>
      <c r="C37" s="12">
        <f>IF($K37="","",IF(INDEX(BASELINE!$J$2:$J$3001,$K37)="","",INDEX(BASELINE!$J$2:$J$3001,$K37)))</f>
        <v/>
      </c>
      <c r="D37" s="13">
        <f>IF($K37="","",IF(INDEX(BASELINE!$M$2:$M$3001,$K37)="","",INDEX(BASELINE!$M$2:$M$3001,$K37)))</f>
        <v/>
      </c>
      <c r="E37" s="13">
        <f>IF($K37="","",IF(INDEX(BASELINE!$L$2:$L$3001,$K37)="","",INDEX(BASELINE!$L$2:$L$3001,$K37)))</f>
        <v/>
      </c>
      <c r="F37" s="14">
        <f>IF($K37="","",IF(INDEX(BASELINE!$P$2:$P$3001,$K37)="","",INDEX(BASELINE!$P$2:$P$3001,$K37)))</f>
        <v/>
      </c>
      <c r="G37" s="13">
        <f>IF($K37="","",IF(INDEX(BASELINE!$K$2:$K$3001,$K37)="","",INDEX(BASELINE!$K$2:$K$3001,$K37)))</f>
        <v/>
      </c>
      <c r="H37" s="13">
        <f>IF($K37="","",IF(INDEX(BASELINE!$N$2:$N$3001,$K37)="","",INDEX(BASELINE!$N$2:$N$3001,$K37)))</f>
        <v/>
      </c>
      <c r="I37" s="13">
        <f>IF($K37="","",IF(INDEX(BASELINE!$O$2:$O$3001,$K37)="","",INDEX(BASELINE!$O$2:$O$3001,$K37)))</f>
        <v/>
      </c>
      <c r="J37" s="12">
        <f>IF($K37="","",IF(ISNUMBER(SEARCH("break",INDEX(BASELINE!$T$2:$T$3001,$K37)&amp;"")),"SIM",""))</f>
        <v/>
      </c>
      <c r="K37" s="15">
        <f>IF(29&lt;=CALC!$D$1,MATCH(29,CALC!$B$2:$B$3001,0),"")</f>
        <v/>
      </c>
    </row>
    <row r="38" ht="17" customHeight="1">
      <c r="A38" s="12">
        <f>IF($K38="","",30)</f>
        <v/>
      </c>
      <c r="B38" s="13">
        <f>IF($K38="","",IF(INDEX(BASELINE!$I$2:$I$3001,$K38)="","",INDEX(BASELINE!$I$2:$I$3001,$K38)))</f>
        <v/>
      </c>
      <c r="C38" s="12">
        <f>IF($K38="","",IF(INDEX(BASELINE!$J$2:$J$3001,$K38)="","",INDEX(BASELINE!$J$2:$J$3001,$K38)))</f>
        <v/>
      </c>
      <c r="D38" s="13">
        <f>IF($K38="","",IF(INDEX(BASELINE!$M$2:$M$3001,$K38)="","",INDEX(BASELINE!$M$2:$M$3001,$K38)))</f>
        <v/>
      </c>
      <c r="E38" s="13">
        <f>IF($K38="","",IF(INDEX(BASELINE!$L$2:$L$3001,$K38)="","",INDEX(BASELINE!$L$2:$L$3001,$K38)))</f>
        <v/>
      </c>
      <c r="F38" s="14">
        <f>IF($K38="","",IF(INDEX(BASELINE!$P$2:$P$3001,$K38)="","",INDEX(BASELINE!$P$2:$P$3001,$K38)))</f>
        <v/>
      </c>
      <c r="G38" s="13">
        <f>IF($K38="","",IF(INDEX(BASELINE!$K$2:$K$3001,$K38)="","",INDEX(BASELINE!$K$2:$K$3001,$K38)))</f>
        <v/>
      </c>
      <c r="H38" s="13">
        <f>IF($K38="","",IF(INDEX(BASELINE!$N$2:$N$3001,$K38)="","",INDEX(BASELINE!$N$2:$N$3001,$K38)))</f>
        <v/>
      </c>
      <c r="I38" s="13">
        <f>IF($K38="","",IF(INDEX(BASELINE!$O$2:$O$3001,$K38)="","",INDEX(BASELINE!$O$2:$O$3001,$K38)))</f>
        <v/>
      </c>
      <c r="J38" s="12">
        <f>IF($K38="","",IF(ISNUMBER(SEARCH("break",INDEX(BASELINE!$T$2:$T$3001,$K38)&amp;"")),"SIM",""))</f>
        <v/>
      </c>
      <c r="K38" s="15">
        <f>IF(30&lt;=CALC!$D$1,MATCH(30,CALC!$B$2:$B$3001,0),"")</f>
        <v/>
      </c>
    </row>
    <row r="39" ht="17" customHeight="1">
      <c r="A39" s="12">
        <f>IF($K39="","",31)</f>
        <v/>
      </c>
      <c r="B39" s="13">
        <f>IF($K39="","",IF(INDEX(BASELINE!$I$2:$I$3001,$K39)="","",INDEX(BASELINE!$I$2:$I$3001,$K39)))</f>
        <v/>
      </c>
      <c r="C39" s="12">
        <f>IF($K39="","",IF(INDEX(BASELINE!$J$2:$J$3001,$K39)="","",INDEX(BASELINE!$J$2:$J$3001,$K39)))</f>
        <v/>
      </c>
      <c r="D39" s="13">
        <f>IF($K39="","",IF(INDEX(BASELINE!$M$2:$M$3001,$K39)="","",INDEX(BASELINE!$M$2:$M$3001,$K39)))</f>
        <v/>
      </c>
      <c r="E39" s="13">
        <f>IF($K39="","",IF(INDEX(BASELINE!$L$2:$L$3001,$K39)="","",INDEX(BASELINE!$L$2:$L$3001,$K39)))</f>
        <v/>
      </c>
      <c r="F39" s="14">
        <f>IF($K39="","",IF(INDEX(BASELINE!$P$2:$P$3001,$K39)="","",INDEX(BASELINE!$P$2:$P$3001,$K39)))</f>
        <v/>
      </c>
      <c r="G39" s="13">
        <f>IF($K39="","",IF(INDEX(BASELINE!$K$2:$K$3001,$K39)="","",INDEX(BASELINE!$K$2:$K$3001,$K39)))</f>
        <v/>
      </c>
      <c r="H39" s="13">
        <f>IF($K39="","",IF(INDEX(BASELINE!$N$2:$N$3001,$K39)="","",INDEX(BASELINE!$N$2:$N$3001,$K39)))</f>
        <v/>
      </c>
      <c r="I39" s="13">
        <f>IF($K39="","",IF(INDEX(BASELINE!$O$2:$O$3001,$K39)="","",INDEX(BASELINE!$O$2:$O$3001,$K39)))</f>
        <v/>
      </c>
      <c r="J39" s="12">
        <f>IF($K39="","",IF(ISNUMBER(SEARCH("break",INDEX(BASELINE!$T$2:$T$3001,$K39)&amp;"")),"SIM",""))</f>
        <v/>
      </c>
      <c r="K39" s="15">
        <f>IF(31&lt;=CALC!$D$1,MATCH(31,CALC!$B$2:$B$3001,0),"")</f>
        <v/>
      </c>
    </row>
    <row r="40" ht="17" customHeight="1">
      <c r="A40" s="12">
        <f>IF($K40="","",32)</f>
        <v/>
      </c>
      <c r="B40" s="13">
        <f>IF($K40="","",IF(INDEX(BASELINE!$I$2:$I$3001,$K40)="","",INDEX(BASELINE!$I$2:$I$3001,$K40)))</f>
        <v/>
      </c>
      <c r="C40" s="12">
        <f>IF($K40="","",IF(INDEX(BASELINE!$J$2:$J$3001,$K40)="","",INDEX(BASELINE!$J$2:$J$3001,$K40)))</f>
        <v/>
      </c>
      <c r="D40" s="13">
        <f>IF($K40="","",IF(INDEX(BASELINE!$M$2:$M$3001,$K40)="","",INDEX(BASELINE!$M$2:$M$3001,$K40)))</f>
        <v/>
      </c>
      <c r="E40" s="13">
        <f>IF($K40="","",IF(INDEX(BASELINE!$L$2:$L$3001,$K40)="","",INDEX(BASELINE!$L$2:$L$3001,$K40)))</f>
        <v/>
      </c>
      <c r="F40" s="14">
        <f>IF($K40="","",IF(INDEX(BASELINE!$P$2:$P$3001,$K40)="","",INDEX(BASELINE!$P$2:$P$3001,$K40)))</f>
        <v/>
      </c>
      <c r="G40" s="13">
        <f>IF($K40="","",IF(INDEX(BASELINE!$K$2:$K$3001,$K40)="","",INDEX(BASELINE!$K$2:$K$3001,$K40)))</f>
        <v/>
      </c>
      <c r="H40" s="13">
        <f>IF($K40="","",IF(INDEX(BASELINE!$N$2:$N$3001,$K40)="","",INDEX(BASELINE!$N$2:$N$3001,$K40)))</f>
        <v/>
      </c>
      <c r="I40" s="13">
        <f>IF($K40="","",IF(INDEX(BASELINE!$O$2:$O$3001,$K40)="","",INDEX(BASELINE!$O$2:$O$3001,$K40)))</f>
        <v/>
      </c>
      <c r="J40" s="12">
        <f>IF($K40="","",IF(ISNUMBER(SEARCH("break",INDEX(BASELINE!$T$2:$T$3001,$K40)&amp;"")),"SIM",""))</f>
        <v/>
      </c>
      <c r="K40" s="15">
        <f>IF(32&lt;=CALC!$D$1,MATCH(32,CALC!$B$2:$B$3001,0),"")</f>
        <v/>
      </c>
    </row>
    <row r="41" ht="17" customHeight="1">
      <c r="A41" s="12">
        <f>IF($K41="","",33)</f>
        <v/>
      </c>
      <c r="B41" s="13">
        <f>IF($K41="","",IF(INDEX(BASELINE!$I$2:$I$3001,$K41)="","",INDEX(BASELINE!$I$2:$I$3001,$K41)))</f>
        <v/>
      </c>
      <c r="C41" s="12">
        <f>IF($K41="","",IF(INDEX(BASELINE!$J$2:$J$3001,$K41)="","",INDEX(BASELINE!$J$2:$J$3001,$K41)))</f>
        <v/>
      </c>
      <c r="D41" s="13">
        <f>IF($K41="","",IF(INDEX(BASELINE!$M$2:$M$3001,$K41)="","",INDEX(BASELINE!$M$2:$M$3001,$K41)))</f>
        <v/>
      </c>
      <c r="E41" s="13">
        <f>IF($K41="","",IF(INDEX(BASELINE!$L$2:$L$3001,$K41)="","",INDEX(BASELINE!$L$2:$L$3001,$K41)))</f>
        <v/>
      </c>
      <c r="F41" s="14">
        <f>IF($K41="","",IF(INDEX(BASELINE!$P$2:$P$3001,$K41)="","",INDEX(BASELINE!$P$2:$P$3001,$K41)))</f>
        <v/>
      </c>
      <c r="G41" s="13">
        <f>IF($K41="","",IF(INDEX(BASELINE!$K$2:$K$3001,$K41)="","",INDEX(BASELINE!$K$2:$K$3001,$K41)))</f>
        <v/>
      </c>
      <c r="H41" s="13">
        <f>IF($K41="","",IF(INDEX(BASELINE!$N$2:$N$3001,$K41)="","",INDEX(BASELINE!$N$2:$N$3001,$K41)))</f>
        <v/>
      </c>
      <c r="I41" s="13">
        <f>IF($K41="","",IF(INDEX(BASELINE!$O$2:$O$3001,$K41)="","",INDEX(BASELINE!$O$2:$O$3001,$K41)))</f>
        <v/>
      </c>
      <c r="J41" s="12">
        <f>IF($K41="","",IF(ISNUMBER(SEARCH("break",INDEX(BASELINE!$T$2:$T$3001,$K41)&amp;"")),"SIM",""))</f>
        <v/>
      </c>
      <c r="K41" s="15">
        <f>IF(33&lt;=CALC!$D$1,MATCH(33,CALC!$B$2:$B$3001,0),"")</f>
        <v/>
      </c>
    </row>
    <row r="42" ht="17" customHeight="1">
      <c r="A42" s="12">
        <f>IF($K42="","",34)</f>
        <v/>
      </c>
      <c r="B42" s="13">
        <f>IF($K42="","",IF(INDEX(BASELINE!$I$2:$I$3001,$K42)="","",INDEX(BASELINE!$I$2:$I$3001,$K42)))</f>
        <v/>
      </c>
      <c r="C42" s="12">
        <f>IF($K42="","",IF(INDEX(BASELINE!$J$2:$J$3001,$K42)="","",INDEX(BASELINE!$J$2:$J$3001,$K42)))</f>
        <v/>
      </c>
      <c r="D42" s="13">
        <f>IF($K42="","",IF(INDEX(BASELINE!$M$2:$M$3001,$K42)="","",INDEX(BASELINE!$M$2:$M$3001,$K42)))</f>
        <v/>
      </c>
      <c r="E42" s="13">
        <f>IF($K42="","",IF(INDEX(BASELINE!$L$2:$L$3001,$K42)="","",INDEX(BASELINE!$L$2:$L$3001,$K42)))</f>
        <v/>
      </c>
      <c r="F42" s="14">
        <f>IF($K42="","",IF(INDEX(BASELINE!$P$2:$P$3001,$K42)="","",INDEX(BASELINE!$P$2:$P$3001,$K42)))</f>
        <v/>
      </c>
      <c r="G42" s="13">
        <f>IF($K42="","",IF(INDEX(BASELINE!$K$2:$K$3001,$K42)="","",INDEX(BASELINE!$K$2:$K$3001,$K42)))</f>
        <v/>
      </c>
      <c r="H42" s="13">
        <f>IF($K42="","",IF(INDEX(BASELINE!$N$2:$N$3001,$K42)="","",INDEX(BASELINE!$N$2:$N$3001,$K42)))</f>
        <v/>
      </c>
      <c r="I42" s="13">
        <f>IF($K42="","",IF(INDEX(BASELINE!$O$2:$O$3001,$K42)="","",INDEX(BASELINE!$O$2:$O$3001,$K42)))</f>
        <v/>
      </c>
      <c r="J42" s="12">
        <f>IF($K42="","",IF(ISNUMBER(SEARCH("break",INDEX(BASELINE!$T$2:$T$3001,$K42)&amp;"")),"SIM",""))</f>
        <v/>
      </c>
      <c r="K42" s="15">
        <f>IF(34&lt;=CALC!$D$1,MATCH(34,CALC!$B$2:$B$3001,0),"")</f>
        <v/>
      </c>
    </row>
    <row r="43" ht="17" customHeight="1">
      <c r="A43" s="12">
        <f>IF($K43="","",35)</f>
        <v/>
      </c>
      <c r="B43" s="13">
        <f>IF($K43="","",IF(INDEX(BASELINE!$I$2:$I$3001,$K43)="","",INDEX(BASELINE!$I$2:$I$3001,$K43)))</f>
        <v/>
      </c>
      <c r="C43" s="12">
        <f>IF($K43="","",IF(INDEX(BASELINE!$J$2:$J$3001,$K43)="","",INDEX(BASELINE!$J$2:$J$3001,$K43)))</f>
        <v/>
      </c>
      <c r="D43" s="13">
        <f>IF($K43="","",IF(INDEX(BASELINE!$M$2:$M$3001,$K43)="","",INDEX(BASELINE!$M$2:$M$3001,$K43)))</f>
        <v/>
      </c>
      <c r="E43" s="13">
        <f>IF($K43="","",IF(INDEX(BASELINE!$L$2:$L$3001,$K43)="","",INDEX(BASELINE!$L$2:$L$3001,$K43)))</f>
        <v/>
      </c>
      <c r="F43" s="14">
        <f>IF($K43="","",IF(INDEX(BASELINE!$P$2:$P$3001,$K43)="","",INDEX(BASELINE!$P$2:$P$3001,$K43)))</f>
        <v/>
      </c>
      <c r="G43" s="13">
        <f>IF($K43="","",IF(INDEX(BASELINE!$K$2:$K$3001,$K43)="","",INDEX(BASELINE!$K$2:$K$3001,$K43)))</f>
        <v/>
      </c>
      <c r="H43" s="13">
        <f>IF($K43="","",IF(INDEX(BASELINE!$N$2:$N$3001,$K43)="","",INDEX(BASELINE!$N$2:$N$3001,$K43)))</f>
        <v/>
      </c>
      <c r="I43" s="13">
        <f>IF($K43="","",IF(INDEX(BASELINE!$O$2:$O$3001,$K43)="","",INDEX(BASELINE!$O$2:$O$3001,$K43)))</f>
        <v/>
      </c>
      <c r="J43" s="12">
        <f>IF($K43="","",IF(ISNUMBER(SEARCH("break",INDEX(BASELINE!$T$2:$T$3001,$K43)&amp;"")),"SIM",""))</f>
        <v/>
      </c>
      <c r="K43" s="15">
        <f>IF(35&lt;=CALC!$D$1,MATCH(35,CALC!$B$2:$B$3001,0),"")</f>
        <v/>
      </c>
    </row>
    <row r="44" ht="17" customHeight="1">
      <c r="A44" s="12">
        <f>IF($K44="","",36)</f>
        <v/>
      </c>
      <c r="B44" s="13">
        <f>IF($K44="","",IF(INDEX(BASELINE!$I$2:$I$3001,$K44)="","",INDEX(BASELINE!$I$2:$I$3001,$K44)))</f>
        <v/>
      </c>
      <c r="C44" s="12">
        <f>IF($K44="","",IF(INDEX(BASELINE!$J$2:$J$3001,$K44)="","",INDEX(BASELINE!$J$2:$J$3001,$K44)))</f>
        <v/>
      </c>
      <c r="D44" s="13">
        <f>IF($K44="","",IF(INDEX(BASELINE!$M$2:$M$3001,$K44)="","",INDEX(BASELINE!$M$2:$M$3001,$K44)))</f>
        <v/>
      </c>
      <c r="E44" s="13">
        <f>IF($K44="","",IF(INDEX(BASELINE!$L$2:$L$3001,$K44)="","",INDEX(BASELINE!$L$2:$L$3001,$K44)))</f>
        <v/>
      </c>
      <c r="F44" s="14">
        <f>IF($K44="","",IF(INDEX(BASELINE!$P$2:$P$3001,$K44)="","",INDEX(BASELINE!$P$2:$P$3001,$K44)))</f>
        <v/>
      </c>
      <c r="G44" s="13">
        <f>IF($K44="","",IF(INDEX(BASELINE!$K$2:$K$3001,$K44)="","",INDEX(BASELINE!$K$2:$K$3001,$K44)))</f>
        <v/>
      </c>
      <c r="H44" s="13">
        <f>IF($K44="","",IF(INDEX(BASELINE!$N$2:$N$3001,$K44)="","",INDEX(BASELINE!$N$2:$N$3001,$K44)))</f>
        <v/>
      </c>
      <c r="I44" s="13">
        <f>IF($K44="","",IF(INDEX(BASELINE!$O$2:$O$3001,$K44)="","",INDEX(BASELINE!$O$2:$O$3001,$K44)))</f>
        <v/>
      </c>
      <c r="J44" s="12">
        <f>IF($K44="","",IF(ISNUMBER(SEARCH("break",INDEX(BASELINE!$T$2:$T$3001,$K44)&amp;"")),"SIM",""))</f>
        <v/>
      </c>
      <c r="K44" s="15">
        <f>IF(36&lt;=CALC!$D$1,MATCH(36,CALC!$B$2:$B$3001,0),"")</f>
        <v/>
      </c>
    </row>
    <row r="45" ht="17" customHeight="1">
      <c r="A45" s="12">
        <f>IF($K45="","",37)</f>
        <v/>
      </c>
      <c r="B45" s="13">
        <f>IF($K45="","",IF(INDEX(BASELINE!$I$2:$I$3001,$K45)="","",INDEX(BASELINE!$I$2:$I$3001,$K45)))</f>
        <v/>
      </c>
      <c r="C45" s="12">
        <f>IF($K45="","",IF(INDEX(BASELINE!$J$2:$J$3001,$K45)="","",INDEX(BASELINE!$J$2:$J$3001,$K45)))</f>
        <v/>
      </c>
      <c r="D45" s="13">
        <f>IF($K45="","",IF(INDEX(BASELINE!$M$2:$M$3001,$K45)="","",INDEX(BASELINE!$M$2:$M$3001,$K45)))</f>
        <v/>
      </c>
      <c r="E45" s="13">
        <f>IF($K45="","",IF(INDEX(BASELINE!$L$2:$L$3001,$K45)="","",INDEX(BASELINE!$L$2:$L$3001,$K45)))</f>
        <v/>
      </c>
      <c r="F45" s="14">
        <f>IF($K45="","",IF(INDEX(BASELINE!$P$2:$P$3001,$K45)="","",INDEX(BASELINE!$P$2:$P$3001,$K45)))</f>
        <v/>
      </c>
      <c r="G45" s="13">
        <f>IF($K45="","",IF(INDEX(BASELINE!$K$2:$K$3001,$K45)="","",INDEX(BASELINE!$K$2:$K$3001,$K45)))</f>
        <v/>
      </c>
      <c r="H45" s="13">
        <f>IF($K45="","",IF(INDEX(BASELINE!$N$2:$N$3001,$K45)="","",INDEX(BASELINE!$N$2:$N$3001,$K45)))</f>
        <v/>
      </c>
      <c r="I45" s="13">
        <f>IF($K45="","",IF(INDEX(BASELINE!$O$2:$O$3001,$K45)="","",INDEX(BASELINE!$O$2:$O$3001,$K45)))</f>
        <v/>
      </c>
      <c r="J45" s="12">
        <f>IF($K45="","",IF(ISNUMBER(SEARCH("break",INDEX(BASELINE!$T$2:$T$3001,$K45)&amp;"")),"SIM",""))</f>
        <v/>
      </c>
      <c r="K45" s="15">
        <f>IF(37&lt;=CALC!$D$1,MATCH(37,CALC!$B$2:$B$3001,0),"")</f>
        <v/>
      </c>
    </row>
    <row r="46" ht="17" customHeight="1">
      <c r="A46" s="12">
        <f>IF($K46="","",38)</f>
        <v/>
      </c>
      <c r="B46" s="13">
        <f>IF($K46="","",IF(INDEX(BASELINE!$I$2:$I$3001,$K46)="","",INDEX(BASELINE!$I$2:$I$3001,$K46)))</f>
        <v/>
      </c>
      <c r="C46" s="12">
        <f>IF($K46="","",IF(INDEX(BASELINE!$J$2:$J$3001,$K46)="","",INDEX(BASELINE!$J$2:$J$3001,$K46)))</f>
        <v/>
      </c>
      <c r="D46" s="13">
        <f>IF($K46="","",IF(INDEX(BASELINE!$M$2:$M$3001,$K46)="","",INDEX(BASELINE!$M$2:$M$3001,$K46)))</f>
        <v/>
      </c>
      <c r="E46" s="13">
        <f>IF($K46="","",IF(INDEX(BASELINE!$L$2:$L$3001,$K46)="","",INDEX(BASELINE!$L$2:$L$3001,$K46)))</f>
        <v/>
      </c>
      <c r="F46" s="14">
        <f>IF($K46="","",IF(INDEX(BASELINE!$P$2:$P$3001,$K46)="","",INDEX(BASELINE!$P$2:$P$3001,$K46)))</f>
        <v/>
      </c>
      <c r="G46" s="13">
        <f>IF($K46="","",IF(INDEX(BASELINE!$K$2:$K$3001,$K46)="","",INDEX(BASELINE!$K$2:$K$3001,$K46)))</f>
        <v/>
      </c>
      <c r="H46" s="13">
        <f>IF($K46="","",IF(INDEX(BASELINE!$N$2:$N$3001,$K46)="","",INDEX(BASELINE!$N$2:$N$3001,$K46)))</f>
        <v/>
      </c>
      <c r="I46" s="13">
        <f>IF($K46="","",IF(INDEX(BASELINE!$O$2:$O$3001,$K46)="","",INDEX(BASELINE!$O$2:$O$3001,$K46)))</f>
        <v/>
      </c>
      <c r="J46" s="12">
        <f>IF($K46="","",IF(ISNUMBER(SEARCH("break",INDEX(BASELINE!$T$2:$T$3001,$K46)&amp;"")),"SIM",""))</f>
        <v/>
      </c>
      <c r="K46" s="15">
        <f>IF(38&lt;=CALC!$D$1,MATCH(38,CALC!$B$2:$B$3001,0),"")</f>
        <v/>
      </c>
    </row>
    <row r="47" ht="17" customHeight="1">
      <c r="A47" s="12">
        <f>IF($K47="","",39)</f>
        <v/>
      </c>
      <c r="B47" s="13">
        <f>IF($K47="","",IF(INDEX(BASELINE!$I$2:$I$3001,$K47)="","",INDEX(BASELINE!$I$2:$I$3001,$K47)))</f>
        <v/>
      </c>
      <c r="C47" s="12">
        <f>IF($K47="","",IF(INDEX(BASELINE!$J$2:$J$3001,$K47)="","",INDEX(BASELINE!$J$2:$J$3001,$K47)))</f>
        <v/>
      </c>
      <c r="D47" s="13">
        <f>IF($K47="","",IF(INDEX(BASELINE!$M$2:$M$3001,$K47)="","",INDEX(BASELINE!$M$2:$M$3001,$K47)))</f>
        <v/>
      </c>
      <c r="E47" s="13">
        <f>IF($K47="","",IF(INDEX(BASELINE!$L$2:$L$3001,$K47)="","",INDEX(BASELINE!$L$2:$L$3001,$K47)))</f>
        <v/>
      </c>
      <c r="F47" s="14">
        <f>IF($K47="","",IF(INDEX(BASELINE!$P$2:$P$3001,$K47)="","",INDEX(BASELINE!$P$2:$P$3001,$K47)))</f>
        <v/>
      </c>
      <c r="G47" s="13">
        <f>IF($K47="","",IF(INDEX(BASELINE!$K$2:$K$3001,$K47)="","",INDEX(BASELINE!$K$2:$K$3001,$K47)))</f>
        <v/>
      </c>
      <c r="H47" s="13">
        <f>IF($K47="","",IF(INDEX(BASELINE!$N$2:$N$3001,$K47)="","",INDEX(BASELINE!$N$2:$N$3001,$K47)))</f>
        <v/>
      </c>
      <c r="I47" s="13">
        <f>IF($K47="","",IF(INDEX(BASELINE!$O$2:$O$3001,$K47)="","",INDEX(BASELINE!$O$2:$O$3001,$K47)))</f>
        <v/>
      </c>
      <c r="J47" s="12">
        <f>IF($K47="","",IF(ISNUMBER(SEARCH("break",INDEX(BASELINE!$T$2:$T$3001,$K47)&amp;"")),"SIM",""))</f>
        <v/>
      </c>
      <c r="K47" s="15">
        <f>IF(39&lt;=CALC!$D$1,MATCH(39,CALC!$B$2:$B$3001,0),"")</f>
        <v/>
      </c>
    </row>
    <row r="48" ht="17" customHeight="1">
      <c r="A48" s="12">
        <f>IF($K48="","",40)</f>
        <v/>
      </c>
      <c r="B48" s="13">
        <f>IF($K48="","",IF(INDEX(BASELINE!$I$2:$I$3001,$K48)="","",INDEX(BASELINE!$I$2:$I$3001,$K48)))</f>
        <v/>
      </c>
      <c r="C48" s="12">
        <f>IF($K48="","",IF(INDEX(BASELINE!$J$2:$J$3001,$K48)="","",INDEX(BASELINE!$J$2:$J$3001,$K48)))</f>
        <v/>
      </c>
      <c r="D48" s="13">
        <f>IF($K48="","",IF(INDEX(BASELINE!$M$2:$M$3001,$K48)="","",INDEX(BASELINE!$M$2:$M$3001,$K48)))</f>
        <v/>
      </c>
      <c r="E48" s="13">
        <f>IF($K48="","",IF(INDEX(BASELINE!$L$2:$L$3001,$K48)="","",INDEX(BASELINE!$L$2:$L$3001,$K48)))</f>
        <v/>
      </c>
      <c r="F48" s="14">
        <f>IF($K48="","",IF(INDEX(BASELINE!$P$2:$P$3001,$K48)="","",INDEX(BASELINE!$P$2:$P$3001,$K48)))</f>
        <v/>
      </c>
      <c r="G48" s="13">
        <f>IF($K48="","",IF(INDEX(BASELINE!$K$2:$K$3001,$K48)="","",INDEX(BASELINE!$K$2:$K$3001,$K48)))</f>
        <v/>
      </c>
      <c r="H48" s="13">
        <f>IF($K48="","",IF(INDEX(BASELINE!$N$2:$N$3001,$K48)="","",INDEX(BASELINE!$N$2:$N$3001,$K48)))</f>
        <v/>
      </c>
      <c r="I48" s="13">
        <f>IF($K48="","",IF(INDEX(BASELINE!$O$2:$O$3001,$K48)="","",INDEX(BASELINE!$O$2:$O$3001,$K48)))</f>
        <v/>
      </c>
      <c r="J48" s="12">
        <f>IF($K48="","",IF(ISNUMBER(SEARCH("break",INDEX(BASELINE!$T$2:$T$3001,$K48)&amp;"")),"SIM",""))</f>
        <v/>
      </c>
      <c r="K48" s="15">
        <f>IF(40&lt;=CALC!$D$1,MATCH(40,CALC!$B$2:$B$3001,0),"")</f>
        <v/>
      </c>
    </row>
    <row r="49" ht="17" customHeight="1">
      <c r="A49" s="12">
        <f>IF($K49="","",41)</f>
        <v/>
      </c>
      <c r="B49" s="13">
        <f>IF($K49="","",IF(INDEX(BASELINE!$I$2:$I$3001,$K49)="","",INDEX(BASELINE!$I$2:$I$3001,$K49)))</f>
        <v/>
      </c>
      <c r="C49" s="12">
        <f>IF($K49="","",IF(INDEX(BASELINE!$J$2:$J$3001,$K49)="","",INDEX(BASELINE!$J$2:$J$3001,$K49)))</f>
        <v/>
      </c>
      <c r="D49" s="13">
        <f>IF($K49="","",IF(INDEX(BASELINE!$M$2:$M$3001,$K49)="","",INDEX(BASELINE!$M$2:$M$3001,$K49)))</f>
        <v/>
      </c>
      <c r="E49" s="13">
        <f>IF($K49="","",IF(INDEX(BASELINE!$L$2:$L$3001,$K49)="","",INDEX(BASELINE!$L$2:$L$3001,$K49)))</f>
        <v/>
      </c>
      <c r="F49" s="14">
        <f>IF($K49="","",IF(INDEX(BASELINE!$P$2:$P$3001,$K49)="","",INDEX(BASELINE!$P$2:$P$3001,$K49)))</f>
        <v/>
      </c>
      <c r="G49" s="13">
        <f>IF($K49="","",IF(INDEX(BASELINE!$K$2:$K$3001,$K49)="","",INDEX(BASELINE!$K$2:$K$3001,$K49)))</f>
        <v/>
      </c>
      <c r="H49" s="13">
        <f>IF($K49="","",IF(INDEX(BASELINE!$N$2:$N$3001,$K49)="","",INDEX(BASELINE!$N$2:$N$3001,$K49)))</f>
        <v/>
      </c>
      <c r="I49" s="13">
        <f>IF($K49="","",IF(INDEX(BASELINE!$O$2:$O$3001,$K49)="","",INDEX(BASELINE!$O$2:$O$3001,$K49)))</f>
        <v/>
      </c>
      <c r="J49" s="12">
        <f>IF($K49="","",IF(ISNUMBER(SEARCH("break",INDEX(BASELINE!$T$2:$T$3001,$K49)&amp;"")),"SIM",""))</f>
        <v/>
      </c>
      <c r="K49" s="15">
        <f>IF(41&lt;=CALC!$D$1,MATCH(41,CALC!$B$2:$B$3001,0),"")</f>
        <v/>
      </c>
    </row>
    <row r="50" ht="17" customHeight="1">
      <c r="A50" s="12">
        <f>IF($K50="","",42)</f>
        <v/>
      </c>
      <c r="B50" s="13">
        <f>IF($K50="","",IF(INDEX(BASELINE!$I$2:$I$3001,$K50)="","",INDEX(BASELINE!$I$2:$I$3001,$K50)))</f>
        <v/>
      </c>
      <c r="C50" s="12">
        <f>IF($K50="","",IF(INDEX(BASELINE!$J$2:$J$3001,$K50)="","",INDEX(BASELINE!$J$2:$J$3001,$K50)))</f>
        <v/>
      </c>
      <c r="D50" s="13">
        <f>IF($K50="","",IF(INDEX(BASELINE!$M$2:$M$3001,$K50)="","",INDEX(BASELINE!$M$2:$M$3001,$K50)))</f>
        <v/>
      </c>
      <c r="E50" s="13">
        <f>IF($K50="","",IF(INDEX(BASELINE!$L$2:$L$3001,$K50)="","",INDEX(BASELINE!$L$2:$L$3001,$K50)))</f>
        <v/>
      </c>
      <c r="F50" s="14">
        <f>IF($K50="","",IF(INDEX(BASELINE!$P$2:$P$3001,$K50)="","",INDEX(BASELINE!$P$2:$P$3001,$K50)))</f>
        <v/>
      </c>
      <c r="G50" s="13">
        <f>IF($K50="","",IF(INDEX(BASELINE!$K$2:$K$3001,$K50)="","",INDEX(BASELINE!$K$2:$K$3001,$K50)))</f>
        <v/>
      </c>
      <c r="H50" s="13">
        <f>IF($K50="","",IF(INDEX(BASELINE!$N$2:$N$3001,$K50)="","",INDEX(BASELINE!$N$2:$N$3001,$K50)))</f>
        <v/>
      </c>
      <c r="I50" s="13">
        <f>IF($K50="","",IF(INDEX(BASELINE!$O$2:$O$3001,$K50)="","",INDEX(BASELINE!$O$2:$O$3001,$K50)))</f>
        <v/>
      </c>
      <c r="J50" s="12">
        <f>IF($K50="","",IF(ISNUMBER(SEARCH("break",INDEX(BASELINE!$T$2:$T$3001,$K50)&amp;"")),"SIM",""))</f>
        <v/>
      </c>
      <c r="K50" s="15">
        <f>IF(42&lt;=CALC!$D$1,MATCH(42,CALC!$B$2:$B$3001,0),"")</f>
        <v/>
      </c>
    </row>
    <row r="51" ht="17" customHeight="1">
      <c r="A51" s="12">
        <f>IF($K51="","",43)</f>
        <v/>
      </c>
      <c r="B51" s="13">
        <f>IF($K51="","",IF(INDEX(BASELINE!$I$2:$I$3001,$K51)="","",INDEX(BASELINE!$I$2:$I$3001,$K51)))</f>
        <v/>
      </c>
      <c r="C51" s="12">
        <f>IF($K51="","",IF(INDEX(BASELINE!$J$2:$J$3001,$K51)="","",INDEX(BASELINE!$J$2:$J$3001,$K51)))</f>
        <v/>
      </c>
      <c r="D51" s="13">
        <f>IF($K51="","",IF(INDEX(BASELINE!$M$2:$M$3001,$K51)="","",INDEX(BASELINE!$M$2:$M$3001,$K51)))</f>
        <v/>
      </c>
      <c r="E51" s="13">
        <f>IF($K51="","",IF(INDEX(BASELINE!$L$2:$L$3001,$K51)="","",INDEX(BASELINE!$L$2:$L$3001,$K51)))</f>
        <v/>
      </c>
      <c r="F51" s="14">
        <f>IF($K51="","",IF(INDEX(BASELINE!$P$2:$P$3001,$K51)="","",INDEX(BASELINE!$P$2:$P$3001,$K51)))</f>
        <v/>
      </c>
      <c r="G51" s="13">
        <f>IF($K51="","",IF(INDEX(BASELINE!$K$2:$K$3001,$K51)="","",INDEX(BASELINE!$K$2:$K$3001,$K51)))</f>
        <v/>
      </c>
      <c r="H51" s="13">
        <f>IF($K51="","",IF(INDEX(BASELINE!$N$2:$N$3001,$K51)="","",INDEX(BASELINE!$N$2:$N$3001,$K51)))</f>
        <v/>
      </c>
      <c r="I51" s="13">
        <f>IF($K51="","",IF(INDEX(BASELINE!$O$2:$O$3001,$K51)="","",INDEX(BASELINE!$O$2:$O$3001,$K51)))</f>
        <v/>
      </c>
      <c r="J51" s="12">
        <f>IF($K51="","",IF(ISNUMBER(SEARCH("break",INDEX(BASELINE!$T$2:$T$3001,$K51)&amp;"")),"SIM",""))</f>
        <v/>
      </c>
      <c r="K51" s="15">
        <f>IF(43&lt;=CALC!$D$1,MATCH(43,CALC!$B$2:$B$3001,0),"")</f>
        <v/>
      </c>
    </row>
    <row r="52" ht="17" customHeight="1">
      <c r="A52" s="12">
        <f>IF($K52="","",44)</f>
        <v/>
      </c>
      <c r="B52" s="13">
        <f>IF($K52="","",IF(INDEX(BASELINE!$I$2:$I$3001,$K52)="","",INDEX(BASELINE!$I$2:$I$3001,$K52)))</f>
        <v/>
      </c>
      <c r="C52" s="12">
        <f>IF($K52="","",IF(INDEX(BASELINE!$J$2:$J$3001,$K52)="","",INDEX(BASELINE!$J$2:$J$3001,$K52)))</f>
        <v/>
      </c>
      <c r="D52" s="13">
        <f>IF($K52="","",IF(INDEX(BASELINE!$M$2:$M$3001,$K52)="","",INDEX(BASELINE!$M$2:$M$3001,$K52)))</f>
        <v/>
      </c>
      <c r="E52" s="13">
        <f>IF($K52="","",IF(INDEX(BASELINE!$L$2:$L$3001,$K52)="","",INDEX(BASELINE!$L$2:$L$3001,$K52)))</f>
        <v/>
      </c>
      <c r="F52" s="14">
        <f>IF($K52="","",IF(INDEX(BASELINE!$P$2:$P$3001,$K52)="","",INDEX(BASELINE!$P$2:$P$3001,$K52)))</f>
        <v/>
      </c>
      <c r="G52" s="13">
        <f>IF($K52="","",IF(INDEX(BASELINE!$K$2:$K$3001,$K52)="","",INDEX(BASELINE!$K$2:$K$3001,$K52)))</f>
        <v/>
      </c>
      <c r="H52" s="13">
        <f>IF($K52="","",IF(INDEX(BASELINE!$N$2:$N$3001,$K52)="","",INDEX(BASELINE!$N$2:$N$3001,$K52)))</f>
        <v/>
      </c>
      <c r="I52" s="13">
        <f>IF($K52="","",IF(INDEX(BASELINE!$O$2:$O$3001,$K52)="","",INDEX(BASELINE!$O$2:$O$3001,$K52)))</f>
        <v/>
      </c>
      <c r="J52" s="12">
        <f>IF($K52="","",IF(ISNUMBER(SEARCH("break",INDEX(BASELINE!$T$2:$T$3001,$K52)&amp;"")),"SIM",""))</f>
        <v/>
      </c>
      <c r="K52" s="15">
        <f>IF(44&lt;=CALC!$D$1,MATCH(44,CALC!$B$2:$B$3001,0),"")</f>
        <v/>
      </c>
    </row>
    <row r="53" ht="17" customHeight="1">
      <c r="A53" s="12">
        <f>IF($K53="","",45)</f>
        <v/>
      </c>
      <c r="B53" s="13">
        <f>IF($K53="","",IF(INDEX(BASELINE!$I$2:$I$3001,$K53)="","",INDEX(BASELINE!$I$2:$I$3001,$K53)))</f>
        <v/>
      </c>
      <c r="C53" s="12">
        <f>IF($K53="","",IF(INDEX(BASELINE!$J$2:$J$3001,$K53)="","",INDEX(BASELINE!$J$2:$J$3001,$K53)))</f>
        <v/>
      </c>
      <c r="D53" s="13">
        <f>IF($K53="","",IF(INDEX(BASELINE!$M$2:$M$3001,$K53)="","",INDEX(BASELINE!$M$2:$M$3001,$K53)))</f>
        <v/>
      </c>
      <c r="E53" s="13">
        <f>IF($K53="","",IF(INDEX(BASELINE!$L$2:$L$3001,$K53)="","",INDEX(BASELINE!$L$2:$L$3001,$K53)))</f>
        <v/>
      </c>
      <c r="F53" s="14">
        <f>IF($K53="","",IF(INDEX(BASELINE!$P$2:$P$3001,$K53)="","",INDEX(BASELINE!$P$2:$P$3001,$K53)))</f>
        <v/>
      </c>
      <c r="G53" s="13">
        <f>IF($K53="","",IF(INDEX(BASELINE!$K$2:$K$3001,$K53)="","",INDEX(BASELINE!$K$2:$K$3001,$K53)))</f>
        <v/>
      </c>
      <c r="H53" s="13">
        <f>IF($K53="","",IF(INDEX(BASELINE!$N$2:$N$3001,$K53)="","",INDEX(BASELINE!$N$2:$N$3001,$K53)))</f>
        <v/>
      </c>
      <c r="I53" s="13">
        <f>IF($K53="","",IF(INDEX(BASELINE!$O$2:$O$3001,$K53)="","",INDEX(BASELINE!$O$2:$O$3001,$K53)))</f>
        <v/>
      </c>
      <c r="J53" s="12">
        <f>IF($K53="","",IF(ISNUMBER(SEARCH("break",INDEX(BASELINE!$T$2:$T$3001,$K53)&amp;"")),"SIM",""))</f>
        <v/>
      </c>
      <c r="K53" s="15">
        <f>IF(45&lt;=CALC!$D$1,MATCH(45,CALC!$B$2:$B$3001,0),"")</f>
        <v/>
      </c>
    </row>
    <row r="54" ht="17" customHeight="1">
      <c r="A54" s="12">
        <f>IF($K54="","",46)</f>
        <v/>
      </c>
      <c r="B54" s="13">
        <f>IF($K54="","",IF(INDEX(BASELINE!$I$2:$I$3001,$K54)="","",INDEX(BASELINE!$I$2:$I$3001,$K54)))</f>
        <v/>
      </c>
      <c r="C54" s="12">
        <f>IF($K54="","",IF(INDEX(BASELINE!$J$2:$J$3001,$K54)="","",INDEX(BASELINE!$J$2:$J$3001,$K54)))</f>
        <v/>
      </c>
      <c r="D54" s="13">
        <f>IF($K54="","",IF(INDEX(BASELINE!$M$2:$M$3001,$K54)="","",INDEX(BASELINE!$M$2:$M$3001,$K54)))</f>
        <v/>
      </c>
      <c r="E54" s="13">
        <f>IF($K54="","",IF(INDEX(BASELINE!$L$2:$L$3001,$K54)="","",INDEX(BASELINE!$L$2:$L$3001,$K54)))</f>
        <v/>
      </c>
      <c r="F54" s="14">
        <f>IF($K54="","",IF(INDEX(BASELINE!$P$2:$P$3001,$K54)="","",INDEX(BASELINE!$P$2:$P$3001,$K54)))</f>
        <v/>
      </c>
      <c r="G54" s="13">
        <f>IF($K54="","",IF(INDEX(BASELINE!$K$2:$K$3001,$K54)="","",INDEX(BASELINE!$K$2:$K$3001,$K54)))</f>
        <v/>
      </c>
      <c r="H54" s="13">
        <f>IF($K54="","",IF(INDEX(BASELINE!$N$2:$N$3001,$K54)="","",INDEX(BASELINE!$N$2:$N$3001,$K54)))</f>
        <v/>
      </c>
      <c r="I54" s="13">
        <f>IF($K54="","",IF(INDEX(BASELINE!$O$2:$O$3001,$K54)="","",INDEX(BASELINE!$O$2:$O$3001,$K54)))</f>
        <v/>
      </c>
      <c r="J54" s="12">
        <f>IF($K54="","",IF(ISNUMBER(SEARCH("break",INDEX(BASELINE!$T$2:$T$3001,$K54)&amp;"")),"SIM",""))</f>
        <v/>
      </c>
      <c r="K54" s="15">
        <f>IF(46&lt;=CALC!$D$1,MATCH(46,CALC!$B$2:$B$3001,0),"")</f>
        <v/>
      </c>
    </row>
    <row r="55" ht="17" customHeight="1">
      <c r="A55" s="12">
        <f>IF($K55="","",47)</f>
        <v/>
      </c>
      <c r="B55" s="13">
        <f>IF($K55="","",IF(INDEX(BASELINE!$I$2:$I$3001,$K55)="","",INDEX(BASELINE!$I$2:$I$3001,$K55)))</f>
        <v/>
      </c>
      <c r="C55" s="12">
        <f>IF($K55="","",IF(INDEX(BASELINE!$J$2:$J$3001,$K55)="","",INDEX(BASELINE!$J$2:$J$3001,$K55)))</f>
        <v/>
      </c>
      <c r="D55" s="13">
        <f>IF($K55="","",IF(INDEX(BASELINE!$M$2:$M$3001,$K55)="","",INDEX(BASELINE!$M$2:$M$3001,$K55)))</f>
        <v/>
      </c>
      <c r="E55" s="13">
        <f>IF($K55="","",IF(INDEX(BASELINE!$L$2:$L$3001,$K55)="","",INDEX(BASELINE!$L$2:$L$3001,$K55)))</f>
        <v/>
      </c>
      <c r="F55" s="14">
        <f>IF($K55="","",IF(INDEX(BASELINE!$P$2:$P$3001,$K55)="","",INDEX(BASELINE!$P$2:$P$3001,$K55)))</f>
        <v/>
      </c>
      <c r="G55" s="13">
        <f>IF($K55="","",IF(INDEX(BASELINE!$K$2:$K$3001,$K55)="","",INDEX(BASELINE!$K$2:$K$3001,$K55)))</f>
        <v/>
      </c>
      <c r="H55" s="13">
        <f>IF($K55="","",IF(INDEX(BASELINE!$N$2:$N$3001,$K55)="","",INDEX(BASELINE!$N$2:$N$3001,$K55)))</f>
        <v/>
      </c>
      <c r="I55" s="13">
        <f>IF($K55="","",IF(INDEX(BASELINE!$O$2:$O$3001,$K55)="","",INDEX(BASELINE!$O$2:$O$3001,$K55)))</f>
        <v/>
      </c>
      <c r="J55" s="12">
        <f>IF($K55="","",IF(ISNUMBER(SEARCH("break",INDEX(BASELINE!$T$2:$T$3001,$K55)&amp;"")),"SIM",""))</f>
        <v/>
      </c>
      <c r="K55" s="15">
        <f>IF(47&lt;=CALC!$D$1,MATCH(47,CALC!$B$2:$B$3001,0),"")</f>
        <v/>
      </c>
    </row>
    <row r="56" ht="17" customHeight="1">
      <c r="A56" s="12">
        <f>IF($K56="","",48)</f>
        <v/>
      </c>
      <c r="B56" s="13">
        <f>IF($K56="","",IF(INDEX(BASELINE!$I$2:$I$3001,$K56)="","",INDEX(BASELINE!$I$2:$I$3001,$K56)))</f>
        <v/>
      </c>
      <c r="C56" s="12">
        <f>IF($K56="","",IF(INDEX(BASELINE!$J$2:$J$3001,$K56)="","",INDEX(BASELINE!$J$2:$J$3001,$K56)))</f>
        <v/>
      </c>
      <c r="D56" s="13">
        <f>IF($K56="","",IF(INDEX(BASELINE!$M$2:$M$3001,$K56)="","",INDEX(BASELINE!$M$2:$M$3001,$K56)))</f>
        <v/>
      </c>
      <c r="E56" s="13">
        <f>IF($K56="","",IF(INDEX(BASELINE!$L$2:$L$3001,$K56)="","",INDEX(BASELINE!$L$2:$L$3001,$K56)))</f>
        <v/>
      </c>
      <c r="F56" s="14">
        <f>IF($K56="","",IF(INDEX(BASELINE!$P$2:$P$3001,$K56)="","",INDEX(BASELINE!$P$2:$P$3001,$K56)))</f>
        <v/>
      </c>
      <c r="G56" s="13">
        <f>IF($K56="","",IF(INDEX(BASELINE!$K$2:$K$3001,$K56)="","",INDEX(BASELINE!$K$2:$K$3001,$K56)))</f>
        <v/>
      </c>
      <c r="H56" s="13">
        <f>IF($K56="","",IF(INDEX(BASELINE!$N$2:$N$3001,$K56)="","",INDEX(BASELINE!$N$2:$N$3001,$K56)))</f>
        <v/>
      </c>
      <c r="I56" s="13">
        <f>IF($K56="","",IF(INDEX(BASELINE!$O$2:$O$3001,$K56)="","",INDEX(BASELINE!$O$2:$O$3001,$K56)))</f>
        <v/>
      </c>
      <c r="J56" s="12">
        <f>IF($K56="","",IF(ISNUMBER(SEARCH("break",INDEX(BASELINE!$T$2:$T$3001,$K56)&amp;"")),"SIM",""))</f>
        <v/>
      </c>
      <c r="K56" s="15">
        <f>IF(48&lt;=CALC!$D$1,MATCH(48,CALC!$B$2:$B$3001,0),"")</f>
        <v/>
      </c>
    </row>
    <row r="57" ht="17" customHeight="1">
      <c r="A57" s="12">
        <f>IF($K57="","",49)</f>
        <v/>
      </c>
      <c r="B57" s="13">
        <f>IF($K57="","",IF(INDEX(BASELINE!$I$2:$I$3001,$K57)="","",INDEX(BASELINE!$I$2:$I$3001,$K57)))</f>
        <v/>
      </c>
      <c r="C57" s="12">
        <f>IF($K57="","",IF(INDEX(BASELINE!$J$2:$J$3001,$K57)="","",INDEX(BASELINE!$J$2:$J$3001,$K57)))</f>
        <v/>
      </c>
      <c r="D57" s="13">
        <f>IF($K57="","",IF(INDEX(BASELINE!$M$2:$M$3001,$K57)="","",INDEX(BASELINE!$M$2:$M$3001,$K57)))</f>
        <v/>
      </c>
      <c r="E57" s="13">
        <f>IF($K57="","",IF(INDEX(BASELINE!$L$2:$L$3001,$K57)="","",INDEX(BASELINE!$L$2:$L$3001,$K57)))</f>
        <v/>
      </c>
      <c r="F57" s="14">
        <f>IF($K57="","",IF(INDEX(BASELINE!$P$2:$P$3001,$K57)="","",INDEX(BASELINE!$P$2:$P$3001,$K57)))</f>
        <v/>
      </c>
      <c r="G57" s="13">
        <f>IF($K57="","",IF(INDEX(BASELINE!$K$2:$K$3001,$K57)="","",INDEX(BASELINE!$K$2:$K$3001,$K57)))</f>
        <v/>
      </c>
      <c r="H57" s="13">
        <f>IF($K57="","",IF(INDEX(BASELINE!$N$2:$N$3001,$K57)="","",INDEX(BASELINE!$N$2:$N$3001,$K57)))</f>
        <v/>
      </c>
      <c r="I57" s="13">
        <f>IF($K57="","",IF(INDEX(BASELINE!$O$2:$O$3001,$K57)="","",INDEX(BASELINE!$O$2:$O$3001,$K57)))</f>
        <v/>
      </c>
      <c r="J57" s="12">
        <f>IF($K57="","",IF(ISNUMBER(SEARCH("break",INDEX(BASELINE!$T$2:$T$3001,$K57)&amp;"")),"SIM",""))</f>
        <v/>
      </c>
      <c r="K57" s="15">
        <f>IF(49&lt;=CALC!$D$1,MATCH(49,CALC!$B$2:$B$3001,0),"")</f>
        <v/>
      </c>
    </row>
    <row r="58" ht="17" customHeight="1">
      <c r="A58" s="12">
        <f>IF($K58="","",50)</f>
        <v/>
      </c>
      <c r="B58" s="13">
        <f>IF($K58="","",IF(INDEX(BASELINE!$I$2:$I$3001,$K58)="","",INDEX(BASELINE!$I$2:$I$3001,$K58)))</f>
        <v/>
      </c>
      <c r="C58" s="12">
        <f>IF($K58="","",IF(INDEX(BASELINE!$J$2:$J$3001,$K58)="","",INDEX(BASELINE!$J$2:$J$3001,$K58)))</f>
        <v/>
      </c>
      <c r="D58" s="13">
        <f>IF($K58="","",IF(INDEX(BASELINE!$M$2:$M$3001,$K58)="","",INDEX(BASELINE!$M$2:$M$3001,$K58)))</f>
        <v/>
      </c>
      <c r="E58" s="13">
        <f>IF($K58="","",IF(INDEX(BASELINE!$L$2:$L$3001,$K58)="","",INDEX(BASELINE!$L$2:$L$3001,$K58)))</f>
        <v/>
      </c>
      <c r="F58" s="14">
        <f>IF($K58="","",IF(INDEX(BASELINE!$P$2:$P$3001,$K58)="","",INDEX(BASELINE!$P$2:$P$3001,$K58)))</f>
        <v/>
      </c>
      <c r="G58" s="13">
        <f>IF($K58="","",IF(INDEX(BASELINE!$K$2:$K$3001,$K58)="","",INDEX(BASELINE!$K$2:$K$3001,$K58)))</f>
        <v/>
      </c>
      <c r="H58" s="13">
        <f>IF($K58="","",IF(INDEX(BASELINE!$N$2:$N$3001,$K58)="","",INDEX(BASELINE!$N$2:$N$3001,$K58)))</f>
        <v/>
      </c>
      <c r="I58" s="13">
        <f>IF($K58="","",IF(INDEX(BASELINE!$O$2:$O$3001,$K58)="","",INDEX(BASELINE!$O$2:$O$3001,$K58)))</f>
        <v/>
      </c>
      <c r="J58" s="12">
        <f>IF($K58="","",IF(ISNUMBER(SEARCH("break",INDEX(BASELINE!$T$2:$T$3001,$K58)&amp;"")),"SIM",""))</f>
        <v/>
      </c>
      <c r="K58" s="15">
        <f>IF(50&lt;=CALC!$D$1,MATCH(50,CALC!$B$2:$B$3001,0),"")</f>
        <v/>
      </c>
    </row>
    <row r="59" ht="17" customHeight="1">
      <c r="A59" s="12">
        <f>IF($K59="","",51)</f>
        <v/>
      </c>
      <c r="B59" s="13">
        <f>IF($K59="","",IF(INDEX(BASELINE!$I$2:$I$3001,$K59)="","",INDEX(BASELINE!$I$2:$I$3001,$K59)))</f>
        <v/>
      </c>
      <c r="C59" s="12">
        <f>IF($K59="","",IF(INDEX(BASELINE!$J$2:$J$3001,$K59)="","",INDEX(BASELINE!$J$2:$J$3001,$K59)))</f>
        <v/>
      </c>
      <c r="D59" s="13">
        <f>IF($K59="","",IF(INDEX(BASELINE!$M$2:$M$3001,$K59)="","",INDEX(BASELINE!$M$2:$M$3001,$K59)))</f>
        <v/>
      </c>
      <c r="E59" s="13">
        <f>IF($K59="","",IF(INDEX(BASELINE!$L$2:$L$3001,$K59)="","",INDEX(BASELINE!$L$2:$L$3001,$K59)))</f>
        <v/>
      </c>
      <c r="F59" s="14">
        <f>IF($K59="","",IF(INDEX(BASELINE!$P$2:$P$3001,$K59)="","",INDEX(BASELINE!$P$2:$P$3001,$K59)))</f>
        <v/>
      </c>
      <c r="G59" s="13">
        <f>IF($K59="","",IF(INDEX(BASELINE!$K$2:$K$3001,$K59)="","",INDEX(BASELINE!$K$2:$K$3001,$K59)))</f>
        <v/>
      </c>
      <c r="H59" s="13">
        <f>IF($K59="","",IF(INDEX(BASELINE!$N$2:$N$3001,$K59)="","",INDEX(BASELINE!$N$2:$N$3001,$K59)))</f>
        <v/>
      </c>
      <c r="I59" s="13">
        <f>IF($K59="","",IF(INDEX(BASELINE!$O$2:$O$3001,$K59)="","",INDEX(BASELINE!$O$2:$O$3001,$K59)))</f>
        <v/>
      </c>
      <c r="J59" s="12">
        <f>IF($K59="","",IF(ISNUMBER(SEARCH("break",INDEX(BASELINE!$T$2:$T$3001,$K59)&amp;"")),"SIM",""))</f>
        <v/>
      </c>
      <c r="K59" s="15">
        <f>IF(51&lt;=CALC!$D$1,MATCH(51,CALC!$B$2:$B$3001,0),"")</f>
        <v/>
      </c>
    </row>
    <row r="60" ht="17" customHeight="1">
      <c r="A60" s="12">
        <f>IF($K60="","",52)</f>
        <v/>
      </c>
      <c r="B60" s="13">
        <f>IF($K60="","",IF(INDEX(BASELINE!$I$2:$I$3001,$K60)="","",INDEX(BASELINE!$I$2:$I$3001,$K60)))</f>
        <v/>
      </c>
      <c r="C60" s="12">
        <f>IF($K60="","",IF(INDEX(BASELINE!$J$2:$J$3001,$K60)="","",INDEX(BASELINE!$J$2:$J$3001,$K60)))</f>
        <v/>
      </c>
      <c r="D60" s="13">
        <f>IF($K60="","",IF(INDEX(BASELINE!$M$2:$M$3001,$K60)="","",INDEX(BASELINE!$M$2:$M$3001,$K60)))</f>
        <v/>
      </c>
      <c r="E60" s="13">
        <f>IF($K60="","",IF(INDEX(BASELINE!$L$2:$L$3001,$K60)="","",INDEX(BASELINE!$L$2:$L$3001,$K60)))</f>
        <v/>
      </c>
      <c r="F60" s="14">
        <f>IF($K60="","",IF(INDEX(BASELINE!$P$2:$P$3001,$K60)="","",INDEX(BASELINE!$P$2:$P$3001,$K60)))</f>
        <v/>
      </c>
      <c r="G60" s="13">
        <f>IF($K60="","",IF(INDEX(BASELINE!$K$2:$K$3001,$K60)="","",INDEX(BASELINE!$K$2:$K$3001,$K60)))</f>
        <v/>
      </c>
      <c r="H60" s="13">
        <f>IF($K60="","",IF(INDEX(BASELINE!$N$2:$N$3001,$K60)="","",INDEX(BASELINE!$N$2:$N$3001,$K60)))</f>
        <v/>
      </c>
      <c r="I60" s="13">
        <f>IF($K60="","",IF(INDEX(BASELINE!$O$2:$O$3001,$K60)="","",INDEX(BASELINE!$O$2:$O$3001,$K60)))</f>
        <v/>
      </c>
      <c r="J60" s="12">
        <f>IF($K60="","",IF(ISNUMBER(SEARCH("break",INDEX(BASELINE!$T$2:$T$3001,$K60)&amp;"")),"SIM",""))</f>
        <v/>
      </c>
      <c r="K60" s="15">
        <f>IF(52&lt;=CALC!$D$1,MATCH(52,CALC!$B$2:$B$3001,0),"")</f>
        <v/>
      </c>
    </row>
    <row r="61" ht="17" customHeight="1">
      <c r="A61" s="12">
        <f>IF($K61="","",53)</f>
        <v/>
      </c>
      <c r="B61" s="13">
        <f>IF($K61="","",IF(INDEX(BASELINE!$I$2:$I$3001,$K61)="","",INDEX(BASELINE!$I$2:$I$3001,$K61)))</f>
        <v/>
      </c>
      <c r="C61" s="12">
        <f>IF($K61="","",IF(INDEX(BASELINE!$J$2:$J$3001,$K61)="","",INDEX(BASELINE!$J$2:$J$3001,$K61)))</f>
        <v/>
      </c>
      <c r="D61" s="13">
        <f>IF($K61="","",IF(INDEX(BASELINE!$M$2:$M$3001,$K61)="","",INDEX(BASELINE!$M$2:$M$3001,$K61)))</f>
        <v/>
      </c>
      <c r="E61" s="13">
        <f>IF($K61="","",IF(INDEX(BASELINE!$L$2:$L$3001,$K61)="","",INDEX(BASELINE!$L$2:$L$3001,$K61)))</f>
        <v/>
      </c>
      <c r="F61" s="14">
        <f>IF($K61="","",IF(INDEX(BASELINE!$P$2:$P$3001,$K61)="","",INDEX(BASELINE!$P$2:$P$3001,$K61)))</f>
        <v/>
      </c>
      <c r="G61" s="13">
        <f>IF($K61="","",IF(INDEX(BASELINE!$K$2:$K$3001,$K61)="","",INDEX(BASELINE!$K$2:$K$3001,$K61)))</f>
        <v/>
      </c>
      <c r="H61" s="13">
        <f>IF($K61="","",IF(INDEX(BASELINE!$N$2:$N$3001,$K61)="","",INDEX(BASELINE!$N$2:$N$3001,$K61)))</f>
        <v/>
      </c>
      <c r="I61" s="13">
        <f>IF($K61="","",IF(INDEX(BASELINE!$O$2:$O$3001,$K61)="","",INDEX(BASELINE!$O$2:$O$3001,$K61)))</f>
        <v/>
      </c>
      <c r="J61" s="12">
        <f>IF($K61="","",IF(ISNUMBER(SEARCH("break",INDEX(BASELINE!$T$2:$T$3001,$K61)&amp;"")),"SIM",""))</f>
        <v/>
      </c>
      <c r="K61" s="15">
        <f>IF(53&lt;=CALC!$D$1,MATCH(53,CALC!$B$2:$B$3001,0),"")</f>
        <v/>
      </c>
    </row>
    <row r="62" ht="17" customHeight="1">
      <c r="A62" s="12">
        <f>IF($K62="","",54)</f>
        <v/>
      </c>
      <c r="B62" s="13">
        <f>IF($K62="","",IF(INDEX(BASELINE!$I$2:$I$3001,$K62)="","",INDEX(BASELINE!$I$2:$I$3001,$K62)))</f>
        <v/>
      </c>
      <c r="C62" s="12">
        <f>IF($K62="","",IF(INDEX(BASELINE!$J$2:$J$3001,$K62)="","",INDEX(BASELINE!$J$2:$J$3001,$K62)))</f>
        <v/>
      </c>
      <c r="D62" s="13">
        <f>IF($K62="","",IF(INDEX(BASELINE!$M$2:$M$3001,$K62)="","",INDEX(BASELINE!$M$2:$M$3001,$K62)))</f>
        <v/>
      </c>
      <c r="E62" s="13">
        <f>IF($K62="","",IF(INDEX(BASELINE!$L$2:$L$3001,$K62)="","",INDEX(BASELINE!$L$2:$L$3001,$K62)))</f>
        <v/>
      </c>
      <c r="F62" s="14">
        <f>IF($K62="","",IF(INDEX(BASELINE!$P$2:$P$3001,$K62)="","",INDEX(BASELINE!$P$2:$P$3001,$K62)))</f>
        <v/>
      </c>
      <c r="G62" s="13">
        <f>IF($K62="","",IF(INDEX(BASELINE!$K$2:$K$3001,$K62)="","",INDEX(BASELINE!$K$2:$K$3001,$K62)))</f>
        <v/>
      </c>
      <c r="H62" s="13">
        <f>IF($K62="","",IF(INDEX(BASELINE!$N$2:$N$3001,$K62)="","",INDEX(BASELINE!$N$2:$N$3001,$K62)))</f>
        <v/>
      </c>
      <c r="I62" s="13">
        <f>IF($K62="","",IF(INDEX(BASELINE!$O$2:$O$3001,$K62)="","",INDEX(BASELINE!$O$2:$O$3001,$K62)))</f>
        <v/>
      </c>
      <c r="J62" s="12">
        <f>IF($K62="","",IF(ISNUMBER(SEARCH("break",INDEX(BASELINE!$T$2:$T$3001,$K62)&amp;"")),"SIM",""))</f>
        <v/>
      </c>
      <c r="K62" s="15">
        <f>IF(54&lt;=CALC!$D$1,MATCH(54,CALC!$B$2:$B$3001,0),"")</f>
        <v/>
      </c>
    </row>
    <row r="63" ht="17" customHeight="1">
      <c r="A63" s="12">
        <f>IF($K63="","",55)</f>
        <v/>
      </c>
      <c r="B63" s="13">
        <f>IF($K63="","",IF(INDEX(BASELINE!$I$2:$I$3001,$K63)="","",INDEX(BASELINE!$I$2:$I$3001,$K63)))</f>
        <v/>
      </c>
      <c r="C63" s="12">
        <f>IF($K63="","",IF(INDEX(BASELINE!$J$2:$J$3001,$K63)="","",INDEX(BASELINE!$J$2:$J$3001,$K63)))</f>
        <v/>
      </c>
      <c r="D63" s="13">
        <f>IF($K63="","",IF(INDEX(BASELINE!$M$2:$M$3001,$K63)="","",INDEX(BASELINE!$M$2:$M$3001,$K63)))</f>
        <v/>
      </c>
      <c r="E63" s="13">
        <f>IF($K63="","",IF(INDEX(BASELINE!$L$2:$L$3001,$K63)="","",INDEX(BASELINE!$L$2:$L$3001,$K63)))</f>
        <v/>
      </c>
      <c r="F63" s="14">
        <f>IF($K63="","",IF(INDEX(BASELINE!$P$2:$P$3001,$K63)="","",INDEX(BASELINE!$P$2:$P$3001,$K63)))</f>
        <v/>
      </c>
      <c r="G63" s="13">
        <f>IF($K63="","",IF(INDEX(BASELINE!$K$2:$K$3001,$K63)="","",INDEX(BASELINE!$K$2:$K$3001,$K63)))</f>
        <v/>
      </c>
      <c r="H63" s="13">
        <f>IF($K63="","",IF(INDEX(BASELINE!$N$2:$N$3001,$K63)="","",INDEX(BASELINE!$N$2:$N$3001,$K63)))</f>
        <v/>
      </c>
      <c r="I63" s="13">
        <f>IF($K63="","",IF(INDEX(BASELINE!$O$2:$O$3001,$K63)="","",INDEX(BASELINE!$O$2:$O$3001,$K63)))</f>
        <v/>
      </c>
      <c r="J63" s="12">
        <f>IF($K63="","",IF(ISNUMBER(SEARCH("break",INDEX(BASELINE!$T$2:$T$3001,$K63)&amp;"")),"SIM",""))</f>
        <v/>
      </c>
      <c r="K63" s="15">
        <f>IF(55&lt;=CALC!$D$1,MATCH(55,CALC!$B$2:$B$3001,0),"")</f>
        <v/>
      </c>
    </row>
    <row r="64" ht="17" customHeight="1">
      <c r="A64" s="12">
        <f>IF($K64="","",56)</f>
        <v/>
      </c>
      <c r="B64" s="13">
        <f>IF($K64="","",IF(INDEX(BASELINE!$I$2:$I$3001,$K64)="","",INDEX(BASELINE!$I$2:$I$3001,$K64)))</f>
        <v/>
      </c>
      <c r="C64" s="12">
        <f>IF($K64="","",IF(INDEX(BASELINE!$J$2:$J$3001,$K64)="","",INDEX(BASELINE!$J$2:$J$3001,$K64)))</f>
        <v/>
      </c>
      <c r="D64" s="13">
        <f>IF($K64="","",IF(INDEX(BASELINE!$M$2:$M$3001,$K64)="","",INDEX(BASELINE!$M$2:$M$3001,$K64)))</f>
        <v/>
      </c>
      <c r="E64" s="13">
        <f>IF($K64="","",IF(INDEX(BASELINE!$L$2:$L$3001,$K64)="","",INDEX(BASELINE!$L$2:$L$3001,$K64)))</f>
        <v/>
      </c>
      <c r="F64" s="14">
        <f>IF($K64="","",IF(INDEX(BASELINE!$P$2:$P$3001,$K64)="","",INDEX(BASELINE!$P$2:$P$3001,$K64)))</f>
        <v/>
      </c>
      <c r="G64" s="13">
        <f>IF($K64="","",IF(INDEX(BASELINE!$K$2:$K$3001,$K64)="","",INDEX(BASELINE!$K$2:$K$3001,$K64)))</f>
        <v/>
      </c>
      <c r="H64" s="13">
        <f>IF($K64="","",IF(INDEX(BASELINE!$N$2:$N$3001,$K64)="","",INDEX(BASELINE!$N$2:$N$3001,$K64)))</f>
        <v/>
      </c>
      <c r="I64" s="13">
        <f>IF($K64="","",IF(INDEX(BASELINE!$O$2:$O$3001,$K64)="","",INDEX(BASELINE!$O$2:$O$3001,$K64)))</f>
        <v/>
      </c>
      <c r="J64" s="12">
        <f>IF($K64="","",IF(ISNUMBER(SEARCH("break",INDEX(BASELINE!$T$2:$T$3001,$K64)&amp;"")),"SIM",""))</f>
        <v/>
      </c>
      <c r="K64" s="15">
        <f>IF(56&lt;=CALC!$D$1,MATCH(56,CALC!$B$2:$B$3001,0),"")</f>
        <v/>
      </c>
    </row>
    <row r="65" ht="17" customHeight="1">
      <c r="A65" s="12">
        <f>IF($K65="","",57)</f>
        <v/>
      </c>
      <c r="B65" s="13">
        <f>IF($K65="","",IF(INDEX(BASELINE!$I$2:$I$3001,$K65)="","",INDEX(BASELINE!$I$2:$I$3001,$K65)))</f>
        <v/>
      </c>
      <c r="C65" s="12">
        <f>IF($K65="","",IF(INDEX(BASELINE!$J$2:$J$3001,$K65)="","",INDEX(BASELINE!$J$2:$J$3001,$K65)))</f>
        <v/>
      </c>
      <c r="D65" s="13">
        <f>IF($K65="","",IF(INDEX(BASELINE!$M$2:$M$3001,$K65)="","",INDEX(BASELINE!$M$2:$M$3001,$K65)))</f>
        <v/>
      </c>
      <c r="E65" s="13">
        <f>IF($K65="","",IF(INDEX(BASELINE!$L$2:$L$3001,$K65)="","",INDEX(BASELINE!$L$2:$L$3001,$K65)))</f>
        <v/>
      </c>
      <c r="F65" s="14">
        <f>IF($K65="","",IF(INDEX(BASELINE!$P$2:$P$3001,$K65)="","",INDEX(BASELINE!$P$2:$P$3001,$K65)))</f>
        <v/>
      </c>
      <c r="G65" s="13">
        <f>IF($K65="","",IF(INDEX(BASELINE!$K$2:$K$3001,$K65)="","",INDEX(BASELINE!$K$2:$K$3001,$K65)))</f>
        <v/>
      </c>
      <c r="H65" s="13">
        <f>IF($K65="","",IF(INDEX(BASELINE!$N$2:$N$3001,$K65)="","",INDEX(BASELINE!$N$2:$N$3001,$K65)))</f>
        <v/>
      </c>
      <c r="I65" s="13">
        <f>IF($K65="","",IF(INDEX(BASELINE!$O$2:$O$3001,$K65)="","",INDEX(BASELINE!$O$2:$O$3001,$K65)))</f>
        <v/>
      </c>
      <c r="J65" s="12">
        <f>IF($K65="","",IF(ISNUMBER(SEARCH("break",INDEX(BASELINE!$T$2:$T$3001,$K65)&amp;"")),"SIM",""))</f>
        <v/>
      </c>
      <c r="K65" s="15">
        <f>IF(57&lt;=CALC!$D$1,MATCH(57,CALC!$B$2:$B$3001,0),"")</f>
        <v/>
      </c>
    </row>
    <row r="66" ht="17" customHeight="1">
      <c r="A66" s="12">
        <f>IF($K66="","",58)</f>
        <v/>
      </c>
      <c r="B66" s="13">
        <f>IF($K66="","",IF(INDEX(BASELINE!$I$2:$I$3001,$K66)="","",INDEX(BASELINE!$I$2:$I$3001,$K66)))</f>
        <v/>
      </c>
      <c r="C66" s="12">
        <f>IF($K66="","",IF(INDEX(BASELINE!$J$2:$J$3001,$K66)="","",INDEX(BASELINE!$J$2:$J$3001,$K66)))</f>
        <v/>
      </c>
      <c r="D66" s="13">
        <f>IF($K66="","",IF(INDEX(BASELINE!$M$2:$M$3001,$K66)="","",INDEX(BASELINE!$M$2:$M$3001,$K66)))</f>
        <v/>
      </c>
      <c r="E66" s="13">
        <f>IF($K66="","",IF(INDEX(BASELINE!$L$2:$L$3001,$K66)="","",INDEX(BASELINE!$L$2:$L$3001,$K66)))</f>
        <v/>
      </c>
      <c r="F66" s="14">
        <f>IF($K66="","",IF(INDEX(BASELINE!$P$2:$P$3001,$K66)="","",INDEX(BASELINE!$P$2:$P$3001,$K66)))</f>
        <v/>
      </c>
      <c r="G66" s="13">
        <f>IF($K66="","",IF(INDEX(BASELINE!$K$2:$K$3001,$K66)="","",INDEX(BASELINE!$K$2:$K$3001,$K66)))</f>
        <v/>
      </c>
      <c r="H66" s="13">
        <f>IF($K66="","",IF(INDEX(BASELINE!$N$2:$N$3001,$K66)="","",INDEX(BASELINE!$N$2:$N$3001,$K66)))</f>
        <v/>
      </c>
      <c r="I66" s="13">
        <f>IF($K66="","",IF(INDEX(BASELINE!$O$2:$O$3001,$K66)="","",INDEX(BASELINE!$O$2:$O$3001,$K66)))</f>
        <v/>
      </c>
      <c r="J66" s="12">
        <f>IF($K66="","",IF(ISNUMBER(SEARCH("break",INDEX(BASELINE!$T$2:$T$3001,$K66)&amp;"")),"SIM",""))</f>
        <v/>
      </c>
      <c r="K66" s="15">
        <f>IF(58&lt;=CALC!$D$1,MATCH(58,CALC!$B$2:$B$3001,0),"")</f>
        <v/>
      </c>
    </row>
    <row r="67" ht="17" customHeight="1">
      <c r="A67" s="12">
        <f>IF($K67="","",59)</f>
        <v/>
      </c>
      <c r="B67" s="13">
        <f>IF($K67="","",IF(INDEX(BASELINE!$I$2:$I$3001,$K67)="","",INDEX(BASELINE!$I$2:$I$3001,$K67)))</f>
        <v/>
      </c>
      <c r="C67" s="12">
        <f>IF($K67="","",IF(INDEX(BASELINE!$J$2:$J$3001,$K67)="","",INDEX(BASELINE!$J$2:$J$3001,$K67)))</f>
        <v/>
      </c>
      <c r="D67" s="13">
        <f>IF($K67="","",IF(INDEX(BASELINE!$M$2:$M$3001,$K67)="","",INDEX(BASELINE!$M$2:$M$3001,$K67)))</f>
        <v/>
      </c>
      <c r="E67" s="13">
        <f>IF($K67="","",IF(INDEX(BASELINE!$L$2:$L$3001,$K67)="","",INDEX(BASELINE!$L$2:$L$3001,$K67)))</f>
        <v/>
      </c>
      <c r="F67" s="14">
        <f>IF($K67="","",IF(INDEX(BASELINE!$P$2:$P$3001,$K67)="","",INDEX(BASELINE!$P$2:$P$3001,$K67)))</f>
        <v/>
      </c>
      <c r="G67" s="13">
        <f>IF($K67="","",IF(INDEX(BASELINE!$K$2:$K$3001,$K67)="","",INDEX(BASELINE!$K$2:$K$3001,$K67)))</f>
        <v/>
      </c>
      <c r="H67" s="13">
        <f>IF($K67="","",IF(INDEX(BASELINE!$N$2:$N$3001,$K67)="","",INDEX(BASELINE!$N$2:$N$3001,$K67)))</f>
        <v/>
      </c>
      <c r="I67" s="13">
        <f>IF($K67="","",IF(INDEX(BASELINE!$O$2:$O$3001,$K67)="","",INDEX(BASELINE!$O$2:$O$3001,$K67)))</f>
        <v/>
      </c>
      <c r="J67" s="12">
        <f>IF($K67="","",IF(ISNUMBER(SEARCH("break",INDEX(BASELINE!$T$2:$T$3001,$K67)&amp;"")),"SIM",""))</f>
        <v/>
      </c>
      <c r="K67" s="15">
        <f>IF(59&lt;=CALC!$D$1,MATCH(59,CALC!$B$2:$B$3001,0),"")</f>
        <v/>
      </c>
    </row>
    <row r="68" ht="17" customHeight="1">
      <c r="A68" s="12">
        <f>IF($K68="","",60)</f>
        <v/>
      </c>
      <c r="B68" s="13">
        <f>IF($K68="","",IF(INDEX(BASELINE!$I$2:$I$3001,$K68)="","",INDEX(BASELINE!$I$2:$I$3001,$K68)))</f>
        <v/>
      </c>
      <c r="C68" s="12">
        <f>IF($K68="","",IF(INDEX(BASELINE!$J$2:$J$3001,$K68)="","",INDEX(BASELINE!$J$2:$J$3001,$K68)))</f>
        <v/>
      </c>
      <c r="D68" s="13">
        <f>IF($K68="","",IF(INDEX(BASELINE!$M$2:$M$3001,$K68)="","",INDEX(BASELINE!$M$2:$M$3001,$K68)))</f>
        <v/>
      </c>
      <c r="E68" s="13">
        <f>IF($K68="","",IF(INDEX(BASELINE!$L$2:$L$3001,$K68)="","",INDEX(BASELINE!$L$2:$L$3001,$K68)))</f>
        <v/>
      </c>
      <c r="F68" s="14">
        <f>IF($K68="","",IF(INDEX(BASELINE!$P$2:$P$3001,$K68)="","",INDEX(BASELINE!$P$2:$P$3001,$K68)))</f>
        <v/>
      </c>
      <c r="G68" s="13">
        <f>IF($K68="","",IF(INDEX(BASELINE!$K$2:$K$3001,$K68)="","",INDEX(BASELINE!$K$2:$K$3001,$K68)))</f>
        <v/>
      </c>
      <c r="H68" s="13">
        <f>IF($K68="","",IF(INDEX(BASELINE!$N$2:$N$3001,$K68)="","",INDEX(BASELINE!$N$2:$N$3001,$K68)))</f>
        <v/>
      </c>
      <c r="I68" s="13">
        <f>IF($K68="","",IF(INDEX(BASELINE!$O$2:$O$3001,$K68)="","",INDEX(BASELINE!$O$2:$O$3001,$K68)))</f>
        <v/>
      </c>
      <c r="J68" s="12">
        <f>IF($K68="","",IF(ISNUMBER(SEARCH("break",INDEX(BASELINE!$T$2:$T$3001,$K68)&amp;"")),"SIM",""))</f>
        <v/>
      </c>
      <c r="K68" s="15">
        <f>IF(60&lt;=CALC!$D$1,MATCH(60,CALC!$B$2:$B$3001,0),"")</f>
        <v/>
      </c>
    </row>
    <row r="69" ht="17" customHeight="1">
      <c r="A69" s="12">
        <f>IF($K69="","",61)</f>
        <v/>
      </c>
      <c r="B69" s="13">
        <f>IF($K69="","",IF(INDEX(BASELINE!$I$2:$I$3001,$K69)="","",INDEX(BASELINE!$I$2:$I$3001,$K69)))</f>
        <v/>
      </c>
      <c r="C69" s="12">
        <f>IF($K69="","",IF(INDEX(BASELINE!$J$2:$J$3001,$K69)="","",INDEX(BASELINE!$J$2:$J$3001,$K69)))</f>
        <v/>
      </c>
      <c r="D69" s="13">
        <f>IF($K69="","",IF(INDEX(BASELINE!$M$2:$M$3001,$K69)="","",INDEX(BASELINE!$M$2:$M$3001,$K69)))</f>
        <v/>
      </c>
      <c r="E69" s="13">
        <f>IF($K69="","",IF(INDEX(BASELINE!$L$2:$L$3001,$K69)="","",INDEX(BASELINE!$L$2:$L$3001,$K69)))</f>
        <v/>
      </c>
      <c r="F69" s="14">
        <f>IF($K69="","",IF(INDEX(BASELINE!$P$2:$P$3001,$K69)="","",INDEX(BASELINE!$P$2:$P$3001,$K69)))</f>
        <v/>
      </c>
      <c r="G69" s="13">
        <f>IF($K69="","",IF(INDEX(BASELINE!$K$2:$K$3001,$K69)="","",INDEX(BASELINE!$K$2:$K$3001,$K69)))</f>
        <v/>
      </c>
      <c r="H69" s="13">
        <f>IF($K69="","",IF(INDEX(BASELINE!$N$2:$N$3001,$K69)="","",INDEX(BASELINE!$N$2:$N$3001,$K69)))</f>
        <v/>
      </c>
      <c r="I69" s="13">
        <f>IF($K69="","",IF(INDEX(BASELINE!$O$2:$O$3001,$K69)="","",INDEX(BASELINE!$O$2:$O$3001,$K69)))</f>
        <v/>
      </c>
      <c r="J69" s="12">
        <f>IF($K69="","",IF(ISNUMBER(SEARCH("break",INDEX(BASELINE!$T$2:$T$3001,$K69)&amp;"")),"SIM",""))</f>
        <v/>
      </c>
      <c r="K69" s="15">
        <f>IF(61&lt;=CALC!$D$1,MATCH(61,CALC!$B$2:$B$3001,0),"")</f>
        <v/>
      </c>
    </row>
    <row r="70" ht="17" customHeight="1">
      <c r="A70" s="12">
        <f>IF($K70="","",62)</f>
        <v/>
      </c>
      <c r="B70" s="13">
        <f>IF($K70="","",IF(INDEX(BASELINE!$I$2:$I$3001,$K70)="","",INDEX(BASELINE!$I$2:$I$3001,$K70)))</f>
        <v/>
      </c>
      <c r="C70" s="12">
        <f>IF($K70="","",IF(INDEX(BASELINE!$J$2:$J$3001,$K70)="","",INDEX(BASELINE!$J$2:$J$3001,$K70)))</f>
        <v/>
      </c>
      <c r="D70" s="13">
        <f>IF($K70="","",IF(INDEX(BASELINE!$M$2:$M$3001,$K70)="","",INDEX(BASELINE!$M$2:$M$3001,$K70)))</f>
        <v/>
      </c>
      <c r="E70" s="13">
        <f>IF($K70="","",IF(INDEX(BASELINE!$L$2:$L$3001,$K70)="","",INDEX(BASELINE!$L$2:$L$3001,$K70)))</f>
        <v/>
      </c>
      <c r="F70" s="14">
        <f>IF($K70="","",IF(INDEX(BASELINE!$P$2:$P$3001,$K70)="","",INDEX(BASELINE!$P$2:$P$3001,$K70)))</f>
        <v/>
      </c>
      <c r="G70" s="13">
        <f>IF($K70="","",IF(INDEX(BASELINE!$K$2:$K$3001,$K70)="","",INDEX(BASELINE!$K$2:$K$3001,$K70)))</f>
        <v/>
      </c>
      <c r="H70" s="13">
        <f>IF($K70="","",IF(INDEX(BASELINE!$N$2:$N$3001,$K70)="","",INDEX(BASELINE!$N$2:$N$3001,$K70)))</f>
        <v/>
      </c>
      <c r="I70" s="13">
        <f>IF($K70="","",IF(INDEX(BASELINE!$O$2:$O$3001,$K70)="","",INDEX(BASELINE!$O$2:$O$3001,$K70)))</f>
        <v/>
      </c>
      <c r="J70" s="12">
        <f>IF($K70="","",IF(ISNUMBER(SEARCH("break",INDEX(BASELINE!$T$2:$T$3001,$K70)&amp;"")),"SIM",""))</f>
        <v/>
      </c>
      <c r="K70" s="15">
        <f>IF(62&lt;=CALC!$D$1,MATCH(62,CALC!$B$2:$B$3001,0),"")</f>
        <v/>
      </c>
    </row>
    <row r="71" ht="17" customHeight="1">
      <c r="A71" s="12">
        <f>IF($K71="","",63)</f>
        <v/>
      </c>
      <c r="B71" s="13">
        <f>IF($K71="","",IF(INDEX(BASELINE!$I$2:$I$3001,$K71)="","",INDEX(BASELINE!$I$2:$I$3001,$K71)))</f>
        <v/>
      </c>
      <c r="C71" s="12">
        <f>IF($K71="","",IF(INDEX(BASELINE!$J$2:$J$3001,$K71)="","",INDEX(BASELINE!$J$2:$J$3001,$K71)))</f>
        <v/>
      </c>
      <c r="D71" s="13">
        <f>IF($K71="","",IF(INDEX(BASELINE!$M$2:$M$3001,$K71)="","",INDEX(BASELINE!$M$2:$M$3001,$K71)))</f>
        <v/>
      </c>
      <c r="E71" s="13">
        <f>IF($K71="","",IF(INDEX(BASELINE!$L$2:$L$3001,$K71)="","",INDEX(BASELINE!$L$2:$L$3001,$K71)))</f>
        <v/>
      </c>
      <c r="F71" s="14">
        <f>IF($K71="","",IF(INDEX(BASELINE!$P$2:$P$3001,$K71)="","",INDEX(BASELINE!$P$2:$P$3001,$K71)))</f>
        <v/>
      </c>
      <c r="G71" s="13">
        <f>IF($K71="","",IF(INDEX(BASELINE!$K$2:$K$3001,$K71)="","",INDEX(BASELINE!$K$2:$K$3001,$K71)))</f>
        <v/>
      </c>
      <c r="H71" s="13">
        <f>IF($K71="","",IF(INDEX(BASELINE!$N$2:$N$3001,$K71)="","",INDEX(BASELINE!$N$2:$N$3001,$K71)))</f>
        <v/>
      </c>
      <c r="I71" s="13">
        <f>IF($K71="","",IF(INDEX(BASELINE!$O$2:$O$3001,$K71)="","",INDEX(BASELINE!$O$2:$O$3001,$K71)))</f>
        <v/>
      </c>
      <c r="J71" s="12">
        <f>IF($K71="","",IF(ISNUMBER(SEARCH("break",INDEX(BASELINE!$T$2:$T$3001,$K71)&amp;"")),"SIM",""))</f>
        <v/>
      </c>
      <c r="K71" s="15">
        <f>IF(63&lt;=CALC!$D$1,MATCH(63,CALC!$B$2:$B$3001,0),"")</f>
        <v/>
      </c>
    </row>
    <row r="72" ht="17" customHeight="1">
      <c r="A72" s="12">
        <f>IF($K72="","",64)</f>
        <v/>
      </c>
      <c r="B72" s="13">
        <f>IF($K72="","",IF(INDEX(BASELINE!$I$2:$I$3001,$K72)="","",INDEX(BASELINE!$I$2:$I$3001,$K72)))</f>
        <v/>
      </c>
      <c r="C72" s="12">
        <f>IF($K72="","",IF(INDEX(BASELINE!$J$2:$J$3001,$K72)="","",INDEX(BASELINE!$J$2:$J$3001,$K72)))</f>
        <v/>
      </c>
      <c r="D72" s="13">
        <f>IF($K72="","",IF(INDEX(BASELINE!$M$2:$M$3001,$K72)="","",INDEX(BASELINE!$M$2:$M$3001,$K72)))</f>
        <v/>
      </c>
      <c r="E72" s="13">
        <f>IF($K72="","",IF(INDEX(BASELINE!$L$2:$L$3001,$K72)="","",INDEX(BASELINE!$L$2:$L$3001,$K72)))</f>
        <v/>
      </c>
      <c r="F72" s="14">
        <f>IF($K72="","",IF(INDEX(BASELINE!$P$2:$P$3001,$K72)="","",INDEX(BASELINE!$P$2:$P$3001,$K72)))</f>
        <v/>
      </c>
      <c r="G72" s="13">
        <f>IF($K72="","",IF(INDEX(BASELINE!$K$2:$K$3001,$K72)="","",INDEX(BASELINE!$K$2:$K$3001,$K72)))</f>
        <v/>
      </c>
      <c r="H72" s="13">
        <f>IF($K72="","",IF(INDEX(BASELINE!$N$2:$N$3001,$K72)="","",INDEX(BASELINE!$N$2:$N$3001,$K72)))</f>
        <v/>
      </c>
      <c r="I72" s="13">
        <f>IF($K72="","",IF(INDEX(BASELINE!$O$2:$O$3001,$K72)="","",INDEX(BASELINE!$O$2:$O$3001,$K72)))</f>
        <v/>
      </c>
      <c r="J72" s="12">
        <f>IF($K72="","",IF(ISNUMBER(SEARCH("break",INDEX(BASELINE!$T$2:$T$3001,$K72)&amp;"")),"SIM",""))</f>
        <v/>
      </c>
      <c r="K72" s="15">
        <f>IF(64&lt;=CALC!$D$1,MATCH(64,CALC!$B$2:$B$3001,0),"")</f>
        <v/>
      </c>
    </row>
    <row r="73" ht="17" customHeight="1">
      <c r="A73" s="12">
        <f>IF($K73="","",65)</f>
        <v/>
      </c>
      <c r="B73" s="13">
        <f>IF($K73="","",IF(INDEX(BASELINE!$I$2:$I$3001,$K73)="","",INDEX(BASELINE!$I$2:$I$3001,$K73)))</f>
        <v/>
      </c>
      <c r="C73" s="12">
        <f>IF($K73="","",IF(INDEX(BASELINE!$J$2:$J$3001,$K73)="","",INDEX(BASELINE!$J$2:$J$3001,$K73)))</f>
        <v/>
      </c>
      <c r="D73" s="13">
        <f>IF($K73="","",IF(INDEX(BASELINE!$M$2:$M$3001,$K73)="","",INDEX(BASELINE!$M$2:$M$3001,$K73)))</f>
        <v/>
      </c>
      <c r="E73" s="13">
        <f>IF($K73="","",IF(INDEX(BASELINE!$L$2:$L$3001,$K73)="","",INDEX(BASELINE!$L$2:$L$3001,$K73)))</f>
        <v/>
      </c>
      <c r="F73" s="14">
        <f>IF($K73="","",IF(INDEX(BASELINE!$P$2:$P$3001,$K73)="","",INDEX(BASELINE!$P$2:$P$3001,$K73)))</f>
        <v/>
      </c>
      <c r="G73" s="13">
        <f>IF($K73="","",IF(INDEX(BASELINE!$K$2:$K$3001,$K73)="","",INDEX(BASELINE!$K$2:$K$3001,$K73)))</f>
        <v/>
      </c>
      <c r="H73" s="13">
        <f>IF($K73="","",IF(INDEX(BASELINE!$N$2:$N$3001,$K73)="","",INDEX(BASELINE!$N$2:$N$3001,$K73)))</f>
        <v/>
      </c>
      <c r="I73" s="13">
        <f>IF($K73="","",IF(INDEX(BASELINE!$O$2:$O$3001,$K73)="","",INDEX(BASELINE!$O$2:$O$3001,$K73)))</f>
        <v/>
      </c>
      <c r="J73" s="12">
        <f>IF($K73="","",IF(ISNUMBER(SEARCH("break",INDEX(BASELINE!$T$2:$T$3001,$K73)&amp;"")),"SIM",""))</f>
        <v/>
      </c>
      <c r="K73" s="15">
        <f>IF(65&lt;=CALC!$D$1,MATCH(65,CALC!$B$2:$B$3001,0),"")</f>
        <v/>
      </c>
    </row>
    <row r="74" ht="17" customHeight="1">
      <c r="A74" s="12">
        <f>IF($K74="","",66)</f>
        <v/>
      </c>
      <c r="B74" s="13">
        <f>IF($K74="","",IF(INDEX(BASELINE!$I$2:$I$3001,$K74)="","",INDEX(BASELINE!$I$2:$I$3001,$K74)))</f>
        <v/>
      </c>
      <c r="C74" s="12">
        <f>IF($K74="","",IF(INDEX(BASELINE!$J$2:$J$3001,$K74)="","",INDEX(BASELINE!$J$2:$J$3001,$K74)))</f>
        <v/>
      </c>
      <c r="D74" s="13">
        <f>IF($K74="","",IF(INDEX(BASELINE!$M$2:$M$3001,$K74)="","",INDEX(BASELINE!$M$2:$M$3001,$K74)))</f>
        <v/>
      </c>
      <c r="E74" s="13">
        <f>IF($K74="","",IF(INDEX(BASELINE!$L$2:$L$3001,$K74)="","",INDEX(BASELINE!$L$2:$L$3001,$K74)))</f>
        <v/>
      </c>
      <c r="F74" s="14">
        <f>IF($K74="","",IF(INDEX(BASELINE!$P$2:$P$3001,$K74)="","",INDEX(BASELINE!$P$2:$P$3001,$K74)))</f>
        <v/>
      </c>
      <c r="G74" s="13">
        <f>IF($K74="","",IF(INDEX(BASELINE!$K$2:$K$3001,$K74)="","",INDEX(BASELINE!$K$2:$K$3001,$K74)))</f>
        <v/>
      </c>
      <c r="H74" s="13">
        <f>IF($K74="","",IF(INDEX(BASELINE!$N$2:$N$3001,$K74)="","",INDEX(BASELINE!$N$2:$N$3001,$K74)))</f>
        <v/>
      </c>
      <c r="I74" s="13">
        <f>IF($K74="","",IF(INDEX(BASELINE!$O$2:$O$3001,$K74)="","",INDEX(BASELINE!$O$2:$O$3001,$K74)))</f>
        <v/>
      </c>
      <c r="J74" s="12">
        <f>IF($K74="","",IF(ISNUMBER(SEARCH("break",INDEX(BASELINE!$T$2:$T$3001,$K74)&amp;"")),"SIM",""))</f>
        <v/>
      </c>
      <c r="K74" s="15">
        <f>IF(66&lt;=CALC!$D$1,MATCH(66,CALC!$B$2:$B$3001,0),"")</f>
        <v/>
      </c>
    </row>
    <row r="75" ht="17" customHeight="1">
      <c r="A75" s="12">
        <f>IF($K75="","",67)</f>
        <v/>
      </c>
      <c r="B75" s="13">
        <f>IF($K75="","",IF(INDEX(BASELINE!$I$2:$I$3001,$K75)="","",INDEX(BASELINE!$I$2:$I$3001,$K75)))</f>
        <v/>
      </c>
      <c r="C75" s="12">
        <f>IF($K75="","",IF(INDEX(BASELINE!$J$2:$J$3001,$K75)="","",INDEX(BASELINE!$J$2:$J$3001,$K75)))</f>
        <v/>
      </c>
      <c r="D75" s="13">
        <f>IF($K75="","",IF(INDEX(BASELINE!$M$2:$M$3001,$K75)="","",INDEX(BASELINE!$M$2:$M$3001,$K75)))</f>
        <v/>
      </c>
      <c r="E75" s="13">
        <f>IF($K75="","",IF(INDEX(BASELINE!$L$2:$L$3001,$K75)="","",INDEX(BASELINE!$L$2:$L$3001,$K75)))</f>
        <v/>
      </c>
      <c r="F75" s="14">
        <f>IF($K75="","",IF(INDEX(BASELINE!$P$2:$P$3001,$K75)="","",INDEX(BASELINE!$P$2:$P$3001,$K75)))</f>
        <v/>
      </c>
      <c r="G75" s="13">
        <f>IF($K75="","",IF(INDEX(BASELINE!$K$2:$K$3001,$K75)="","",INDEX(BASELINE!$K$2:$K$3001,$K75)))</f>
        <v/>
      </c>
      <c r="H75" s="13">
        <f>IF($K75="","",IF(INDEX(BASELINE!$N$2:$N$3001,$K75)="","",INDEX(BASELINE!$N$2:$N$3001,$K75)))</f>
        <v/>
      </c>
      <c r="I75" s="13">
        <f>IF($K75="","",IF(INDEX(BASELINE!$O$2:$O$3001,$K75)="","",INDEX(BASELINE!$O$2:$O$3001,$K75)))</f>
        <v/>
      </c>
      <c r="J75" s="12">
        <f>IF($K75="","",IF(ISNUMBER(SEARCH("break",INDEX(BASELINE!$T$2:$T$3001,$K75)&amp;"")),"SIM",""))</f>
        <v/>
      </c>
      <c r="K75" s="15">
        <f>IF(67&lt;=CALC!$D$1,MATCH(67,CALC!$B$2:$B$3001,0),"")</f>
        <v/>
      </c>
    </row>
    <row r="76" ht="17" customHeight="1">
      <c r="A76" s="12">
        <f>IF($K76="","",68)</f>
        <v/>
      </c>
      <c r="B76" s="13">
        <f>IF($K76="","",IF(INDEX(BASELINE!$I$2:$I$3001,$K76)="","",INDEX(BASELINE!$I$2:$I$3001,$K76)))</f>
        <v/>
      </c>
      <c r="C76" s="12">
        <f>IF($K76="","",IF(INDEX(BASELINE!$J$2:$J$3001,$K76)="","",INDEX(BASELINE!$J$2:$J$3001,$K76)))</f>
        <v/>
      </c>
      <c r="D76" s="13">
        <f>IF($K76="","",IF(INDEX(BASELINE!$M$2:$M$3001,$K76)="","",INDEX(BASELINE!$M$2:$M$3001,$K76)))</f>
        <v/>
      </c>
      <c r="E76" s="13">
        <f>IF($K76="","",IF(INDEX(BASELINE!$L$2:$L$3001,$K76)="","",INDEX(BASELINE!$L$2:$L$3001,$K76)))</f>
        <v/>
      </c>
      <c r="F76" s="14">
        <f>IF($K76="","",IF(INDEX(BASELINE!$P$2:$P$3001,$K76)="","",INDEX(BASELINE!$P$2:$P$3001,$K76)))</f>
        <v/>
      </c>
      <c r="G76" s="13">
        <f>IF($K76="","",IF(INDEX(BASELINE!$K$2:$K$3001,$K76)="","",INDEX(BASELINE!$K$2:$K$3001,$K76)))</f>
        <v/>
      </c>
      <c r="H76" s="13">
        <f>IF($K76="","",IF(INDEX(BASELINE!$N$2:$N$3001,$K76)="","",INDEX(BASELINE!$N$2:$N$3001,$K76)))</f>
        <v/>
      </c>
      <c r="I76" s="13">
        <f>IF($K76="","",IF(INDEX(BASELINE!$O$2:$O$3001,$K76)="","",INDEX(BASELINE!$O$2:$O$3001,$K76)))</f>
        <v/>
      </c>
      <c r="J76" s="12">
        <f>IF($K76="","",IF(ISNUMBER(SEARCH("break",INDEX(BASELINE!$T$2:$T$3001,$K76)&amp;"")),"SIM",""))</f>
        <v/>
      </c>
      <c r="K76" s="15">
        <f>IF(68&lt;=CALC!$D$1,MATCH(68,CALC!$B$2:$B$3001,0),"")</f>
        <v/>
      </c>
    </row>
    <row r="77" ht="17" customHeight="1">
      <c r="A77" s="12">
        <f>IF($K77="","",69)</f>
        <v/>
      </c>
      <c r="B77" s="13">
        <f>IF($K77="","",IF(INDEX(BASELINE!$I$2:$I$3001,$K77)="","",INDEX(BASELINE!$I$2:$I$3001,$K77)))</f>
        <v/>
      </c>
      <c r="C77" s="12">
        <f>IF($K77="","",IF(INDEX(BASELINE!$J$2:$J$3001,$K77)="","",INDEX(BASELINE!$J$2:$J$3001,$K77)))</f>
        <v/>
      </c>
      <c r="D77" s="13">
        <f>IF($K77="","",IF(INDEX(BASELINE!$M$2:$M$3001,$K77)="","",INDEX(BASELINE!$M$2:$M$3001,$K77)))</f>
        <v/>
      </c>
      <c r="E77" s="13">
        <f>IF($K77="","",IF(INDEX(BASELINE!$L$2:$L$3001,$K77)="","",INDEX(BASELINE!$L$2:$L$3001,$K77)))</f>
        <v/>
      </c>
      <c r="F77" s="14">
        <f>IF($K77="","",IF(INDEX(BASELINE!$P$2:$P$3001,$K77)="","",INDEX(BASELINE!$P$2:$P$3001,$K77)))</f>
        <v/>
      </c>
      <c r="G77" s="13">
        <f>IF($K77="","",IF(INDEX(BASELINE!$K$2:$K$3001,$K77)="","",INDEX(BASELINE!$K$2:$K$3001,$K77)))</f>
        <v/>
      </c>
      <c r="H77" s="13">
        <f>IF($K77="","",IF(INDEX(BASELINE!$N$2:$N$3001,$K77)="","",INDEX(BASELINE!$N$2:$N$3001,$K77)))</f>
        <v/>
      </c>
      <c r="I77" s="13">
        <f>IF($K77="","",IF(INDEX(BASELINE!$O$2:$O$3001,$K77)="","",INDEX(BASELINE!$O$2:$O$3001,$K77)))</f>
        <v/>
      </c>
      <c r="J77" s="12">
        <f>IF($K77="","",IF(ISNUMBER(SEARCH("break",INDEX(BASELINE!$T$2:$T$3001,$K77)&amp;"")),"SIM",""))</f>
        <v/>
      </c>
      <c r="K77" s="15">
        <f>IF(69&lt;=CALC!$D$1,MATCH(69,CALC!$B$2:$B$3001,0),"")</f>
        <v/>
      </c>
    </row>
    <row r="78" ht="17" customHeight="1">
      <c r="A78" s="12">
        <f>IF($K78="","",70)</f>
        <v/>
      </c>
      <c r="B78" s="13">
        <f>IF($K78="","",IF(INDEX(BASELINE!$I$2:$I$3001,$K78)="","",INDEX(BASELINE!$I$2:$I$3001,$K78)))</f>
        <v/>
      </c>
      <c r="C78" s="12">
        <f>IF($K78="","",IF(INDEX(BASELINE!$J$2:$J$3001,$K78)="","",INDEX(BASELINE!$J$2:$J$3001,$K78)))</f>
        <v/>
      </c>
      <c r="D78" s="13">
        <f>IF($K78="","",IF(INDEX(BASELINE!$M$2:$M$3001,$K78)="","",INDEX(BASELINE!$M$2:$M$3001,$K78)))</f>
        <v/>
      </c>
      <c r="E78" s="13">
        <f>IF($K78="","",IF(INDEX(BASELINE!$L$2:$L$3001,$K78)="","",INDEX(BASELINE!$L$2:$L$3001,$K78)))</f>
        <v/>
      </c>
      <c r="F78" s="14">
        <f>IF($K78="","",IF(INDEX(BASELINE!$P$2:$P$3001,$K78)="","",INDEX(BASELINE!$P$2:$P$3001,$K78)))</f>
        <v/>
      </c>
      <c r="G78" s="13">
        <f>IF($K78="","",IF(INDEX(BASELINE!$K$2:$K$3001,$K78)="","",INDEX(BASELINE!$K$2:$K$3001,$K78)))</f>
        <v/>
      </c>
      <c r="H78" s="13">
        <f>IF($K78="","",IF(INDEX(BASELINE!$N$2:$N$3001,$K78)="","",INDEX(BASELINE!$N$2:$N$3001,$K78)))</f>
        <v/>
      </c>
      <c r="I78" s="13">
        <f>IF($K78="","",IF(INDEX(BASELINE!$O$2:$O$3001,$K78)="","",INDEX(BASELINE!$O$2:$O$3001,$K78)))</f>
        <v/>
      </c>
      <c r="J78" s="12">
        <f>IF($K78="","",IF(ISNUMBER(SEARCH("break",INDEX(BASELINE!$T$2:$T$3001,$K78)&amp;"")),"SIM",""))</f>
        <v/>
      </c>
      <c r="K78" s="15">
        <f>IF(70&lt;=CALC!$D$1,MATCH(70,CALC!$B$2:$B$3001,0),"")</f>
        <v/>
      </c>
    </row>
    <row r="79" ht="17" customHeight="1">
      <c r="A79" s="12">
        <f>IF($K79="","",71)</f>
        <v/>
      </c>
      <c r="B79" s="13">
        <f>IF($K79="","",IF(INDEX(BASELINE!$I$2:$I$3001,$K79)="","",INDEX(BASELINE!$I$2:$I$3001,$K79)))</f>
        <v/>
      </c>
      <c r="C79" s="12">
        <f>IF($K79="","",IF(INDEX(BASELINE!$J$2:$J$3001,$K79)="","",INDEX(BASELINE!$J$2:$J$3001,$K79)))</f>
        <v/>
      </c>
      <c r="D79" s="13">
        <f>IF($K79="","",IF(INDEX(BASELINE!$M$2:$M$3001,$K79)="","",INDEX(BASELINE!$M$2:$M$3001,$K79)))</f>
        <v/>
      </c>
      <c r="E79" s="13">
        <f>IF($K79="","",IF(INDEX(BASELINE!$L$2:$L$3001,$K79)="","",INDEX(BASELINE!$L$2:$L$3001,$K79)))</f>
        <v/>
      </c>
      <c r="F79" s="14">
        <f>IF($K79="","",IF(INDEX(BASELINE!$P$2:$P$3001,$K79)="","",INDEX(BASELINE!$P$2:$P$3001,$K79)))</f>
        <v/>
      </c>
      <c r="G79" s="13">
        <f>IF($K79="","",IF(INDEX(BASELINE!$K$2:$K$3001,$K79)="","",INDEX(BASELINE!$K$2:$K$3001,$K79)))</f>
        <v/>
      </c>
      <c r="H79" s="13">
        <f>IF($K79="","",IF(INDEX(BASELINE!$N$2:$N$3001,$K79)="","",INDEX(BASELINE!$N$2:$N$3001,$K79)))</f>
        <v/>
      </c>
      <c r="I79" s="13">
        <f>IF($K79="","",IF(INDEX(BASELINE!$O$2:$O$3001,$K79)="","",INDEX(BASELINE!$O$2:$O$3001,$K79)))</f>
        <v/>
      </c>
      <c r="J79" s="12">
        <f>IF($K79="","",IF(ISNUMBER(SEARCH("break",INDEX(BASELINE!$T$2:$T$3001,$K79)&amp;"")),"SIM",""))</f>
        <v/>
      </c>
      <c r="K79" s="15">
        <f>IF(71&lt;=CALC!$D$1,MATCH(71,CALC!$B$2:$B$3001,0),"")</f>
        <v/>
      </c>
    </row>
    <row r="80" ht="17" customHeight="1">
      <c r="A80" s="12">
        <f>IF($K80="","",72)</f>
        <v/>
      </c>
      <c r="B80" s="13">
        <f>IF($K80="","",IF(INDEX(BASELINE!$I$2:$I$3001,$K80)="","",INDEX(BASELINE!$I$2:$I$3001,$K80)))</f>
        <v/>
      </c>
      <c r="C80" s="12">
        <f>IF($K80="","",IF(INDEX(BASELINE!$J$2:$J$3001,$K80)="","",INDEX(BASELINE!$J$2:$J$3001,$K80)))</f>
        <v/>
      </c>
      <c r="D80" s="13">
        <f>IF($K80="","",IF(INDEX(BASELINE!$M$2:$M$3001,$K80)="","",INDEX(BASELINE!$M$2:$M$3001,$K80)))</f>
        <v/>
      </c>
      <c r="E80" s="13">
        <f>IF($K80="","",IF(INDEX(BASELINE!$L$2:$L$3001,$K80)="","",INDEX(BASELINE!$L$2:$L$3001,$K80)))</f>
        <v/>
      </c>
      <c r="F80" s="14">
        <f>IF($K80="","",IF(INDEX(BASELINE!$P$2:$P$3001,$K80)="","",INDEX(BASELINE!$P$2:$P$3001,$K80)))</f>
        <v/>
      </c>
      <c r="G80" s="13">
        <f>IF($K80="","",IF(INDEX(BASELINE!$K$2:$K$3001,$K80)="","",INDEX(BASELINE!$K$2:$K$3001,$K80)))</f>
        <v/>
      </c>
      <c r="H80" s="13">
        <f>IF($K80="","",IF(INDEX(BASELINE!$N$2:$N$3001,$K80)="","",INDEX(BASELINE!$N$2:$N$3001,$K80)))</f>
        <v/>
      </c>
      <c r="I80" s="13">
        <f>IF($K80="","",IF(INDEX(BASELINE!$O$2:$O$3001,$K80)="","",INDEX(BASELINE!$O$2:$O$3001,$K80)))</f>
        <v/>
      </c>
      <c r="J80" s="12">
        <f>IF($K80="","",IF(ISNUMBER(SEARCH("break",INDEX(BASELINE!$T$2:$T$3001,$K80)&amp;"")),"SIM",""))</f>
        <v/>
      </c>
      <c r="K80" s="15">
        <f>IF(72&lt;=CALC!$D$1,MATCH(72,CALC!$B$2:$B$3001,0),"")</f>
        <v/>
      </c>
    </row>
    <row r="81" ht="17" customHeight="1">
      <c r="A81" s="12">
        <f>IF($K81="","",73)</f>
        <v/>
      </c>
      <c r="B81" s="13">
        <f>IF($K81="","",IF(INDEX(BASELINE!$I$2:$I$3001,$K81)="","",INDEX(BASELINE!$I$2:$I$3001,$K81)))</f>
        <v/>
      </c>
      <c r="C81" s="12">
        <f>IF($K81="","",IF(INDEX(BASELINE!$J$2:$J$3001,$K81)="","",INDEX(BASELINE!$J$2:$J$3001,$K81)))</f>
        <v/>
      </c>
      <c r="D81" s="13">
        <f>IF($K81="","",IF(INDEX(BASELINE!$M$2:$M$3001,$K81)="","",INDEX(BASELINE!$M$2:$M$3001,$K81)))</f>
        <v/>
      </c>
      <c r="E81" s="13">
        <f>IF($K81="","",IF(INDEX(BASELINE!$L$2:$L$3001,$K81)="","",INDEX(BASELINE!$L$2:$L$3001,$K81)))</f>
        <v/>
      </c>
      <c r="F81" s="14">
        <f>IF($K81="","",IF(INDEX(BASELINE!$P$2:$P$3001,$K81)="","",INDEX(BASELINE!$P$2:$P$3001,$K81)))</f>
        <v/>
      </c>
      <c r="G81" s="13">
        <f>IF($K81="","",IF(INDEX(BASELINE!$K$2:$K$3001,$K81)="","",INDEX(BASELINE!$K$2:$K$3001,$K81)))</f>
        <v/>
      </c>
      <c r="H81" s="13">
        <f>IF($K81="","",IF(INDEX(BASELINE!$N$2:$N$3001,$K81)="","",INDEX(BASELINE!$N$2:$N$3001,$K81)))</f>
        <v/>
      </c>
      <c r="I81" s="13">
        <f>IF($K81="","",IF(INDEX(BASELINE!$O$2:$O$3001,$K81)="","",INDEX(BASELINE!$O$2:$O$3001,$K81)))</f>
        <v/>
      </c>
      <c r="J81" s="12">
        <f>IF($K81="","",IF(ISNUMBER(SEARCH("break",INDEX(BASELINE!$T$2:$T$3001,$K81)&amp;"")),"SIM",""))</f>
        <v/>
      </c>
      <c r="K81" s="15">
        <f>IF(73&lt;=CALC!$D$1,MATCH(73,CALC!$B$2:$B$3001,0),"")</f>
        <v/>
      </c>
    </row>
    <row r="82" ht="17" customHeight="1">
      <c r="A82" s="12">
        <f>IF($K82="","",74)</f>
        <v/>
      </c>
      <c r="B82" s="13">
        <f>IF($K82="","",IF(INDEX(BASELINE!$I$2:$I$3001,$K82)="","",INDEX(BASELINE!$I$2:$I$3001,$K82)))</f>
        <v/>
      </c>
      <c r="C82" s="12">
        <f>IF($K82="","",IF(INDEX(BASELINE!$J$2:$J$3001,$K82)="","",INDEX(BASELINE!$J$2:$J$3001,$K82)))</f>
        <v/>
      </c>
      <c r="D82" s="13">
        <f>IF($K82="","",IF(INDEX(BASELINE!$M$2:$M$3001,$K82)="","",INDEX(BASELINE!$M$2:$M$3001,$K82)))</f>
        <v/>
      </c>
      <c r="E82" s="13">
        <f>IF($K82="","",IF(INDEX(BASELINE!$L$2:$L$3001,$K82)="","",INDEX(BASELINE!$L$2:$L$3001,$K82)))</f>
        <v/>
      </c>
      <c r="F82" s="14">
        <f>IF($K82="","",IF(INDEX(BASELINE!$P$2:$P$3001,$K82)="","",INDEX(BASELINE!$P$2:$P$3001,$K82)))</f>
        <v/>
      </c>
      <c r="G82" s="13">
        <f>IF($K82="","",IF(INDEX(BASELINE!$K$2:$K$3001,$K82)="","",INDEX(BASELINE!$K$2:$K$3001,$K82)))</f>
        <v/>
      </c>
      <c r="H82" s="13">
        <f>IF($K82="","",IF(INDEX(BASELINE!$N$2:$N$3001,$K82)="","",INDEX(BASELINE!$N$2:$N$3001,$K82)))</f>
        <v/>
      </c>
      <c r="I82" s="13">
        <f>IF($K82="","",IF(INDEX(BASELINE!$O$2:$O$3001,$K82)="","",INDEX(BASELINE!$O$2:$O$3001,$K82)))</f>
        <v/>
      </c>
      <c r="J82" s="12">
        <f>IF($K82="","",IF(ISNUMBER(SEARCH("break",INDEX(BASELINE!$T$2:$T$3001,$K82)&amp;"")),"SIM",""))</f>
        <v/>
      </c>
      <c r="K82" s="15">
        <f>IF(74&lt;=CALC!$D$1,MATCH(74,CALC!$B$2:$B$3001,0),"")</f>
        <v/>
      </c>
    </row>
    <row r="83" ht="17" customHeight="1">
      <c r="A83" s="12">
        <f>IF($K83="","",75)</f>
        <v/>
      </c>
      <c r="B83" s="13">
        <f>IF($K83="","",IF(INDEX(BASELINE!$I$2:$I$3001,$K83)="","",INDEX(BASELINE!$I$2:$I$3001,$K83)))</f>
        <v/>
      </c>
      <c r="C83" s="12">
        <f>IF($K83="","",IF(INDEX(BASELINE!$J$2:$J$3001,$K83)="","",INDEX(BASELINE!$J$2:$J$3001,$K83)))</f>
        <v/>
      </c>
      <c r="D83" s="13">
        <f>IF($K83="","",IF(INDEX(BASELINE!$M$2:$M$3001,$K83)="","",INDEX(BASELINE!$M$2:$M$3001,$K83)))</f>
        <v/>
      </c>
      <c r="E83" s="13">
        <f>IF($K83="","",IF(INDEX(BASELINE!$L$2:$L$3001,$K83)="","",INDEX(BASELINE!$L$2:$L$3001,$K83)))</f>
        <v/>
      </c>
      <c r="F83" s="14">
        <f>IF($K83="","",IF(INDEX(BASELINE!$P$2:$P$3001,$K83)="","",INDEX(BASELINE!$P$2:$P$3001,$K83)))</f>
        <v/>
      </c>
      <c r="G83" s="13">
        <f>IF($K83="","",IF(INDEX(BASELINE!$K$2:$K$3001,$K83)="","",INDEX(BASELINE!$K$2:$K$3001,$K83)))</f>
        <v/>
      </c>
      <c r="H83" s="13">
        <f>IF($K83="","",IF(INDEX(BASELINE!$N$2:$N$3001,$K83)="","",INDEX(BASELINE!$N$2:$N$3001,$K83)))</f>
        <v/>
      </c>
      <c r="I83" s="13">
        <f>IF($K83="","",IF(INDEX(BASELINE!$O$2:$O$3001,$K83)="","",INDEX(BASELINE!$O$2:$O$3001,$K83)))</f>
        <v/>
      </c>
      <c r="J83" s="12">
        <f>IF($K83="","",IF(ISNUMBER(SEARCH("break",INDEX(BASELINE!$T$2:$T$3001,$K83)&amp;"")),"SIM",""))</f>
        <v/>
      </c>
      <c r="K83" s="15">
        <f>IF(75&lt;=CALC!$D$1,MATCH(75,CALC!$B$2:$B$3001,0),"")</f>
        <v/>
      </c>
    </row>
    <row r="84" ht="17" customHeight="1">
      <c r="A84" s="12">
        <f>IF($K84="","",76)</f>
        <v/>
      </c>
      <c r="B84" s="13">
        <f>IF($K84="","",IF(INDEX(BASELINE!$I$2:$I$3001,$K84)="","",INDEX(BASELINE!$I$2:$I$3001,$K84)))</f>
        <v/>
      </c>
      <c r="C84" s="12">
        <f>IF($K84="","",IF(INDEX(BASELINE!$J$2:$J$3001,$K84)="","",INDEX(BASELINE!$J$2:$J$3001,$K84)))</f>
        <v/>
      </c>
      <c r="D84" s="13">
        <f>IF($K84="","",IF(INDEX(BASELINE!$M$2:$M$3001,$K84)="","",INDEX(BASELINE!$M$2:$M$3001,$K84)))</f>
        <v/>
      </c>
      <c r="E84" s="13">
        <f>IF($K84="","",IF(INDEX(BASELINE!$L$2:$L$3001,$K84)="","",INDEX(BASELINE!$L$2:$L$3001,$K84)))</f>
        <v/>
      </c>
      <c r="F84" s="14">
        <f>IF($K84="","",IF(INDEX(BASELINE!$P$2:$P$3001,$K84)="","",INDEX(BASELINE!$P$2:$P$3001,$K84)))</f>
        <v/>
      </c>
      <c r="G84" s="13">
        <f>IF($K84="","",IF(INDEX(BASELINE!$K$2:$K$3001,$K84)="","",INDEX(BASELINE!$K$2:$K$3001,$K84)))</f>
        <v/>
      </c>
      <c r="H84" s="13">
        <f>IF($K84="","",IF(INDEX(BASELINE!$N$2:$N$3001,$K84)="","",INDEX(BASELINE!$N$2:$N$3001,$K84)))</f>
        <v/>
      </c>
      <c r="I84" s="13">
        <f>IF($K84="","",IF(INDEX(BASELINE!$O$2:$O$3001,$K84)="","",INDEX(BASELINE!$O$2:$O$3001,$K84)))</f>
        <v/>
      </c>
      <c r="J84" s="12">
        <f>IF($K84="","",IF(ISNUMBER(SEARCH("break",INDEX(BASELINE!$T$2:$T$3001,$K84)&amp;"")),"SIM",""))</f>
        <v/>
      </c>
      <c r="K84" s="15">
        <f>IF(76&lt;=CALC!$D$1,MATCH(76,CALC!$B$2:$B$3001,0),"")</f>
        <v/>
      </c>
    </row>
    <row r="85" ht="17" customHeight="1">
      <c r="A85" s="12">
        <f>IF($K85="","",77)</f>
        <v/>
      </c>
      <c r="B85" s="13">
        <f>IF($K85="","",IF(INDEX(BASELINE!$I$2:$I$3001,$K85)="","",INDEX(BASELINE!$I$2:$I$3001,$K85)))</f>
        <v/>
      </c>
      <c r="C85" s="12">
        <f>IF($K85="","",IF(INDEX(BASELINE!$J$2:$J$3001,$K85)="","",INDEX(BASELINE!$J$2:$J$3001,$K85)))</f>
        <v/>
      </c>
      <c r="D85" s="13">
        <f>IF($K85="","",IF(INDEX(BASELINE!$M$2:$M$3001,$K85)="","",INDEX(BASELINE!$M$2:$M$3001,$K85)))</f>
        <v/>
      </c>
      <c r="E85" s="13">
        <f>IF($K85="","",IF(INDEX(BASELINE!$L$2:$L$3001,$K85)="","",INDEX(BASELINE!$L$2:$L$3001,$K85)))</f>
        <v/>
      </c>
      <c r="F85" s="14">
        <f>IF($K85="","",IF(INDEX(BASELINE!$P$2:$P$3001,$K85)="","",INDEX(BASELINE!$P$2:$P$3001,$K85)))</f>
        <v/>
      </c>
      <c r="G85" s="13">
        <f>IF($K85="","",IF(INDEX(BASELINE!$K$2:$K$3001,$K85)="","",INDEX(BASELINE!$K$2:$K$3001,$K85)))</f>
        <v/>
      </c>
      <c r="H85" s="13">
        <f>IF($K85="","",IF(INDEX(BASELINE!$N$2:$N$3001,$K85)="","",INDEX(BASELINE!$N$2:$N$3001,$K85)))</f>
        <v/>
      </c>
      <c r="I85" s="13">
        <f>IF($K85="","",IF(INDEX(BASELINE!$O$2:$O$3001,$K85)="","",INDEX(BASELINE!$O$2:$O$3001,$K85)))</f>
        <v/>
      </c>
      <c r="J85" s="12">
        <f>IF($K85="","",IF(ISNUMBER(SEARCH("break",INDEX(BASELINE!$T$2:$T$3001,$K85)&amp;"")),"SIM",""))</f>
        <v/>
      </c>
      <c r="K85" s="15">
        <f>IF(77&lt;=CALC!$D$1,MATCH(77,CALC!$B$2:$B$3001,0),"")</f>
        <v/>
      </c>
    </row>
    <row r="86" ht="17" customHeight="1">
      <c r="A86" s="12">
        <f>IF($K86="","",78)</f>
        <v/>
      </c>
      <c r="B86" s="13">
        <f>IF($K86="","",IF(INDEX(BASELINE!$I$2:$I$3001,$K86)="","",INDEX(BASELINE!$I$2:$I$3001,$K86)))</f>
        <v/>
      </c>
      <c r="C86" s="12">
        <f>IF($K86="","",IF(INDEX(BASELINE!$J$2:$J$3001,$K86)="","",INDEX(BASELINE!$J$2:$J$3001,$K86)))</f>
        <v/>
      </c>
      <c r="D86" s="13">
        <f>IF($K86="","",IF(INDEX(BASELINE!$M$2:$M$3001,$K86)="","",INDEX(BASELINE!$M$2:$M$3001,$K86)))</f>
        <v/>
      </c>
      <c r="E86" s="13">
        <f>IF($K86="","",IF(INDEX(BASELINE!$L$2:$L$3001,$K86)="","",INDEX(BASELINE!$L$2:$L$3001,$K86)))</f>
        <v/>
      </c>
      <c r="F86" s="14">
        <f>IF($K86="","",IF(INDEX(BASELINE!$P$2:$P$3001,$K86)="","",INDEX(BASELINE!$P$2:$P$3001,$K86)))</f>
        <v/>
      </c>
      <c r="G86" s="13">
        <f>IF($K86="","",IF(INDEX(BASELINE!$K$2:$K$3001,$K86)="","",INDEX(BASELINE!$K$2:$K$3001,$K86)))</f>
        <v/>
      </c>
      <c r="H86" s="13">
        <f>IF($K86="","",IF(INDEX(BASELINE!$N$2:$N$3001,$K86)="","",INDEX(BASELINE!$N$2:$N$3001,$K86)))</f>
        <v/>
      </c>
      <c r="I86" s="13">
        <f>IF($K86="","",IF(INDEX(BASELINE!$O$2:$O$3001,$K86)="","",INDEX(BASELINE!$O$2:$O$3001,$K86)))</f>
        <v/>
      </c>
      <c r="J86" s="12">
        <f>IF($K86="","",IF(ISNUMBER(SEARCH("break",INDEX(BASELINE!$T$2:$T$3001,$K86)&amp;"")),"SIM",""))</f>
        <v/>
      </c>
      <c r="K86" s="15">
        <f>IF(78&lt;=CALC!$D$1,MATCH(78,CALC!$B$2:$B$3001,0),"")</f>
        <v/>
      </c>
    </row>
    <row r="87" ht="17" customHeight="1">
      <c r="A87" s="12">
        <f>IF($K87="","",79)</f>
        <v/>
      </c>
      <c r="B87" s="13">
        <f>IF($K87="","",IF(INDEX(BASELINE!$I$2:$I$3001,$K87)="","",INDEX(BASELINE!$I$2:$I$3001,$K87)))</f>
        <v/>
      </c>
      <c r="C87" s="12">
        <f>IF($K87="","",IF(INDEX(BASELINE!$J$2:$J$3001,$K87)="","",INDEX(BASELINE!$J$2:$J$3001,$K87)))</f>
        <v/>
      </c>
      <c r="D87" s="13">
        <f>IF($K87="","",IF(INDEX(BASELINE!$M$2:$M$3001,$K87)="","",INDEX(BASELINE!$M$2:$M$3001,$K87)))</f>
        <v/>
      </c>
      <c r="E87" s="13">
        <f>IF($K87="","",IF(INDEX(BASELINE!$L$2:$L$3001,$K87)="","",INDEX(BASELINE!$L$2:$L$3001,$K87)))</f>
        <v/>
      </c>
      <c r="F87" s="14">
        <f>IF($K87="","",IF(INDEX(BASELINE!$P$2:$P$3001,$K87)="","",INDEX(BASELINE!$P$2:$P$3001,$K87)))</f>
        <v/>
      </c>
      <c r="G87" s="13">
        <f>IF($K87="","",IF(INDEX(BASELINE!$K$2:$K$3001,$K87)="","",INDEX(BASELINE!$K$2:$K$3001,$K87)))</f>
        <v/>
      </c>
      <c r="H87" s="13">
        <f>IF($K87="","",IF(INDEX(BASELINE!$N$2:$N$3001,$K87)="","",INDEX(BASELINE!$N$2:$N$3001,$K87)))</f>
        <v/>
      </c>
      <c r="I87" s="13">
        <f>IF($K87="","",IF(INDEX(BASELINE!$O$2:$O$3001,$K87)="","",INDEX(BASELINE!$O$2:$O$3001,$K87)))</f>
        <v/>
      </c>
      <c r="J87" s="12">
        <f>IF($K87="","",IF(ISNUMBER(SEARCH("break",INDEX(BASELINE!$T$2:$T$3001,$K87)&amp;"")),"SIM",""))</f>
        <v/>
      </c>
      <c r="K87" s="15">
        <f>IF(79&lt;=CALC!$D$1,MATCH(79,CALC!$B$2:$B$3001,0),"")</f>
        <v/>
      </c>
    </row>
    <row r="88" ht="17" customHeight="1">
      <c r="A88" s="12">
        <f>IF($K88="","",80)</f>
        <v/>
      </c>
      <c r="B88" s="13">
        <f>IF($K88="","",IF(INDEX(BASELINE!$I$2:$I$3001,$K88)="","",INDEX(BASELINE!$I$2:$I$3001,$K88)))</f>
        <v/>
      </c>
      <c r="C88" s="12">
        <f>IF($K88="","",IF(INDEX(BASELINE!$J$2:$J$3001,$K88)="","",INDEX(BASELINE!$J$2:$J$3001,$K88)))</f>
        <v/>
      </c>
      <c r="D88" s="13">
        <f>IF($K88="","",IF(INDEX(BASELINE!$M$2:$M$3001,$K88)="","",INDEX(BASELINE!$M$2:$M$3001,$K88)))</f>
        <v/>
      </c>
      <c r="E88" s="13">
        <f>IF($K88="","",IF(INDEX(BASELINE!$L$2:$L$3001,$K88)="","",INDEX(BASELINE!$L$2:$L$3001,$K88)))</f>
        <v/>
      </c>
      <c r="F88" s="14">
        <f>IF($K88="","",IF(INDEX(BASELINE!$P$2:$P$3001,$K88)="","",INDEX(BASELINE!$P$2:$P$3001,$K88)))</f>
        <v/>
      </c>
      <c r="G88" s="13">
        <f>IF($K88="","",IF(INDEX(BASELINE!$K$2:$K$3001,$K88)="","",INDEX(BASELINE!$K$2:$K$3001,$K88)))</f>
        <v/>
      </c>
      <c r="H88" s="13">
        <f>IF($K88="","",IF(INDEX(BASELINE!$N$2:$N$3001,$K88)="","",INDEX(BASELINE!$N$2:$N$3001,$K88)))</f>
        <v/>
      </c>
      <c r="I88" s="13">
        <f>IF($K88="","",IF(INDEX(BASELINE!$O$2:$O$3001,$K88)="","",INDEX(BASELINE!$O$2:$O$3001,$K88)))</f>
        <v/>
      </c>
      <c r="J88" s="12">
        <f>IF($K88="","",IF(ISNUMBER(SEARCH("break",INDEX(BASELINE!$T$2:$T$3001,$K88)&amp;"")),"SIM",""))</f>
        <v/>
      </c>
      <c r="K88" s="15">
        <f>IF(80&lt;=CALC!$D$1,MATCH(80,CALC!$B$2:$B$3001,0),"")</f>
        <v/>
      </c>
    </row>
    <row r="89" ht="17" customHeight="1">
      <c r="A89" s="12">
        <f>IF($K89="","",81)</f>
        <v/>
      </c>
      <c r="B89" s="13">
        <f>IF($K89="","",IF(INDEX(BASELINE!$I$2:$I$3001,$K89)="","",INDEX(BASELINE!$I$2:$I$3001,$K89)))</f>
        <v/>
      </c>
      <c r="C89" s="12">
        <f>IF($K89="","",IF(INDEX(BASELINE!$J$2:$J$3001,$K89)="","",INDEX(BASELINE!$J$2:$J$3001,$K89)))</f>
        <v/>
      </c>
      <c r="D89" s="13">
        <f>IF($K89="","",IF(INDEX(BASELINE!$M$2:$M$3001,$K89)="","",INDEX(BASELINE!$M$2:$M$3001,$K89)))</f>
        <v/>
      </c>
      <c r="E89" s="13">
        <f>IF($K89="","",IF(INDEX(BASELINE!$L$2:$L$3001,$K89)="","",INDEX(BASELINE!$L$2:$L$3001,$K89)))</f>
        <v/>
      </c>
      <c r="F89" s="14">
        <f>IF($K89="","",IF(INDEX(BASELINE!$P$2:$P$3001,$K89)="","",INDEX(BASELINE!$P$2:$P$3001,$K89)))</f>
        <v/>
      </c>
      <c r="G89" s="13">
        <f>IF($K89="","",IF(INDEX(BASELINE!$K$2:$K$3001,$K89)="","",INDEX(BASELINE!$K$2:$K$3001,$K89)))</f>
        <v/>
      </c>
      <c r="H89" s="13">
        <f>IF($K89="","",IF(INDEX(BASELINE!$N$2:$N$3001,$K89)="","",INDEX(BASELINE!$N$2:$N$3001,$K89)))</f>
        <v/>
      </c>
      <c r="I89" s="13">
        <f>IF($K89="","",IF(INDEX(BASELINE!$O$2:$O$3001,$K89)="","",INDEX(BASELINE!$O$2:$O$3001,$K89)))</f>
        <v/>
      </c>
      <c r="J89" s="12">
        <f>IF($K89="","",IF(ISNUMBER(SEARCH("break",INDEX(BASELINE!$T$2:$T$3001,$K89)&amp;"")),"SIM",""))</f>
        <v/>
      </c>
      <c r="K89" s="15">
        <f>IF(81&lt;=CALC!$D$1,MATCH(81,CALC!$B$2:$B$3001,0),"")</f>
        <v/>
      </c>
    </row>
    <row r="90" ht="17" customHeight="1">
      <c r="A90" s="12">
        <f>IF($K90="","",82)</f>
        <v/>
      </c>
      <c r="B90" s="13">
        <f>IF($K90="","",IF(INDEX(BASELINE!$I$2:$I$3001,$K90)="","",INDEX(BASELINE!$I$2:$I$3001,$K90)))</f>
        <v/>
      </c>
      <c r="C90" s="12">
        <f>IF($K90="","",IF(INDEX(BASELINE!$J$2:$J$3001,$K90)="","",INDEX(BASELINE!$J$2:$J$3001,$K90)))</f>
        <v/>
      </c>
      <c r="D90" s="13">
        <f>IF($K90="","",IF(INDEX(BASELINE!$M$2:$M$3001,$K90)="","",INDEX(BASELINE!$M$2:$M$3001,$K90)))</f>
        <v/>
      </c>
      <c r="E90" s="13">
        <f>IF($K90="","",IF(INDEX(BASELINE!$L$2:$L$3001,$K90)="","",INDEX(BASELINE!$L$2:$L$3001,$K90)))</f>
        <v/>
      </c>
      <c r="F90" s="14">
        <f>IF($K90="","",IF(INDEX(BASELINE!$P$2:$P$3001,$K90)="","",INDEX(BASELINE!$P$2:$P$3001,$K90)))</f>
        <v/>
      </c>
      <c r="G90" s="13">
        <f>IF($K90="","",IF(INDEX(BASELINE!$K$2:$K$3001,$K90)="","",INDEX(BASELINE!$K$2:$K$3001,$K90)))</f>
        <v/>
      </c>
      <c r="H90" s="13">
        <f>IF($K90="","",IF(INDEX(BASELINE!$N$2:$N$3001,$K90)="","",INDEX(BASELINE!$N$2:$N$3001,$K90)))</f>
        <v/>
      </c>
      <c r="I90" s="13">
        <f>IF($K90="","",IF(INDEX(BASELINE!$O$2:$O$3001,$K90)="","",INDEX(BASELINE!$O$2:$O$3001,$K90)))</f>
        <v/>
      </c>
      <c r="J90" s="12">
        <f>IF($K90="","",IF(ISNUMBER(SEARCH("break",INDEX(BASELINE!$T$2:$T$3001,$K90)&amp;"")),"SIM",""))</f>
        <v/>
      </c>
      <c r="K90" s="15">
        <f>IF(82&lt;=CALC!$D$1,MATCH(82,CALC!$B$2:$B$3001,0),"")</f>
        <v/>
      </c>
    </row>
    <row r="91" ht="17" customHeight="1">
      <c r="A91" s="12">
        <f>IF($K91="","",83)</f>
        <v/>
      </c>
      <c r="B91" s="13">
        <f>IF($K91="","",IF(INDEX(BASELINE!$I$2:$I$3001,$K91)="","",INDEX(BASELINE!$I$2:$I$3001,$K91)))</f>
        <v/>
      </c>
      <c r="C91" s="12">
        <f>IF($K91="","",IF(INDEX(BASELINE!$J$2:$J$3001,$K91)="","",INDEX(BASELINE!$J$2:$J$3001,$K91)))</f>
        <v/>
      </c>
      <c r="D91" s="13">
        <f>IF($K91="","",IF(INDEX(BASELINE!$M$2:$M$3001,$K91)="","",INDEX(BASELINE!$M$2:$M$3001,$K91)))</f>
        <v/>
      </c>
      <c r="E91" s="13">
        <f>IF($K91="","",IF(INDEX(BASELINE!$L$2:$L$3001,$K91)="","",INDEX(BASELINE!$L$2:$L$3001,$K91)))</f>
        <v/>
      </c>
      <c r="F91" s="14">
        <f>IF($K91="","",IF(INDEX(BASELINE!$P$2:$P$3001,$K91)="","",INDEX(BASELINE!$P$2:$P$3001,$K91)))</f>
        <v/>
      </c>
      <c r="G91" s="13">
        <f>IF($K91="","",IF(INDEX(BASELINE!$K$2:$K$3001,$K91)="","",INDEX(BASELINE!$K$2:$K$3001,$K91)))</f>
        <v/>
      </c>
      <c r="H91" s="13">
        <f>IF($K91="","",IF(INDEX(BASELINE!$N$2:$N$3001,$K91)="","",INDEX(BASELINE!$N$2:$N$3001,$K91)))</f>
        <v/>
      </c>
      <c r="I91" s="13">
        <f>IF($K91="","",IF(INDEX(BASELINE!$O$2:$O$3001,$K91)="","",INDEX(BASELINE!$O$2:$O$3001,$K91)))</f>
        <v/>
      </c>
      <c r="J91" s="12">
        <f>IF($K91="","",IF(ISNUMBER(SEARCH("break",INDEX(BASELINE!$T$2:$T$3001,$K91)&amp;"")),"SIM",""))</f>
        <v/>
      </c>
      <c r="K91" s="15">
        <f>IF(83&lt;=CALC!$D$1,MATCH(83,CALC!$B$2:$B$3001,0),"")</f>
        <v/>
      </c>
    </row>
    <row r="92" ht="17" customHeight="1">
      <c r="A92" s="12">
        <f>IF($K92="","",84)</f>
        <v/>
      </c>
      <c r="B92" s="13">
        <f>IF($K92="","",IF(INDEX(BASELINE!$I$2:$I$3001,$K92)="","",INDEX(BASELINE!$I$2:$I$3001,$K92)))</f>
        <v/>
      </c>
      <c r="C92" s="12">
        <f>IF($K92="","",IF(INDEX(BASELINE!$J$2:$J$3001,$K92)="","",INDEX(BASELINE!$J$2:$J$3001,$K92)))</f>
        <v/>
      </c>
      <c r="D92" s="13">
        <f>IF($K92="","",IF(INDEX(BASELINE!$M$2:$M$3001,$K92)="","",INDEX(BASELINE!$M$2:$M$3001,$K92)))</f>
        <v/>
      </c>
      <c r="E92" s="13">
        <f>IF($K92="","",IF(INDEX(BASELINE!$L$2:$L$3001,$K92)="","",INDEX(BASELINE!$L$2:$L$3001,$K92)))</f>
        <v/>
      </c>
      <c r="F92" s="14">
        <f>IF($K92="","",IF(INDEX(BASELINE!$P$2:$P$3001,$K92)="","",INDEX(BASELINE!$P$2:$P$3001,$K92)))</f>
        <v/>
      </c>
      <c r="G92" s="13">
        <f>IF($K92="","",IF(INDEX(BASELINE!$K$2:$K$3001,$K92)="","",INDEX(BASELINE!$K$2:$K$3001,$K92)))</f>
        <v/>
      </c>
      <c r="H92" s="13">
        <f>IF($K92="","",IF(INDEX(BASELINE!$N$2:$N$3001,$K92)="","",INDEX(BASELINE!$N$2:$N$3001,$K92)))</f>
        <v/>
      </c>
      <c r="I92" s="13">
        <f>IF($K92="","",IF(INDEX(BASELINE!$O$2:$O$3001,$K92)="","",INDEX(BASELINE!$O$2:$O$3001,$K92)))</f>
        <v/>
      </c>
      <c r="J92" s="12">
        <f>IF($K92="","",IF(ISNUMBER(SEARCH("break",INDEX(BASELINE!$T$2:$T$3001,$K92)&amp;"")),"SIM",""))</f>
        <v/>
      </c>
      <c r="K92" s="15">
        <f>IF(84&lt;=CALC!$D$1,MATCH(84,CALC!$B$2:$B$3001,0),"")</f>
        <v/>
      </c>
    </row>
    <row r="93" ht="17" customHeight="1">
      <c r="A93" s="12">
        <f>IF($K93="","",85)</f>
        <v/>
      </c>
      <c r="B93" s="13">
        <f>IF($K93="","",IF(INDEX(BASELINE!$I$2:$I$3001,$K93)="","",INDEX(BASELINE!$I$2:$I$3001,$K93)))</f>
        <v/>
      </c>
      <c r="C93" s="12">
        <f>IF($K93="","",IF(INDEX(BASELINE!$J$2:$J$3001,$K93)="","",INDEX(BASELINE!$J$2:$J$3001,$K93)))</f>
        <v/>
      </c>
      <c r="D93" s="13">
        <f>IF($K93="","",IF(INDEX(BASELINE!$M$2:$M$3001,$K93)="","",INDEX(BASELINE!$M$2:$M$3001,$K93)))</f>
        <v/>
      </c>
      <c r="E93" s="13">
        <f>IF($K93="","",IF(INDEX(BASELINE!$L$2:$L$3001,$K93)="","",INDEX(BASELINE!$L$2:$L$3001,$K93)))</f>
        <v/>
      </c>
      <c r="F93" s="14">
        <f>IF($K93="","",IF(INDEX(BASELINE!$P$2:$P$3001,$K93)="","",INDEX(BASELINE!$P$2:$P$3001,$K93)))</f>
        <v/>
      </c>
      <c r="G93" s="13">
        <f>IF($K93="","",IF(INDEX(BASELINE!$K$2:$K$3001,$K93)="","",INDEX(BASELINE!$K$2:$K$3001,$K93)))</f>
        <v/>
      </c>
      <c r="H93" s="13">
        <f>IF($K93="","",IF(INDEX(BASELINE!$N$2:$N$3001,$K93)="","",INDEX(BASELINE!$N$2:$N$3001,$K93)))</f>
        <v/>
      </c>
      <c r="I93" s="13">
        <f>IF($K93="","",IF(INDEX(BASELINE!$O$2:$O$3001,$K93)="","",INDEX(BASELINE!$O$2:$O$3001,$K93)))</f>
        <v/>
      </c>
      <c r="J93" s="12">
        <f>IF($K93="","",IF(ISNUMBER(SEARCH("break",INDEX(BASELINE!$T$2:$T$3001,$K93)&amp;"")),"SIM",""))</f>
        <v/>
      </c>
      <c r="K93" s="15">
        <f>IF(85&lt;=CALC!$D$1,MATCH(85,CALC!$B$2:$B$3001,0),"")</f>
        <v/>
      </c>
    </row>
    <row r="94" ht="17" customHeight="1">
      <c r="A94" s="12">
        <f>IF($K94="","",86)</f>
        <v/>
      </c>
      <c r="B94" s="13">
        <f>IF($K94="","",IF(INDEX(BASELINE!$I$2:$I$3001,$K94)="","",INDEX(BASELINE!$I$2:$I$3001,$K94)))</f>
        <v/>
      </c>
      <c r="C94" s="12">
        <f>IF($K94="","",IF(INDEX(BASELINE!$J$2:$J$3001,$K94)="","",INDEX(BASELINE!$J$2:$J$3001,$K94)))</f>
        <v/>
      </c>
      <c r="D94" s="13">
        <f>IF($K94="","",IF(INDEX(BASELINE!$M$2:$M$3001,$K94)="","",INDEX(BASELINE!$M$2:$M$3001,$K94)))</f>
        <v/>
      </c>
      <c r="E94" s="13">
        <f>IF($K94="","",IF(INDEX(BASELINE!$L$2:$L$3001,$K94)="","",INDEX(BASELINE!$L$2:$L$3001,$K94)))</f>
        <v/>
      </c>
      <c r="F94" s="14">
        <f>IF($K94="","",IF(INDEX(BASELINE!$P$2:$P$3001,$K94)="","",INDEX(BASELINE!$P$2:$P$3001,$K94)))</f>
        <v/>
      </c>
      <c r="G94" s="13">
        <f>IF($K94="","",IF(INDEX(BASELINE!$K$2:$K$3001,$K94)="","",INDEX(BASELINE!$K$2:$K$3001,$K94)))</f>
        <v/>
      </c>
      <c r="H94" s="13">
        <f>IF($K94="","",IF(INDEX(BASELINE!$N$2:$N$3001,$K94)="","",INDEX(BASELINE!$N$2:$N$3001,$K94)))</f>
        <v/>
      </c>
      <c r="I94" s="13">
        <f>IF($K94="","",IF(INDEX(BASELINE!$O$2:$O$3001,$K94)="","",INDEX(BASELINE!$O$2:$O$3001,$K94)))</f>
        <v/>
      </c>
      <c r="J94" s="12">
        <f>IF($K94="","",IF(ISNUMBER(SEARCH("break",INDEX(BASELINE!$T$2:$T$3001,$K94)&amp;"")),"SIM",""))</f>
        <v/>
      </c>
      <c r="K94" s="15">
        <f>IF(86&lt;=CALC!$D$1,MATCH(86,CALC!$B$2:$B$3001,0),"")</f>
        <v/>
      </c>
    </row>
    <row r="95" ht="17" customHeight="1">
      <c r="A95" s="12">
        <f>IF($K95="","",87)</f>
        <v/>
      </c>
      <c r="B95" s="13">
        <f>IF($K95="","",IF(INDEX(BASELINE!$I$2:$I$3001,$K95)="","",INDEX(BASELINE!$I$2:$I$3001,$K95)))</f>
        <v/>
      </c>
      <c r="C95" s="12">
        <f>IF($K95="","",IF(INDEX(BASELINE!$J$2:$J$3001,$K95)="","",INDEX(BASELINE!$J$2:$J$3001,$K95)))</f>
        <v/>
      </c>
      <c r="D95" s="13">
        <f>IF($K95="","",IF(INDEX(BASELINE!$M$2:$M$3001,$K95)="","",INDEX(BASELINE!$M$2:$M$3001,$K95)))</f>
        <v/>
      </c>
      <c r="E95" s="13">
        <f>IF($K95="","",IF(INDEX(BASELINE!$L$2:$L$3001,$K95)="","",INDEX(BASELINE!$L$2:$L$3001,$K95)))</f>
        <v/>
      </c>
      <c r="F95" s="14">
        <f>IF($K95="","",IF(INDEX(BASELINE!$P$2:$P$3001,$K95)="","",INDEX(BASELINE!$P$2:$P$3001,$K95)))</f>
        <v/>
      </c>
      <c r="G95" s="13">
        <f>IF($K95="","",IF(INDEX(BASELINE!$K$2:$K$3001,$K95)="","",INDEX(BASELINE!$K$2:$K$3001,$K95)))</f>
        <v/>
      </c>
      <c r="H95" s="13">
        <f>IF($K95="","",IF(INDEX(BASELINE!$N$2:$N$3001,$K95)="","",INDEX(BASELINE!$N$2:$N$3001,$K95)))</f>
        <v/>
      </c>
      <c r="I95" s="13">
        <f>IF($K95="","",IF(INDEX(BASELINE!$O$2:$O$3001,$K95)="","",INDEX(BASELINE!$O$2:$O$3001,$K95)))</f>
        <v/>
      </c>
      <c r="J95" s="12">
        <f>IF($K95="","",IF(ISNUMBER(SEARCH("break",INDEX(BASELINE!$T$2:$T$3001,$K95)&amp;"")),"SIM",""))</f>
        <v/>
      </c>
      <c r="K95" s="15">
        <f>IF(87&lt;=CALC!$D$1,MATCH(87,CALC!$B$2:$B$3001,0),"")</f>
        <v/>
      </c>
    </row>
    <row r="96" ht="17" customHeight="1">
      <c r="A96" s="12">
        <f>IF($K96="","",88)</f>
        <v/>
      </c>
      <c r="B96" s="13">
        <f>IF($K96="","",IF(INDEX(BASELINE!$I$2:$I$3001,$K96)="","",INDEX(BASELINE!$I$2:$I$3001,$K96)))</f>
        <v/>
      </c>
      <c r="C96" s="12">
        <f>IF($K96="","",IF(INDEX(BASELINE!$J$2:$J$3001,$K96)="","",INDEX(BASELINE!$J$2:$J$3001,$K96)))</f>
        <v/>
      </c>
      <c r="D96" s="13">
        <f>IF($K96="","",IF(INDEX(BASELINE!$M$2:$M$3001,$K96)="","",INDEX(BASELINE!$M$2:$M$3001,$K96)))</f>
        <v/>
      </c>
      <c r="E96" s="13">
        <f>IF($K96="","",IF(INDEX(BASELINE!$L$2:$L$3001,$K96)="","",INDEX(BASELINE!$L$2:$L$3001,$K96)))</f>
        <v/>
      </c>
      <c r="F96" s="14">
        <f>IF($K96="","",IF(INDEX(BASELINE!$P$2:$P$3001,$K96)="","",INDEX(BASELINE!$P$2:$P$3001,$K96)))</f>
        <v/>
      </c>
      <c r="G96" s="13">
        <f>IF($K96="","",IF(INDEX(BASELINE!$K$2:$K$3001,$K96)="","",INDEX(BASELINE!$K$2:$K$3001,$K96)))</f>
        <v/>
      </c>
      <c r="H96" s="13">
        <f>IF($K96="","",IF(INDEX(BASELINE!$N$2:$N$3001,$K96)="","",INDEX(BASELINE!$N$2:$N$3001,$K96)))</f>
        <v/>
      </c>
      <c r="I96" s="13">
        <f>IF($K96="","",IF(INDEX(BASELINE!$O$2:$O$3001,$K96)="","",INDEX(BASELINE!$O$2:$O$3001,$K96)))</f>
        <v/>
      </c>
      <c r="J96" s="12">
        <f>IF($K96="","",IF(ISNUMBER(SEARCH("break",INDEX(BASELINE!$T$2:$T$3001,$K96)&amp;"")),"SIM",""))</f>
        <v/>
      </c>
      <c r="K96" s="15">
        <f>IF(88&lt;=CALC!$D$1,MATCH(88,CALC!$B$2:$B$3001,0),"")</f>
        <v/>
      </c>
    </row>
    <row r="97" ht="17" customHeight="1">
      <c r="A97" s="12">
        <f>IF($K97="","",89)</f>
        <v/>
      </c>
      <c r="B97" s="13">
        <f>IF($K97="","",IF(INDEX(BASELINE!$I$2:$I$3001,$K97)="","",INDEX(BASELINE!$I$2:$I$3001,$K97)))</f>
        <v/>
      </c>
      <c r="C97" s="12">
        <f>IF($K97="","",IF(INDEX(BASELINE!$J$2:$J$3001,$K97)="","",INDEX(BASELINE!$J$2:$J$3001,$K97)))</f>
        <v/>
      </c>
      <c r="D97" s="13">
        <f>IF($K97="","",IF(INDEX(BASELINE!$M$2:$M$3001,$K97)="","",INDEX(BASELINE!$M$2:$M$3001,$K97)))</f>
        <v/>
      </c>
      <c r="E97" s="13">
        <f>IF($K97="","",IF(INDEX(BASELINE!$L$2:$L$3001,$K97)="","",INDEX(BASELINE!$L$2:$L$3001,$K97)))</f>
        <v/>
      </c>
      <c r="F97" s="14">
        <f>IF($K97="","",IF(INDEX(BASELINE!$P$2:$P$3001,$K97)="","",INDEX(BASELINE!$P$2:$P$3001,$K97)))</f>
        <v/>
      </c>
      <c r="G97" s="13">
        <f>IF($K97="","",IF(INDEX(BASELINE!$K$2:$K$3001,$K97)="","",INDEX(BASELINE!$K$2:$K$3001,$K97)))</f>
        <v/>
      </c>
      <c r="H97" s="13">
        <f>IF($K97="","",IF(INDEX(BASELINE!$N$2:$N$3001,$K97)="","",INDEX(BASELINE!$N$2:$N$3001,$K97)))</f>
        <v/>
      </c>
      <c r="I97" s="13">
        <f>IF($K97="","",IF(INDEX(BASELINE!$O$2:$O$3001,$K97)="","",INDEX(BASELINE!$O$2:$O$3001,$K97)))</f>
        <v/>
      </c>
      <c r="J97" s="12">
        <f>IF($K97="","",IF(ISNUMBER(SEARCH("break",INDEX(BASELINE!$T$2:$T$3001,$K97)&amp;"")),"SIM",""))</f>
        <v/>
      </c>
      <c r="K97" s="15">
        <f>IF(89&lt;=CALC!$D$1,MATCH(89,CALC!$B$2:$B$3001,0),"")</f>
        <v/>
      </c>
    </row>
    <row r="98" ht="17" customHeight="1">
      <c r="A98" s="12">
        <f>IF($K98="","",90)</f>
        <v/>
      </c>
      <c r="B98" s="13">
        <f>IF($K98="","",IF(INDEX(BASELINE!$I$2:$I$3001,$K98)="","",INDEX(BASELINE!$I$2:$I$3001,$K98)))</f>
        <v/>
      </c>
      <c r="C98" s="12">
        <f>IF($K98="","",IF(INDEX(BASELINE!$J$2:$J$3001,$K98)="","",INDEX(BASELINE!$J$2:$J$3001,$K98)))</f>
        <v/>
      </c>
      <c r="D98" s="13">
        <f>IF($K98="","",IF(INDEX(BASELINE!$M$2:$M$3001,$K98)="","",INDEX(BASELINE!$M$2:$M$3001,$K98)))</f>
        <v/>
      </c>
      <c r="E98" s="13">
        <f>IF($K98="","",IF(INDEX(BASELINE!$L$2:$L$3001,$K98)="","",INDEX(BASELINE!$L$2:$L$3001,$K98)))</f>
        <v/>
      </c>
      <c r="F98" s="14">
        <f>IF($K98="","",IF(INDEX(BASELINE!$P$2:$P$3001,$K98)="","",INDEX(BASELINE!$P$2:$P$3001,$K98)))</f>
        <v/>
      </c>
      <c r="G98" s="13">
        <f>IF($K98="","",IF(INDEX(BASELINE!$K$2:$K$3001,$K98)="","",INDEX(BASELINE!$K$2:$K$3001,$K98)))</f>
        <v/>
      </c>
      <c r="H98" s="13">
        <f>IF($K98="","",IF(INDEX(BASELINE!$N$2:$N$3001,$K98)="","",INDEX(BASELINE!$N$2:$N$3001,$K98)))</f>
        <v/>
      </c>
      <c r="I98" s="13">
        <f>IF($K98="","",IF(INDEX(BASELINE!$O$2:$O$3001,$K98)="","",INDEX(BASELINE!$O$2:$O$3001,$K98)))</f>
        <v/>
      </c>
      <c r="J98" s="12">
        <f>IF($K98="","",IF(ISNUMBER(SEARCH("break",INDEX(BASELINE!$T$2:$T$3001,$K98)&amp;"")),"SIM",""))</f>
        <v/>
      </c>
      <c r="K98" s="15">
        <f>IF(90&lt;=CALC!$D$1,MATCH(90,CALC!$B$2:$B$3001,0),"")</f>
        <v/>
      </c>
    </row>
    <row r="99" ht="17" customHeight="1">
      <c r="A99" s="12">
        <f>IF($K99="","",91)</f>
        <v/>
      </c>
      <c r="B99" s="13">
        <f>IF($K99="","",IF(INDEX(BASELINE!$I$2:$I$3001,$K99)="","",INDEX(BASELINE!$I$2:$I$3001,$K99)))</f>
        <v/>
      </c>
      <c r="C99" s="12">
        <f>IF($K99="","",IF(INDEX(BASELINE!$J$2:$J$3001,$K99)="","",INDEX(BASELINE!$J$2:$J$3001,$K99)))</f>
        <v/>
      </c>
      <c r="D99" s="13">
        <f>IF($K99="","",IF(INDEX(BASELINE!$M$2:$M$3001,$K99)="","",INDEX(BASELINE!$M$2:$M$3001,$K99)))</f>
        <v/>
      </c>
      <c r="E99" s="13">
        <f>IF($K99="","",IF(INDEX(BASELINE!$L$2:$L$3001,$K99)="","",INDEX(BASELINE!$L$2:$L$3001,$K99)))</f>
        <v/>
      </c>
      <c r="F99" s="14">
        <f>IF($K99="","",IF(INDEX(BASELINE!$P$2:$P$3001,$K99)="","",INDEX(BASELINE!$P$2:$P$3001,$K99)))</f>
        <v/>
      </c>
      <c r="G99" s="13">
        <f>IF($K99="","",IF(INDEX(BASELINE!$K$2:$K$3001,$K99)="","",INDEX(BASELINE!$K$2:$K$3001,$K99)))</f>
        <v/>
      </c>
      <c r="H99" s="13">
        <f>IF($K99="","",IF(INDEX(BASELINE!$N$2:$N$3001,$K99)="","",INDEX(BASELINE!$N$2:$N$3001,$K99)))</f>
        <v/>
      </c>
      <c r="I99" s="13">
        <f>IF($K99="","",IF(INDEX(BASELINE!$O$2:$O$3001,$K99)="","",INDEX(BASELINE!$O$2:$O$3001,$K99)))</f>
        <v/>
      </c>
      <c r="J99" s="12">
        <f>IF($K99="","",IF(ISNUMBER(SEARCH("break",INDEX(BASELINE!$T$2:$T$3001,$K99)&amp;"")),"SIM",""))</f>
        <v/>
      </c>
      <c r="K99" s="15">
        <f>IF(91&lt;=CALC!$D$1,MATCH(91,CALC!$B$2:$B$3001,0),"")</f>
        <v/>
      </c>
    </row>
    <row r="100" ht="17" customHeight="1">
      <c r="A100" s="12">
        <f>IF($K100="","",92)</f>
        <v/>
      </c>
      <c r="B100" s="13">
        <f>IF($K100="","",IF(INDEX(BASELINE!$I$2:$I$3001,$K100)="","",INDEX(BASELINE!$I$2:$I$3001,$K100)))</f>
        <v/>
      </c>
      <c r="C100" s="12">
        <f>IF($K100="","",IF(INDEX(BASELINE!$J$2:$J$3001,$K100)="","",INDEX(BASELINE!$J$2:$J$3001,$K100)))</f>
        <v/>
      </c>
      <c r="D100" s="13">
        <f>IF($K100="","",IF(INDEX(BASELINE!$M$2:$M$3001,$K100)="","",INDEX(BASELINE!$M$2:$M$3001,$K100)))</f>
        <v/>
      </c>
      <c r="E100" s="13">
        <f>IF($K100="","",IF(INDEX(BASELINE!$L$2:$L$3001,$K100)="","",INDEX(BASELINE!$L$2:$L$3001,$K100)))</f>
        <v/>
      </c>
      <c r="F100" s="14">
        <f>IF($K100="","",IF(INDEX(BASELINE!$P$2:$P$3001,$K100)="","",INDEX(BASELINE!$P$2:$P$3001,$K100)))</f>
        <v/>
      </c>
      <c r="G100" s="13">
        <f>IF($K100="","",IF(INDEX(BASELINE!$K$2:$K$3001,$K100)="","",INDEX(BASELINE!$K$2:$K$3001,$K100)))</f>
        <v/>
      </c>
      <c r="H100" s="13">
        <f>IF($K100="","",IF(INDEX(BASELINE!$N$2:$N$3001,$K100)="","",INDEX(BASELINE!$N$2:$N$3001,$K100)))</f>
        <v/>
      </c>
      <c r="I100" s="13">
        <f>IF($K100="","",IF(INDEX(BASELINE!$O$2:$O$3001,$K100)="","",INDEX(BASELINE!$O$2:$O$3001,$K100)))</f>
        <v/>
      </c>
      <c r="J100" s="12">
        <f>IF($K100="","",IF(ISNUMBER(SEARCH("break",INDEX(BASELINE!$T$2:$T$3001,$K100)&amp;"")),"SIM",""))</f>
        <v/>
      </c>
      <c r="K100" s="15">
        <f>IF(92&lt;=CALC!$D$1,MATCH(92,CALC!$B$2:$B$3001,0),"")</f>
        <v/>
      </c>
    </row>
    <row r="101" ht="17" customHeight="1">
      <c r="A101" s="12">
        <f>IF($K101="","",93)</f>
        <v/>
      </c>
      <c r="B101" s="13">
        <f>IF($K101="","",IF(INDEX(BASELINE!$I$2:$I$3001,$K101)="","",INDEX(BASELINE!$I$2:$I$3001,$K101)))</f>
        <v/>
      </c>
      <c r="C101" s="12">
        <f>IF($K101="","",IF(INDEX(BASELINE!$J$2:$J$3001,$K101)="","",INDEX(BASELINE!$J$2:$J$3001,$K101)))</f>
        <v/>
      </c>
      <c r="D101" s="13">
        <f>IF($K101="","",IF(INDEX(BASELINE!$M$2:$M$3001,$K101)="","",INDEX(BASELINE!$M$2:$M$3001,$K101)))</f>
        <v/>
      </c>
      <c r="E101" s="13">
        <f>IF($K101="","",IF(INDEX(BASELINE!$L$2:$L$3001,$K101)="","",INDEX(BASELINE!$L$2:$L$3001,$K101)))</f>
        <v/>
      </c>
      <c r="F101" s="14">
        <f>IF($K101="","",IF(INDEX(BASELINE!$P$2:$P$3001,$K101)="","",INDEX(BASELINE!$P$2:$P$3001,$K101)))</f>
        <v/>
      </c>
      <c r="G101" s="13">
        <f>IF($K101="","",IF(INDEX(BASELINE!$K$2:$K$3001,$K101)="","",INDEX(BASELINE!$K$2:$K$3001,$K101)))</f>
        <v/>
      </c>
      <c r="H101" s="13">
        <f>IF($K101="","",IF(INDEX(BASELINE!$N$2:$N$3001,$K101)="","",INDEX(BASELINE!$N$2:$N$3001,$K101)))</f>
        <v/>
      </c>
      <c r="I101" s="13">
        <f>IF($K101="","",IF(INDEX(BASELINE!$O$2:$O$3001,$K101)="","",INDEX(BASELINE!$O$2:$O$3001,$K101)))</f>
        <v/>
      </c>
      <c r="J101" s="12">
        <f>IF($K101="","",IF(ISNUMBER(SEARCH("break",INDEX(BASELINE!$T$2:$T$3001,$K101)&amp;"")),"SIM",""))</f>
        <v/>
      </c>
      <c r="K101" s="15">
        <f>IF(93&lt;=CALC!$D$1,MATCH(93,CALC!$B$2:$B$3001,0),"")</f>
        <v/>
      </c>
    </row>
    <row r="102" ht="17" customHeight="1">
      <c r="A102" s="12">
        <f>IF($K102="","",94)</f>
        <v/>
      </c>
      <c r="B102" s="13">
        <f>IF($K102="","",IF(INDEX(BASELINE!$I$2:$I$3001,$K102)="","",INDEX(BASELINE!$I$2:$I$3001,$K102)))</f>
        <v/>
      </c>
      <c r="C102" s="12">
        <f>IF($K102="","",IF(INDEX(BASELINE!$J$2:$J$3001,$K102)="","",INDEX(BASELINE!$J$2:$J$3001,$K102)))</f>
        <v/>
      </c>
      <c r="D102" s="13">
        <f>IF($K102="","",IF(INDEX(BASELINE!$M$2:$M$3001,$K102)="","",INDEX(BASELINE!$M$2:$M$3001,$K102)))</f>
        <v/>
      </c>
      <c r="E102" s="13">
        <f>IF($K102="","",IF(INDEX(BASELINE!$L$2:$L$3001,$K102)="","",INDEX(BASELINE!$L$2:$L$3001,$K102)))</f>
        <v/>
      </c>
      <c r="F102" s="14">
        <f>IF($K102="","",IF(INDEX(BASELINE!$P$2:$P$3001,$K102)="","",INDEX(BASELINE!$P$2:$P$3001,$K102)))</f>
        <v/>
      </c>
      <c r="G102" s="13">
        <f>IF($K102="","",IF(INDEX(BASELINE!$K$2:$K$3001,$K102)="","",INDEX(BASELINE!$K$2:$K$3001,$K102)))</f>
        <v/>
      </c>
      <c r="H102" s="13">
        <f>IF($K102="","",IF(INDEX(BASELINE!$N$2:$N$3001,$K102)="","",INDEX(BASELINE!$N$2:$N$3001,$K102)))</f>
        <v/>
      </c>
      <c r="I102" s="13">
        <f>IF($K102="","",IF(INDEX(BASELINE!$O$2:$O$3001,$K102)="","",INDEX(BASELINE!$O$2:$O$3001,$K102)))</f>
        <v/>
      </c>
      <c r="J102" s="12">
        <f>IF($K102="","",IF(ISNUMBER(SEARCH("break",INDEX(BASELINE!$T$2:$T$3001,$K102)&amp;"")),"SIM",""))</f>
        <v/>
      </c>
      <c r="K102" s="15">
        <f>IF(94&lt;=CALC!$D$1,MATCH(94,CALC!$B$2:$B$3001,0),"")</f>
        <v/>
      </c>
    </row>
    <row r="103" ht="17" customHeight="1">
      <c r="A103" s="12">
        <f>IF($K103="","",95)</f>
        <v/>
      </c>
      <c r="B103" s="13">
        <f>IF($K103="","",IF(INDEX(BASELINE!$I$2:$I$3001,$K103)="","",INDEX(BASELINE!$I$2:$I$3001,$K103)))</f>
        <v/>
      </c>
      <c r="C103" s="12">
        <f>IF($K103="","",IF(INDEX(BASELINE!$J$2:$J$3001,$K103)="","",INDEX(BASELINE!$J$2:$J$3001,$K103)))</f>
        <v/>
      </c>
      <c r="D103" s="13">
        <f>IF($K103="","",IF(INDEX(BASELINE!$M$2:$M$3001,$K103)="","",INDEX(BASELINE!$M$2:$M$3001,$K103)))</f>
        <v/>
      </c>
      <c r="E103" s="13">
        <f>IF($K103="","",IF(INDEX(BASELINE!$L$2:$L$3001,$K103)="","",INDEX(BASELINE!$L$2:$L$3001,$K103)))</f>
        <v/>
      </c>
      <c r="F103" s="14">
        <f>IF($K103="","",IF(INDEX(BASELINE!$P$2:$P$3001,$K103)="","",INDEX(BASELINE!$P$2:$P$3001,$K103)))</f>
        <v/>
      </c>
      <c r="G103" s="13">
        <f>IF($K103="","",IF(INDEX(BASELINE!$K$2:$K$3001,$K103)="","",INDEX(BASELINE!$K$2:$K$3001,$K103)))</f>
        <v/>
      </c>
      <c r="H103" s="13">
        <f>IF($K103="","",IF(INDEX(BASELINE!$N$2:$N$3001,$K103)="","",INDEX(BASELINE!$N$2:$N$3001,$K103)))</f>
        <v/>
      </c>
      <c r="I103" s="13">
        <f>IF($K103="","",IF(INDEX(BASELINE!$O$2:$O$3001,$K103)="","",INDEX(BASELINE!$O$2:$O$3001,$K103)))</f>
        <v/>
      </c>
      <c r="J103" s="12">
        <f>IF($K103="","",IF(ISNUMBER(SEARCH("break",INDEX(BASELINE!$T$2:$T$3001,$K103)&amp;"")),"SIM",""))</f>
        <v/>
      </c>
      <c r="K103" s="15">
        <f>IF(95&lt;=CALC!$D$1,MATCH(95,CALC!$B$2:$B$3001,0),"")</f>
        <v/>
      </c>
    </row>
    <row r="104" ht="17" customHeight="1">
      <c r="A104" s="12">
        <f>IF($K104="","",96)</f>
        <v/>
      </c>
      <c r="B104" s="13">
        <f>IF($K104="","",IF(INDEX(BASELINE!$I$2:$I$3001,$K104)="","",INDEX(BASELINE!$I$2:$I$3001,$K104)))</f>
        <v/>
      </c>
      <c r="C104" s="12">
        <f>IF($K104="","",IF(INDEX(BASELINE!$J$2:$J$3001,$K104)="","",INDEX(BASELINE!$J$2:$J$3001,$K104)))</f>
        <v/>
      </c>
      <c r="D104" s="13">
        <f>IF($K104="","",IF(INDEX(BASELINE!$M$2:$M$3001,$K104)="","",INDEX(BASELINE!$M$2:$M$3001,$K104)))</f>
        <v/>
      </c>
      <c r="E104" s="13">
        <f>IF($K104="","",IF(INDEX(BASELINE!$L$2:$L$3001,$K104)="","",INDEX(BASELINE!$L$2:$L$3001,$K104)))</f>
        <v/>
      </c>
      <c r="F104" s="14">
        <f>IF($K104="","",IF(INDEX(BASELINE!$P$2:$P$3001,$K104)="","",INDEX(BASELINE!$P$2:$P$3001,$K104)))</f>
        <v/>
      </c>
      <c r="G104" s="13">
        <f>IF($K104="","",IF(INDEX(BASELINE!$K$2:$K$3001,$K104)="","",INDEX(BASELINE!$K$2:$K$3001,$K104)))</f>
        <v/>
      </c>
      <c r="H104" s="13">
        <f>IF($K104="","",IF(INDEX(BASELINE!$N$2:$N$3001,$K104)="","",INDEX(BASELINE!$N$2:$N$3001,$K104)))</f>
        <v/>
      </c>
      <c r="I104" s="13">
        <f>IF($K104="","",IF(INDEX(BASELINE!$O$2:$O$3001,$K104)="","",INDEX(BASELINE!$O$2:$O$3001,$K104)))</f>
        <v/>
      </c>
      <c r="J104" s="12">
        <f>IF($K104="","",IF(ISNUMBER(SEARCH("break",INDEX(BASELINE!$T$2:$T$3001,$K104)&amp;"")),"SIM",""))</f>
        <v/>
      </c>
      <c r="K104" s="15">
        <f>IF(96&lt;=CALC!$D$1,MATCH(96,CALC!$B$2:$B$3001,0),"")</f>
        <v/>
      </c>
    </row>
    <row r="105" ht="17" customHeight="1">
      <c r="A105" s="12">
        <f>IF($K105="","",97)</f>
        <v/>
      </c>
      <c r="B105" s="13">
        <f>IF($K105="","",IF(INDEX(BASELINE!$I$2:$I$3001,$K105)="","",INDEX(BASELINE!$I$2:$I$3001,$K105)))</f>
        <v/>
      </c>
      <c r="C105" s="12">
        <f>IF($K105="","",IF(INDEX(BASELINE!$J$2:$J$3001,$K105)="","",INDEX(BASELINE!$J$2:$J$3001,$K105)))</f>
        <v/>
      </c>
      <c r="D105" s="13">
        <f>IF($K105="","",IF(INDEX(BASELINE!$M$2:$M$3001,$K105)="","",INDEX(BASELINE!$M$2:$M$3001,$K105)))</f>
        <v/>
      </c>
      <c r="E105" s="13">
        <f>IF($K105="","",IF(INDEX(BASELINE!$L$2:$L$3001,$K105)="","",INDEX(BASELINE!$L$2:$L$3001,$K105)))</f>
        <v/>
      </c>
      <c r="F105" s="14">
        <f>IF($K105="","",IF(INDEX(BASELINE!$P$2:$P$3001,$K105)="","",INDEX(BASELINE!$P$2:$P$3001,$K105)))</f>
        <v/>
      </c>
      <c r="G105" s="13">
        <f>IF($K105="","",IF(INDEX(BASELINE!$K$2:$K$3001,$K105)="","",INDEX(BASELINE!$K$2:$K$3001,$K105)))</f>
        <v/>
      </c>
      <c r="H105" s="13">
        <f>IF($K105="","",IF(INDEX(BASELINE!$N$2:$N$3001,$K105)="","",INDEX(BASELINE!$N$2:$N$3001,$K105)))</f>
        <v/>
      </c>
      <c r="I105" s="13">
        <f>IF($K105="","",IF(INDEX(BASELINE!$O$2:$O$3001,$K105)="","",INDEX(BASELINE!$O$2:$O$3001,$K105)))</f>
        <v/>
      </c>
      <c r="J105" s="12">
        <f>IF($K105="","",IF(ISNUMBER(SEARCH("break",INDEX(BASELINE!$T$2:$T$3001,$K105)&amp;"")),"SIM",""))</f>
        <v/>
      </c>
      <c r="K105" s="15">
        <f>IF(97&lt;=CALC!$D$1,MATCH(97,CALC!$B$2:$B$3001,0),"")</f>
        <v/>
      </c>
    </row>
    <row r="106" ht="17" customHeight="1">
      <c r="A106" s="12">
        <f>IF($K106="","",98)</f>
        <v/>
      </c>
      <c r="B106" s="13">
        <f>IF($K106="","",IF(INDEX(BASELINE!$I$2:$I$3001,$K106)="","",INDEX(BASELINE!$I$2:$I$3001,$K106)))</f>
        <v/>
      </c>
      <c r="C106" s="12">
        <f>IF($K106="","",IF(INDEX(BASELINE!$J$2:$J$3001,$K106)="","",INDEX(BASELINE!$J$2:$J$3001,$K106)))</f>
        <v/>
      </c>
      <c r="D106" s="13">
        <f>IF($K106="","",IF(INDEX(BASELINE!$M$2:$M$3001,$K106)="","",INDEX(BASELINE!$M$2:$M$3001,$K106)))</f>
        <v/>
      </c>
      <c r="E106" s="13">
        <f>IF($K106="","",IF(INDEX(BASELINE!$L$2:$L$3001,$K106)="","",INDEX(BASELINE!$L$2:$L$3001,$K106)))</f>
        <v/>
      </c>
      <c r="F106" s="14">
        <f>IF($K106="","",IF(INDEX(BASELINE!$P$2:$P$3001,$K106)="","",INDEX(BASELINE!$P$2:$P$3001,$K106)))</f>
        <v/>
      </c>
      <c r="G106" s="13">
        <f>IF($K106="","",IF(INDEX(BASELINE!$K$2:$K$3001,$K106)="","",INDEX(BASELINE!$K$2:$K$3001,$K106)))</f>
        <v/>
      </c>
      <c r="H106" s="13">
        <f>IF($K106="","",IF(INDEX(BASELINE!$N$2:$N$3001,$K106)="","",INDEX(BASELINE!$N$2:$N$3001,$K106)))</f>
        <v/>
      </c>
      <c r="I106" s="13">
        <f>IF($K106="","",IF(INDEX(BASELINE!$O$2:$O$3001,$K106)="","",INDEX(BASELINE!$O$2:$O$3001,$K106)))</f>
        <v/>
      </c>
      <c r="J106" s="12">
        <f>IF($K106="","",IF(ISNUMBER(SEARCH("break",INDEX(BASELINE!$T$2:$T$3001,$K106)&amp;"")),"SIM",""))</f>
        <v/>
      </c>
      <c r="K106" s="15">
        <f>IF(98&lt;=CALC!$D$1,MATCH(98,CALC!$B$2:$B$3001,0),"")</f>
        <v/>
      </c>
    </row>
    <row r="107" ht="17" customHeight="1">
      <c r="A107" s="12">
        <f>IF($K107="","",99)</f>
        <v/>
      </c>
      <c r="B107" s="13">
        <f>IF($K107="","",IF(INDEX(BASELINE!$I$2:$I$3001,$K107)="","",INDEX(BASELINE!$I$2:$I$3001,$K107)))</f>
        <v/>
      </c>
      <c r="C107" s="12">
        <f>IF($K107="","",IF(INDEX(BASELINE!$J$2:$J$3001,$K107)="","",INDEX(BASELINE!$J$2:$J$3001,$K107)))</f>
        <v/>
      </c>
      <c r="D107" s="13">
        <f>IF($K107="","",IF(INDEX(BASELINE!$M$2:$M$3001,$K107)="","",INDEX(BASELINE!$M$2:$M$3001,$K107)))</f>
        <v/>
      </c>
      <c r="E107" s="13">
        <f>IF($K107="","",IF(INDEX(BASELINE!$L$2:$L$3001,$K107)="","",INDEX(BASELINE!$L$2:$L$3001,$K107)))</f>
        <v/>
      </c>
      <c r="F107" s="14">
        <f>IF($K107="","",IF(INDEX(BASELINE!$P$2:$P$3001,$K107)="","",INDEX(BASELINE!$P$2:$P$3001,$K107)))</f>
        <v/>
      </c>
      <c r="G107" s="13">
        <f>IF($K107="","",IF(INDEX(BASELINE!$K$2:$K$3001,$K107)="","",INDEX(BASELINE!$K$2:$K$3001,$K107)))</f>
        <v/>
      </c>
      <c r="H107" s="13">
        <f>IF($K107="","",IF(INDEX(BASELINE!$N$2:$N$3001,$K107)="","",INDEX(BASELINE!$N$2:$N$3001,$K107)))</f>
        <v/>
      </c>
      <c r="I107" s="13">
        <f>IF($K107="","",IF(INDEX(BASELINE!$O$2:$O$3001,$K107)="","",INDEX(BASELINE!$O$2:$O$3001,$K107)))</f>
        <v/>
      </c>
      <c r="J107" s="12">
        <f>IF($K107="","",IF(ISNUMBER(SEARCH("break",INDEX(BASELINE!$T$2:$T$3001,$K107)&amp;"")),"SIM",""))</f>
        <v/>
      </c>
      <c r="K107" s="15">
        <f>IF(99&lt;=CALC!$D$1,MATCH(99,CALC!$B$2:$B$3001,0),"")</f>
        <v/>
      </c>
    </row>
    <row r="108" ht="17" customHeight="1">
      <c r="A108" s="12">
        <f>IF($K108="","",100)</f>
        <v/>
      </c>
      <c r="B108" s="13">
        <f>IF($K108="","",IF(INDEX(BASELINE!$I$2:$I$3001,$K108)="","",INDEX(BASELINE!$I$2:$I$3001,$K108)))</f>
        <v/>
      </c>
      <c r="C108" s="12">
        <f>IF($K108="","",IF(INDEX(BASELINE!$J$2:$J$3001,$K108)="","",INDEX(BASELINE!$J$2:$J$3001,$K108)))</f>
        <v/>
      </c>
      <c r="D108" s="13">
        <f>IF($K108="","",IF(INDEX(BASELINE!$M$2:$M$3001,$K108)="","",INDEX(BASELINE!$M$2:$M$3001,$K108)))</f>
        <v/>
      </c>
      <c r="E108" s="13">
        <f>IF($K108="","",IF(INDEX(BASELINE!$L$2:$L$3001,$K108)="","",INDEX(BASELINE!$L$2:$L$3001,$K108)))</f>
        <v/>
      </c>
      <c r="F108" s="14">
        <f>IF($K108="","",IF(INDEX(BASELINE!$P$2:$P$3001,$K108)="","",INDEX(BASELINE!$P$2:$P$3001,$K108)))</f>
        <v/>
      </c>
      <c r="G108" s="13">
        <f>IF($K108="","",IF(INDEX(BASELINE!$K$2:$K$3001,$K108)="","",INDEX(BASELINE!$K$2:$K$3001,$K108)))</f>
        <v/>
      </c>
      <c r="H108" s="13">
        <f>IF($K108="","",IF(INDEX(BASELINE!$N$2:$N$3001,$K108)="","",INDEX(BASELINE!$N$2:$N$3001,$K108)))</f>
        <v/>
      </c>
      <c r="I108" s="13">
        <f>IF($K108="","",IF(INDEX(BASELINE!$O$2:$O$3001,$K108)="","",INDEX(BASELINE!$O$2:$O$3001,$K108)))</f>
        <v/>
      </c>
      <c r="J108" s="12">
        <f>IF($K108="","",IF(ISNUMBER(SEARCH("break",INDEX(BASELINE!$T$2:$T$3001,$K108)&amp;"")),"SIM",""))</f>
        <v/>
      </c>
      <c r="K108" s="15">
        <f>IF(100&lt;=CALC!$D$1,MATCH(100,CALC!$B$2:$B$3001,0),"")</f>
        <v/>
      </c>
    </row>
    <row r="109" ht="17" customHeight="1">
      <c r="A109" s="12">
        <f>IF($K109="","",101)</f>
        <v/>
      </c>
      <c r="B109" s="13">
        <f>IF($K109="","",IF(INDEX(BASELINE!$I$2:$I$3001,$K109)="","",INDEX(BASELINE!$I$2:$I$3001,$K109)))</f>
        <v/>
      </c>
      <c r="C109" s="12">
        <f>IF($K109="","",IF(INDEX(BASELINE!$J$2:$J$3001,$K109)="","",INDEX(BASELINE!$J$2:$J$3001,$K109)))</f>
        <v/>
      </c>
      <c r="D109" s="13">
        <f>IF($K109="","",IF(INDEX(BASELINE!$M$2:$M$3001,$K109)="","",INDEX(BASELINE!$M$2:$M$3001,$K109)))</f>
        <v/>
      </c>
      <c r="E109" s="13">
        <f>IF($K109="","",IF(INDEX(BASELINE!$L$2:$L$3001,$K109)="","",INDEX(BASELINE!$L$2:$L$3001,$K109)))</f>
        <v/>
      </c>
      <c r="F109" s="14">
        <f>IF($K109="","",IF(INDEX(BASELINE!$P$2:$P$3001,$K109)="","",INDEX(BASELINE!$P$2:$P$3001,$K109)))</f>
        <v/>
      </c>
      <c r="G109" s="13">
        <f>IF($K109="","",IF(INDEX(BASELINE!$K$2:$K$3001,$K109)="","",INDEX(BASELINE!$K$2:$K$3001,$K109)))</f>
        <v/>
      </c>
      <c r="H109" s="13">
        <f>IF($K109="","",IF(INDEX(BASELINE!$N$2:$N$3001,$K109)="","",INDEX(BASELINE!$N$2:$N$3001,$K109)))</f>
        <v/>
      </c>
      <c r="I109" s="13">
        <f>IF($K109="","",IF(INDEX(BASELINE!$O$2:$O$3001,$K109)="","",INDEX(BASELINE!$O$2:$O$3001,$K109)))</f>
        <v/>
      </c>
      <c r="J109" s="12">
        <f>IF($K109="","",IF(ISNUMBER(SEARCH("break",INDEX(BASELINE!$T$2:$T$3001,$K109)&amp;"")),"SIM",""))</f>
        <v/>
      </c>
      <c r="K109" s="15">
        <f>IF(101&lt;=CALC!$D$1,MATCH(101,CALC!$B$2:$B$3001,0),"")</f>
        <v/>
      </c>
    </row>
    <row r="110" ht="17" customHeight="1">
      <c r="A110" s="12">
        <f>IF($K110="","",102)</f>
        <v/>
      </c>
      <c r="B110" s="13">
        <f>IF($K110="","",IF(INDEX(BASELINE!$I$2:$I$3001,$K110)="","",INDEX(BASELINE!$I$2:$I$3001,$K110)))</f>
        <v/>
      </c>
      <c r="C110" s="12">
        <f>IF($K110="","",IF(INDEX(BASELINE!$J$2:$J$3001,$K110)="","",INDEX(BASELINE!$J$2:$J$3001,$K110)))</f>
        <v/>
      </c>
      <c r="D110" s="13">
        <f>IF($K110="","",IF(INDEX(BASELINE!$M$2:$M$3001,$K110)="","",INDEX(BASELINE!$M$2:$M$3001,$K110)))</f>
        <v/>
      </c>
      <c r="E110" s="13">
        <f>IF($K110="","",IF(INDEX(BASELINE!$L$2:$L$3001,$K110)="","",INDEX(BASELINE!$L$2:$L$3001,$K110)))</f>
        <v/>
      </c>
      <c r="F110" s="14">
        <f>IF($K110="","",IF(INDEX(BASELINE!$P$2:$P$3001,$K110)="","",INDEX(BASELINE!$P$2:$P$3001,$K110)))</f>
        <v/>
      </c>
      <c r="G110" s="13">
        <f>IF($K110="","",IF(INDEX(BASELINE!$K$2:$K$3001,$K110)="","",INDEX(BASELINE!$K$2:$K$3001,$K110)))</f>
        <v/>
      </c>
      <c r="H110" s="13">
        <f>IF($K110="","",IF(INDEX(BASELINE!$N$2:$N$3001,$K110)="","",INDEX(BASELINE!$N$2:$N$3001,$K110)))</f>
        <v/>
      </c>
      <c r="I110" s="13">
        <f>IF($K110="","",IF(INDEX(BASELINE!$O$2:$O$3001,$K110)="","",INDEX(BASELINE!$O$2:$O$3001,$K110)))</f>
        <v/>
      </c>
      <c r="J110" s="12">
        <f>IF($K110="","",IF(ISNUMBER(SEARCH("break",INDEX(BASELINE!$T$2:$T$3001,$K110)&amp;"")),"SIM",""))</f>
        <v/>
      </c>
      <c r="K110" s="15">
        <f>IF(102&lt;=CALC!$D$1,MATCH(102,CALC!$B$2:$B$3001,0),"")</f>
        <v/>
      </c>
    </row>
    <row r="111" ht="17" customHeight="1">
      <c r="A111" s="12">
        <f>IF($K111="","",103)</f>
        <v/>
      </c>
      <c r="B111" s="13">
        <f>IF($K111="","",IF(INDEX(BASELINE!$I$2:$I$3001,$K111)="","",INDEX(BASELINE!$I$2:$I$3001,$K111)))</f>
        <v/>
      </c>
      <c r="C111" s="12">
        <f>IF($K111="","",IF(INDEX(BASELINE!$J$2:$J$3001,$K111)="","",INDEX(BASELINE!$J$2:$J$3001,$K111)))</f>
        <v/>
      </c>
      <c r="D111" s="13">
        <f>IF($K111="","",IF(INDEX(BASELINE!$M$2:$M$3001,$K111)="","",INDEX(BASELINE!$M$2:$M$3001,$K111)))</f>
        <v/>
      </c>
      <c r="E111" s="13">
        <f>IF($K111="","",IF(INDEX(BASELINE!$L$2:$L$3001,$K111)="","",INDEX(BASELINE!$L$2:$L$3001,$K111)))</f>
        <v/>
      </c>
      <c r="F111" s="14">
        <f>IF($K111="","",IF(INDEX(BASELINE!$P$2:$P$3001,$K111)="","",INDEX(BASELINE!$P$2:$P$3001,$K111)))</f>
        <v/>
      </c>
      <c r="G111" s="13">
        <f>IF($K111="","",IF(INDEX(BASELINE!$K$2:$K$3001,$K111)="","",INDEX(BASELINE!$K$2:$K$3001,$K111)))</f>
        <v/>
      </c>
      <c r="H111" s="13">
        <f>IF($K111="","",IF(INDEX(BASELINE!$N$2:$N$3001,$K111)="","",INDEX(BASELINE!$N$2:$N$3001,$K111)))</f>
        <v/>
      </c>
      <c r="I111" s="13">
        <f>IF($K111="","",IF(INDEX(BASELINE!$O$2:$O$3001,$K111)="","",INDEX(BASELINE!$O$2:$O$3001,$K111)))</f>
        <v/>
      </c>
      <c r="J111" s="12">
        <f>IF($K111="","",IF(ISNUMBER(SEARCH("break",INDEX(BASELINE!$T$2:$T$3001,$K111)&amp;"")),"SIM",""))</f>
        <v/>
      </c>
      <c r="K111" s="15">
        <f>IF(103&lt;=CALC!$D$1,MATCH(103,CALC!$B$2:$B$3001,0),"")</f>
        <v/>
      </c>
    </row>
    <row r="112" ht="17" customHeight="1">
      <c r="A112" s="12">
        <f>IF($K112="","",104)</f>
        <v/>
      </c>
      <c r="B112" s="13">
        <f>IF($K112="","",IF(INDEX(BASELINE!$I$2:$I$3001,$K112)="","",INDEX(BASELINE!$I$2:$I$3001,$K112)))</f>
        <v/>
      </c>
      <c r="C112" s="12">
        <f>IF($K112="","",IF(INDEX(BASELINE!$J$2:$J$3001,$K112)="","",INDEX(BASELINE!$J$2:$J$3001,$K112)))</f>
        <v/>
      </c>
      <c r="D112" s="13">
        <f>IF($K112="","",IF(INDEX(BASELINE!$M$2:$M$3001,$K112)="","",INDEX(BASELINE!$M$2:$M$3001,$K112)))</f>
        <v/>
      </c>
      <c r="E112" s="13">
        <f>IF($K112="","",IF(INDEX(BASELINE!$L$2:$L$3001,$K112)="","",INDEX(BASELINE!$L$2:$L$3001,$K112)))</f>
        <v/>
      </c>
      <c r="F112" s="14">
        <f>IF($K112="","",IF(INDEX(BASELINE!$P$2:$P$3001,$K112)="","",INDEX(BASELINE!$P$2:$P$3001,$K112)))</f>
        <v/>
      </c>
      <c r="G112" s="13">
        <f>IF($K112="","",IF(INDEX(BASELINE!$K$2:$K$3001,$K112)="","",INDEX(BASELINE!$K$2:$K$3001,$K112)))</f>
        <v/>
      </c>
      <c r="H112" s="13">
        <f>IF($K112="","",IF(INDEX(BASELINE!$N$2:$N$3001,$K112)="","",INDEX(BASELINE!$N$2:$N$3001,$K112)))</f>
        <v/>
      </c>
      <c r="I112" s="13">
        <f>IF($K112="","",IF(INDEX(BASELINE!$O$2:$O$3001,$K112)="","",INDEX(BASELINE!$O$2:$O$3001,$K112)))</f>
        <v/>
      </c>
      <c r="J112" s="12">
        <f>IF($K112="","",IF(ISNUMBER(SEARCH("break",INDEX(BASELINE!$T$2:$T$3001,$K112)&amp;"")),"SIM",""))</f>
        <v/>
      </c>
      <c r="K112" s="15">
        <f>IF(104&lt;=CALC!$D$1,MATCH(104,CALC!$B$2:$B$3001,0),"")</f>
        <v/>
      </c>
    </row>
    <row r="113" ht="17" customHeight="1">
      <c r="A113" s="12">
        <f>IF($K113="","",105)</f>
        <v/>
      </c>
      <c r="B113" s="13">
        <f>IF($K113="","",IF(INDEX(BASELINE!$I$2:$I$3001,$K113)="","",INDEX(BASELINE!$I$2:$I$3001,$K113)))</f>
        <v/>
      </c>
      <c r="C113" s="12">
        <f>IF($K113="","",IF(INDEX(BASELINE!$J$2:$J$3001,$K113)="","",INDEX(BASELINE!$J$2:$J$3001,$K113)))</f>
        <v/>
      </c>
      <c r="D113" s="13">
        <f>IF($K113="","",IF(INDEX(BASELINE!$M$2:$M$3001,$K113)="","",INDEX(BASELINE!$M$2:$M$3001,$K113)))</f>
        <v/>
      </c>
      <c r="E113" s="13">
        <f>IF($K113="","",IF(INDEX(BASELINE!$L$2:$L$3001,$K113)="","",INDEX(BASELINE!$L$2:$L$3001,$K113)))</f>
        <v/>
      </c>
      <c r="F113" s="14">
        <f>IF($K113="","",IF(INDEX(BASELINE!$P$2:$P$3001,$K113)="","",INDEX(BASELINE!$P$2:$P$3001,$K113)))</f>
        <v/>
      </c>
      <c r="G113" s="13">
        <f>IF($K113="","",IF(INDEX(BASELINE!$K$2:$K$3001,$K113)="","",INDEX(BASELINE!$K$2:$K$3001,$K113)))</f>
        <v/>
      </c>
      <c r="H113" s="13">
        <f>IF($K113="","",IF(INDEX(BASELINE!$N$2:$N$3001,$K113)="","",INDEX(BASELINE!$N$2:$N$3001,$K113)))</f>
        <v/>
      </c>
      <c r="I113" s="13">
        <f>IF($K113="","",IF(INDEX(BASELINE!$O$2:$O$3001,$K113)="","",INDEX(BASELINE!$O$2:$O$3001,$K113)))</f>
        <v/>
      </c>
      <c r="J113" s="12">
        <f>IF($K113="","",IF(ISNUMBER(SEARCH("break",INDEX(BASELINE!$T$2:$T$3001,$K113)&amp;"")),"SIM",""))</f>
        <v/>
      </c>
      <c r="K113" s="15">
        <f>IF(105&lt;=CALC!$D$1,MATCH(105,CALC!$B$2:$B$3001,0),"")</f>
        <v/>
      </c>
    </row>
    <row r="114" ht="17" customHeight="1">
      <c r="A114" s="12">
        <f>IF($K114="","",106)</f>
        <v/>
      </c>
      <c r="B114" s="13">
        <f>IF($K114="","",IF(INDEX(BASELINE!$I$2:$I$3001,$K114)="","",INDEX(BASELINE!$I$2:$I$3001,$K114)))</f>
        <v/>
      </c>
      <c r="C114" s="12">
        <f>IF($K114="","",IF(INDEX(BASELINE!$J$2:$J$3001,$K114)="","",INDEX(BASELINE!$J$2:$J$3001,$K114)))</f>
        <v/>
      </c>
      <c r="D114" s="13">
        <f>IF($K114="","",IF(INDEX(BASELINE!$M$2:$M$3001,$K114)="","",INDEX(BASELINE!$M$2:$M$3001,$K114)))</f>
        <v/>
      </c>
      <c r="E114" s="13">
        <f>IF($K114="","",IF(INDEX(BASELINE!$L$2:$L$3001,$K114)="","",INDEX(BASELINE!$L$2:$L$3001,$K114)))</f>
        <v/>
      </c>
      <c r="F114" s="14">
        <f>IF($K114="","",IF(INDEX(BASELINE!$P$2:$P$3001,$K114)="","",INDEX(BASELINE!$P$2:$P$3001,$K114)))</f>
        <v/>
      </c>
      <c r="G114" s="13">
        <f>IF($K114="","",IF(INDEX(BASELINE!$K$2:$K$3001,$K114)="","",INDEX(BASELINE!$K$2:$K$3001,$K114)))</f>
        <v/>
      </c>
      <c r="H114" s="13">
        <f>IF($K114="","",IF(INDEX(BASELINE!$N$2:$N$3001,$K114)="","",INDEX(BASELINE!$N$2:$N$3001,$K114)))</f>
        <v/>
      </c>
      <c r="I114" s="13">
        <f>IF($K114="","",IF(INDEX(BASELINE!$O$2:$O$3001,$K114)="","",INDEX(BASELINE!$O$2:$O$3001,$K114)))</f>
        <v/>
      </c>
      <c r="J114" s="12">
        <f>IF($K114="","",IF(ISNUMBER(SEARCH("break",INDEX(BASELINE!$T$2:$T$3001,$K114)&amp;"")),"SIM",""))</f>
        <v/>
      </c>
      <c r="K114" s="15">
        <f>IF(106&lt;=CALC!$D$1,MATCH(106,CALC!$B$2:$B$3001,0),"")</f>
        <v/>
      </c>
    </row>
    <row r="115" ht="17" customHeight="1">
      <c r="A115" s="12">
        <f>IF($K115="","",107)</f>
        <v/>
      </c>
      <c r="B115" s="13">
        <f>IF($K115="","",IF(INDEX(BASELINE!$I$2:$I$3001,$K115)="","",INDEX(BASELINE!$I$2:$I$3001,$K115)))</f>
        <v/>
      </c>
      <c r="C115" s="12">
        <f>IF($K115="","",IF(INDEX(BASELINE!$J$2:$J$3001,$K115)="","",INDEX(BASELINE!$J$2:$J$3001,$K115)))</f>
        <v/>
      </c>
      <c r="D115" s="13">
        <f>IF($K115="","",IF(INDEX(BASELINE!$M$2:$M$3001,$K115)="","",INDEX(BASELINE!$M$2:$M$3001,$K115)))</f>
        <v/>
      </c>
      <c r="E115" s="13">
        <f>IF($K115="","",IF(INDEX(BASELINE!$L$2:$L$3001,$K115)="","",INDEX(BASELINE!$L$2:$L$3001,$K115)))</f>
        <v/>
      </c>
      <c r="F115" s="14">
        <f>IF($K115="","",IF(INDEX(BASELINE!$P$2:$P$3001,$K115)="","",INDEX(BASELINE!$P$2:$P$3001,$K115)))</f>
        <v/>
      </c>
      <c r="G115" s="13">
        <f>IF($K115="","",IF(INDEX(BASELINE!$K$2:$K$3001,$K115)="","",INDEX(BASELINE!$K$2:$K$3001,$K115)))</f>
        <v/>
      </c>
      <c r="H115" s="13">
        <f>IF($K115="","",IF(INDEX(BASELINE!$N$2:$N$3001,$K115)="","",INDEX(BASELINE!$N$2:$N$3001,$K115)))</f>
        <v/>
      </c>
      <c r="I115" s="13">
        <f>IF($K115="","",IF(INDEX(BASELINE!$O$2:$O$3001,$K115)="","",INDEX(BASELINE!$O$2:$O$3001,$K115)))</f>
        <v/>
      </c>
      <c r="J115" s="12">
        <f>IF($K115="","",IF(ISNUMBER(SEARCH("break",INDEX(BASELINE!$T$2:$T$3001,$K115)&amp;"")),"SIM",""))</f>
        <v/>
      </c>
      <c r="K115" s="15">
        <f>IF(107&lt;=CALC!$D$1,MATCH(107,CALC!$B$2:$B$3001,0),"")</f>
        <v/>
      </c>
    </row>
    <row r="116" ht="17" customHeight="1">
      <c r="A116" s="12">
        <f>IF($K116="","",108)</f>
        <v/>
      </c>
      <c r="B116" s="13">
        <f>IF($K116="","",IF(INDEX(BASELINE!$I$2:$I$3001,$K116)="","",INDEX(BASELINE!$I$2:$I$3001,$K116)))</f>
        <v/>
      </c>
      <c r="C116" s="12">
        <f>IF($K116="","",IF(INDEX(BASELINE!$J$2:$J$3001,$K116)="","",INDEX(BASELINE!$J$2:$J$3001,$K116)))</f>
        <v/>
      </c>
      <c r="D116" s="13">
        <f>IF($K116="","",IF(INDEX(BASELINE!$M$2:$M$3001,$K116)="","",INDEX(BASELINE!$M$2:$M$3001,$K116)))</f>
        <v/>
      </c>
      <c r="E116" s="13">
        <f>IF($K116="","",IF(INDEX(BASELINE!$L$2:$L$3001,$K116)="","",INDEX(BASELINE!$L$2:$L$3001,$K116)))</f>
        <v/>
      </c>
      <c r="F116" s="14">
        <f>IF($K116="","",IF(INDEX(BASELINE!$P$2:$P$3001,$K116)="","",INDEX(BASELINE!$P$2:$P$3001,$K116)))</f>
        <v/>
      </c>
      <c r="G116" s="13">
        <f>IF($K116="","",IF(INDEX(BASELINE!$K$2:$K$3001,$K116)="","",INDEX(BASELINE!$K$2:$K$3001,$K116)))</f>
        <v/>
      </c>
      <c r="H116" s="13">
        <f>IF($K116="","",IF(INDEX(BASELINE!$N$2:$N$3001,$K116)="","",INDEX(BASELINE!$N$2:$N$3001,$K116)))</f>
        <v/>
      </c>
      <c r="I116" s="13">
        <f>IF($K116="","",IF(INDEX(BASELINE!$O$2:$O$3001,$K116)="","",INDEX(BASELINE!$O$2:$O$3001,$K116)))</f>
        <v/>
      </c>
      <c r="J116" s="12">
        <f>IF($K116="","",IF(ISNUMBER(SEARCH("break",INDEX(BASELINE!$T$2:$T$3001,$K116)&amp;"")),"SIM",""))</f>
        <v/>
      </c>
      <c r="K116" s="15">
        <f>IF(108&lt;=CALC!$D$1,MATCH(108,CALC!$B$2:$B$3001,0),"")</f>
        <v/>
      </c>
    </row>
    <row r="117" ht="17" customHeight="1">
      <c r="A117" s="12">
        <f>IF($K117="","",109)</f>
        <v/>
      </c>
      <c r="B117" s="13">
        <f>IF($K117="","",IF(INDEX(BASELINE!$I$2:$I$3001,$K117)="","",INDEX(BASELINE!$I$2:$I$3001,$K117)))</f>
        <v/>
      </c>
      <c r="C117" s="12">
        <f>IF($K117="","",IF(INDEX(BASELINE!$J$2:$J$3001,$K117)="","",INDEX(BASELINE!$J$2:$J$3001,$K117)))</f>
        <v/>
      </c>
      <c r="D117" s="13">
        <f>IF($K117="","",IF(INDEX(BASELINE!$M$2:$M$3001,$K117)="","",INDEX(BASELINE!$M$2:$M$3001,$K117)))</f>
        <v/>
      </c>
      <c r="E117" s="13">
        <f>IF($K117="","",IF(INDEX(BASELINE!$L$2:$L$3001,$K117)="","",INDEX(BASELINE!$L$2:$L$3001,$K117)))</f>
        <v/>
      </c>
      <c r="F117" s="14">
        <f>IF($K117="","",IF(INDEX(BASELINE!$P$2:$P$3001,$K117)="","",INDEX(BASELINE!$P$2:$P$3001,$K117)))</f>
        <v/>
      </c>
      <c r="G117" s="13">
        <f>IF($K117="","",IF(INDEX(BASELINE!$K$2:$K$3001,$K117)="","",INDEX(BASELINE!$K$2:$K$3001,$K117)))</f>
        <v/>
      </c>
      <c r="H117" s="13">
        <f>IF($K117="","",IF(INDEX(BASELINE!$N$2:$N$3001,$K117)="","",INDEX(BASELINE!$N$2:$N$3001,$K117)))</f>
        <v/>
      </c>
      <c r="I117" s="13">
        <f>IF($K117="","",IF(INDEX(BASELINE!$O$2:$O$3001,$K117)="","",INDEX(BASELINE!$O$2:$O$3001,$K117)))</f>
        <v/>
      </c>
      <c r="J117" s="12">
        <f>IF($K117="","",IF(ISNUMBER(SEARCH("break",INDEX(BASELINE!$T$2:$T$3001,$K117)&amp;"")),"SIM",""))</f>
        <v/>
      </c>
      <c r="K117" s="15">
        <f>IF(109&lt;=CALC!$D$1,MATCH(109,CALC!$B$2:$B$3001,0),"")</f>
        <v/>
      </c>
    </row>
    <row r="118" ht="17" customHeight="1">
      <c r="A118" s="12">
        <f>IF($K118="","",110)</f>
        <v/>
      </c>
      <c r="B118" s="13">
        <f>IF($K118="","",IF(INDEX(BASELINE!$I$2:$I$3001,$K118)="","",INDEX(BASELINE!$I$2:$I$3001,$K118)))</f>
        <v/>
      </c>
      <c r="C118" s="12">
        <f>IF($K118="","",IF(INDEX(BASELINE!$J$2:$J$3001,$K118)="","",INDEX(BASELINE!$J$2:$J$3001,$K118)))</f>
        <v/>
      </c>
      <c r="D118" s="13">
        <f>IF($K118="","",IF(INDEX(BASELINE!$M$2:$M$3001,$K118)="","",INDEX(BASELINE!$M$2:$M$3001,$K118)))</f>
        <v/>
      </c>
      <c r="E118" s="13">
        <f>IF($K118="","",IF(INDEX(BASELINE!$L$2:$L$3001,$K118)="","",INDEX(BASELINE!$L$2:$L$3001,$K118)))</f>
        <v/>
      </c>
      <c r="F118" s="14">
        <f>IF($K118="","",IF(INDEX(BASELINE!$P$2:$P$3001,$K118)="","",INDEX(BASELINE!$P$2:$P$3001,$K118)))</f>
        <v/>
      </c>
      <c r="G118" s="13">
        <f>IF($K118="","",IF(INDEX(BASELINE!$K$2:$K$3001,$K118)="","",INDEX(BASELINE!$K$2:$K$3001,$K118)))</f>
        <v/>
      </c>
      <c r="H118" s="13">
        <f>IF($K118="","",IF(INDEX(BASELINE!$N$2:$N$3001,$K118)="","",INDEX(BASELINE!$N$2:$N$3001,$K118)))</f>
        <v/>
      </c>
      <c r="I118" s="13">
        <f>IF($K118="","",IF(INDEX(BASELINE!$O$2:$O$3001,$K118)="","",INDEX(BASELINE!$O$2:$O$3001,$K118)))</f>
        <v/>
      </c>
      <c r="J118" s="12">
        <f>IF($K118="","",IF(ISNUMBER(SEARCH("break",INDEX(BASELINE!$T$2:$T$3001,$K118)&amp;"")),"SIM",""))</f>
        <v/>
      </c>
      <c r="K118" s="15">
        <f>IF(110&lt;=CALC!$D$1,MATCH(110,CALC!$B$2:$B$3001,0),"")</f>
        <v/>
      </c>
    </row>
    <row r="119" ht="17" customHeight="1">
      <c r="A119" s="12">
        <f>IF($K119="","",111)</f>
        <v/>
      </c>
      <c r="B119" s="13">
        <f>IF($K119="","",IF(INDEX(BASELINE!$I$2:$I$3001,$K119)="","",INDEX(BASELINE!$I$2:$I$3001,$K119)))</f>
        <v/>
      </c>
      <c r="C119" s="12">
        <f>IF($K119="","",IF(INDEX(BASELINE!$J$2:$J$3001,$K119)="","",INDEX(BASELINE!$J$2:$J$3001,$K119)))</f>
        <v/>
      </c>
      <c r="D119" s="13">
        <f>IF($K119="","",IF(INDEX(BASELINE!$M$2:$M$3001,$K119)="","",INDEX(BASELINE!$M$2:$M$3001,$K119)))</f>
        <v/>
      </c>
      <c r="E119" s="13">
        <f>IF($K119="","",IF(INDEX(BASELINE!$L$2:$L$3001,$K119)="","",INDEX(BASELINE!$L$2:$L$3001,$K119)))</f>
        <v/>
      </c>
      <c r="F119" s="14">
        <f>IF($K119="","",IF(INDEX(BASELINE!$P$2:$P$3001,$K119)="","",INDEX(BASELINE!$P$2:$P$3001,$K119)))</f>
        <v/>
      </c>
      <c r="G119" s="13">
        <f>IF($K119="","",IF(INDEX(BASELINE!$K$2:$K$3001,$K119)="","",INDEX(BASELINE!$K$2:$K$3001,$K119)))</f>
        <v/>
      </c>
      <c r="H119" s="13">
        <f>IF($K119="","",IF(INDEX(BASELINE!$N$2:$N$3001,$K119)="","",INDEX(BASELINE!$N$2:$N$3001,$K119)))</f>
        <v/>
      </c>
      <c r="I119" s="13">
        <f>IF($K119="","",IF(INDEX(BASELINE!$O$2:$O$3001,$K119)="","",INDEX(BASELINE!$O$2:$O$3001,$K119)))</f>
        <v/>
      </c>
      <c r="J119" s="12">
        <f>IF($K119="","",IF(ISNUMBER(SEARCH("break",INDEX(BASELINE!$T$2:$T$3001,$K119)&amp;"")),"SIM",""))</f>
        <v/>
      </c>
      <c r="K119" s="15">
        <f>IF(111&lt;=CALC!$D$1,MATCH(111,CALC!$B$2:$B$3001,0),"")</f>
        <v/>
      </c>
    </row>
    <row r="120" ht="17" customHeight="1">
      <c r="A120" s="12">
        <f>IF($K120="","",112)</f>
        <v/>
      </c>
      <c r="B120" s="13">
        <f>IF($K120="","",IF(INDEX(BASELINE!$I$2:$I$3001,$K120)="","",INDEX(BASELINE!$I$2:$I$3001,$K120)))</f>
        <v/>
      </c>
      <c r="C120" s="12">
        <f>IF($K120="","",IF(INDEX(BASELINE!$J$2:$J$3001,$K120)="","",INDEX(BASELINE!$J$2:$J$3001,$K120)))</f>
        <v/>
      </c>
      <c r="D120" s="13">
        <f>IF($K120="","",IF(INDEX(BASELINE!$M$2:$M$3001,$K120)="","",INDEX(BASELINE!$M$2:$M$3001,$K120)))</f>
        <v/>
      </c>
      <c r="E120" s="13">
        <f>IF($K120="","",IF(INDEX(BASELINE!$L$2:$L$3001,$K120)="","",INDEX(BASELINE!$L$2:$L$3001,$K120)))</f>
        <v/>
      </c>
      <c r="F120" s="14">
        <f>IF($K120="","",IF(INDEX(BASELINE!$P$2:$P$3001,$K120)="","",INDEX(BASELINE!$P$2:$P$3001,$K120)))</f>
        <v/>
      </c>
      <c r="G120" s="13">
        <f>IF($K120="","",IF(INDEX(BASELINE!$K$2:$K$3001,$K120)="","",INDEX(BASELINE!$K$2:$K$3001,$K120)))</f>
        <v/>
      </c>
      <c r="H120" s="13">
        <f>IF($K120="","",IF(INDEX(BASELINE!$N$2:$N$3001,$K120)="","",INDEX(BASELINE!$N$2:$N$3001,$K120)))</f>
        <v/>
      </c>
      <c r="I120" s="13">
        <f>IF($K120="","",IF(INDEX(BASELINE!$O$2:$O$3001,$K120)="","",INDEX(BASELINE!$O$2:$O$3001,$K120)))</f>
        <v/>
      </c>
      <c r="J120" s="12">
        <f>IF($K120="","",IF(ISNUMBER(SEARCH("break",INDEX(BASELINE!$T$2:$T$3001,$K120)&amp;"")),"SIM",""))</f>
        <v/>
      </c>
      <c r="K120" s="15">
        <f>IF(112&lt;=CALC!$D$1,MATCH(112,CALC!$B$2:$B$3001,0),"")</f>
        <v/>
      </c>
    </row>
    <row r="121" ht="17" customHeight="1">
      <c r="A121" s="12">
        <f>IF($K121="","",113)</f>
        <v/>
      </c>
      <c r="B121" s="13">
        <f>IF($K121="","",IF(INDEX(BASELINE!$I$2:$I$3001,$K121)="","",INDEX(BASELINE!$I$2:$I$3001,$K121)))</f>
        <v/>
      </c>
      <c r="C121" s="12">
        <f>IF($K121="","",IF(INDEX(BASELINE!$J$2:$J$3001,$K121)="","",INDEX(BASELINE!$J$2:$J$3001,$K121)))</f>
        <v/>
      </c>
      <c r="D121" s="13">
        <f>IF($K121="","",IF(INDEX(BASELINE!$M$2:$M$3001,$K121)="","",INDEX(BASELINE!$M$2:$M$3001,$K121)))</f>
        <v/>
      </c>
      <c r="E121" s="13">
        <f>IF($K121="","",IF(INDEX(BASELINE!$L$2:$L$3001,$K121)="","",INDEX(BASELINE!$L$2:$L$3001,$K121)))</f>
        <v/>
      </c>
      <c r="F121" s="14">
        <f>IF($K121="","",IF(INDEX(BASELINE!$P$2:$P$3001,$K121)="","",INDEX(BASELINE!$P$2:$P$3001,$K121)))</f>
        <v/>
      </c>
      <c r="G121" s="13">
        <f>IF($K121="","",IF(INDEX(BASELINE!$K$2:$K$3001,$K121)="","",INDEX(BASELINE!$K$2:$K$3001,$K121)))</f>
        <v/>
      </c>
      <c r="H121" s="13">
        <f>IF($K121="","",IF(INDEX(BASELINE!$N$2:$N$3001,$K121)="","",INDEX(BASELINE!$N$2:$N$3001,$K121)))</f>
        <v/>
      </c>
      <c r="I121" s="13">
        <f>IF($K121="","",IF(INDEX(BASELINE!$O$2:$O$3001,$K121)="","",INDEX(BASELINE!$O$2:$O$3001,$K121)))</f>
        <v/>
      </c>
      <c r="J121" s="12">
        <f>IF($K121="","",IF(ISNUMBER(SEARCH("break",INDEX(BASELINE!$T$2:$T$3001,$K121)&amp;"")),"SIM",""))</f>
        <v/>
      </c>
      <c r="K121" s="15">
        <f>IF(113&lt;=CALC!$D$1,MATCH(113,CALC!$B$2:$B$3001,0),"")</f>
        <v/>
      </c>
    </row>
    <row r="122" ht="17" customHeight="1">
      <c r="A122" s="12">
        <f>IF($K122="","",114)</f>
        <v/>
      </c>
      <c r="B122" s="13">
        <f>IF($K122="","",IF(INDEX(BASELINE!$I$2:$I$3001,$K122)="","",INDEX(BASELINE!$I$2:$I$3001,$K122)))</f>
        <v/>
      </c>
      <c r="C122" s="12">
        <f>IF($K122="","",IF(INDEX(BASELINE!$J$2:$J$3001,$K122)="","",INDEX(BASELINE!$J$2:$J$3001,$K122)))</f>
        <v/>
      </c>
      <c r="D122" s="13">
        <f>IF($K122="","",IF(INDEX(BASELINE!$M$2:$M$3001,$K122)="","",INDEX(BASELINE!$M$2:$M$3001,$K122)))</f>
        <v/>
      </c>
      <c r="E122" s="13">
        <f>IF($K122="","",IF(INDEX(BASELINE!$L$2:$L$3001,$K122)="","",INDEX(BASELINE!$L$2:$L$3001,$K122)))</f>
        <v/>
      </c>
      <c r="F122" s="14">
        <f>IF($K122="","",IF(INDEX(BASELINE!$P$2:$P$3001,$K122)="","",INDEX(BASELINE!$P$2:$P$3001,$K122)))</f>
        <v/>
      </c>
      <c r="G122" s="13">
        <f>IF($K122="","",IF(INDEX(BASELINE!$K$2:$K$3001,$K122)="","",INDEX(BASELINE!$K$2:$K$3001,$K122)))</f>
        <v/>
      </c>
      <c r="H122" s="13">
        <f>IF($K122="","",IF(INDEX(BASELINE!$N$2:$N$3001,$K122)="","",INDEX(BASELINE!$N$2:$N$3001,$K122)))</f>
        <v/>
      </c>
      <c r="I122" s="13">
        <f>IF($K122="","",IF(INDEX(BASELINE!$O$2:$O$3001,$K122)="","",INDEX(BASELINE!$O$2:$O$3001,$K122)))</f>
        <v/>
      </c>
      <c r="J122" s="12">
        <f>IF($K122="","",IF(ISNUMBER(SEARCH("break",INDEX(BASELINE!$T$2:$T$3001,$K122)&amp;"")),"SIM",""))</f>
        <v/>
      </c>
      <c r="K122" s="15">
        <f>IF(114&lt;=CALC!$D$1,MATCH(114,CALC!$B$2:$B$3001,0),"")</f>
        <v/>
      </c>
    </row>
    <row r="123" ht="17" customHeight="1">
      <c r="A123" s="12">
        <f>IF($K123="","",115)</f>
        <v/>
      </c>
      <c r="B123" s="13">
        <f>IF($K123="","",IF(INDEX(BASELINE!$I$2:$I$3001,$K123)="","",INDEX(BASELINE!$I$2:$I$3001,$K123)))</f>
        <v/>
      </c>
      <c r="C123" s="12">
        <f>IF($K123="","",IF(INDEX(BASELINE!$J$2:$J$3001,$K123)="","",INDEX(BASELINE!$J$2:$J$3001,$K123)))</f>
        <v/>
      </c>
      <c r="D123" s="13">
        <f>IF($K123="","",IF(INDEX(BASELINE!$M$2:$M$3001,$K123)="","",INDEX(BASELINE!$M$2:$M$3001,$K123)))</f>
        <v/>
      </c>
      <c r="E123" s="13">
        <f>IF($K123="","",IF(INDEX(BASELINE!$L$2:$L$3001,$K123)="","",INDEX(BASELINE!$L$2:$L$3001,$K123)))</f>
        <v/>
      </c>
      <c r="F123" s="14">
        <f>IF($K123="","",IF(INDEX(BASELINE!$P$2:$P$3001,$K123)="","",INDEX(BASELINE!$P$2:$P$3001,$K123)))</f>
        <v/>
      </c>
      <c r="G123" s="13">
        <f>IF($K123="","",IF(INDEX(BASELINE!$K$2:$K$3001,$K123)="","",INDEX(BASELINE!$K$2:$K$3001,$K123)))</f>
        <v/>
      </c>
      <c r="H123" s="13">
        <f>IF($K123="","",IF(INDEX(BASELINE!$N$2:$N$3001,$K123)="","",INDEX(BASELINE!$N$2:$N$3001,$K123)))</f>
        <v/>
      </c>
      <c r="I123" s="13">
        <f>IF($K123="","",IF(INDEX(BASELINE!$O$2:$O$3001,$K123)="","",INDEX(BASELINE!$O$2:$O$3001,$K123)))</f>
        <v/>
      </c>
      <c r="J123" s="12">
        <f>IF($K123="","",IF(ISNUMBER(SEARCH("break",INDEX(BASELINE!$T$2:$T$3001,$K123)&amp;"")),"SIM",""))</f>
        <v/>
      </c>
      <c r="K123" s="15">
        <f>IF(115&lt;=CALC!$D$1,MATCH(115,CALC!$B$2:$B$3001,0),"")</f>
        <v/>
      </c>
    </row>
    <row r="124" ht="17" customHeight="1">
      <c r="A124" s="12">
        <f>IF($K124="","",116)</f>
        <v/>
      </c>
      <c r="B124" s="13">
        <f>IF($K124="","",IF(INDEX(BASELINE!$I$2:$I$3001,$K124)="","",INDEX(BASELINE!$I$2:$I$3001,$K124)))</f>
        <v/>
      </c>
      <c r="C124" s="12">
        <f>IF($K124="","",IF(INDEX(BASELINE!$J$2:$J$3001,$K124)="","",INDEX(BASELINE!$J$2:$J$3001,$K124)))</f>
        <v/>
      </c>
      <c r="D124" s="13">
        <f>IF($K124="","",IF(INDEX(BASELINE!$M$2:$M$3001,$K124)="","",INDEX(BASELINE!$M$2:$M$3001,$K124)))</f>
        <v/>
      </c>
      <c r="E124" s="13">
        <f>IF($K124="","",IF(INDEX(BASELINE!$L$2:$L$3001,$K124)="","",INDEX(BASELINE!$L$2:$L$3001,$K124)))</f>
        <v/>
      </c>
      <c r="F124" s="14">
        <f>IF($K124="","",IF(INDEX(BASELINE!$P$2:$P$3001,$K124)="","",INDEX(BASELINE!$P$2:$P$3001,$K124)))</f>
        <v/>
      </c>
      <c r="G124" s="13">
        <f>IF($K124="","",IF(INDEX(BASELINE!$K$2:$K$3001,$K124)="","",INDEX(BASELINE!$K$2:$K$3001,$K124)))</f>
        <v/>
      </c>
      <c r="H124" s="13">
        <f>IF($K124="","",IF(INDEX(BASELINE!$N$2:$N$3001,$K124)="","",INDEX(BASELINE!$N$2:$N$3001,$K124)))</f>
        <v/>
      </c>
      <c r="I124" s="13">
        <f>IF($K124="","",IF(INDEX(BASELINE!$O$2:$O$3001,$K124)="","",INDEX(BASELINE!$O$2:$O$3001,$K124)))</f>
        <v/>
      </c>
      <c r="J124" s="12">
        <f>IF($K124="","",IF(ISNUMBER(SEARCH("break",INDEX(BASELINE!$T$2:$T$3001,$K124)&amp;"")),"SIM",""))</f>
        <v/>
      </c>
      <c r="K124" s="15">
        <f>IF(116&lt;=CALC!$D$1,MATCH(116,CALC!$B$2:$B$3001,0),"")</f>
        <v/>
      </c>
    </row>
    <row r="125" ht="17" customHeight="1">
      <c r="A125" s="12">
        <f>IF($K125="","",117)</f>
        <v/>
      </c>
      <c r="B125" s="13">
        <f>IF($K125="","",IF(INDEX(BASELINE!$I$2:$I$3001,$K125)="","",INDEX(BASELINE!$I$2:$I$3001,$K125)))</f>
        <v/>
      </c>
      <c r="C125" s="12">
        <f>IF($K125="","",IF(INDEX(BASELINE!$J$2:$J$3001,$K125)="","",INDEX(BASELINE!$J$2:$J$3001,$K125)))</f>
        <v/>
      </c>
      <c r="D125" s="13">
        <f>IF($K125="","",IF(INDEX(BASELINE!$M$2:$M$3001,$K125)="","",INDEX(BASELINE!$M$2:$M$3001,$K125)))</f>
        <v/>
      </c>
      <c r="E125" s="13">
        <f>IF($K125="","",IF(INDEX(BASELINE!$L$2:$L$3001,$K125)="","",INDEX(BASELINE!$L$2:$L$3001,$K125)))</f>
        <v/>
      </c>
      <c r="F125" s="14">
        <f>IF($K125="","",IF(INDEX(BASELINE!$P$2:$P$3001,$K125)="","",INDEX(BASELINE!$P$2:$P$3001,$K125)))</f>
        <v/>
      </c>
      <c r="G125" s="13">
        <f>IF($K125="","",IF(INDEX(BASELINE!$K$2:$K$3001,$K125)="","",INDEX(BASELINE!$K$2:$K$3001,$K125)))</f>
        <v/>
      </c>
      <c r="H125" s="13">
        <f>IF($K125="","",IF(INDEX(BASELINE!$N$2:$N$3001,$K125)="","",INDEX(BASELINE!$N$2:$N$3001,$K125)))</f>
        <v/>
      </c>
      <c r="I125" s="13">
        <f>IF($K125="","",IF(INDEX(BASELINE!$O$2:$O$3001,$K125)="","",INDEX(BASELINE!$O$2:$O$3001,$K125)))</f>
        <v/>
      </c>
      <c r="J125" s="12">
        <f>IF($K125="","",IF(ISNUMBER(SEARCH("break",INDEX(BASELINE!$T$2:$T$3001,$K125)&amp;"")),"SIM",""))</f>
        <v/>
      </c>
      <c r="K125" s="15">
        <f>IF(117&lt;=CALC!$D$1,MATCH(117,CALC!$B$2:$B$3001,0),"")</f>
        <v/>
      </c>
    </row>
    <row r="126" ht="17" customHeight="1">
      <c r="A126" s="12">
        <f>IF($K126="","",118)</f>
        <v/>
      </c>
      <c r="B126" s="13">
        <f>IF($K126="","",IF(INDEX(BASELINE!$I$2:$I$3001,$K126)="","",INDEX(BASELINE!$I$2:$I$3001,$K126)))</f>
        <v/>
      </c>
      <c r="C126" s="12">
        <f>IF($K126="","",IF(INDEX(BASELINE!$J$2:$J$3001,$K126)="","",INDEX(BASELINE!$J$2:$J$3001,$K126)))</f>
        <v/>
      </c>
      <c r="D126" s="13">
        <f>IF($K126="","",IF(INDEX(BASELINE!$M$2:$M$3001,$K126)="","",INDEX(BASELINE!$M$2:$M$3001,$K126)))</f>
        <v/>
      </c>
      <c r="E126" s="13">
        <f>IF($K126="","",IF(INDEX(BASELINE!$L$2:$L$3001,$K126)="","",INDEX(BASELINE!$L$2:$L$3001,$K126)))</f>
        <v/>
      </c>
      <c r="F126" s="14">
        <f>IF($K126="","",IF(INDEX(BASELINE!$P$2:$P$3001,$K126)="","",INDEX(BASELINE!$P$2:$P$3001,$K126)))</f>
        <v/>
      </c>
      <c r="G126" s="13">
        <f>IF($K126="","",IF(INDEX(BASELINE!$K$2:$K$3001,$K126)="","",INDEX(BASELINE!$K$2:$K$3001,$K126)))</f>
        <v/>
      </c>
      <c r="H126" s="13">
        <f>IF($K126="","",IF(INDEX(BASELINE!$N$2:$N$3001,$K126)="","",INDEX(BASELINE!$N$2:$N$3001,$K126)))</f>
        <v/>
      </c>
      <c r="I126" s="13">
        <f>IF($K126="","",IF(INDEX(BASELINE!$O$2:$O$3001,$K126)="","",INDEX(BASELINE!$O$2:$O$3001,$K126)))</f>
        <v/>
      </c>
      <c r="J126" s="12">
        <f>IF($K126="","",IF(ISNUMBER(SEARCH("break",INDEX(BASELINE!$T$2:$T$3001,$K126)&amp;"")),"SIM",""))</f>
        <v/>
      </c>
      <c r="K126" s="15">
        <f>IF(118&lt;=CALC!$D$1,MATCH(118,CALC!$B$2:$B$3001,0),"")</f>
        <v/>
      </c>
    </row>
    <row r="127" ht="17" customHeight="1">
      <c r="A127" s="12">
        <f>IF($K127="","",119)</f>
        <v/>
      </c>
      <c r="B127" s="13">
        <f>IF($K127="","",IF(INDEX(BASELINE!$I$2:$I$3001,$K127)="","",INDEX(BASELINE!$I$2:$I$3001,$K127)))</f>
        <v/>
      </c>
      <c r="C127" s="12">
        <f>IF($K127="","",IF(INDEX(BASELINE!$J$2:$J$3001,$K127)="","",INDEX(BASELINE!$J$2:$J$3001,$K127)))</f>
        <v/>
      </c>
      <c r="D127" s="13">
        <f>IF($K127="","",IF(INDEX(BASELINE!$M$2:$M$3001,$K127)="","",INDEX(BASELINE!$M$2:$M$3001,$K127)))</f>
        <v/>
      </c>
      <c r="E127" s="13">
        <f>IF($K127="","",IF(INDEX(BASELINE!$L$2:$L$3001,$K127)="","",INDEX(BASELINE!$L$2:$L$3001,$K127)))</f>
        <v/>
      </c>
      <c r="F127" s="14">
        <f>IF($K127="","",IF(INDEX(BASELINE!$P$2:$P$3001,$K127)="","",INDEX(BASELINE!$P$2:$P$3001,$K127)))</f>
        <v/>
      </c>
      <c r="G127" s="13">
        <f>IF($K127="","",IF(INDEX(BASELINE!$K$2:$K$3001,$K127)="","",INDEX(BASELINE!$K$2:$K$3001,$K127)))</f>
        <v/>
      </c>
      <c r="H127" s="13">
        <f>IF($K127="","",IF(INDEX(BASELINE!$N$2:$N$3001,$K127)="","",INDEX(BASELINE!$N$2:$N$3001,$K127)))</f>
        <v/>
      </c>
      <c r="I127" s="13">
        <f>IF($K127="","",IF(INDEX(BASELINE!$O$2:$O$3001,$K127)="","",INDEX(BASELINE!$O$2:$O$3001,$K127)))</f>
        <v/>
      </c>
      <c r="J127" s="12">
        <f>IF($K127="","",IF(ISNUMBER(SEARCH("break",INDEX(BASELINE!$T$2:$T$3001,$K127)&amp;"")),"SIM",""))</f>
        <v/>
      </c>
      <c r="K127" s="15">
        <f>IF(119&lt;=CALC!$D$1,MATCH(119,CALC!$B$2:$B$3001,0),"")</f>
        <v/>
      </c>
    </row>
    <row r="128" ht="17" customHeight="1">
      <c r="A128" s="12">
        <f>IF($K128="","",120)</f>
        <v/>
      </c>
      <c r="B128" s="13">
        <f>IF($K128="","",IF(INDEX(BASELINE!$I$2:$I$3001,$K128)="","",INDEX(BASELINE!$I$2:$I$3001,$K128)))</f>
        <v/>
      </c>
      <c r="C128" s="12">
        <f>IF($K128="","",IF(INDEX(BASELINE!$J$2:$J$3001,$K128)="","",INDEX(BASELINE!$J$2:$J$3001,$K128)))</f>
        <v/>
      </c>
      <c r="D128" s="13">
        <f>IF($K128="","",IF(INDEX(BASELINE!$M$2:$M$3001,$K128)="","",INDEX(BASELINE!$M$2:$M$3001,$K128)))</f>
        <v/>
      </c>
      <c r="E128" s="13">
        <f>IF($K128="","",IF(INDEX(BASELINE!$L$2:$L$3001,$K128)="","",INDEX(BASELINE!$L$2:$L$3001,$K128)))</f>
        <v/>
      </c>
      <c r="F128" s="14">
        <f>IF($K128="","",IF(INDEX(BASELINE!$P$2:$P$3001,$K128)="","",INDEX(BASELINE!$P$2:$P$3001,$K128)))</f>
        <v/>
      </c>
      <c r="G128" s="13">
        <f>IF($K128="","",IF(INDEX(BASELINE!$K$2:$K$3001,$K128)="","",INDEX(BASELINE!$K$2:$K$3001,$K128)))</f>
        <v/>
      </c>
      <c r="H128" s="13">
        <f>IF($K128="","",IF(INDEX(BASELINE!$N$2:$N$3001,$K128)="","",INDEX(BASELINE!$N$2:$N$3001,$K128)))</f>
        <v/>
      </c>
      <c r="I128" s="13">
        <f>IF($K128="","",IF(INDEX(BASELINE!$O$2:$O$3001,$K128)="","",INDEX(BASELINE!$O$2:$O$3001,$K128)))</f>
        <v/>
      </c>
      <c r="J128" s="12">
        <f>IF($K128="","",IF(ISNUMBER(SEARCH("break",INDEX(BASELINE!$T$2:$T$3001,$K128)&amp;"")),"SIM",""))</f>
        <v/>
      </c>
      <c r="K128" s="15">
        <f>IF(120&lt;=CALC!$D$1,MATCH(120,CALC!$B$2:$B$3001,0),"")</f>
        <v/>
      </c>
    </row>
    <row r="129" ht="17" customHeight="1">
      <c r="A129" s="12">
        <f>IF($K129="","",121)</f>
        <v/>
      </c>
      <c r="B129" s="13">
        <f>IF($K129="","",IF(INDEX(BASELINE!$I$2:$I$3001,$K129)="","",INDEX(BASELINE!$I$2:$I$3001,$K129)))</f>
        <v/>
      </c>
      <c r="C129" s="12">
        <f>IF($K129="","",IF(INDEX(BASELINE!$J$2:$J$3001,$K129)="","",INDEX(BASELINE!$J$2:$J$3001,$K129)))</f>
        <v/>
      </c>
      <c r="D129" s="13">
        <f>IF($K129="","",IF(INDEX(BASELINE!$M$2:$M$3001,$K129)="","",INDEX(BASELINE!$M$2:$M$3001,$K129)))</f>
        <v/>
      </c>
      <c r="E129" s="13">
        <f>IF($K129="","",IF(INDEX(BASELINE!$L$2:$L$3001,$K129)="","",INDEX(BASELINE!$L$2:$L$3001,$K129)))</f>
        <v/>
      </c>
      <c r="F129" s="14">
        <f>IF($K129="","",IF(INDEX(BASELINE!$P$2:$P$3001,$K129)="","",INDEX(BASELINE!$P$2:$P$3001,$K129)))</f>
        <v/>
      </c>
      <c r="G129" s="13">
        <f>IF($K129="","",IF(INDEX(BASELINE!$K$2:$K$3001,$K129)="","",INDEX(BASELINE!$K$2:$K$3001,$K129)))</f>
        <v/>
      </c>
      <c r="H129" s="13">
        <f>IF($K129="","",IF(INDEX(BASELINE!$N$2:$N$3001,$K129)="","",INDEX(BASELINE!$N$2:$N$3001,$K129)))</f>
        <v/>
      </c>
      <c r="I129" s="13">
        <f>IF($K129="","",IF(INDEX(BASELINE!$O$2:$O$3001,$K129)="","",INDEX(BASELINE!$O$2:$O$3001,$K129)))</f>
        <v/>
      </c>
      <c r="J129" s="12">
        <f>IF($K129="","",IF(ISNUMBER(SEARCH("break",INDEX(BASELINE!$T$2:$T$3001,$K129)&amp;"")),"SIM",""))</f>
        <v/>
      </c>
      <c r="K129" s="15">
        <f>IF(121&lt;=CALC!$D$1,MATCH(121,CALC!$B$2:$B$3001,0),"")</f>
        <v/>
      </c>
    </row>
    <row r="130" ht="17" customHeight="1">
      <c r="A130" s="12">
        <f>IF($K130="","",122)</f>
        <v/>
      </c>
      <c r="B130" s="13">
        <f>IF($K130="","",IF(INDEX(BASELINE!$I$2:$I$3001,$K130)="","",INDEX(BASELINE!$I$2:$I$3001,$K130)))</f>
        <v/>
      </c>
      <c r="C130" s="12">
        <f>IF($K130="","",IF(INDEX(BASELINE!$J$2:$J$3001,$K130)="","",INDEX(BASELINE!$J$2:$J$3001,$K130)))</f>
        <v/>
      </c>
      <c r="D130" s="13">
        <f>IF($K130="","",IF(INDEX(BASELINE!$M$2:$M$3001,$K130)="","",INDEX(BASELINE!$M$2:$M$3001,$K130)))</f>
        <v/>
      </c>
      <c r="E130" s="13">
        <f>IF($K130="","",IF(INDEX(BASELINE!$L$2:$L$3001,$K130)="","",INDEX(BASELINE!$L$2:$L$3001,$K130)))</f>
        <v/>
      </c>
      <c r="F130" s="14">
        <f>IF($K130="","",IF(INDEX(BASELINE!$P$2:$P$3001,$K130)="","",INDEX(BASELINE!$P$2:$P$3001,$K130)))</f>
        <v/>
      </c>
      <c r="G130" s="13">
        <f>IF($K130="","",IF(INDEX(BASELINE!$K$2:$K$3001,$K130)="","",INDEX(BASELINE!$K$2:$K$3001,$K130)))</f>
        <v/>
      </c>
      <c r="H130" s="13">
        <f>IF($K130="","",IF(INDEX(BASELINE!$N$2:$N$3001,$K130)="","",INDEX(BASELINE!$N$2:$N$3001,$K130)))</f>
        <v/>
      </c>
      <c r="I130" s="13">
        <f>IF($K130="","",IF(INDEX(BASELINE!$O$2:$O$3001,$K130)="","",INDEX(BASELINE!$O$2:$O$3001,$K130)))</f>
        <v/>
      </c>
      <c r="J130" s="12">
        <f>IF($K130="","",IF(ISNUMBER(SEARCH("break",INDEX(BASELINE!$T$2:$T$3001,$K130)&amp;"")),"SIM",""))</f>
        <v/>
      </c>
      <c r="K130" s="15">
        <f>IF(122&lt;=CALC!$D$1,MATCH(122,CALC!$B$2:$B$3001,0),"")</f>
        <v/>
      </c>
    </row>
    <row r="131" ht="17" customHeight="1">
      <c r="A131" s="12">
        <f>IF($K131="","",123)</f>
        <v/>
      </c>
      <c r="B131" s="13">
        <f>IF($K131="","",IF(INDEX(BASELINE!$I$2:$I$3001,$K131)="","",INDEX(BASELINE!$I$2:$I$3001,$K131)))</f>
        <v/>
      </c>
      <c r="C131" s="12">
        <f>IF($K131="","",IF(INDEX(BASELINE!$J$2:$J$3001,$K131)="","",INDEX(BASELINE!$J$2:$J$3001,$K131)))</f>
        <v/>
      </c>
      <c r="D131" s="13">
        <f>IF($K131="","",IF(INDEX(BASELINE!$M$2:$M$3001,$K131)="","",INDEX(BASELINE!$M$2:$M$3001,$K131)))</f>
        <v/>
      </c>
      <c r="E131" s="13">
        <f>IF($K131="","",IF(INDEX(BASELINE!$L$2:$L$3001,$K131)="","",INDEX(BASELINE!$L$2:$L$3001,$K131)))</f>
        <v/>
      </c>
      <c r="F131" s="14">
        <f>IF($K131="","",IF(INDEX(BASELINE!$P$2:$P$3001,$K131)="","",INDEX(BASELINE!$P$2:$P$3001,$K131)))</f>
        <v/>
      </c>
      <c r="G131" s="13">
        <f>IF($K131="","",IF(INDEX(BASELINE!$K$2:$K$3001,$K131)="","",INDEX(BASELINE!$K$2:$K$3001,$K131)))</f>
        <v/>
      </c>
      <c r="H131" s="13">
        <f>IF($K131="","",IF(INDEX(BASELINE!$N$2:$N$3001,$K131)="","",INDEX(BASELINE!$N$2:$N$3001,$K131)))</f>
        <v/>
      </c>
      <c r="I131" s="13">
        <f>IF($K131="","",IF(INDEX(BASELINE!$O$2:$O$3001,$K131)="","",INDEX(BASELINE!$O$2:$O$3001,$K131)))</f>
        <v/>
      </c>
      <c r="J131" s="12">
        <f>IF($K131="","",IF(ISNUMBER(SEARCH("break",INDEX(BASELINE!$T$2:$T$3001,$K131)&amp;"")),"SIM",""))</f>
        <v/>
      </c>
      <c r="K131" s="15">
        <f>IF(123&lt;=CALC!$D$1,MATCH(123,CALC!$B$2:$B$3001,0),"")</f>
        <v/>
      </c>
    </row>
    <row r="132" ht="17" customHeight="1">
      <c r="A132" s="12">
        <f>IF($K132="","",124)</f>
        <v/>
      </c>
      <c r="B132" s="13">
        <f>IF($K132="","",IF(INDEX(BASELINE!$I$2:$I$3001,$K132)="","",INDEX(BASELINE!$I$2:$I$3001,$K132)))</f>
        <v/>
      </c>
      <c r="C132" s="12">
        <f>IF($K132="","",IF(INDEX(BASELINE!$J$2:$J$3001,$K132)="","",INDEX(BASELINE!$J$2:$J$3001,$K132)))</f>
        <v/>
      </c>
      <c r="D132" s="13">
        <f>IF($K132="","",IF(INDEX(BASELINE!$M$2:$M$3001,$K132)="","",INDEX(BASELINE!$M$2:$M$3001,$K132)))</f>
        <v/>
      </c>
      <c r="E132" s="13">
        <f>IF($K132="","",IF(INDEX(BASELINE!$L$2:$L$3001,$K132)="","",INDEX(BASELINE!$L$2:$L$3001,$K132)))</f>
        <v/>
      </c>
      <c r="F132" s="14">
        <f>IF($K132="","",IF(INDEX(BASELINE!$P$2:$P$3001,$K132)="","",INDEX(BASELINE!$P$2:$P$3001,$K132)))</f>
        <v/>
      </c>
      <c r="G132" s="13">
        <f>IF($K132="","",IF(INDEX(BASELINE!$K$2:$K$3001,$K132)="","",INDEX(BASELINE!$K$2:$K$3001,$K132)))</f>
        <v/>
      </c>
      <c r="H132" s="13">
        <f>IF($K132="","",IF(INDEX(BASELINE!$N$2:$N$3001,$K132)="","",INDEX(BASELINE!$N$2:$N$3001,$K132)))</f>
        <v/>
      </c>
      <c r="I132" s="13">
        <f>IF($K132="","",IF(INDEX(BASELINE!$O$2:$O$3001,$K132)="","",INDEX(BASELINE!$O$2:$O$3001,$K132)))</f>
        <v/>
      </c>
      <c r="J132" s="12">
        <f>IF($K132="","",IF(ISNUMBER(SEARCH("break",INDEX(BASELINE!$T$2:$T$3001,$K132)&amp;"")),"SIM",""))</f>
        <v/>
      </c>
      <c r="K132" s="15">
        <f>IF(124&lt;=CALC!$D$1,MATCH(124,CALC!$B$2:$B$3001,0),"")</f>
        <v/>
      </c>
    </row>
    <row r="133" ht="17" customHeight="1">
      <c r="A133" s="12">
        <f>IF($K133="","",125)</f>
        <v/>
      </c>
      <c r="B133" s="13">
        <f>IF($K133="","",IF(INDEX(BASELINE!$I$2:$I$3001,$K133)="","",INDEX(BASELINE!$I$2:$I$3001,$K133)))</f>
        <v/>
      </c>
      <c r="C133" s="12">
        <f>IF($K133="","",IF(INDEX(BASELINE!$J$2:$J$3001,$K133)="","",INDEX(BASELINE!$J$2:$J$3001,$K133)))</f>
        <v/>
      </c>
      <c r="D133" s="13">
        <f>IF($K133="","",IF(INDEX(BASELINE!$M$2:$M$3001,$K133)="","",INDEX(BASELINE!$M$2:$M$3001,$K133)))</f>
        <v/>
      </c>
      <c r="E133" s="13">
        <f>IF($K133="","",IF(INDEX(BASELINE!$L$2:$L$3001,$K133)="","",INDEX(BASELINE!$L$2:$L$3001,$K133)))</f>
        <v/>
      </c>
      <c r="F133" s="14">
        <f>IF($K133="","",IF(INDEX(BASELINE!$P$2:$P$3001,$K133)="","",INDEX(BASELINE!$P$2:$P$3001,$K133)))</f>
        <v/>
      </c>
      <c r="G133" s="13">
        <f>IF($K133="","",IF(INDEX(BASELINE!$K$2:$K$3001,$K133)="","",INDEX(BASELINE!$K$2:$K$3001,$K133)))</f>
        <v/>
      </c>
      <c r="H133" s="13">
        <f>IF($K133="","",IF(INDEX(BASELINE!$N$2:$N$3001,$K133)="","",INDEX(BASELINE!$N$2:$N$3001,$K133)))</f>
        <v/>
      </c>
      <c r="I133" s="13">
        <f>IF($K133="","",IF(INDEX(BASELINE!$O$2:$O$3001,$K133)="","",INDEX(BASELINE!$O$2:$O$3001,$K133)))</f>
        <v/>
      </c>
      <c r="J133" s="12">
        <f>IF($K133="","",IF(ISNUMBER(SEARCH("break",INDEX(BASELINE!$T$2:$T$3001,$K133)&amp;"")),"SIM",""))</f>
        <v/>
      </c>
      <c r="K133" s="15">
        <f>IF(125&lt;=CALC!$D$1,MATCH(125,CALC!$B$2:$B$3001,0),"")</f>
        <v/>
      </c>
    </row>
    <row r="134" ht="17" customHeight="1">
      <c r="A134" s="12">
        <f>IF($K134="","",126)</f>
        <v/>
      </c>
      <c r="B134" s="13">
        <f>IF($K134="","",IF(INDEX(BASELINE!$I$2:$I$3001,$K134)="","",INDEX(BASELINE!$I$2:$I$3001,$K134)))</f>
        <v/>
      </c>
      <c r="C134" s="12">
        <f>IF($K134="","",IF(INDEX(BASELINE!$J$2:$J$3001,$K134)="","",INDEX(BASELINE!$J$2:$J$3001,$K134)))</f>
        <v/>
      </c>
      <c r="D134" s="13">
        <f>IF($K134="","",IF(INDEX(BASELINE!$M$2:$M$3001,$K134)="","",INDEX(BASELINE!$M$2:$M$3001,$K134)))</f>
        <v/>
      </c>
      <c r="E134" s="13">
        <f>IF($K134="","",IF(INDEX(BASELINE!$L$2:$L$3001,$K134)="","",INDEX(BASELINE!$L$2:$L$3001,$K134)))</f>
        <v/>
      </c>
      <c r="F134" s="14">
        <f>IF($K134="","",IF(INDEX(BASELINE!$P$2:$P$3001,$K134)="","",INDEX(BASELINE!$P$2:$P$3001,$K134)))</f>
        <v/>
      </c>
      <c r="G134" s="13">
        <f>IF($K134="","",IF(INDEX(BASELINE!$K$2:$K$3001,$K134)="","",INDEX(BASELINE!$K$2:$K$3001,$K134)))</f>
        <v/>
      </c>
      <c r="H134" s="13">
        <f>IF($K134="","",IF(INDEX(BASELINE!$N$2:$N$3001,$K134)="","",INDEX(BASELINE!$N$2:$N$3001,$K134)))</f>
        <v/>
      </c>
      <c r="I134" s="13">
        <f>IF($K134="","",IF(INDEX(BASELINE!$O$2:$O$3001,$K134)="","",INDEX(BASELINE!$O$2:$O$3001,$K134)))</f>
        <v/>
      </c>
      <c r="J134" s="12">
        <f>IF($K134="","",IF(ISNUMBER(SEARCH("break",INDEX(BASELINE!$T$2:$T$3001,$K134)&amp;"")),"SIM",""))</f>
        <v/>
      </c>
      <c r="K134" s="15">
        <f>IF(126&lt;=CALC!$D$1,MATCH(126,CALC!$B$2:$B$3001,0),"")</f>
        <v/>
      </c>
    </row>
    <row r="135" ht="17" customHeight="1">
      <c r="A135" s="12">
        <f>IF($K135="","",127)</f>
        <v/>
      </c>
      <c r="B135" s="13">
        <f>IF($K135="","",IF(INDEX(BASELINE!$I$2:$I$3001,$K135)="","",INDEX(BASELINE!$I$2:$I$3001,$K135)))</f>
        <v/>
      </c>
      <c r="C135" s="12">
        <f>IF($K135="","",IF(INDEX(BASELINE!$J$2:$J$3001,$K135)="","",INDEX(BASELINE!$J$2:$J$3001,$K135)))</f>
        <v/>
      </c>
      <c r="D135" s="13">
        <f>IF($K135="","",IF(INDEX(BASELINE!$M$2:$M$3001,$K135)="","",INDEX(BASELINE!$M$2:$M$3001,$K135)))</f>
        <v/>
      </c>
      <c r="E135" s="13">
        <f>IF($K135="","",IF(INDEX(BASELINE!$L$2:$L$3001,$K135)="","",INDEX(BASELINE!$L$2:$L$3001,$K135)))</f>
        <v/>
      </c>
      <c r="F135" s="14">
        <f>IF($K135="","",IF(INDEX(BASELINE!$P$2:$P$3001,$K135)="","",INDEX(BASELINE!$P$2:$P$3001,$K135)))</f>
        <v/>
      </c>
      <c r="G135" s="13">
        <f>IF($K135="","",IF(INDEX(BASELINE!$K$2:$K$3001,$K135)="","",INDEX(BASELINE!$K$2:$K$3001,$K135)))</f>
        <v/>
      </c>
      <c r="H135" s="13">
        <f>IF($K135="","",IF(INDEX(BASELINE!$N$2:$N$3001,$K135)="","",INDEX(BASELINE!$N$2:$N$3001,$K135)))</f>
        <v/>
      </c>
      <c r="I135" s="13">
        <f>IF($K135="","",IF(INDEX(BASELINE!$O$2:$O$3001,$K135)="","",INDEX(BASELINE!$O$2:$O$3001,$K135)))</f>
        <v/>
      </c>
      <c r="J135" s="12">
        <f>IF($K135="","",IF(ISNUMBER(SEARCH("break",INDEX(BASELINE!$T$2:$T$3001,$K135)&amp;"")),"SIM",""))</f>
        <v/>
      </c>
      <c r="K135" s="15">
        <f>IF(127&lt;=CALC!$D$1,MATCH(127,CALC!$B$2:$B$3001,0),"")</f>
        <v/>
      </c>
    </row>
    <row r="136" ht="17" customHeight="1">
      <c r="A136" s="12">
        <f>IF($K136="","",128)</f>
        <v/>
      </c>
      <c r="B136" s="13">
        <f>IF($K136="","",IF(INDEX(BASELINE!$I$2:$I$3001,$K136)="","",INDEX(BASELINE!$I$2:$I$3001,$K136)))</f>
        <v/>
      </c>
      <c r="C136" s="12">
        <f>IF($K136="","",IF(INDEX(BASELINE!$J$2:$J$3001,$K136)="","",INDEX(BASELINE!$J$2:$J$3001,$K136)))</f>
        <v/>
      </c>
      <c r="D136" s="13">
        <f>IF($K136="","",IF(INDEX(BASELINE!$M$2:$M$3001,$K136)="","",INDEX(BASELINE!$M$2:$M$3001,$K136)))</f>
        <v/>
      </c>
      <c r="E136" s="13">
        <f>IF($K136="","",IF(INDEX(BASELINE!$L$2:$L$3001,$K136)="","",INDEX(BASELINE!$L$2:$L$3001,$K136)))</f>
        <v/>
      </c>
      <c r="F136" s="14">
        <f>IF($K136="","",IF(INDEX(BASELINE!$P$2:$P$3001,$K136)="","",INDEX(BASELINE!$P$2:$P$3001,$K136)))</f>
        <v/>
      </c>
      <c r="G136" s="13">
        <f>IF($K136="","",IF(INDEX(BASELINE!$K$2:$K$3001,$K136)="","",INDEX(BASELINE!$K$2:$K$3001,$K136)))</f>
        <v/>
      </c>
      <c r="H136" s="13">
        <f>IF($K136="","",IF(INDEX(BASELINE!$N$2:$N$3001,$K136)="","",INDEX(BASELINE!$N$2:$N$3001,$K136)))</f>
        <v/>
      </c>
      <c r="I136" s="13">
        <f>IF($K136="","",IF(INDEX(BASELINE!$O$2:$O$3001,$K136)="","",INDEX(BASELINE!$O$2:$O$3001,$K136)))</f>
        <v/>
      </c>
      <c r="J136" s="12">
        <f>IF($K136="","",IF(ISNUMBER(SEARCH("break",INDEX(BASELINE!$T$2:$T$3001,$K136)&amp;"")),"SIM",""))</f>
        <v/>
      </c>
      <c r="K136" s="15">
        <f>IF(128&lt;=CALC!$D$1,MATCH(128,CALC!$B$2:$B$3001,0),"")</f>
        <v/>
      </c>
    </row>
    <row r="137" ht="17" customHeight="1">
      <c r="A137" s="12">
        <f>IF($K137="","",129)</f>
        <v/>
      </c>
      <c r="B137" s="13">
        <f>IF($K137="","",IF(INDEX(BASELINE!$I$2:$I$3001,$K137)="","",INDEX(BASELINE!$I$2:$I$3001,$K137)))</f>
        <v/>
      </c>
      <c r="C137" s="12">
        <f>IF($K137="","",IF(INDEX(BASELINE!$J$2:$J$3001,$K137)="","",INDEX(BASELINE!$J$2:$J$3001,$K137)))</f>
        <v/>
      </c>
      <c r="D137" s="13">
        <f>IF($K137="","",IF(INDEX(BASELINE!$M$2:$M$3001,$K137)="","",INDEX(BASELINE!$M$2:$M$3001,$K137)))</f>
        <v/>
      </c>
      <c r="E137" s="13">
        <f>IF($K137="","",IF(INDEX(BASELINE!$L$2:$L$3001,$K137)="","",INDEX(BASELINE!$L$2:$L$3001,$K137)))</f>
        <v/>
      </c>
      <c r="F137" s="14">
        <f>IF($K137="","",IF(INDEX(BASELINE!$P$2:$P$3001,$K137)="","",INDEX(BASELINE!$P$2:$P$3001,$K137)))</f>
        <v/>
      </c>
      <c r="G137" s="13">
        <f>IF($K137="","",IF(INDEX(BASELINE!$K$2:$K$3001,$K137)="","",INDEX(BASELINE!$K$2:$K$3001,$K137)))</f>
        <v/>
      </c>
      <c r="H137" s="13">
        <f>IF($K137="","",IF(INDEX(BASELINE!$N$2:$N$3001,$K137)="","",INDEX(BASELINE!$N$2:$N$3001,$K137)))</f>
        <v/>
      </c>
      <c r="I137" s="13">
        <f>IF($K137="","",IF(INDEX(BASELINE!$O$2:$O$3001,$K137)="","",INDEX(BASELINE!$O$2:$O$3001,$K137)))</f>
        <v/>
      </c>
      <c r="J137" s="12">
        <f>IF($K137="","",IF(ISNUMBER(SEARCH("break",INDEX(BASELINE!$T$2:$T$3001,$K137)&amp;"")),"SIM",""))</f>
        <v/>
      </c>
      <c r="K137" s="15">
        <f>IF(129&lt;=CALC!$D$1,MATCH(129,CALC!$B$2:$B$3001,0),"")</f>
        <v/>
      </c>
    </row>
    <row r="138" ht="17" customHeight="1">
      <c r="A138" s="12">
        <f>IF($K138="","",130)</f>
        <v/>
      </c>
      <c r="B138" s="13">
        <f>IF($K138="","",IF(INDEX(BASELINE!$I$2:$I$3001,$K138)="","",INDEX(BASELINE!$I$2:$I$3001,$K138)))</f>
        <v/>
      </c>
      <c r="C138" s="12">
        <f>IF($K138="","",IF(INDEX(BASELINE!$J$2:$J$3001,$K138)="","",INDEX(BASELINE!$J$2:$J$3001,$K138)))</f>
        <v/>
      </c>
      <c r="D138" s="13">
        <f>IF($K138="","",IF(INDEX(BASELINE!$M$2:$M$3001,$K138)="","",INDEX(BASELINE!$M$2:$M$3001,$K138)))</f>
        <v/>
      </c>
      <c r="E138" s="13">
        <f>IF($K138="","",IF(INDEX(BASELINE!$L$2:$L$3001,$K138)="","",INDEX(BASELINE!$L$2:$L$3001,$K138)))</f>
        <v/>
      </c>
      <c r="F138" s="14">
        <f>IF($K138="","",IF(INDEX(BASELINE!$P$2:$P$3001,$K138)="","",INDEX(BASELINE!$P$2:$P$3001,$K138)))</f>
        <v/>
      </c>
      <c r="G138" s="13">
        <f>IF($K138="","",IF(INDEX(BASELINE!$K$2:$K$3001,$K138)="","",INDEX(BASELINE!$K$2:$K$3001,$K138)))</f>
        <v/>
      </c>
      <c r="H138" s="13">
        <f>IF($K138="","",IF(INDEX(BASELINE!$N$2:$N$3001,$K138)="","",INDEX(BASELINE!$N$2:$N$3001,$K138)))</f>
        <v/>
      </c>
      <c r="I138" s="13">
        <f>IF($K138="","",IF(INDEX(BASELINE!$O$2:$O$3001,$K138)="","",INDEX(BASELINE!$O$2:$O$3001,$K138)))</f>
        <v/>
      </c>
      <c r="J138" s="12">
        <f>IF($K138="","",IF(ISNUMBER(SEARCH("break",INDEX(BASELINE!$T$2:$T$3001,$K138)&amp;"")),"SIM",""))</f>
        <v/>
      </c>
      <c r="K138" s="15">
        <f>IF(130&lt;=CALC!$D$1,MATCH(130,CALC!$B$2:$B$3001,0),"")</f>
        <v/>
      </c>
    </row>
    <row r="139" ht="17" customHeight="1">
      <c r="A139" s="12">
        <f>IF($K139="","",131)</f>
        <v/>
      </c>
      <c r="B139" s="13">
        <f>IF($K139="","",IF(INDEX(BASELINE!$I$2:$I$3001,$K139)="","",INDEX(BASELINE!$I$2:$I$3001,$K139)))</f>
        <v/>
      </c>
      <c r="C139" s="12">
        <f>IF($K139="","",IF(INDEX(BASELINE!$J$2:$J$3001,$K139)="","",INDEX(BASELINE!$J$2:$J$3001,$K139)))</f>
        <v/>
      </c>
      <c r="D139" s="13">
        <f>IF($K139="","",IF(INDEX(BASELINE!$M$2:$M$3001,$K139)="","",INDEX(BASELINE!$M$2:$M$3001,$K139)))</f>
        <v/>
      </c>
      <c r="E139" s="13">
        <f>IF($K139="","",IF(INDEX(BASELINE!$L$2:$L$3001,$K139)="","",INDEX(BASELINE!$L$2:$L$3001,$K139)))</f>
        <v/>
      </c>
      <c r="F139" s="14">
        <f>IF($K139="","",IF(INDEX(BASELINE!$P$2:$P$3001,$K139)="","",INDEX(BASELINE!$P$2:$P$3001,$K139)))</f>
        <v/>
      </c>
      <c r="G139" s="13">
        <f>IF($K139="","",IF(INDEX(BASELINE!$K$2:$K$3001,$K139)="","",INDEX(BASELINE!$K$2:$K$3001,$K139)))</f>
        <v/>
      </c>
      <c r="H139" s="13">
        <f>IF($K139="","",IF(INDEX(BASELINE!$N$2:$N$3001,$K139)="","",INDEX(BASELINE!$N$2:$N$3001,$K139)))</f>
        <v/>
      </c>
      <c r="I139" s="13">
        <f>IF($K139="","",IF(INDEX(BASELINE!$O$2:$O$3001,$K139)="","",INDEX(BASELINE!$O$2:$O$3001,$K139)))</f>
        <v/>
      </c>
      <c r="J139" s="12">
        <f>IF($K139="","",IF(ISNUMBER(SEARCH("break",INDEX(BASELINE!$T$2:$T$3001,$K139)&amp;"")),"SIM",""))</f>
        <v/>
      </c>
      <c r="K139" s="15">
        <f>IF(131&lt;=CALC!$D$1,MATCH(131,CALC!$B$2:$B$3001,0),"")</f>
        <v/>
      </c>
    </row>
    <row r="140" ht="17" customHeight="1">
      <c r="A140" s="12">
        <f>IF($K140="","",132)</f>
        <v/>
      </c>
      <c r="B140" s="13">
        <f>IF($K140="","",IF(INDEX(BASELINE!$I$2:$I$3001,$K140)="","",INDEX(BASELINE!$I$2:$I$3001,$K140)))</f>
        <v/>
      </c>
      <c r="C140" s="12">
        <f>IF($K140="","",IF(INDEX(BASELINE!$J$2:$J$3001,$K140)="","",INDEX(BASELINE!$J$2:$J$3001,$K140)))</f>
        <v/>
      </c>
      <c r="D140" s="13">
        <f>IF($K140="","",IF(INDEX(BASELINE!$M$2:$M$3001,$K140)="","",INDEX(BASELINE!$M$2:$M$3001,$K140)))</f>
        <v/>
      </c>
      <c r="E140" s="13">
        <f>IF($K140="","",IF(INDEX(BASELINE!$L$2:$L$3001,$K140)="","",INDEX(BASELINE!$L$2:$L$3001,$K140)))</f>
        <v/>
      </c>
      <c r="F140" s="14">
        <f>IF($K140="","",IF(INDEX(BASELINE!$P$2:$P$3001,$K140)="","",INDEX(BASELINE!$P$2:$P$3001,$K140)))</f>
        <v/>
      </c>
      <c r="G140" s="13">
        <f>IF($K140="","",IF(INDEX(BASELINE!$K$2:$K$3001,$K140)="","",INDEX(BASELINE!$K$2:$K$3001,$K140)))</f>
        <v/>
      </c>
      <c r="H140" s="13">
        <f>IF($K140="","",IF(INDEX(BASELINE!$N$2:$N$3001,$K140)="","",INDEX(BASELINE!$N$2:$N$3001,$K140)))</f>
        <v/>
      </c>
      <c r="I140" s="13">
        <f>IF($K140="","",IF(INDEX(BASELINE!$O$2:$O$3001,$K140)="","",INDEX(BASELINE!$O$2:$O$3001,$K140)))</f>
        <v/>
      </c>
      <c r="J140" s="12">
        <f>IF($K140="","",IF(ISNUMBER(SEARCH("break",INDEX(BASELINE!$T$2:$T$3001,$K140)&amp;"")),"SIM",""))</f>
        <v/>
      </c>
      <c r="K140" s="15">
        <f>IF(132&lt;=CALC!$D$1,MATCH(132,CALC!$B$2:$B$3001,0),"")</f>
        <v/>
      </c>
    </row>
    <row r="141" ht="17" customHeight="1">
      <c r="A141" s="12">
        <f>IF($K141="","",133)</f>
        <v/>
      </c>
      <c r="B141" s="13">
        <f>IF($K141="","",IF(INDEX(BASELINE!$I$2:$I$3001,$K141)="","",INDEX(BASELINE!$I$2:$I$3001,$K141)))</f>
        <v/>
      </c>
      <c r="C141" s="12">
        <f>IF($K141="","",IF(INDEX(BASELINE!$J$2:$J$3001,$K141)="","",INDEX(BASELINE!$J$2:$J$3001,$K141)))</f>
        <v/>
      </c>
      <c r="D141" s="13">
        <f>IF($K141="","",IF(INDEX(BASELINE!$M$2:$M$3001,$K141)="","",INDEX(BASELINE!$M$2:$M$3001,$K141)))</f>
        <v/>
      </c>
      <c r="E141" s="13">
        <f>IF($K141="","",IF(INDEX(BASELINE!$L$2:$L$3001,$K141)="","",INDEX(BASELINE!$L$2:$L$3001,$K141)))</f>
        <v/>
      </c>
      <c r="F141" s="14">
        <f>IF($K141="","",IF(INDEX(BASELINE!$P$2:$P$3001,$K141)="","",INDEX(BASELINE!$P$2:$P$3001,$K141)))</f>
        <v/>
      </c>
      <c r="G141" s="13">
        <f>IF($K141="","",IF(INDEX(BASELINE!$K$2:$K$3001,$K141)="","",INDEX(BASELINE!$K$2:$K$3001,$K141)))</f>
        <v/>
      </c>
      <c r="H141" s="13">
        <f>IF($K141="","",IF(INDEX(BASELINE!$N$2:$N$3001,$K141)="","",INDEX(BASELINE!$N$2:$N$3001,$K141)))</f>
        <v/>
      </c>
      <c r="I141" s="13">
        <f>IF($K141="","",IF(INDEX(BASELINE!$O$2:$O$3001,$K141)="","",INDEX(BASELINE!$O$2:$O$3001,$K141)))</f>
        <v/>
      </c>
      <c r="J141" s="12">
        <f>IF($K141="","",IF(ISNUMBER(SEARCH("break",INDEX(BASELINE!$T$2:$T$3001,$K141)&amp;"")),"SIM",""))</f>
        <v/>
      </c>
      <c r="K141" s="15">
        <f>IF(133&lt;=CALC!$D$1,MATCH(133,CALC!$B$2:$B$3001,0),"")</f>
        <v/>
      </c>
    </row>
    <row r="142" ht="17" customHeight="1">
      <c r="A142" s="12">
        <f>IF($K142="","",134)</f>
        <v/>
      </c>
      <c r="B142" s="13">
        <f>IF($K142="","",IF(INDEX(BASELINE!$I$2:$I$3001,$K142)="","",INDEX(BASELINE!$I$2:$I$3001,$K142)))</f>
        <v/>
      </c>
      <c r="C142" s="12">
        <f>IF($K142="","",IF(INDEX(BASELINE!$J$2:$J$3001,$K142)="","",INDEX(BASELINE!$J$2:$J$3001,$K142)))</f>
        <v/>
      </c>
      <c r="D142" s="13">
        <f>IF($K142="","",IF(INDEX(BASELINE!$M$2:$M$3001,$K142)="","",INDEX(BASELINE!$M$2:$M$3001,$K142)))</f>
        <v/>
      </c>
      <c r="E142" s="13">
        <f>IF($K142="","",IF(INDEX(BASELINE!$L$2:$L$3001,$K142)="","",INDEX(BASELINE!$L$2:$L$3001,$K142)))</f>
        <v/>
      </c>
      <c r="F142" s="14">
        <f>IF($K142="","",IF(INDEX(BASELINE!$P$2:$P$3001,$K142)="","",INDEX(BASELINE!$P$2:$P$3001,$K142)))</f>
        <v/>
      </c>
      <c r="G142" s="13">
        <f>IF($K142="","",IF(INDEX(BASELINE!$K$2:$K$3001,$K142)="","",INDEX(BASELINE!$K$2:$K$3001,$K142)))</f>
        <v/>
      </c>
      <c r="H142" s="13">
        <f>IF($K142="","",IF(INDEX(BASELINE!$N$2:$N$3001,$K142)="","",INDEX(BASELINE!$N$2:$N$3001,$K142)))</f>
        <v/>
      </c>
      <c r="I142" s="13">
        <f>IF($K142="","",IF(INDEX(BASELINE!$O$2:$O$3001,$K142)="","",INDEX(BASELINE!$O$2:$O$3001,$K142)))</f>
        <v/>
      </c>
      <c r="J142" s="12">
        <f>IF($K142="","",IF(ISNUMBER(SEARCH("break",INDEX(BASELINE!$T$2:$T$3001,$K142)&amp;"")),"SIM",""))</f>
        <v/>
      </c>
      <c r="K142" s="15">
        <f>IF(134&lt;=CALC!$D$1,MATCH(134,CALC!$B$2:$B$3001,0),"")</f>
        <v/>
      </c>
    </row>
    <row r="143" ht="17" customHeight="1">
      <c r="A143" s="12">
        <f>IF($K143="","",135)</f>
        <v/>
      </c>
      <c r="B143" s="13">
        <f>IF($K143="","",IF(INDEX(BASELINE!$I$2:$I$3001,$K143)="","",INDEX(BASELINE!$I$2:$I$3001,$K143)))</f>
        <v/>
      </c>
      <c r="C143" s="12">
        <f>IF($K143="","",IF(INDEX(BASELINE!$J$2:$J$3001,$K143)="","",INDEX(BASELINE!$J$2:$J$3001,$K143)))</f>
        <v/>
      </c>
      <c r="D143" s="13">
        <f>IF($K143="","",IF(INDEX(BASELINE!$M$2:$M$3001,$K143)="","",INDEX(BASELINE!$M$2:$M$3001,$K143)))</f>
        <v/>
      </c>
      <c r="E143" s="13">
        <f>IF($K143="","",IF(INDEX(BASELINE!$L$2:$L$3001,$K143)="","",INDEX(BASELINE!$L$2:$L$3001,$K143)))</f>
        <v/>
      </c>
      <c r="F143" s="14">
        <f>IF($K143="","",IF(INDEX(BASELINE!$P$2:$P$3001,$K143)="","",INDEX(BASELINE!$P$2:$P$3001,$K143)))</f>
        <v/>
      </c>
      <c r="G143" s="13">
        <f>IF($K143="","",IF(INDEX(BASELINE!$K$2:$K$3001,$K143)="","",INDEX(BASELINE!$K$2:$K$3001,$K143)))</f>
        <v/>
      </c>
      <c r="H143" s="13">
        <f>IF($K143="","",IF(INDEX(BASELINE!$N$2:$N$3001,$K143)="","",INDEX(BASELINE!$N$2:$N$3001,$K143)))</f>
        <v/>
      </c>
      <c r="I143" s="13">
        <f>IF($K143="","",IF(INDEX(BASELINE!$O$2:$O$3001,$K143)="","",INDEX(BASELINE!$O$2:$O$3001,$K143)))</f>
        <v/>
      </c>
      <c r="J143" s="12">
        <f>IF($K143="","",IF(ISNUMBER(SEARCH("break",INDEX(BASELINE!$T$2:$T$3001,$K143)&amp;"")),"SIM",""))</f>
        <v/>
      </c>
      <c r="K143" s="15">
        <f>IF(135&lt;=CALC!$D$1,MATCH(135,CALC!$B$2:$B$3001,0),"")</f>
        <v/>
      </c>
    </row>
    <row r="144" ht="17" customHeight="1">
      <c r="A144" s="12">
        <f>IF($K144="","",136)</f>
        <v/>
      </c>
      <c r="B144" s="13">
        <f>IF($K144="","",IF(INDEX(BASELINE!$I$2:$I$3001,$K144)="","",INDEX(BASELINE!$I$2:$I$3001,$K144)))</f>
        <v/>
      </c>
      <c r="C144" s="12">
        <f>IF($K144="","",IF(INDEX(BASELINE!$J$2:$J$3001,$K144)="","",INDEX(BASELINE!$J$2:$J$3001,$K144)))</f>
        <v/>
      </c>
      <c r="D144" s="13">
        <f>IF($K144="","",IF(INDEX(BASELINE!$M$2:$M$3001,$K144)="","",INDEX(BASELINE!$M$2:$M$3001,$K144)))</f>
        <v/>
      </c>
      <c r="E144" s="13">
        <f>IF($K144="","",IF(INDEX(BASELINE!$L$2:$L$3001,$K144)="","",INDEX(BASELINE!$L$2:$L$3001,$K144)))</f>
        <v/>
      </c>
      <c r="F144" s="14">
        <f>IF($K144="","",IF(INDEX(BASELINE!$P$2:$P$3001,$K144)="","",INDEX(BASELINE!$P$2:$P$3001,$K144)))</f>
        <v/>
      </c>
      <c r="G144" s="13">
        <f>IF($K144="","",IF(INDEX(BASELINE!$K$2:$K$3001,$K144)="","",INDEX(BASELINE!$K$2:$K$3001,$K144)))</f>
        <v/>
      </c>
      <c r="H144" s="13">
        <f>IF($K144="","",IF(INDEX(BASELINE!$N$2:$N$3001,$K144)="","",INDEX(BASELINE!$N$2:$N$3001,$K144)))</f>
        <v/>
      </c>
      <c r="I144" s="13">
        <f>IF($K144="","",IF(INDEX(BASELINE!$O$2:$O$3001,$K144)="","",INDEX(BASELINE!$O$2:$O$3001,$K144)))</f>
        <v/>
      </c>
      <c r="J144" s="12">
        <f>IF($K144="","",IF(ISNUMBER(SEARCH("break",INDEX(BASELINE!$T$2:$T$3001,$K144)&amp;"")),"SIM",""))</f>
        <v/>
      </c>
      <c r="K144" s="15">
        <f>IF(136&lt;=CALC!$D$1,MATCH(136,CALC!$B$2:$B$3001,0),"")</f>
        <v/>
      </c>
    </row>
    <row r="145" ht="17" customHeight="1">
      <c r="A145" s="12">
        <f>IF($K145="","",137)</f>
        <v/>
      </c>
      <c r="B145" s="13">
        <f>IF($K145="","",IF(INDEX(BASELINE!$I$2:$I$3001,$K145)="","",INDEX(BASELINE!$I$2:$I$3001,$K145)))</f>
        <v/>
      </c>
      <c r="C145" s="12">
        <f>IF($K145="","",IF(INDEX(BASELINE!$J$2:$J$3001,$K145)="","",INDEX(BASELINE!$J$2:$J$3001,$K145)))</f>
        <v/>
      </c>
      <c r="D145" s="13">
        <f>IF($K145="","",IF(INDEX(BASELINE!$M$2:$M$3001,$K145)="","",INDEX(BASELINE!$M$2:$M$3001,$K145)))</f>
        <v/>
      </c>
      <c r="E145" s="13">
        <f>IF($K145="","",IF(INDEX(BASELINE!$L$2:$L$3001,$K145)="","",INDEX(BASELINE!$L$2:$L$3001,$K145)))</f>
        <v/>
      </c>
      <c r="F145" s="14">
        <f>IF($K145="","",IF(INDEX(BASELINE!$P$2:$P$3001,$K145)="","",INDEX(BASELINE!$P$2:$P$3001,$K145)))</f>
        <v/>
      </c>
      <c r="G145" s="13">
        <f>IF($K145="","",IF(INDEX(BASELINE!$K$2:$K$3001,$K145)="","",INDEX(BASELINE!$K$2:$K$3001,$K145)))</f>
        <v/>
      </c>
      <c r="H145" s="13">
        <f>IF($K145="","",IF(INDEX(BASELINE!$N$2:$N$3001,$K145)="","",INDEX(BASELINE!$N$2:$N$3001,$K145)))</f>
        <v/>
      </c>
      <c r="I145" s="13">
        <f>IF($K145="","",IF(INDEX(BASELINE!$O$2:$O$3001,$K145)="","",INDEX(BASELINE!$O$2:$O$3001,$K145)))</f>
        <v/>
      </c>
      <c r="J145" s="12">
        <f>IF($K145="","",IF(ISNUMBER(SEARCH("break",INDEX(BASELINE!$T$2:$T$3001,$K145)&amp;"")),"SIM",""))</f>
        <v/>
      </c>
      <c r="K145" s="15">
        <f>IF(137&lt;=CALC!$D$1,MATCH(137,CALC!$B$2:$B$3001,0),"")</f>
        <v/>
      </c>
    </row>
    <row r="146" ht="17" customHeight="1">
      <c r="A146" s="12">
        <f>IF($K146="","",138)</f>
        <v/>
      </c>
      <c r="B146" s="13">
        <f>IF($K146="","",IF(INDEX(BASELINE!$I$2:$I$3001,$K146)="","",INDEX(BASELINE!$I$2:$I$3001,$K146)))</f>
        <v/>
      </c>
      <c r="C146" s="12">
        <f>IF($K146="","",IF(INDEX(BASELINE!$J$2:$J$3001,$K146)="","",INDEX(BASELINE!$J$2:$J$3001,$K146)))</f>
        <v/>
      </c>
      <c r="D146" s="13">
        <f>IF($K146="","",IF(INDEX(BASELINE!$M$2:$M$3001,$K146)="","",INDEX(BASELINE!$M$2:$M$3001,$K146)))</f>
        <v/>
      </c>
      <c r="E146" s="13">
        <f>IF($K146="","",IF(INDEX(BASELINE!$L$2:$L$3001,$K146)="","",INDEX(BASELINE!$L$2:$L$3001,$K146)))</f>
        <v/>
      </c>
      <c r="F146" s="14">
        <f>IF($K146="","",IF(INDEX(BASELINE!$P$2:$P$3001,$K146)="","",INDEX(BASELINE!$P$2:$P$3001,$K146)))</f>
        <v/>
      </c>
      <c r="G146" s="13">
        <f>IF($K146="","",IF(INDEX(BASELINE!$K$2:$K$3001,$K146)="","",INDEX(BASELINE!$K$2:$K$3001,$K146)))</f>
        <v/>
      </c>
      <c r="H146" s="13">
        <f>IF($K146="","",IF(INDEX(BASELINE!$N$2:$N$3001,$K146)="","",INDEX(BASELINE!$N$2:$N$3001,$K146)))</f>
        <v/>
      </c>
      <c r="I146" s="13">
        <f>IF($K146="","",IF(INDEX(BASELINE!$O$2:$O$3001,$K146)="","",INDEX(BASELINE!$O$2:$O$3001,$K146)))</f>
        <v/>
      </c>
      <c r="J146" s="12">
        <f>IF($K146="","",IF(ISNUMBER(SEARCH("break",INDEX(BASELINE!$T$2:$T$3001,$K146)&amp;"")),"SIM",""))</f>
        <v/>
      </c>
      <c r="K146" s="15">
        <f>IF(138&lt;=CALC!$D$1,MATCH(138,CALC!$B$2:$B$3001,0),"")</f>
        <v/>
      </c>
    </row>
    <row r="147" ht="17" customHeight="1">
      <c r="A147" s="12">
        <f>IF($K147="","",139)</f>
        <v/>
      </c>
      <c r="B147" s="13">
        <f>IF($K147="","",IF(INDEX(BASELINE!$I$2:$I$3001,$K147)="","",INDEX(BASELINE!$I$2:$I$3001,$K147)))</f>
        <v/>
      </c>
      <c r="C147" s="12">
        <f>IF($K147="","",IF(INDEX(BASELINE!$J$2:$J$3001,$K147)="","",INDEX(BASELINE!$J$2:$J$3001,$K147)))</f>
        <v/>
      </c>
      <c r="D147" s="13">
        <f>IF($K147="","",IF(INDEX(BASELINE!$M$2:$M$3001,$K147)="","",INDEX(BASELINE!$M$2:$M$3001,$K147)))</f>
        <v/>
      </c>
      <c r="E147" s="13">
        <f>IF($K147="","",IF(INDEX(BASELINE!$L$2:$L$3001,$K147)="","",INDEX(BASELINE!$L$2:$L$3001,$K147)))</f>
        <v/>
      </c>
      <c r="F147" s="14">
        <f>IF($K147="","",IF(INDEX(BASELINE!$P$2:$P$3001,$K147)="","",INDEX(BASELINE!$P$2:$P$3001,$K147)))</f>
        <v/>
      </c>
      <c r="G147" s="13">
        <f>IF($K147="","",IF(INDEX(BASELINE!$K$2:$K$3001,$K147)="","",INDEX(BASELINE!$K$2:$K$3001,$K147)))</f>
        <v/>
      </c>
      <c r="H147" s="13">
        <f>IF($K147="","",IF(INDEX(BASELINE!$N$2:$N$3001,$K147)="","",INDEX(BASELINE!$N$2:$N$3001,$K147)))</f>
        <v/>
      </c>
      <c r="I147" s="13">
        <f>IF($K147="","",IF(INDEX(BASELINE!$O$2:$O$3001,$K147)="","",INDEX(BASELINE!$O$2:$O$3001,$K147)))</f>
        <v/>
      </c>
      <c r="J147" s="12">
        <f>IF($K147="","",IF(ISNUMBER(SEARCH("break",INDEX(BASELINE!$T$2:$T$3001,$K147)&amp;"")),"SIM",""))</f>
        <v/>
      </c>
      <c r="K147" s="15">
        <f>IF(139&lt;=CALC!$D$1,MATCH(139,CALC!$B$2:$B$3001,0),"")</f>
        <v/>
      </c>
    </row>
    <row r="148" ht="17" customHeight="1">
      <c r="A148" s="12">
        <f>IF($K148="","",140)</f>
        <v/>
      </c>
      <c r="B148" s="13">
        <f>IF($K148="","",IF(INDEX(BASELINE!$I$2:$I$3001,$K148)="","",INDEX(BASELINE!$I$2:$I$3001,$K148)))</f>
        <v/>
      </c>
      <c r="C148" s="12">
        <f>IF($K148="","",IF(INDEX(BASELINE!$J$2:$J$3001,$K148)="","",INDEX(BASELINE!$J$2:$J$3001,$K148)))</f>
        <v/>
      </c>
      <c r="D148" s="13">
        <f>IF($K148="","",IF(INDEX(BASELINE!$M$2:$M$3001,$K148)="","",INDEX(BASELINE!$M$2:$M$3001,$K148)))</f>
        <v/>
      </c>
      <c r="E148" s="13">
        <f>IF($K148="","",IF(INDEX(BASELINE!$L$2:$L$3001,$K148)="","",INDEX(BASELINE!$L$2:$L$3001,$K148)))</f>
        <v/>
      </c>
      <c r="F148" s="14">
        <f>IF($K148="","",IF(INDEX(BASELINE!$P$2:$P$3001,$K148)="","",INDEX(BASELINE!$P$2:$P$3001,$K148)))</f>
        <v/>
      </c>
      <c r="G148" s="13">
        <f>IF($K148="","",IF(INDEX(BASELINE!$K$2:$K$3001,$K148)="","",INDEX(BASELINE!$K$2:$K$3001,$K148)))</f>
        <v/>
      </c>
      <c r="H148" s="13">
        <f>IF($K148="","",IF(INDEX(BASELINE!$N$2:$N$3001,$K148)="","",INDEX(BASELINE!$N$2:$N$3001,$K148)))</f>
        <v/>
      </c>
      <c r="I148" s="13">
        <f>IF($K148="","",IF(INDEX(BASELINE!$O$2:$O$3001,$K148)="","",INDEX(BASELINE!$O$2:$O$3001,$K148)))</f>
        <v/>
      </c>
      <c r="J148" s="12">
        <f>IF($K148="","",IF(ISNUMBER(SEARCH("break",INDEX(BASELINE!$T$2:$T$3001,$K148)&amp;"")),"SIM",""))</f>
        <v/>
      </c>
      <c r="K148" s="15">
        <f>IF(140&lt;=CALC!$D$1,MATCH(140,CALC!$B$2:$B$3001,0),"")</f>
        <v/>
      </c>
    </row>
    <row r="149" ht="17" customHeight="1">
      <c r="A149" s="12">
        <f>IF($K149="","",141)</f>
        <v/>
      </c>
      <c r="B149" s="13">
        <f>IF($K149="","",IF(INDEX(BASELINE!$I$2:$I$3001,$K149)="","",INDEX(BASELINE!$I$2:$I$3001,$K149)))</f>
        <v/>
      </c>
      <c r="C149" s="12">
        <f>IF($K149="","",IF(INDEX(BASELINE!$J$2:$J$3001,$K149)="","",INDEX(BASELINE!$J$2:$J$3001,$K149)))</f>
        <v/>
      </c>
      <c r="D149" s="13">
        <f>IF($K149="","",IF(INDEX(BASELINE!$M$2:$M$3001,$K149)="","",INDEX(BASELINE!$M$2:$M$3001,$K149)))</f>
        <v/>
      </c>
      <c r="E149" s="13">
        <f>IF($K149="","",IF(INDEX(BASELINE!$L$2:$L$3001,$K149)="","",INDEX(BASELINE!$L$2:$L$3001,$K149)))</f>
        <v/>
      </c>
      <c r="F149" s="14">
        <f>IF($K149="","",IF(INDEX(BASELINE!$P$2:$P$3001,$K149)="","",INDEX(BASELINE!$P$2:$P$3001,$K149)))</f>
        <v/>
      </c>
      <c r="G149" s="13">
        <f>IF($K149="","",IF(INDEX(BASELINE!$K$2:$K$3001,$K149)="","",INDEX(BASELINE!$K$2:$K$3001,$K149)))</f>
        <v/>
      </c>
      <c r="H149" s="13">
        <f>IF($K149="","",IF(INDEX(BASELINE!$N$2:$N$3001,$K149)="","",INDEX(BASELINE!$N$2:$N$3001,$K149)))</f>
        <v/>
      </c>
      <c r="I149" s="13">
        <f>IF($K149="","",IF(INDEX(BASELINE!$O$2:$O$3001,$K149)="","",INDEX(BASELINE!$O$2:$O$3001,$K149)))</f>
        <v/>
      </c>
      <c r="J149" s="12">
        <f>IF($K149="","",IF(ISNUMBER(SEARCH("break",INDEX(BASELINE!$T$2:$T$3001,$K149)&amp;"")),"SIM",""))</f>
        <v/>
      </c>
      <c r="K149" s="15">
        <f>IF(141&lt;=CALC!$D$1,MATCH(141,CALC!$B$2:$B$3001,0),"")</f>
        <v/>
      </c>
    </row>
    <row r="150" ht="17" customHeight="1">
      <c r="A150" s="12">
        <f>IF($K150="","",142)</f>
        <v/>
      </c>
      <c r="B150" s="13">
        <f>IF($K150="","",IF(INDEX(BASELINE!$I$2:$I$3001,$K150)="","",INDEX(BASELINE!$I$2:$I$3001,$K150)))</f>
        <v/>
      </c>
      <c r="C150" s="12">
        <f>IF($K150="","",IF(INDEX(BASELINE!$J$2:$J$3001,$K150)="","",INDEX(BASELINE!$J$2:$J$3001,$K150)))</f>
        <v/>
      </c>
      <c r="D150" s="13">
        <f>IF($K150="","",IF(INDEX(BASELINE!$M$2:$M$3001,$K150)="","",INDEX(BASELINE!$M$2:$M$3001,$K150)))</f>
        <v/>
      </c>
      <c r="E150" s="13">
        <f>IF($K150="","",IF(INDEX(BASELINE!$L$2:$L$3001,$K150)="","",INDEX(BASELINE!$L$2:$L$3001,$K150)))</f>
        <v/>
      </c>
      <c r="F150" s="14">
        <f>IF($K150="","",IF(INDEX(BASELINE!$P$2:$P$3001,$K150)="","",INDEX(BASELINE!$P$2:$P$3001,$K150)))</f>
        <v/>
      </c>
      <c r="G150" s="13">
        <f>IF($K150="","",IF(INDEX(BASELINE!$K$2:$K$3001,$K150)="","",INDEX(BASELINE!$K$2:$K$3001,$K150)))</f>
        <v/>
      </c>
      <c r="H150" s="13">
        <f>IF($K150="","",IF(INDEX(BASELINE!$N$2:$N$3001,$K150)="","",INDEX(BASELINE!$N$2:$N$3001,$K150)))</f>
        <v/>
      </c>
      <c r="I150" s="13">
        <f>IF($K150="","",IF(INDEX(BASELINE!$O$2:$O$3001,$K150)="","",INDEX(BASELINE!$O$2:$O$3001,$K150)))</f>
        <v/>
      </c>
      <c r="J150" s="12">
        <f>IF($K150="","",IF(ISNUMBER(SEARCH("break",INDEX(BASELINE!$T$2:$T$3001,$K150)&amp;"")),"SIM",""))</f>
        <v/>
      </c>
      <c r="K150" s="15">
        <f>IF(142&lt;=CALC!$D$1,MATCH(142,CALC!$B$2:$B$3001,0),"")</f>
        <v/>
      </c>
    </row>
    <row r="151" ht="17" customHeight="1">
      <c r="A151" s="12">
        <f>IF($K151="","",143)</f>
        <v/>
      </c>
      <c r="B151" s="13">
        <f>IF($K151="","",IF(INDEX(BASELINE!$I$2:$I$3001,$K151)="","",INDEX(BASELINE!$I$2:$I$3001,$K151)))</f>
        <v/>
      </c>
      <c r="C151" s="12">
        <f>IF($K151="","",IF(INDEX(BASELINE!$J$2:$J$3001,$K151)="","",INDEX(BASELINE!$J$2:$J$3001,$K151)))</f>
        <v/>
      </c>
      <c r="D151" s="13">
        <f>IF($K151="","",IF(INDEX(BASELINE!$M$2:$M$3001,$K151)="","",INDEX(BASELINE!$M$2:$M$3001,$K151)))</f>
        <v/>
      </c>
      <c r="E151" s="13">
        <f>IF($K151="","",IF(INDEX(BASELINE!$L$2:$L$3001,$K151)="","",INDEX(BASELINE!$L$2:$L$3001,$K151)))</f>
        <v/>
      </c>
      <c r="F151" s="14">
        <f>IF($K151="","",IF(INDEX(BASELINE!$P$2:$P$3001,$K151)="","",INDEX(BASELINE!$P$2:$P$3001,$K151)))</f>
        <v/>
      </c>
      <c r="G151" s="13">
        <f>IF($K151="","",IF(INDEX(BASELINE!$K$2:$K$3001,$K151)="","",INDEX(BASELINE!$K$2:$K$3001,$K151)))</f>
        <v/>
      </c>
      <c r="H151" s="13">
        <f>IF($K151="","",IF(INDEX(BASELINE!$N$2:$N$3001,$K151)="","",INDEX(BASELINE!$N$2:$N$3001,$K151)))</f>
        <v/>
      </c>
      <c r="I151" s="13">
        <f>IF($K151="","",IF(INDEX(BASELINE!$O$2:$O$3001,$K151)="","",INDEX(BASELINE!$O$2:$O$3001,$K151)))</f>
        <v/>
      </c>
      <c r="J151" s="12">
        <f>IF($K151="","",IF(ISNUMBER(SEARCH("break",INDEX(BASELINE!$T$2:$T$3001,$K151)&amp;"")),"SIM",""))</f>
        <v/>
      </c>
      <c r="K151" s="15">
        <f>IF(143&lt;=CALC!$D$1,MATCH(143,CALC!$B$2:$B$3001,0),"")</f>
        <v/>
      </c>
    </row>
    <row r="152" ht="17" customHeight="1">
      <c r="A152" s="12">
        <f>IF($K152="","",144)</f>
        <v/>
      </c>
      <c r="B152" s="13">
        <f>IF($K152="","",IF(INDEX(BASELINE!$I$2:$I$3001,$K152)="","",INDEX(BASELINE!$I$2:$I$3001,$K152)))</f>
        <v/>
      </c>
      <c r="C152" s="12">
        <f>IF($K152="","",IF(INDEX(BASELINE!$J$2:$J$3001,$K152)="","",INDEX(BASELINE!$J$2:$J$3001,$K152)))</f>
        <v/>
      </c>
      <c r="D152" s="13">
        <f>IF($K152="","",IF(INDEX(BASELINE!$M$2:$M$3001,$K152)="","",INDEX(BASELINE!$M$2:$M$3001,$K152)))</f>
        <v/>
      </c>
      <c r="E152" s="13">
        <f>IF($K152="","",IF(INDEX(BASELINE!$L$2:$L$3001,$K152)="","",INDEX(BASELINE!$L$2:$L$3001,$K152)))</f>
        <v/>
      </c>
      <c r="F152" s="14">
        <f>IF($K152="","",IF(INDEX(BASELINE!$P$2:$P$3001,$K152)="","",INDEX(BASELINE!$P$2:$P$3001,$K152)))</f>
        <v/>
      </c>
      <c r="G152" s="13">
        <f>IF($K152="","",IF(INDEX(BASELINE!$K$2:$K$3001,$K152)="","",INDEX(BASELINE!$K$2:$K$3001,$K152)))</f>
        <v/>
      </c>
      <c r="H152" s="13">
        <f>IF($K152="","",IF(INDEX(BASELINE!$N$2:$N$3001,$K152)="","",INDEX(BASELINE!$N$2:$N$3001,$K152)))</f>
        <v/>
      </c>
      <c r="I152" s="13">
        <f>IF($K152="","",IF(INDEX(BASELINE!$O$2:$O$3001,$K152)="","",INDEX(BASELINE!$O$2:$O$3001,$K152)))</f>
        <v/>
      </c>
      <c r="J152" s="12">
        <f>IF($K152="","",IF(ISNUMBER(SEARCH("break",INDEX(BASELINE!$T$2:$T$3001,$K152)&amp;"")),"SIM",""))</f>
        <v/>
      </c>
      <c r="K152" s="15">
        <f>IF(144&lt;=CALC!$D$1,MATCH(144,CALC!$B$2:$B$3001,0),"")</f>
        <v/>
      </c>
    </row>
    <row r="153" ht="17" customHeight="1">
      <c r="A153" s="12">
        <f>IF($K153="","",145)</f>
        <v/>
      </c>
      <c r="B153" s="13">
        <f>IF($K153="","",IF(INDEX(BASELINE!$I$2:$I$3001,$K153)="","",INDEX(BASELINE!$I$2:$I$3001,$K153)))</f>
        <v/>
      </c>
      <c r="C153" s="12">
        <f>IF($K153="","",IF(INDEX(BASELINE!$J$2:$J$3001,$K153)="","",INDEX(BASELINE!$J$2:$J$3001,$K153)))</f>
        <v/>
      </c>
      <c r="D153" s="13">
        <f>IF($K153="","",IF(INDEX(BASELINE!$M$2:$M$3001,$K153)="","",INDEX(BASELINE!$M$2:$M$3001,$K153)))</f>
        <v/>
      </c>
      <c r="E153" s="13">
        <f>IF($K153="","",IF(INDEX(BASELINE!$L$2:$L$3001,$K153)="","",INDEX(BASELINE!$L$2:$L$3001,$K153)))</f>
        <v/>
      </c>
      <c r="F153" s="14">
        <f>IF($K153="","",IF(INDEX(BASELINE!$P$2:$P$3001,$K153)="","",INDEX(BASELINE!$P$2:$P$3001,$K153)))</f>
        <v/>
      </c>
      <c r="G153" s="13">
        <f>IF($K153="","",IF(INDEX(BASELINE!$K$2:$K$3001,$K153)="","",INDEX(BASELINE!$K$2:$K$3001,$K153)))</f>
        <v/>
      </c>
      <c r="H153" s="13">
        <f>IF($K153="","",IF(INDEX(BASELINE!$N$2:$N$3001,$K153)="","",INDEX(BASELINE!$N$2:$N$3001,$K153)))</f>
        <v/>
      </c>
      <c r="I153" s="13">
        <f>IF($K153="","",IF(INDEX(BASELINE!$O$2:$O$3001,$K153)="","",INDEX(BASELINE!$O$2:$O$3001,$K153)))</f>
        <v/>
      </c>
      <c r="J153" s="12">
        <f>IF($K153="","",IF(ISNUMBER(SEARCH("break",INDEX(BASELINE!$T$2:$T$3001,$K153)&amp;"")),"SIM",""))</f>
        <v/>
      </c>
      <c r="K153" s="15">
        <f>IF(145&lt;=CALC!$D$1,MATCH(145,CALC!$B$2:$B$3001,0),"")</f>
        <v/>
      </c>
    </row>
    <row r="154" ht="17" customHeight="1">
      <c r="A154" s="12">
        <f>IF($K154="","",146)</f>
        <v/>
      </c>
      <c r="B154" s="13">
        <f>IF($K154="","",IF(INDEX(BASELINE!$I$2:$I$3001,$K154)="","",INDEX(BASELINE!$I$2:$I$3001,$K154)))</f>
        <v/>
      </c>
      <c r="C154" s="12">
        <f>IF($K154="","",IF(INDEX(BASELINE!$J$2:$J$3001,$K154)="","",INDEX(BASELINE!$J$2:$J$3001,$K154)))</f>
        <v/>
      </c>
      <c r="D154" s="13">
        <f>IF($K154="","",IF(INDEX(BASELINE!$M$2:$M$3001,$K154)="","",INDEX(BASELINE!$M$2:$M$3001,$K154)))</f>
        <v/>
      </c>
      <c r="E154" s="13">
        <f>IF($K154="","",IF(INDEX(BASELINE!$L$2:$L$3001,$K154)="","",INDEX(BASELINE!$L$2:$L$3001,$K154)))</f>
        <v/>
      </c>
      <c r="F154" s="14">
        <f>IF($K154="","",IF(INDEX(BASELINE!$P$2:$P$3001,$K154)="","",INDEX(BASELINE!$P$2:$P$3001,$K154)))</f>
        <v/>
      </c>
      <c r="G154" s="13">
        <f>IF($K154="","",IF(INDEX(BASELINE!$K$2:$K$3001,$K154)="","",INDEX(BASELINE!$K$2:$K$3001,$K154)))</f>
        <v/>
      </c>
      <c r="H154" s="13">
        <f>IF($K154="","",IF(INDEX(BASELINE!$N$2:$N$3001,$K154)="","",INDEX(BASELINE!$N$2:$N$3001,$K154)))</f>
        <v/>
      </c>
      <c r="I154" s="13">
        <f>IF($K154="","",IF(INDEX(BASELINE!$O$2:$O$3001,$K154)="","",INDEX(BASELINE!$O$2:$O$3001,$K154)))</f>
        <v/>
      </c>
      <c r="J154" s="12">
        <f>IF($K154="","",IF(ISNUMBER(SEARCH("break",INDEX(BASELINE!$T$2:$T$3001,$K154)&amp;"")),"SIM",""))</f>
        <v/>
      </c>
      <c r="K154" s="15">
        <f>IF(146&lt;=CALC!$D$1,MATCH(146,CALC!$B$2:$B$3001,0),"")</f>
        <v/>
      </c>
    </row>
    <row r="155" ht="17" customHeight="1">
      <c r="A155" s="12">
        <f>IF($K155="","",147)</f>
        <v/>
      </c>
      <c r="B155" s="13">
        <f>IF($K155="","",IF(INDEX(BASELINE!$I$2:$I$3001,$K155)="","",INDEX(BASELINE!$I$2:$I$3001,$K155)))</f>
        <v/>
      </c>
      <c r="C155" s="12">
        <f>IF($K155="","",IF(INDEX(BASELINE!$J$2:$J$3001,$K155)="","",INDEX(BASELINE!$J$2:$J$3001,$K155)))</f>
        <v/>
      </c>
      <c r="D155" s="13">
        <f>IF($K155="","",IF(INDEX(BASELINE!$M$2:$M$3001,$K155)="","",INDEX(BASELINE!$M$2:$M$3001,$K155)))</f>
        <v/>
      </c>
      <c r="E155" s="13">
        <f>IF($K155="","",IF(INDEX(BASELINE!$L$2:$L$3001,$K155)="","",INDEX(BASELINE!$L$2:$L$3001,$K155)))</f>
        <v/>
      </c>
      <c r="F155" s="14">
        <f>IF($K155="","",IF(INDEX(BASELINE!$P$2:$P$3001,$K155)="","",INDEX(BASELINE!$P$2:$P$3001,$K155)))</f>
        <v/>
      </c>
      <c r="G155" s="13">
        <f>IF($K155="","",IF(INDEX(BASELINE!$K$2:$K$3001,$K155)="","",INDEX(BASELINE!$K$2:$K$3001,$K155)))</f>
        <v/>
      </c>
      <c r="H155" s="13">
        <f>IF($K155="","",IF(INDEX(BASELINE!$N$2:$N$3001,$K155)="","",INDEX(BASELINE!$N$2:$N$3001,$K155)))</f>
        <v/>
      </c>
      <c r="I155" s="13">
        <f>IF($K155="","",IF(INDEX(BASELINE!$O$2:$O$3001,$K155)="","",INDEX(BASELINE!$O$2:$O$3001,$K155)))</f>
        <v/>
      </c>
      <c r="J155" s="12">
        <f>IF($K155="","",IF(ISNUMBER(SEARCH("break",INDEX(BASELINE!$T$2:$T$3001,$K155)&amp;"")),"SIM",""))</f>
        <v/>
      </c>
      <c r="K155" s="15">
        <f>IF(147&lt;=CALC!$D$1,MATCH(147,CALC!$B$2:$B$3001,0),"")</f>
        <v/>
      </c>
    </row>
    <row r="156" ht="17" customHeight="1">
      <c r="A156" s="12">
        <f>IF($K156="","",148)</f>
        <v/>
      </c>
      <c r="B156" s="13">
        <f>IF($K156="","",IF(INDEX(BASELINE!$I$2:$I$3001,$K156)="","",INDEX(BASELINE!$I$2:$I$3001,$K156)))</f>
        <v/>
      </c>
      <c r="C156" s="12">
        <f>IF($K156="","",IF(INDEX(BASELINE!$J$2:$J$3001,$K156)="","",INDEX(BASELINE!$J$2:$J$3001,$K156)))</f>
        <v/>
      </c>
      <c r="D156" s="13">
        <f>IF($K156="","",IF(INDEX(BASELINE!$M$2:$M$3001,$K156)="","",INDEX(BASELINE!$M$2:$M$3001,$K156)))</f>
        <v/>
      </c>
      <c r="E156" s="13">
        <f>IF($K156="","",IF(INDEX(BASELINE!$L$2:$L$3001,$K156)="","",INDEX(BASELINE!$L$2:$L$3001,$K156)))</f>
        <v/>
      </c>
      <c r="F156" s="14">
        <f>IF($K156="","",IF(INDEX(BASELINE!$P$2:$P$3001,$K156)="","",INDEX(BASELINE!$P$2:$P$3001,$K156)))</f>
        <v/>
      </c>
      <c r="G156" s="13">
        <f>IF($K156="","",IF(INDEX(BASELINE!$K$2:$K$3001,$K156)="","",INDEX(BASELINE!$K$2:$K$3001,$K156)))</f>
        <v/>
      </c>
      <c r="H156" s="13">
        <f>IF($K156="","",IF(INDEX(BASELINE!$N$2:$N$3001,$K156)="","",INDEX(BASELINE!$N$2:$N$3001,$K156)))</f>
        <v/>
      </c>
      <c r="I156" s="13">
        <f>IF($K156="","",IF(INDEX(BASELINE!$O$2:$O$3001,$K156)="","",INDEX(BASELINE!$O$2:$O$3001,$K156)))</f>
        <v/>
      </c>
      <c r="J156" s="12">
        <f>IF($K156="","",IF(ISNUMBER(SEARCH("break",INDEX(BASELINE!$T$2:$T$3001,$K156)&amp;"")),"SIM",""))</f>
        <v/>
      </c>
      <c r="K156" s="15">
        <f>IF(148&lt;=CALC!$D$1,MATCH(148,CALC!$B$2:$B$3001,0),"")</f>
        <v/>
      </c>
    </row>
    <row r="157" ht="17" customHeight="1">
      <c r="A157" s="12">
        <f>IF($K157="","",149)</f>
        <v/>
      </c>
      <c r="B157" s="13">
        <f>IF($K157="","",IF(INDEX(BASELINE!$I$2:$I$3001,$K157)="","",INDEX(BASELINE!$I$2:$I$3001,$K157)))</f>
        <v/>
      </c>
      <c r="C157" s="12">
        <f>IF($K157="","",IF(INDEX(BASELINE!$J$2:$J$3001,$K157)="","",INDEX(BASELINE!$J$2:$J$3001,$K157)))</f>
        <v/>
      </c>
      <c r="D157" s="13">
        <f>IF($K157="","",IF(INDEX(BASELINE!$M$2:$M$3001,$K157)="","",INDEX(BASELINE!$M$2:$M$3001,$K157)))</f>
        <v/>
      </c>
      <c r="E157" s="13">
        <f>IF($K157="","",IF(INDEX(BASELINE!$L$2:$L$3001,$K157)="","",INDEX(BASELINE!$L$2:$L$3001,$K157)))</f>
        <v/>
      </c>
      <c r="F157" s="14">
        <f>IF($K157="","",IF(INDEX(BASELINE!$P$2:$P$3001,$K157)="","",INDEX(BASELINE!$P$2:$P$3001,$K157)))</f>
        <v/>
      </c>
      <c r="G157" s="13">
        <f>IF($K157="","",IF(INDEX(BASELINE!$K$2:$K$3001,$K157)="","",INDEX(BASELINE!$K$2:$K$3001,$K157)))</f>
        <v/>
      </c>
      <c r="H157" s="13">
        <f>IF($K157="","",IF(INDEX(BASELINE!$N$2:$N$3001,$K157)="","",INDEX(BASELINE!$N$2:$N$3001,$K157)))</f>
        <v/>
      </c>
      <c r="I157" s="13">
        <f>IF($K157="","",IF(INDEX(BASELINE!$O$2:$O$3001,$K157)="","",INDEX(BASELINE!$O$2:$O$3001,$K157)))</f>
        <v/>
      </c>
      <c r="J157" s="12">
        <f>IF($K157="","",IF(ISNUMBER(SEARCH("break",INDEX(BASELINE!$T$2:$T$3001,$K157)&amp;"")),"SIM",""))</f>
        <v/>
      </c>
      <c r="K157" s="15">
        <f>IF(149&lt;=CALC!$D$1,MATCH(149,CALC!$B$2:$B$3001,0),"")</f>
        <v/>
      </c>
    </row>
    <row r="158" ht="17" customHeight="1">
      <c r="A158" s="12">
        <f>IF($K158="","",150)</f>
        <v/>
      </c>
      <c r="B158" s="13">
        <f>IF($K158="","",IF(INDEX(BASELINE!$I$2:$I$3001,$K158)="","",INDEX(BASELINE!$I$2:$I$3001,$K158)))</f>
        <v/>
      </c>
      <c r="C158" s="12">
        <f>IF($K158="","",IF(INDEX(BASELINE!$J$2:$J$3001,$K158)="","",INDEX(BASELINE!$J$2:$J$3001,$K158)))</f>
        <v/>
      </c>
      <c r="D158" s="13">
        <f>IF($K158="","",IF(INDEX(BASELINE!$M$2:$M$3001,$K158)="","",INDEX(BASELINE!$M$2:$M$3001,$K158)))</f>
        <v/>
      </c>
      <c r="E158" s="13">
        <f>IF($K158="","",IF(INDEX(BASELINE!$L$2:$L$3001,$K158)="","",INDEX(BASELINE!$L$2:$L$3001,$K158)))</f>
        <v/>
      </c>
      <c r="F158" s="14">
        <f>IF($K158="","",IF(INDEX(BASELINE!$P$2:$P$3001,$K158)="","",INDEX(BASELINE!$P$2:$P$3001,$K158)))</f>
        <v/>
      </c>
      <c r="G158" s="13">
        <f>IF($K158="","",IF(INDEX(BASELINE!$K$2:$K$3001,$K158)="","",INDEX(BASELINE!$K$2:$K$3001,$K158)))</f>
        <v/>
      </c>
      <c r="H158" s="13">
        <f>IF($K158="","",IF(INDEX(BASELINE!$N$2:$N$3001,$K158)="","",INDEX(BASELINE!$N$2:$N$3001,$K158)))</f>
        <v/>
      </c>
      <c r="I158" s="13">
        <f>IF($K158="","",IF(INDEX(BASELINE!$O$2:$O$3001,$K158)="","",INDEX(BASELINE!$O$2:$O$3001,$K158)))</f>
        <v/>
      </c>
      <c r="J158" s="12">
        <f>IF($K158="","",IF(ISNUMBER(SEARCH("break",INDEX(BASELINE!$T$2:$T$3001,$K158)&amp;"")),"SIM",""))</f>
        <v/>
      </c>
      <c r="K158" s="15">
        <f>IF(150&lt;=CALC!$D$1,MATCH(150,CALC!$B$2:$B$3001,0),"")</f>
        <v/>
      </c>
    </row>
  </sheetData>
  <mergeCells count="5">
    <mergeCell ref="G4:H4"/>
    <mergeCell ref="G5:H5"/>
    <mergeCell ref="A3:C3"/>
    <mergeCell ref="A4:C4"/>
    <mergeCell ref="G3:H3"/>
  </mergeCells>
  <conditionalFormatting sqref="J9:J158">
    <cfRule type="expression" priority="1" dxfId="0">
      <formula>J9="SIM"</formula>
    </cfRule>
  </conditionalFormatting>
  <conditionalFormatting sqref="A9:I158">
    <cfRule type="expression" priority="2" dxfId="1">
      <formula>AND($K9&lt;&gt;"",MOD($A9,2)=0)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>
      <c r="B2" s="16" t="inlineStr">
        <is>
          <t>COMO ATUALIZAR TODO DIA</t>
        </is>
      </c>
    </row>
    <row r="3">
      <c r="B3" s="17" t="inlineStr">
        <is>
          <t>1</t>
        </is>
      </c>
      <c r="C3" s="18" t="inlineStr">
        <is>
          <t>Na aba BASELINE, apague os dados antigos (linha 2 em diante) e cole a exportação atualizada nas colunas A:T, mantendo a ordem das colunas.</t>
        </is>
      </c>
    </row>
    <row r="4">
      <c r="B4" s="17" t="inlineStr">
        <is>
          <t>2</t>
        </is>
      </c>
      <c r="C4" s="18" t="inlineStr">
        <is>
          <t>Na aba SIMOPS, confira a data em D3 (padrão: amanhã). Para outro dia, digite a data.</t>
        </is>
      </c>
    </row>
    <row r="5">
      <c r="B5" s="17" t="inlineStr">
        <is>
          <t>3</t>
        </is>
      </c>
      <c r="C5" s="18" t="inlineStr">
        <is>
          <t>Pronto: a lista, os HH e as marcações se atualizam sozinhos. Imprima ou exporte em PDF para a reunião.</t>
        </is>
      </c>
    </row>
    <row r="6">
      <c r="B6" s="17" t="inlineStr"/>
      <c r="C6" s="18" t="inlineStr"/>
    </row>
    <row r="7">
      <c r="B7" s="16" t="inlineStr">
        <is>
          <t>REGRAS USADAS (por operação)</t>
        </is>
      </c>
    </row>
    <row r="8">
      <c r="B8" s="17" t="inlineStr">
        <is>
          <t>Entra na lista</t>
        </is>
      </c>
      <c r="C8" s="18" t="inlineStr">
        <is>
          <t>Data oficial = coluna 'Reprogramado' (se preenchida com data); senão, 'Data Prog.'. Entra a operação cuja data oficial é igual à data de execução (D3). Ordens ENCERRADAS ficam sempre de fora.</t>
        </is>
      </c>
    </row>
    <row r="9">
      <c r="B9" s="17" t="inlineStr">
        <is>
          <t>BREAK-IN</t>
        </is>
      </c>
      <c r="C9" s="18" t="inlineStr">
        <is>
          <t>Palavra 'break' na coluna Comentários.</t>
        </is>
      </c>
    </row>
    <row r="10">
      <c r="B10" s="17" t="inlineStr"/>
      <c r="C10" s="18" t="inlineStr"/>
    </row>
    <row r="11">
      <c r="B11" s="16" t="inlineStr">
        <is>
          <t>OBSERVAÇÕES</t>
        </is>
      </c>
    </row>
    <row r="12">
      <c r="B12" s="17" t="inlineStr">
        <is>
          <t>Colunas usadas</t>
        </is>
      </c>
      <c r="C12" s="18" t="inlineStr">
        <is>
          <t>Reprogramado (se existir, pelo nome do cabeçalho) e E Data Prog., I Ordem, J Operação, K Cen.trab., L Txt. operação, M Texto breve, N Local, O Denominação LI, P Trabalho (HH), T Comentários, D Status.</t>
        </is>
      </c>
    </row>
    <row r="13">
      <c r="B13" s="17" t="inlineStr">
        <is>
          <t>Capacidade</t>
        </is>
      </c>
      <c r="C13" s="18" t="inlineStr">
        <is>
          <t>Até 3.000 linhas na BASELINE e 150 operações por dia na lista SIMOPS.</t>
        </is>
      </c>
    </row>
    <row r="14">
      <c r="B14" s="17" t="inlineStr">
        <is>
          <t>Aba CALC</t>
        </is>
      </c>
      <c r="C14" s="18" t="inlineStr">
        <is>
          <t>Auxiliar (oculta). Não editar.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0" customWidth="1" min="12" max="12"/>
    <col width="40" customWidth="1" min="13" max="13"/>
    <col width="26" customWidth="1" min="14" max="14"/>
    <col width="30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9" t="n"/>
      <c r="B1" s="19" t="inlineStr">
        <is>
          <t>x</t>
        </is>
      </c>
      <c r="C1" s="19" t="inlineStr">
        <is>
          <t>Ordem</t>
        </is>
      </c>
      <c r="D1" s="19" t="inlineStr">
        <is>
          <t>Status</t>
        </is>
      </c>
      <c r="E1" s="19" t="inlineStr">
        <is>
          <t>Data Prog.</t>
        </is>
      </c>
      <c r="F1" s="19" t="inlineStr">
        <is>
          <t>P.</t>
        </is>
      </c>
      <c r="G1" s="19" t="inlineStr">
        <is>
          <t>C.</t>
        </is>
      </c>
      <c r="H1" s="19" t="inlineStr">
        <is>
          <t>Data planejada</t>
        </is>
      </c>
      <c r="I1" s="19" t="inlineStr">
        <is>
          <t>Ordem</t>
        </is>
      </c>
      <c r="J1" s="19" t="inlineStr">
        <is>
          <t>Operação</t>
        </is>
      </c>
      <c r="K1" s="19" t="inlineStr">
        <is>
          <t>Cen.trab.operação</t>
        </is>
      </c>
      <c r="L1" s="19" t="inlineStr">
        <is>
          <t>Txt.breve operação</t>
        </is>
      </c>
      <c r="M1" s="19" t="inlineStr">
        <is>
          <t>Texto breve</t>
        </is>
      </c>
      <c r="N1" s="19" t="inlineStr">
        <is>
          <t>Local de instalação</t>
        </is>
      </c>
      <c r="O1" s="19" t="inlineStr">
        <is>
          <t>Denominação do LI</t>
        </is>
      </c>
      <c r="P1" s="19" t="inlineStr">
        <is>
          <t>Trabalho</t>
        </is>
      </c>
      <c r="Q1" s="19" t="inlineStr">
        <is>
          <t>Status do usuario</t>
        </is>
      </c>
      <c r="R1" s="19" t="inlineStr">
        <is>
          <t>Tipo de Atividade</t>
        </is>
      </c>
      <c r="S1" s="19" t="inlineStr">
        <is>
          <t>Conclusão Desejada</t>
        </is>
      </c>
      <c r="T1" s="19" t="inlineStr">
        <is>
          <t>Comentários</t>
        </is>
      </c>
    </row>
    <row r="2">
      <c r="A2" t="inlineStr">
        <is>
          <t>INS</t>
        </is>
      </c>
      <c r="B2" t="inlineStr">
        <is>
          <t>434992210</t>
        </is>
      </c>
      <c r="C2" t="n">
        <v>4349922</v>
      </c>
      <c r="D2" t="inlineStr">
        <is>
          <t>ABERTA</t>
        </is>
      </c>
      <c r="E2" s="20" t="n">
        <v>46325</v>
      </c>
      <c r="F2" t="n">
        <v>4</v>
      </c>
      <c r="G2" t="n">
        <v>2</v>
      </c>
      <c r="I2" t="n">
        <v>4349922</v>
      </c>
      <c r="J2" t="n">
        <v>10</v>
      </c>
      <c r="K2" t="inlineStr">
        <is>
          <t>INS</t>
        </is>
      </c>
      <c r="L2" t="inlineStr">
        <is>
          <t>Verificar as pressões hidráulicas</t>
        </is>
      </c>
      <c r="M2" t="inlineStr">
        <is>
          <t>Checagem do sistema hidráulico K60E</t>
        </is>
      </c>
      <c r="N2" t="inlineStr">
        <is>
          <t>1349-73MA001</t>
        </is>
      </c>
      <c r="P2" t="n">
        <v>3</v>
      </c>
      <c r="Q2" t="inlineStr">
        <is>
          <t>VEND</t>
        </is>
      </c>
      <c r="R2" t="inlineStr">
        <is>
          <t>Z12</t>
        </is>
      </c>
      <c r="S2" s="20" t="n">
        <v>46378</v>
      </c>
    </row>
    <row r="3">
      <c r="A3" t="inlineStr">
        <is>
          <t>INS</t>
        </is>
      </c>
      <c r="B3" t="inlineStr">
        <is>
          <t>434992220</t>
        </is>
      </c>
      <c r="C3" t="n">
        <v>4349922</v>
      </c>
      <c r="D3" t="inlineStr">
        <is>
          <t>ABERTA</t>
        </is>
      </c>
      <c r="E3" s="20" t="n">
        <v>46325</v>
      </c>
      <c r="F3" t="n">
        <v>4</v>
      </c>
      <c r="G3" t="n">
        <v>2</v>
      </c>
      <c r="I3" t="n">
        <v>4349922</v>
      </c>
      <c r="J3" t="n">
        <v>20</v>
      </c>
      <c r="K3" t="inlineStr">
        <is>
          <t>INS</t>
        </is>
      </c>
      <c r="L3" t="inlineStr">
        <is>
          <t>Ajustar as pressões hidráulicas</t>
        </is>
      </c>
      <c r="M3" t="inlineStr">
        <is>
          <t>Checagem do sistema hidráulico K60E</t>
        </is>
      </c>
      <c r="N3" t="inlineStr">
        <is>
          <t>1349-73MA001</t>
        </is>
      </c>
      <c r="P3" t="n">
        <v>3</v>
      </c>
      <c r="Q3" t="inlineStr">
        <is>
          <t>VEND</t>
        </is>
      </c>
      <c r="R3" t="inlineStr">
        <is>
          <t>Z12</t>
        </is>
      </c>
      <c r="S3" s="20" t="n">
        <v>46378</v>
      </c>
    </row>
    <row r="4">
      <c r="A4" t="inlineStr">
        <is>
          <t>AUT</t>
        </is>
      </c>
      <c r="B4" t="inlineStr">
        <is>
          <t>434992310</t>
        </is>
      </c>
      <c r="C4" t="n">
        <v>4349923</v>
      </c>
      <c r="D4" t="inlineStr">
        <is>
          <t>ABERTA</t>
        </is>
      </c>
      <c r="E4" s="20" t="n">
        <v>46326</v>
      </c>
      <c r="F4" t="n">
        <v>4</v>
      </c>
      <c r="G4" t="n">
        <v>2</v>
      </c>
      <c r="I4" t="n">
        <v>4349923</v>
      </c>
      <c r="J4" t="n">
        <v>10</v>
      </c>
      <c r="K4" t="inlineStr">
        <is>
          <t>AUT</t>
        </is>
      </c>
      <c r="L4" t="inlineStr">
        <is>
          <t>Inspeção no sistema hidráulico</t>
        </is>
      </c>
      <c r="M4" t="inlineStr">
        <is>
          <t>Checagem do sistema hidráulico K60W</t>
        </is>
      </c>
      <c r="N4" t="inlineStr">
        <is>
          <t>1349-73MA002</t>
        </is>
      </c>
      <c r="P4" t="n">
        <v>5</v>
      </c>
      <c r="Q4" t="inlineStr">
        <is>
          <t>VEND</t>
        </is>
      </c>
      <c r="R4" t="inlineStr">
        <is>
          <t>Z12</t>
        </is>
      </c>
      <c r="S4" s="20" t="n">
        <v>46378</v>
      </c>
    </row>
    <row r="5">
      <c r="A5" t="inlineStr">
        <is>
          <t>AUT</t>
        </is>
      </c>
      <c r="B5" t="inlineStr">
        <is>
          <t>435007110</t>
        </is>
      </c>
      <c r="C5" t="n">
        <v>4350071</v>
      </c>
      <c r="D5" t="inlineStr">
        <is>
          <t>ABERTA</t>
        </is>
      </c>
      <c r="E5" s="20" t="n">
        <v>46319</v>
      </c>
      <c r="F5" t="n">
        <v>4</v>
      </c>
      <c r="G5" t="n">
        <v>2</v>
      </c>
      <c r="I5" t="n">
        <v>4350071</v>
      </c>
      <c r="J5" t="n">
        <v>10</v>
      </c>
      <c r="K5" t="inlineStr">
        <is>
          <t>AUT</t>
        </is>
      </c>
      <c r="L5" t="inlineStr">
        <is>
          <t>troubleshooting</t>
        </is>
      </c>
      <c r="M5" t="inlineStr">
        <is>
          <t>Camera Visible/Thermal com avaria</t>
        </is>
      </c>
      <c r="N5" t="inlineStr">
        <is>
          <t>1349-86RCN1004</t>
        </is>
      </c>
      <c r="P5" t="n">
        <v>5</v>
      </c>
      <c r="Q5" t="inlineStr">
        <is>
          <t>DPRO</t>
        </is>
      </c>
      <c r="R5" t="inlineStr">
        <is>
          <t>Z12</t>
        </is>
      </c>
      <c r="S5" s="20" t="n">
        <v>46319</v>
      </c>
    </row>
    <row r="6">
      <c r="A6" t="inlineStr">
        <is>
          <t>INT</t>
        </is>
      </c>
      <c r="B6" t="inlineStr">
        <is>
          <t>428524310</t>
        </is>
      </c>
      <c r="C6" t="n">
        <v>4285243</v>
      </c>
      <c r="D6" t="inlineStr">
        <is>
          <t>ENCERRADA</t>
        </is>
      </c>
      <c r="E6" s="20" t="n">
        <v>46317</v>
      </c>
      <c r="F6" t="n">
        <v>6</v>
      </c>
      <c r="G6" t="n">
        <v>3</v>
      </c>
      <c r="I6" t="n">
        <v>4285243</v>
      </c>
      <c r="J6" t="n">
        <v>10</v>
      </c>
      <c r="K6" t="inlineStr">
        <is>
          <t>INT</t>
        </is>
      </c>
      <c r="L6" t="inlineStr">
        <is>
          <t>Medidor de espessura do SPIE</t>
        </is>
      </c>
      <c r="M6" t="inlineStr">
        <is>
          <t>Medidor de espessura do SPIE</t>
        </is>
      </c>
      <c r="N6" t="n">
        <v>1349</v>
      </c>
      <c r="P6" t="n">
        <v>0</v>
      </c>
      <c r="Q6" t="inlineStr">
        <is>
          <t>AMAT</t>
        </is>
      </c>
      <c r="R6" t="inlineStr">
        <is>
          <t>Z07</t>
        </is>
      </c>
      <c r="S6" s="20" t="n">
        <v>46317</v>
      </c>
    </row>
    <row r="7">
      <c r="A7" t="inlineStr">
        <is>
          <t>MAR</t>
        </is>
      </c>
      <c r="B7" t="inlineStr">
        <is>
          <t>435552810</t>
        </is>
      </c>
      <c r="C7" t="n">
        <v>4355528</v>
      </c>
      <c r="D7" t="inlineStr">
        <is>
          <t>LIBERADA</t>
        </is>
      </c>
      <c r="E7" s="20" t="n">
        <v>46312</v>
      </c>
      <c r="F7" t="n">
        <v>4</v>
      </c>
      <c r="G7" t="n">
        <v>1</v>
      </c>
      <c r="I7" t="n">
        <v>4355528</v>
      </c>
      <c r="J7" t="n">
        <v>10</v>
      </c>
      <c r="K7" t="inlineStr">
        <is>
          <t>MAR</t>
        </is>
      </c>
      <c r="L7" t="inlineStr">
        <is>
          <t>Check do cilindro de ar</t>
        </is>
      </c>
      <c r="M7" t="inlineStr">
        <is>
          <t>Air Starter Baleeira 1 c/ pressão baixa</t>
        </is>
      </c>
      <c r="N7" t="inlineStr">
        <is>
          <t>1349-76SA001</t>
        </is>
      </c>
      <c r="P7" t="n">
        <v>1</v>
      </c>
      <c r="Q7" t="inlineStr">
        <is>
          <t>DPRO</t>
        </is>
      </c>
      <c r="R7" t="inlineStr">
        <is>
          <t>Z12</t>
        </is>
      </c>
      <c r="S7" s="20" t="n">
        <v>46312</v>
      </c>
    </row>
    <row r="8">
      <c r="A8" t="inlineStr">
        <is>
          <t>MAR</t>
        </is>
      </c>
      <c r="B8" t="inlineStr">
        <is>
          <t>435552820</t>
        </is>
      </c>
      <c r="C8" t="n">
        <v>4355528</v>
      </c>
      <c r="D8" t="inlineStr">
        <is>
          <t>LIBERADA</t>
        </is>
      </c>
      <c r="E8" s="20" t="n">
        <v>46312</v>
      </c>
      <c r="F8" t="n">
        <v>4</v>
      </c>
      <c r="G8" t="n">
        <v>1</v>
      </c>
      <c r="I8" t="n">
        <v>4355528</v>
      </c>
      <c r="J8" t="n">
        <v>20</v>
      </c>
      <c r="K8" t="inlineStr">
        <is>
          <t>MAR</t>
        </is>
      </c>
      <c r="L8" t="inlineStr">
        <is>
          <t>Trocar o cilindro por um novo</t>
        </is>
      </c>
      <c r="M8" t="inlineStr">
        <is>
          <t>Air Starter Baleeira 1 c/ pressão baixa</t>
        </is>
      </c>
      <c r="N8" t="inlineStr">
        <is>
          <t>1349-76SA001</t>
        </is>
      </c>
      <c r="P8" t="n">
        <v>2</v>
      </c>
      <c r="Q8" t="inlineStr">
        <is>
          <t>DPRO</t>
        </is>
      </c>
      <c r="R8" t="inlineStr">
        <is>
          <t>Z12</t>
        </is>
      </c>
      <c r="S8" s="20" t="n">
        <v>46312</v>
      </c>
    </row>
    <row r="9">
      <c r="A9" t="inlineStr">
        <is>
          <t>AUT</t>
        </is>
      </c>
      <c r="B9" t="inlineStr">
        <is>
          <t>428816410</t>
        </is>
      </c>
      <c r="C9" t="n">
        <v>4288164</v>
      </c>
      <c r="D9" t="inlineStr">
        <is>
          <t>ENCERRADA</t>
        </is>
      </c>
      <c r="E9" s="20" t="n">
        <v>46323</v>
      </c>
      <c r="F9" t="n">
        <v>6</v>
      </c>
      <c r="G9" t="n">
        <v>3</v>
      </c>
      <c r="I9" t="n">
        <v>4288164</v>
      </c>
      <c r="J9" t="n">
        <v>10</v>
      </c>
      <c r="K9" t="inlineStr">
        <is>
          <t>POMAUT</t>
        </is>
      </c>
      <c r="L9" t="inlineStr">
        <is>
          <t>77FY5514 Pressure Ctrl Damper C/ avaria</t>
        </is>
      </c>
      <c r="M9" t="inlineStr">
        <is>
          <t>77FY5514 Pressure Ctrl Damper C/ avaria</t>
        </is>
      </c>
      <c r="N9" t="inlineStr">
        <is>
          <t>1349-77FY5514</t>
        </is>
      </c>
      <c r="P9" t="n">
        <v>4</v>
      </c>
      <c r="Q9" t="inlineStr">
        <is>
          <t>DPRO</t>
        </is>
      </c>
      <c r="R9" t="inlineStr">
        <is>
          <t>Z12</t>
        </is>
      </c>
      <c r="S9" s="20" t="n">
        <v>46323</v>
      </c>
    </row>
    <row r="10">
      <c r="A10" t="inlineStr">
        <is>
          <t>AUT</t>
        </is>
      </c>
      <c r="B10" t="inlineStr">
        <is>
          <t>428479910</t>
        </is>
      </c>
      <c r="C10" t="n">
        <v>4284799</v>
      </c>
      <c r="D10" t="inlineStr">
        <is>
          <t>LIBERADA</t>
        </is>
      </c>
      <c r="E10" s="20" t="n">
        <v>46315</v>
      </c>
      <c r="F10" t="n">
        <v>6</v>
      </c>
      <c r="G10" t="n">
        <v>3</v>
      </c>
      <c r="I10" t="n">
        <v>4284799</v>
      </c>
      <c r="J10" t="n">
        <v>10</v>
      </c>
      <c r="K10" t="inlineStr">
        <is>
          <t>POMAUT</t>
        </is>
      </c>
      <c r="L10" t="inlineStr">
        <is>
          <t>Troubleshooting nos paineis 87JX003 e 87</t>
        </is>
      </c>
      <c r="M10" t="inlineStr">
        <is>
          <t>Troubleshooting nos paineis 87JX003 e 87</t>
        </is>
      </c>
      <c r="N10" t="inlineStr">
        <is>
          <t>1349-SYS87</t>
        </is>
      </c>
      <c r="P10" t="n">
        <v>8</v>
      </c>
      <c r="Q10" t="inlineStr">
        <is>
          <t>VEND</t>
        </is>
      </c>
      <c r="R10" t="inlineStr">
        <is>
          <t>Z12</t>
        </is>
      </c>
      <c r="S10" s="20" t="n">
        <v>46315</v>
      </c>
    </row>
    <row r="11">
      <c r="A11" t="inlineStr">
        <is>
          <t>MEC</t>
        </is>
      </c>
      <c r="B11" t="inlineStr">
        <is>
          <t>419608810</t>
        </is>
      </c>
      <c r="C11" t="n">
        <v>4196088</v>
      </c>
      <c r="D11" t="inlineStr">
        <is>
          <t>ABERTA</t>
        </is>
      </c>
      <c r="E11" s="20" t="n">
        <v>46315</v>
      </c>
      <c r="F11" t="n">
        <v>4</v>
      </c>
      <c r="G11" t="n">
        <v>2</v>
      </c>
      <c r="I11" t="n">
        <v>4196088</v>
      </c>
      <c r="J11" t="n">
        <v>10</v>
      </c>
      <c r="K11" t="inlineStr">
        <is>
          <t>POMMEC</t>
        </is>
      </c>
      <c r="L11" t="inlineStr">
        <is>
          <t>Parafuso do Redutor de giro quebrado</t>
        </is>
      </c>
      <c r="M11" t="inlineStr">
        <is>
          <t>Parafuso do Redutor de giro quebrado</t>
        </is>
      </c>
      <c r="N11" t="inlineStr">
        <is>
          <t>1349-73MA002</t>
        </is>
      </c>
      <c r="P11" t="n">
        <v>5</v>
      </c>
      <c r="Q11" t="inlineStr">
        <is>
          <t>VEND</t>
        </is>
      </c>
      <c r="R11" t="inlineStr">
        <is>
          <t>Z12</t>
        </is>
      </c>
      <c r="S11" s="20" t="n">
        <v>46115</v>
      </c>
    </row>
    <row r="12">
      <c r="A12" t="inlineStr">
        <is>
          <t>MEC</t>
        </is>
      </c>
      <c r="B12" t="inlineStr">
        <is>
          <t>436543710</t>
        </is>
      </c>
      <c r="C12" t="n">
        <v>4365437</v>
      </c>
      <c r="D12" t="inlineStr">
        <is>
          <t>ENCERRADA</t>
        </is>
      </c>
      <c r="E12" s="20" t="n">
        <v>46313</v>
      </c>
      <c r="F12" t="n">
        <v>4</v>
      </c>
      <c r="G12" t="n">
        <v>2</v>
      </c>
      <c r="I12" t="n">
        <v>4365437</v>
      </c>
      <c r="J12" t="n">
        <v>10</v>
      </c>
      <c r="K12" t="inlineStr">
        <is>
          <t>MEC</t>
        </is>
      </c>
      <c r="L12" t="inlineStr">
        <is>
          <t>Realizar inspeção 71PI001A-D01</t>
        </is>
      </c>
      <c r="M12" t="inlineStr">
        <is>
          <t>PRED_OLEO - 2600005802 - ANORMAL</t>
        </is>
      </c>
      <c r="N12" t="inlineStr">
        <is>
          <t>1349-71PI001A-D01</t>
        </is>
      </c>
      <c r="P12" t="n">
        <v>3</v>
      </c>
      <c r="Q12" t="inlineStr">
        <is>
          <t>DPRO</t>
        </is>
      </c>
      <c r="R12" t="inlineStr">
        <is>
          <t>Z10</t>
        </is>
      </c>
      <c r="S12" s="20" t="n">
        <v>46298</v>
      </c>
    </row>
    <row r="13">
      <c r="A13" t="inlineStr">
        <is>
          <t>MEC</t>
        </is>
      </c>
      <c r="B13" t="inlineStr">
        <is>
          <t>436543720</t>
        </is>
      </c>
      <c r="C13" t="n">
        <v>4365437</v>
      </c>
      <c r="D13" t="inlineStr">
        <is>
          <t>ENCERRADA</t>
        </is>
      </c>
      <c r="E13" s="20" t="n">
        <v>46313</v>
      </c>
      <c r="F13" t="n">
        <v>4</v>
      </c>
      <c r="G13" t="n">
        <v>2</v>
      </c>
      <c r="I13" t="n">
        <v>4365437</v>
      </c>
      <c r="J13" t="n">
        <v>20</v>
      </c>
      <c r="K13" t="inlineStr">
        <is>
          <t>MEC</t>
        </is>
      </c>
      <c r="L13" t="inlineStr">
        <is>
          <t>Realizar coleta do óleo 71PI001A-D01</t>
        </is>
      </c>
      <c r="M13" t="inlineStr">
        <is>
          <t>PRED_OLEO - 2600005802 - ANORMAL</t>
        </is>
      </c>
      <c r="N13" t="inlineStr">
        <is>
          <t>1349-71PI001A-D01</t>
        </is>
      </c>
      <c r="P13" t="n">
        <v>1</v>
      </c>
      <c r="Q13" t="inlineStr">
        <is>
          <t>DPRO</t>
        </is>
      </c>
      <c r="R13" t="inlineStr">
        <is>
          <t>Z10</t>
        </is>
      </c>
      <c r="S13" s="20" t="n">
        <v>46298</v>
      </c>
    </row>
    <row r="14">
      <c r="A14" t="inlineStr">
        <is>
          <t>MEC</t>
        </is>
      </c>
      <c r="B14" t="inlineStr">
        <is>
          <t>436543810</t>
        </is>
      </c>
      <c r="C14" t="n">
        <v>4365438</v>
      </c>
      <c r="D14" t="inlineStr">
        <is>
          <t>ENCERRADA</t>
        </is>
      </c>
      <c r="E14" s="20" t="n">
        <v>46314</v>
      </c>
      <c r="F14" t="n">
        <v>4</v>
      </c>
      <c r="G14" t="n">
        <v>2</v>
      </c>
      <c r="I14" t="n">
        <v>4365438</v>
      </c>
      <c r="J14" t="n">
        <v>10</v>
      </c>
      <c r="K14" t="inlineStr">
        <is>
          <t>MEC</t>
        </is>
      </c>
      <c r="L14" t="inlineStr">
        <is>
          <t>Realizar inspeção 71PI001A-D01</t>
        </is>
      </c>
      <c r="M14" t="inlineStr">
        <is>
          <t>PRED_OLEO - 2600030968 - ANORMAL</t>
        </is>
      </c>
      <c r="N14" t="inlineStr">
        <is>
          <t>1349-71PI001A-D01</t>
        </is>
      </c>
      <c r="P14" t="n">
        <v>3</v>
      </c>
      <c r="Q14" t="inlineStr">
        <is>
          <t>DPRO</t>
        </is>
      </c>
      <c r="R14" t="inlineStr">
        <is>
          <t>Z10</t>
        </is>
      </c>
      <c r="S14" s="20" t="n">
        <v>46298</v>
      </c>
    </row>
    <row r="15">
      <c r="A15" t="inlineStr">
        <is>
          <t>MEC</t>
        </is>
      </c>
      <c r="B15" t="inlineStr">
        <is>
          <t>436543820</t>
        </is>
      </c>
      <c r="C15" t="n">
        <v>4365438</v>
      </c>
      <c r="D15" t="inlineStr">
        <is>
          <t>ENCERRADA</t>
        </is>
      </c>
      <c r="E15" s="20" t="n">
        <v>46314</v>
      </c>
      <c r="F15" t="n">
        <v>4</v>
      </c>
      <c r="G15" t="n">
        <v>2</v>
      </c>
      <c r="I15" t="n">
        <v>4365438</v>
      </c>
      <c r="J15" t="n">
        <v>20</v>
      </c>
      <c r="K15" t="inlineStr">
        <is>
          <t>MEC</t>
        </is>
      </c>
      <c r="L15" t="inlineStr">
        <is>
          <t>Realizar filtragem 71PI001A-D01</t>
        </is>
      </c>
      <c r="M15" t="inlineStr">
        <is>
          <t>PRED_OLEO - 2600030968 - ANORMAL</t>
        </is>
      </c>
      <c r="N15" t="inlineStr">
        <is>
          <t>1349-71PI001A-D01</t>
        </is>
      </c>
      <c r="P15" t="n">
        <v>6</v>
      </c>
      <c r="Q15" t="inlineStr">
        <is>
          <t>DPRO</t>
        </is>
      </c>
      <c r="R15" t="inlineStr">
        <is>
          <t>Z10</t>
        </is>
      </c>
      <c r="S15" s="20" t="n">
        <v>46298</v>
      </c>
    </row>
    <row r="16">
      <c r="A16" t="inlineStr">
        <is>
          <t>MEC</t>
        </is>
      </c>
      <c r="B16" t="inlineStr">
        <is>
          <t>436544010</t>
        </is>
      </c>
      <c r="C16" t="n">
        <v>4365440</v>
      </c>
      <c r="D16" t="inlineStr">
        <is>
          <t>ENCERRADA</t>
        </is>
      </c>
      <c r="E16" s="20" t="n">
        <v>46326</v>
      </c>
      <c r="F16" t="n">
        <v>4</v>
      </c>
      <c r="G16" t="n">
        <v>2</v>
      </c>
      <c r="I16" t="n">
        <v>4365440</v>
      </c>
      <c r="J16" t="n">
        <v>10</v>
      </c>
      <c r="K16" t="inlineStr">
        <is>
          <t>MEC</t>
        </is>
      </c>
      <c r="L16" t="inlineStr">
        <is>
          <t>Realizar filtragem 71P1001B-X01</t>
        </is>
      </c>
      <c r="M16" t="inlineStr">
        <is>
          <t>PRED_OLEO - 2600005899 - ANORMAL</t>
        </is>
      </c>
      <c r="N16" t="inlineStr">
        <is>
          <t>1349-71PI001B-X01</t>
        </is>
      </c>
      <c r="P16" t="n">
        <v>6</v>
      </c>
      <c r="Q16" t="inlineStr">
        <is>
          <t>DPRO</t>
        </is>
      </c>
      <c r="R16" t="inlineStr">
        <is>
          <t>Z10</t>
        </is>
      </c>
      <c r="S16" s="20" t="n">
        <v>46298</v>
      </c>
    </row>
    <row r="17">
      <c r="A17" t="inlineStr">
        <is>
          <t>MEC</t>
        </is>
      </c>
      <c r="B17" t="inlineStr">
        <is>
          <t>436543910</t>
        </is>
      </c>
      <c r="C17" t="n">
        <v>4365439</v>
      </c>
      <c r="D17" t="inlineStr">
        <is>
          <t>ENCERRADA</t>
        </is>
      </c>
      <c r="E17" s="20" t="n">
        <v>46326</v>
      </c>
      <c r="F17" t="n">
        <v>4</v>
      </c>
      <c r="G17" t="n">
        <v>2</v>
      </c>
      <c r="I17" t="n">
        <v>4365439</v>
      </c>
      <c r="J17" t="n">
        <v>10</v>
      </c>
      <c r="K17" t="inlineStr">
        <is>
          <t>MEC</t>
        </is>
      </c>
      <c r="L17" t="inlineStr">
        <is>
          <t>Realizar filtragem 84EG001-D01</t>
        </is>
      </c>
      <c r="M17" t="inlineStr">
        <is>
          <t>PRED_OLEO - 2600030899 - ANORMAL</t>
        </is>
      </c>
      <c r="N17" t="inlineStr">
        <is>
          <t>1349-84EG001-D01</t>
        </is>
      </c>
      <c r="P17" t="n">
        <v>6</v>
      </c>
      <c r="Q17" t="inlineStr">
        <is>
          <t>DPRO</t>
        </is>
      </c>
      <c r="R17" t="inlineStr">
        <is>
          <t>Z10</t>
        </is>
      </c>
      <c r="S17" s="20" t="n">
        <v>46298</v>
      </c>
    </row>
    <row r="18">
      <c r="A18" t="inlineStr">
        <is>
          <t>INS</t>
        </is>
      </c>
      <c r="B18" t="inlineStr">
        <is>
          <t>436081110</t>
        </is>
      </c>
      <c r="C18" t="n">
        <v>4360811</v>
      </c>
      <c r="D18" t="inlineStr">
        <is>
          <t>ENCERRADA</t>
        </is>
      </c>
      <c r="E18" s="20" t="n">
        <v>46318</v>
      </c>
      <c r="F18" t="n">
        <v>4</v>
      </c>
      <c r="G18" t="n">
        <v>1</v>
      </c>
      <c r="I18" t="n">
        <v>4360811</v>
      </c>
      <c r="J18" t="n">
        <v>10</v>
      </c>
      <c r="K18" t="inlineStr">
        <is>
          <t>INS</t>
        </is>
      </c>
      <c r="L18" t="inlineStr">
        <is>
          <t>Troubleshooting 85FSL0001</t>
        </is>
      </c>
      <c r="M18" t="inlineStr">
        <is>
          <t>Troubleshooting 85FSL0001</t>
        </is>
      </c>
      <c r="N18" t="inlineStr">
        <is>
          <t>1349-85FSL0001</t>
        </is>
      </c>
      <c r="P18" t="n">
        <v>6</v>
      </c>
      <c r="Q18" t="inlineStr">
        <is>
          <t>DPRO</t>
        </is>
      </c>
      <c r="R18" t="inlineStr">
        <is>
          <t>Z12</t>
        </is>
      </c>
      <c r="S18" s="20" t="n">
        <v>46318</v>
      </c>
    </row>
    <row r="19">
      <c r="A19" t="inlineStr">
        <is>
          <t>MEC</t>
        </is>
      </c>
      <c r="B19" t="inlineStr">
        <is>
          <t>434992230</t>
        </is>
      </c>
      <c r="C19" t="n">
        <v>4349922</v>
      </c>
      <c r="D19" t="inlineStr">
        <is>
          <t>ABERTA</t>
        </is>
      </c>
      <c r="E19" s="20" t="n">
        <v>46325</v>
      </c>
      <c r="F19" t="n">
        <v>4</v>
      </c>
      <c r="G19" t="n">
        <v>2</v>
      </c>
      <c r="I19" t="n">
        <v>4349922</v>
      </c>
      <c r="J19" t="n">
        <v>30</v>
      </c>
      <c r="K19" t="inlineStr">
        <is>
          <t>MEC</t>
        </is>
      </c>
      <c r="L19" t="inlineStr">
        <is>
          <t>Suporte do time de mecânica</t>
        </is>
      </c>
      <c r="M19" t="inlineStr">
        <is>
          <t>Checagem do sistema hidráulico K60E</t>
        </is>
      </c>
      <c r="N19" t="inlineStr">
        <is>
          <t>1349-73MA001</t>
        </is>
      </c>
      <c r="P19" t="n">
        <v>6</v>
      </c>
      <c r="Q19" t="inlineStr">
        <is>
          <t>VEND</t>
        </is>
      </c>
      <c r="R19" t="inlineStr">
        <is>
          <t>Z12</t>
        </is>
      </c>
      <c r="S19" s="20" t="n">
        <v>46378</v>
      </c>
    </row>
    <row r="20">
      <c r="A20" t="inlineStr">
        <is>
          <t>TER</t>
        </is>
      </c>
      <c r="B20" t="inlineStr">
        <is>
          <t>434992240</t>
        </is>
      </c>
      <c r="C20" t="n">
        <v>4349922</v>
      </c>
      <c r="D20" t="inlineStr">
        <is>
          <t>ABERTA</t>
        </is>
      </c>
      <c r="E20" s="20" t="n">
        <v>46325</v>
      </c>
      <c r="F20" t="n">
        <v>4</v>
      </c>
      <c r="G20" t="n">
        <v>2</v>
      </c>
      <c r="I20" t="n">
        <v>4349922</v>
      </c>
      <c r="J20" t="n">
        <v>40</v>
      </c>
      <c r="K20" t="inlineStr">
        <is>
          <t>TER</t>
        </is>
      </c>
      <c r="L20" t="inlineStr">
        <is>
          <t>VERIFICAÇÃO SISTEMA HIDRÁULICO GUINDASTE</t>
        </is>
      </c>
      <c r="M20" t="inlineStr">
        <is>
          <t>Checagem do sistema hidráulico K60E</t>
        </is>
      </c>
      <c r="N20" t="inlineStr">
        <is>
          <t>1349-73MA001</t>
        </is>
      </c>
      <c r="P20" t="n">
        <v>12</v>
      </c>
      <c r="Q20" t="inlineStr">
        <is>
          <t>VEND</t>
        </is>
      </c>
      <c r="R20" t="inlineStr">
        <is>
          <t>Z12</t>
        </is>
      </c>
      <c r="S20" s="20" t="n">
        <v>46378</v>
      </c>
    </row>
    <row r="21">
      <c r="A21" t="inlineStr">
        <is>
          <t>MEC</t>
        </is>
      </c>
      <c r="B21" t="inlineStr">
        <is>
          <t>434992320</t>
        </is>
      </c>
      <c r="C21" t="n">
        <v>4349923</v>
      </c>
      <c r="D21" t="inlineStr">
        <is>
          <t>ABERTA</t>
        </is>
      </c>
      <c r="E21" s="20" t="n">
        <v>46326</v>
      </c>
      <c r="F21" t="n">
        <v>4</v>
      </c>
      <c r="G21" t="n">
        <v>2</v>
      </c>
      <c r="I21" t="n">
        <v>4349923</v>
      </c>
      <c r="J21" t="n">
        <v>20</v>
      </c>
      <c r="K21" t="inlineStr">
        <is>
          <t>MEC</t>
        </is>
      </c>
      <c r="L21" t="inlineStr">
        <is>
          <t>Suporte do time de mecânica</t>
        </is>
      </c>
      <c r="M21" t="inlineStr">
        <is>
          <t>Checagem do sistema hidráulico K60E</t>
        </is>
      </c>
      <c r="N21" t="inlineStr">
        <is>
          <t>1349-73MA002</t>
        </is>
      </c>
      <c r="P21" t="n">
        <v>12</v>
      </c>
      <c r="Q21" t="inlineStr">
        <is>
          <t>VEND</t>
        </is>
      </c>
      <c r="R21" t="inlineStr">
        <is>
          <t>Z12</t>
        </is>
      </c>
      <c r="S21" s="20" t="n">
        <v>46378</v>
      </c>
    </row>
    <row r="22">
      <c r="A22" t="inlineStr">
        <is>
          <t>TER</t>
        </is>
      </c>
      <c r="B22" t="inlineStr">
        <is>
          <t>434992330</t>
        </is>
      </c>
      <c r="C22" t="n">
        <v>4349923</v>
      </c>
      <c r="D22" t="inlineStr">
        <is>
          <t>ABERTA</t>
        </is>
      </c>
      <c r="E22" s="20" t="n">
        <v>46326</v>
      </c>
      <c r="F22" t="n">
        <v>4</v>
      </c>
      <c r="G22" t="n">
        <v>2</v>
      </c>
      <c r="I22" t="n">
        <v>4349923</v>
      </c>
      <c r="J22" t="n">
        <v>30</v>
      </c>
      <c r="K22" t="inlineStr">
        <is>
          <t>TER</t>
        </is>
      </c>
      <c r="L22" t="inlineStr">
        <is>
          <t>VERIFICAÇÃO SISTEMA HIDRÁULICO GUINDASTE</t>
        </is>
      </c>
      <c r="M22" t="inlineStr">
        <is>
          <t>Checagem do sistema hidráulico K60E</t>
        </is>
      </c>
      <c r="N22" t="inlineStr">
        <is>
          <t>1349-73MA002</t>
        </is>
      </c>
      <c r="P22" t="n">
        <v>5</v>
      </c>
      <c r="Q22" t="inlineStr">
        <is>
          <t>VEND</t>
        </is>
      </c>
      <c r="R22" t="inlineStr">
        <is>
          <t>Z12</t>
        </is>
      </c>
      <c r="S22" s="20" t="n">
        <v>46378</v>
      </c>
    </row>
    <row r="23">
      <c r="A23" t="inlineStr">
        <is>
          <t>ELE</t>
        </is>
      </c>
      <c r="B23" t="inlineStr">
        <is>
          <t>438448810</t>
        </is>
      </c>
      <c r="C23" t="n">
        <v>4384488</v>
      </c>
      <c r="D23" t="inlineStr">
        <is>
          <t>ENCERRADA</t>
        </is>
      </c>
      <c r="E23" s="20" t="n">
        <v>46316</v>
      </c>
      <c r="F23" t="n">
        <v>3</v>
      </c>
      <c r="G23" t="n">
        <v>2</v>
      </c>
      <c r="H23" s="20" t="n">
        <v>46316</v>
      </c>
      <c r="I23" t="n">
        <v>4384488</v>
      </c>
      <c r="J23" t="n">
        <v>10</v>
      </c>
      <c r="K23" t="inlineStr">
        <is>
          <t>POMELE</t>
        </is>
      </c>
      <c r="L23" t="inlineStr">
        <is>
          <t>02W PREPARATION AND REPORT</t>
        </is>
      </c>
      <c r="M23" t="inlineStr">
        <is>
          <t>HIPOCHLORITE GENERATOR BIWEEKLY MAINT</t>
        </is>
      </c>
      <c r="N23" t="inlineStr">
        <is>
          <t>1349-47XX001</t>
        </is>
      </c>
      <c r="P23" t="n">
        <v>1</v>
      </c>
      <c r="Q23" t="inlineStr">
        <is>
          <t>PLANO</t>
        </is>
      </c>
      <c r="R23" t="inlineStr">
        <is>
          <t>Z12</t>
        </is>
      </c>
      <c r="S23" s="20" t="n">
        <v>46316</v>
      </c>
    </row>
    <row r="24">
      <c r="A24" t="inlineStr">
        <is>
          <t>ELE</t>
        </is>
      </c>
      <c r="B24" t="inlineStr">
        <is>
          <t>438448820</t>
        </is>
      </c>
      <c r="C24" t="n">
        <v>4384488</v>
      </c>
      <c r="D24" t="inlineStr">
        <is>
          <t>ENCERRADA</t>
        </is>
      </c>
      <c r="E24" s="20" t="n">
        <v>46316</v>
      </c>
      <c r="F24" t="n">
        <v>3</v>
      </c>
      <c r="G24" t="n">
        <v>2</v>
      </c>
      <c r="H24" s="20" t="n">
        <v>46316</v>
      </c>
      <c r="I24" t="n">
        <v>4384488</v>
      </c>
      <c r="J24" t="n">
        <v>20</v>
      </c>
      <c r="K24" t="inlineStr">
        <is>
          <t>POMELE</t>
        </is>
      </c>
      <c r="L24" t="inlineStr">
        <is>
          <t>02W ELECTROLYZER OPERATING PARAMETERS</t>
        </is>
      </c>
      <c r="M24" t="inlineStr">
        <is>
          <t>HIPOCHLORITE GENERATOR BIWEEKLY MAINT</t>
        </is>
      </c>
      <c r="N24" t="inlineStr">
        <is>
          <t>1349-47XX001</t>
        </is>
      </c>
      <c r="P24" t="n">
        <v>4</v>
      </c>
      <c r="Q24" t="inlineStr">
        <is>
          <t>PLANO</t>
        </is>
      </c>
      <c r="R24" t="inlineStr">
        <is>
          <t>Z12</t>
        </is>
      </c>
      <c r="S24" s="20" t="n">
        <v>46316</v>
      </c>
    </row>
    <row r="25">
      <c r="A25" t="inlineStr">
        <is>
          <t>PRO</t>
        </is>
      </c>
      <c r="B25" t="inlineStr">
        <is>
          <t>438448830</t>
        </is>
      </c>
      <c r="C25" t="n">
        <v>4384488</v>
      </c>
      <c r="D25" t="inlineStr">
        <is>
          <t>LIBERADA</t>
        </is>
      </c>
      <c r="E25" s="20" t="n">
        <v>46316</v>
      </c>
      <c r="F25" t="n">
        <v>3</v>
      </c>
      <c r="G25" t="n">
        <v>2</v>
      </c>
      <c r="H25" s="20" t="n">
        <v>46316</v>
      </c>
      <c r="I25" t="n">
        <v>4384488</v>
      </c>
      <c r="J25" t="n">
        <v>30</v>
      </c>
      <c r="K25" t="inlineStr">
        <is>
          <t>POMPRO</t>
        </is>
      </c>
      <c r="L25" t="inlineStr">
        <is>
          <t>02W ELECTROLYZER OPERATING PARAMETERS</t>
        </is>
      </c>
      <c r="M25" t="inlineStr">
        <is>
          <t>HIPOCHLORITE GENERATOR BIWEEKLY MAINT</t>
        </is>
      </c>
      <c r="N25" t="inlineStr">
        <is>
          <t>1349-47XX001</t>
        </is>
      </c>
      <c r="P25" t="n">
        <v>2</v>
      </c>
      <c r="Q25" t="inlineStr">
        <is>
          <t>PLANO</t>
        </is>
      </c>
      <c r="R25" t="inlineStr">
        <is>
          <t>Z12</t>
        </is>
      </c>
      <c r="S25" s="20" t="n">
        <v>46316</v>
      </c>
    </row>
    <row r="26">
      <c r="A26" t="inlineStr">
        <is>
          <t>MEC</t>
        </is>
      </c>
      <c r="B26" t="inlineStr">
        <is>
          <t>43844495</t>
        </is>
      </c>
      <c r="C26" t="n">
        <v>4384449</v>
      </c>
      <c r="D26" t="inlineStr">
        <is>
          <t>LIBERADA</t>
        </is>
      </c>
      <c r="E26" s="20" t="n">
        <v>46320</v>
      </c>
      <c r="F26" t="n">
        <v>3</v>
      </c>
      <c r="G26" t="n">
        <v>2</v>
      </c>
      <c r="H26" s="20" t="n">
        <v>46320</v>
      </c>
      <c r="I26" t="n">
        <v>4384449</v>
      </c>
      <c r="J26" t="n">
        <v>5</v>
      </c>
      <c r="K26" t="inlineStr">
        <is>
          <t>POMMEC</t>
        </is>
      </c>
      <c r="L26" t="inlineStr">
        <is>
          <t>02W PREPARATION AND REPORT</t>
        </is>
      </c>
      <c r="M26" t="inlineStr">
        <is>
          <t>STOP-U EAST CRANE DIESEL ENGINE</t>
        </is>
      </c>
      <c r="N26" t="inlineStr">
        <is>
          <t>1349-73MA001</t>
        </is>
      </c>
      <c r="P26" t="n">
        <v>1</v>
      </c>
      <c r="Q26" t="inlineStr">
        <is>
          <t>PLANO</t>
        </is>
      </c>
      <c r="R26" t="inlineStr">
        <is>
          <t>Z12</t>
        </is>
      </c>
      <c r="S26" s="20" t="n">
        <v>46320</v>
      </c>
    </row>
    <row r="27">
      <c r="A27" t="inlineStr">
        <is>
          <t>MEC</t>
        </is>
      </c>
      <c r="B27" t="inlineStr">
        <is>
          <t>438444920</t>
        </is>
      </c>
      <c r="C27" t="n">
        <v>4384449</v>
      </c>
      <c r="D27" t="inlineStr">
        <is>
          <t>LIBERADA</t>
        </is>
      </c>
      <c r="E27" s="20" t="n">
        <v>46320</v>
      </c>
      <c r="F27" t="n">
        <v>3</v>
      </c>
      <c r="G27" t="n">
        <v>2</v>
      </c>
      <c r="H27" s="20" t="n">
        <v>46320</v>
      </c>
      <c r="I27" t="n">
        <v>4384449</v>
      </c>
      <c r="J27" t="n">
        <v>20</v>
      </c>
      <c r="K27" t="inlineStr">
        <is>
          <t>POMMEC</t>
        </is>
      </c>
      <c r="L27" t="inlineStr">
        <is>
          <t>02W DIESEL ENGINE</t>
        </is>
      </c>
      <c r="M27" t="inlineStr">
        <is>
          <t>STOP-U EAST CRANE DIESEL ENGINE</t>
        </is>
      </c>
      <c r="N27" t="inlineStr">
        <is>
          <t>1349-73MA001</t>
        </is>
      </c>
      <c r="P27" t="n">
        <v>1</v>
      </c>
      <c r="Q27" t="inlineStr">
        <is>
          <t>PLANO</t>
        </is>
      </c>
      <c r="R27" t="inlineStr">
        <is>
          <t>Z12</t>
        </is>
      </c>
      <c r="S27" s="20" t="n">
        <v>46320</v>
      </c>
    </row>
    <row r="28">
      <c r="A28" t="inlineStr">
        <is>
          <t>MEC</t>
        </is>
      </c>
      <c r="B28" t="inlineStr">
        <is>
          <t>438444930</t>
        </is>
      </c>
      <c r="C28" t="n">
        <v>4384449</v>
      </c>
      <c r="D28" t="inlineStr">
        <is>
          <t>LIBERADA</t>
        </is>
      </c>
      <c r="E28" s="20" t="n">
        <v>46320</v>
      </c>
      <c r="F28" t="n">
        <v>3</v>
      </c>
      <c r="G28" t="n">
        <v>2</v>
      </c>
      <c r="H28" s="20" t="n">
        <v>46320</v>
      </c>
      <c r="I28" t="n">
        <v>4384449</v>
      </c>
      <c r="J28" t="n">
        <v>30</v>
      </c>
      <c r="K28" t="inlineStr">
        <is>
          <t>POMMEC</t>
        </is>
      </c>
      <c r="L28" t="inlineStr">
        <is>
          <t>02W DIESEL ENGINE OIL CHANGE</t>
        </is>
      </c>
      <c r="M28" t="inlineStr">
        <is>
          <t>STOP-U EAST CRANE DIESEL ENGINE</t>
        </is>
      </c>
      <c r="N28" t="inlineStr">
        <is>
          <t>1349-73MA001</t>
        </is>
      </c>
      <c r="P28" t="n">
        <v>2</v>
      </c>
      <c r="Q28" t="inlineStr">
        <is>
          <t>PLANO</t>
        </is>
      </c>
      <c r="R28" t="inlineStr">
        <is>
          <t>Z12</t>
        </is>
      </c>
      <c r="S28" s="20" t="n">
        <v>46320</v>
      </c>
    </row>
    <row r="29">
      <c r="A29" t="inlineStr">
        <is>
          <t>ELE</t>
        </is>
      </c>
      <c r="B29" t="inlineStr">
        <is>
          <t>438444940</t>
        </is>
      </c>
      <c r="C29" t="n">
        <v>4384449</v>
      </c>
      <c r="D29" t="inlineStr">
        <is>
          <t>ENCERRADA</t>
        </is>
      </c>
      <c r="E29" s="20" t="n">
        <v>46320</v>
      </c>
      <c r="F29" t="n">
        <v>3</v>
      </c>
      <c r="G29" t="n">
        <v>2</v>
      </c>
      <c r="H29" s="20" t="n">
        <v>46320</v>
      </c>
      <c r="I29" t="n">
        <v>4384449</v>
      </c>
      <c r="J29" t="n">
        <v>40</v>
      </c>
      <c r="K29" t="inlineStr">
        <is>
          <t>POMELE</t>
        </is>
      </c>
      <c r="L29" t="inlineStr">
        <is>
          <t>02W DIESEL ENGINE</t>
        </is>
      </c>
      <c r="M29" t="inlineStr">
        <is>
          <t>STOP-U EAST CRANE DIESEL ENGINE</t>
        </is>
      </c>
      <c r="N29" t="inlineStr">
        <is>
          <t>1349-73MA001</t>
        </is>
      </c>
      <c r="P29" t="n">
        <v>0.5</v>
      </c>
      <c r="Q29" t="inlineStr">
        <is>
          <t>PLANO</t>
        </is>
      </c>
      <c r="R29" t="inlineStr">
        <is>
          <t>Z12</t>
        </is>
      </c>
      <c r="S29" s="20" t="n">
        <v>46320</v>
      </c>
    </row>
    <row r="30">
      <c r="A30" t="inlineStr">
        <is>
          <t>MEC</t>
        </is>
      </c>
      <c r="B30" t="inlineStr">
        <is>
          <t>43845175</t>
        </is>
      </c>
      <c r="C30" t="n">
        <v>4384517</v>
      </c>
      <c r="D30" t="inlineStr">
        <is>
          <t>ENCERRADA</t>
        </is>
      </c>
      <c r="E30" s="20" t="n">
        <v>46320</v>
      </c>
      <c r="F30" t="n">
        <v>3</v>
      </c>
      <c r="G30" t="n">
        <v>2</v>
      </c>
      <c r="H30" s="20" t="n">
        <v>46320</v>
      </c>
      <c r="I30" t="n">
        <v>4384517</v>
      </c>
      <c r="J30" t="n">
        <v>5</v>
      </c>
      <c r="K30" t="inlineStr">
        <is>
          <t>POMMEC</t>
        </is>
      </c>
      <c r="L30" t="inlineStr">
        <is>
          <t>02W PREPARATION AND REPORT</t>
        </is>
      </c>
      <c r="M30" t="inlineStr">
        <is>
          <t>STOP-U EAST CRANE DIESEL ENGINE</t>
        </is>
      </c>
      <c r="N30" t="inlineStr">
        <is>
          <t>1349-73MA001</t>
        </is>
      </c>
      <c r="P30" t="n">
        <v>1</v>
      </c>
      <c r="Q30" t="inlineStr">
        <is>
          <t>PLANO</t>
        </is>
      </c>
      <c r="R30" t="inlineStr">
        <is>
          <t>Z12</t>
        </is>
      </c>
      <c r="S30" s="20" t="n">
        <v>46320</v>
      </c>
    </row>
    <row r="31">
      <c r="A31" t="inlineStr">
        <is>
          <t>MEC</t>
        </is>
      </c>
      <c r="B31" t="inlineStr">
        <is>
          <t>438451720</t>
        </is>
      </c>
      <c r="C31" t="n">
        <v>4384517</v>
      </c>
      <c r="D31" t="inlineStr">
        <is>
          <t>ENCERRADA</t>
        </is>
      </c>
      <c r="E31" s="20" t="n">
        <v>46320</v>
      </c>
      <c r="F31" t="n">
        <v>3</v>
      </c>
      <c r="G31" t="n">
        <v>2</v>
      </c>
      <c r="H31" s="20" t="n">
        <v>46320</v>
      </c>
      <c r="I31" t="n">
        <v>4384517</v>
      </c>
      <c r="J31" t="n">
        <v>20</v>
      </c>
      <c r="K31" t="inlineStr">
        <is>
          <t>POMMEC</t>
        </is>
      </c>
      <c r="L31" t="inlineStr">
        <is>
          <t>02W DIESEL ENGINE</t>
        </is>
      </c>
      <c r="M31" t="inlineStr">
        <is>
          <t>STOP-U EAST CRANE DIESEL ENGINE</t>
        </is>
      </c>
      <c r="N31" t="inlineStr">
        <is>
          <t>1349-73MA001</t>
        </is>
      </c>
      <c r="P31" t="n">
        <v>1</v>
      </c>
      <c r="Q31" t="inlineStr">
        <is>
          <t>PLANO</t>
        </is>
      </c>
      <c r="R31" t="inlineStr">
        <is>
          <t>Z12</t>
        </is>
      </c>
      <c r="S31" s="20" t="n">
        <v>46320</v>
      </c>
    </row>
    <row r="32">
      <c r="A32" t="inlineStr">
        <is>
          <t>MEC</t>
        </is>
      </c>
      <c r="B32" t="inlineStr">
        <is>
          <t>438451730</t>
        </is>
      </c>
      <c r="C32" t="n">
        <v>4384517</v>
      </c>
      <c r="D32" t="inlineStr">
        <is>
          <t>ENCERRADA</t>
        </is>
      </c>
      <c r="E32" s="20" t="n">
        <v>46320</v>
      </c>
      <c r="F32" t="n">
        <v>3</v>
      </c>
      <c r="G32" t="n">
        <v>2</v>
      </c>
      <c r="H32" s="20" t="n">
        <v>46320</v>
      </c>
      <c r="I32" t="n">
        <v>4384517</v>
      </c>
      <c r="J32" t="n">
        <v>30</v>
      </c>
      <c r="K32" t="inlineStr">
        <is>
          <t>POMMEC</t>
        </is>
      </c>
      <c r="L32" t="inlineStr">
        <is>
          <t>02W DIESEL ENGINE OIL CHANGE</t>
        </is>
      </c>
      <c r="M32" t="inlineStr">
        <is>
          <t>STOP-U EAST CRANE DIESEL ENGINE</t>
        </is>
      </c>
      <c r="N32" t="inlineStr">
        <is>
          <t>1349-73MA001</t>
        </is>
      </c>
      <c r="P32" t="n">
        <v>2</v>
      </c>
      <c r="Q32" t="inlineStr">
        <is>
          <t>PLANO</t>
        </is>
      </c>
      <c r="R32" t="inlineStr">
        <is>
          <t>Z12</t>
        </is>
      </c>
      <c r="S32" s="20" t="n">
        <v>46320</v>
      </c>
    </row>
    <row r="33">
      <c r="A33" t="inlineStr">
        <is>
          <t>ELE</t>
        </is>
      </c>
      <c r="B33" t="inlineStr">
        <is>
          <t>438451740</t>
        </is>
      </c>
      <c r="C33" t="n">
        <v>4384517</v>
      </c>
      <c r="D33" t="inlineStr">
        <is>
          <t>ENCERRADA</t>
        </is>
      </c>
      <c r="E33" s="20" t="n">
        <v>46320</v>
      </c>
      <c r="F33" t="n">
        <v>3</v>
      </c>
      <c r="G33" t="n">
        <v>2</v>
      </c>
      <c r="H33" s="20" t="n">
        <v>46320</v>
      </c>
      <c r="I33" t="n">
        <v>4384517</v>
      </c>
      <c r="J33" t="n">
        <v>40</v>
      </c>
      <c r="K33" t="inlineStr">
        <is>
          <t>POMELE</t>
        </is>
      </c>
      <c r="L33" t="inlineStr">
        <is>
          <t>02W DIESEL ENGINE</t>
        </is>
      </c>
      <c r="M33" t="inlineStr">
        <is>
          <t>STOP-U EAST CRANE DIESEL ENGINE</t>
        </is>
      </c>
      <c r="N33" t="inlineStr">
        <is>
          <t>1349-73MA001</t>
        </is>
      </c>
      <c r="P33" t="n">
        <v>0.5</v>
      </c>
      <c r="Q33" t="inlineStr">
        <is>
          <t>PLANO</t>
        </is>
      </c>
      <c r="R33" t="inlineStr">
        <is>
          <t>Z12</t>
        </is>
      </c>
      <c r="S33" s="20" t="n">
        <v>46320</v>
      </c>
    </row>
    <row r="34">
      <c r="A34" t="inlineStr">
        <is>
          <t>MEC</t>
        </is>
      </c>
      <c r="B34" t="inlineStr">
        <is>
          <t>43844535</t>
        </is>
      </c>
      <c r="C34" t="n">
        <v>4384453</v>
      </c>
      <c r="D34" t="inlineStr">
        <is>
          <t>ENCERRADA</t>
        </is>
      </c>
      <c r="E34" s="20" t="n">
        <v>46320</v>
      </c>
      <c r="F34" t="n">
        <v>3</v>
      </c>
      <c r="G34" t="n">
        <v>2</v>
      </c>
      <c r="H34" s="20" t="n">
        <v>46320</v>
      </c>
      <c r="I34" t="n">
        <v>4384453</v>
      </c>
      <c r="J34" t="n">
        <v>5</v>
      </c>
      <c r="K34" t="inlineStr">
        <is>
          <t>POMMEC</t>
        </is>
      </c>
      <c r="L34" t="inlineStr">
        <is>
          <t>02W PREPARATION AND REPORT</t>
        </is>
      </c>
      <c r="M34" t="inlineStr">
        <is>
          <t>STOP-U WEST CRANE DIESEL ENGINE</t>
        </is>
      </c>
      <c r="N34" t="inlineStr">
        <is>
          <t>1349-73MA002</t>
        </is>
      </c>
      <c r="P34" t="n">
        <v>1</v>
      </c>
      <c r="Q34" t="inlineStr">
        <is>
          <t>PLANO</t>
        </is>
      </c>
      <c r="R34" t="inlineStr">
        <is>
          <t>Z12</t>
        </is>
      </c>
      <c r="S34" s="20" t="n">
        <v>46320</v>
      </c>
    </row>
    <row r="35">
      <c r="A35" t="inlineStr">
        <is>
          <t>MEC</t>
        </is>
      </c>
      <c r="B35" t="inlineStr">
        <is>
          <t>438445320</t>
        </is>
      </c>
      <c r="C35" t="n">
        <v>4384453</v>
      </c>
      <c r="D35" t="inlineStr">
        <is>
          <t>ENCERRADA</t>
        </is>
      </c>
      <c r="E35" s="20" t="n">
        <v>46320</v>
      </c>
      <c r="F35" t="n">
        <v>3</v>
      </c>
      <c r="G35" t="n">
        <v>2</v>
      </c>
      <c r="H35" s="20" t="n">
        <v>46320</v>
      </c>
      <c r="I35" t="n">
        <v>4384453</v>
      </c>
      <c r="J35" t="n">
        <v>20</v>
      </c>
      <c r="K35" t="inlineStr">
        <is>
          <t>POMMEC</t>
        </is>
      </c>
      <c r="L35" t="inlineStr">
        <is>
          <t>02W DIESEL ENGINE</t>
        </is>
      </c>
      <c r="M35" t="inlineStr">
        <is>
          <t>STOP-U WEST CRANE DIESEL ENGINE</t>
        </is>
      </c>
      <c r="N35" t="inlineStr">
        <is>
          <t>1349-73MA002</t>
        </is>
      </c>
      <c r="P35" t="n">
        <v>1</v>
      </c>
      <c r="Q35" t="inlineStr">
        <is>
          <t>PLANO</t>
        </is>
      </c>
      <c r="R35" t="inlineStr">
        <is>
          <t>Z12</t>
        </is>
      </c>
      <c r="S35" s="20" t="n">
        <v>46320</v>
      </c>
    </row>
    <row r="36">
      <c r="A36" t="inlineStr">
        <is>
          <t>MEC</t>
        </is>
      </c>
      <c r="B36" t="inlineStr">
        <is>
          <t>438445330</t>
        </is>
      </c>
      <c r="C36" t="n">
        <v>4384453</v>
      </c>
      <c r="D36" t="inlineStr">
        <is>
          <t>ENCERRADA</t>
        </is>
      </c>
      <c r="E36" s="20" t="n">
        <v>46320</v>
      </c>
      <c r="F36" t="n">
        <v>3</v>
      </c>
      <c r="G36" t="n">
        <v>2</v>
      </c>
      <c r="H36" s="20" t="n">
        <v>46320</v>
      </c>
      <c r="I36" t="n">
        <v>4384453</v>
      </c>
      <c r="J36" t="n">
        <v>30</v>
      </c>
      <c r="K36" t="inlineStr">
        <is>
          <t>POMMEC</t>
        </is>
      </c>
      <c r="L36" t="inlineStr">
        <is>
          <t>02W DIESEL ENGINE OIL CHANGE</t>
        </is>
      </c>
      <c r="M36" t="inlineStr">
        <is>
          <t>STOP-U WEST CRANE DIESEL ENGINE</t>
        </is>
      </c>
      <c r="N36" t="inlineStr">
        <is>
          <t>1349-73MA002</t>
        </is>
      </c>
      <c r="P36" t="n">
        <v>2</v>
      </c>
      <c r="Q36" t="inlineStr">
        <is>
          <t>PLANO</t>
        </is>
      </c>
      <c r="R36" t="inlineStr">
        <is>
          <t>Z12</t>
        </is>
      </c>
      <c r="S36" s="20" t="n">
        <v>46320</v>
      </c>
    </row>
    <row r="37">
      <c r="A37" t="inlineStr">
        <is>
          <t>ELE</t>
        </is>
      </c>
      <c r="B37" t="inlineStr">
        <is>
          <t>438445340</t>
        </is>
      </c>
      <c r="C37" t="n">
        <v>4384453</v>
      </c>
      <c r="D37" t="inlineStr">
        <is>
          <t>ENCERRADA</t>
        </is>
      </c>
      <c r="E37" s="20" t="n">
        <v>46320</v>
      </c>
      <c r="F37" t="n">
        <v>3</v>
      </c>
      <c r="G37" t="n">
        <v>2</v>
      </c>
      <c r="H37" s="20" t="n">
        <v>46320</v>
      </c>
      <c r="I37" t="n">
        <v>4384453</v>
      </c>
      <c r="J37" t="n">
        <v>40</v>
      </c>
      <c r="K37" t="inlineStr">
        <is>
          <t>POMELE</t>
        </is>
      </c>
      <c r="L37" t="inlineStr">
        <is>
          <t>02W DIESEL ENGINE</t>
        </is>
      </c>
      <c r="M37" t="inlineStr">
        <is>
          <t>STOP-U WEST CRANE DIESEL ENGINE</t>
        </is>
      </c>
      <c r="N37" t="inlineStr">
        <is>
          <t>1349-73MA002</t>
        </is>
      </c>
      <c r="P37" t="n">
        <v>0.5</v>
      </c>
      <c r="Q37" t="inlineStr">
        <is>
          <t>PLANO</t>
        </is>
      </c>
      <c r="R37" t="inlineStr">
        <is>
          <t>Z12</t>
        </is>
      </c>
      <c r="S37" s="20" t="n">
        <v>46320</v>
      </c>
    </row>
    <row r="38">
      <c r="A38" t="inlineStr">
        <is>
          <t>MEC</t>
        </is>
      </c>
      <c r="B38" t="inlineStr">
        <is>
          <t>43845205</t>
        </is>
      </c>
      <c r="C38" t="n">
        <v>4384520</v>
      </c>
      <c r="D38" t="inlineStr">
        <is>
          <t>ENCERRADA</t>
        </is>
      </c>
      <c r="E38" s="20" t="n">
        <v>46320</v>
      </c>
      <c r="F38" t="n">
        <v>3</v>
      </c>
      <c r="G38" t="n">
        <v>2</v>
      </c>
      <c r="H38" s="20" t="n">
        <v>46320</v>
      </c>
      <c r="I38" t="n">
        <v>4384520</v>
      </c>
      <c r="J38" t="n">
        <v>5</v>
      </c>
      <c r="K38" t="inlineStr">
        <is>
          <t>POMMEC</t>
        </is>
      </c>
      <c r="L38" t="inlineStr">
        <is>
          <t>02W PREPARATION AND REPORT</t>
        </is>
      </c>
      <c r="M38" t="inlineStr">
        <is>
          <t>STOP-U WEST CRANE DIESEL ENGINE</t>
        </is>
      </c>
      <c r="N38" t="inlineStr">
        <is>
          <t>1349-73MA002</t>
        </is>
      </c>
      <c r="P38" t="n">
        <v>1</v>
      </c>
      <c r="Q38" t="inlineStr">
        <is>
          <t>PLANO</t>
        </is>
      </c>
      <c r="R38" t="inlineStr">
        <is>
          <t>Z12</t>
        </is>
      </c>
      <c r="S38" s="20" t="n">
        <v>46320</v>
      </c>
    </row>
    <row r="39">
      <c r="A39" t="inlineStr">
        <is>
          <t>MEC</t>
        </is>
      </c>
      <c r="B39" t="inlineStr">
        <is>
          <t>438452020</t>
        </is>
      </c>
      <c r="C39" t="n">
        <v>4384520</v>
      </c>
      <c r="D39" t="inlineStr">
        <is>
          <t>ENCERRADA</t>
        </is>
      </c>
      <c r="E39" s="20" t="n">
        <v>46320</v>
      </c>
      <c r="F39" t="n">
        <v>3</v>
      </c>
      <c r="G39" t="n">
        <v>2</v>
      </c>
      <c r="H39" s="20" t="n">
        <v>46320</v>
      </c>
      <c r="I39" t="n">
        <v>4384520</v>
      </c>
      <c r="J39" t="n">
        <v>20</v>
      </c>
      <c r="K39" t="inlineStr">
        <is>
          <t>POMMEC</t>
        </is>
      </c>
      <c r="L39" t="inlineStr">
        <is>
          <t>02W DIESEL ENGINE</t>
        </is>
      </c>
      <c r="M39" t="inlineStr">
        <is>
          <t>STOP-U WEST CRANE DIESEL ENGINE</t>
        </is>
      </c>
      <c r="N39" t="inlineStr">
        <is>
          <t>1349-73MA002</t>
        </is>
      </c>
      <c r="P39" t="n">
        <v>1</v>
      </c>
      <c r="Q39" t="inlineStr">
        <is>
          <t>PLANO</t>
        </is>
      </c>
      <c r="R39" t="inlineStr">
        <is>
          <t>Z12</t>
        </is>
      </c>
      <c r="S39" s="20" t="n">
        <v>46320</v>
      </c>
    </row>
    <row r="40">
      <c r="A40" t="inlineStr">
        <is>
          <t>MEC</t>
        </is>
      </c>
      <c r="B40" t="inlineStr">
        <is>
          <t>438452030</t>
        </is>
      </c>
      <c r="C40" t="n">
        <v>4384520</v>
      </c>
      <c r="D40" t="inlineStr">
        <is>
          <t>ENCERRADA</t>
        </is>
      </c>
      <c r="E40" s="20" t="n">
        <v>46320</v>
      </c>
      <c r="F40" t="n">
        <v>3</v>
      </c>
      <c r="G40" t="n">
        <v>2</v>
      </c>
      <c r="H40" s="20" t="n">
        <v>46320</v>
      </c>
      <c r="I40" t="n">
        <v>4384520</v>
      </c>
      <c r="J40" t="n">
        <v>30</v>
      </c>
      <c r="K40" t="inlineStr">
        <is>
          <t>POMMEC</t>
        </is>
      </c>
      <c r="L40" t="inlineStr">
        <is>
          <t>02W DIESEL ENGINE OIL CHANGE</t>
        </is>
      </c>
      <c r="M40" t="inlineStr">
        <is>
          <t>STOP-U WEST CRANE DIESEL ENGINE</t>
        </is>
      </c>
      <c r="N40" t="inlineStr">
        <is>
          <t>1349-73MA002</t>
        </is>
      </c>
      <c r="P40" t="n">
        <v>2</v>
      </c>
      <c r="Q40" t="inlineStr">
        <is>
          <t>PLANO</t>
        </is>
      </c>
      <c r="R40" t="inlineStr">
        <is>
          <t>Z12</t>
        </is>
      </c>
      <c r="S40" s="20" t="n">
        <v>46320</v>
      </c>
    </row>
    <row r="41">
      <c r="A41" t="inlineStr">
        <is>
          <t>ELE</t>
        </is>
      </c>
      <c r="B41" t="inlineStr">
        <is>
          <t>438452040</t>
        </is>
      </c>
      <c r="C41" t="n">
        <v>4384520</v>
      </c>
      <c r="D41" t="inlineStr">
        <is>
          <t>ENCERRADA</t>
        </is>
      </c>
      <c r="E41" s="20" t="n">
        <v>46320</v>
      </c>
      <c r="F41" t="n">
        <v>3</v>
      </c>
      <c r="G41" t="n">
        <v>2</v>
      </c>
      <c r="H41" s="20" t="n">
        <v>46320</v>
      </c>
      <c r="I41" t="n">
        <v>4384520</v>
      </c>
      <c r="J41" t="n">
        <v>40</v>
      </c>
      <c r="K41" t="inlineStr">
        <is>
          <t>POMELE</t>
        </is>
      </c>
      <c r="L41" t="inlineStr">
        <is>
          <t>02W DIESEL ENGINE</t>
        </is>
      </c>
      <c r="M41" t="inlineStr">
        <is>
          <t>STOP-U WEST CRANE DIESEL ENGINE</t>
        </is>
      </c>
      <c r="N41" t="inlineStr">
        <is>
          <t>1349-73MA002</t>
        </is>
      </c>
      <c r="P41" t="n">
        <v>0.5</v>
      </c>
      <c r="Q41" t="inlineStr">
        <is>
          <t>PLANO</t>
        </is>
      </c>
      <c r="R41" t="inlineStr">
        <is>
          <t>Z12</t>
        </is>
      </c>
      <c r="S41" s="20" t="n">
        <v>46320</v>
      </c>
    </row>
    <row r="42">
      <c r="A42" t="inlineStr">
        <is>
          <t>ELE</t>
        </is>
      </c>
      <c r="B42" t="inlineStr">
        <is>
          <t>438448510</t>
        </is>
      </c>
      <c r="C42" t="n">
        <v>4384485</v>
      </c>
      <c r="D42" t="inlineStr">
        <is>
          <t>ENCERRADA</t>
        </is>
      </c>
      <c r="E42" s="20" t="n">
        <v>46316</v>
      </c>
      <c r="F42" t="n">
        <v>3</v>
      </c>
      <c r="G42" t="n">
        <v>2</v>
      </c>
      <c r="H42" s="20" t="n">
        <v>46316</v>
      </c>
      <c r="I42" t="n">
        <v>4384485</v>
      </c>
      <c r="J42" t="n">
        <v>10</v>
      </c>
      <c r="K42" t="inlineStr">
        <is>
          <t>POMELE</t>
        </is>
      </c>
      <c r="L42" t="inlineStr">
        <is>
          <t>02W PREPARATION AND REPORT</t>
        </is>
      </c>
      <c r="M42" t="inlineStr">
        <is>
          <t>1349-82EL101A HEAT TRACING INSPECTION</t>
        </is>
      </c>
      <c r="N42" t="inlineStr">
        <is>
          <t>1349-82EL101A</t>
        </is>
      </c>
      <c r="P42" t="n">
        <v>1</v>
      </c>
      <c r="Q42" t="inlineStr">
        <is>
          <t>PLANO</t>
        </is>
      </c>
      <c r="R42" t="inlineStr">
        <is>
          <t>Z12</t>
        </is>
      </c>
      <c r="S42" s="20" t="n">
        <v>46316</v>
      </c>
    </row>
    <row r="43">
      <c r="A43" t="inlineStr">
        <is>
          <t>ELE</t>
        </is>
      </c>
      <c r="B43" t="inlineStr">
        <is>
          <t>438448520</t>
        </is>
      </c>
      <c r="C43" t="n">
        <v>4384485</v>
      </c>
      <c r="D43" t="inlineStr">
        <is>
          <t>ENCERRADA</t>
        </is>
      </c>
      <c r="E43" s="20" t="n">
        <v>46316</v>
      </c>
      <c r="F43" t="n">
        <v>3</v>
      </c>
      <c r="G43" t="n">
        <v>2</v>
      </c>
      <c r="H43" s="20" t="n">
        <v>46316</v>
      </c>
      <c r="I43" t="n">
        <v>4384485</v>
      </c>
      <c r="J43" t="n">
        <v>20</v>
      </c>
      <c r="K43" t="inlineStr">
        <is>
          <t>POMELE</t>
        </is>
      </c>
      <c r="L43" t="inlineStr">
        <is>
          <t>02W HEAT TRACING SYS INSPECTION</t>
        </is>
      </c>
      <c r="M43" t="inlineStr">
        <is>
          <t>1349-82EL101A HEAT TRACING INSPECTION</t>
        </is>
      </c>
      <c r="N43" t="inlineStr">
        <is>
          <t>1349-82EL101A</t>
        </is>
      </c>
      <c r="P43" t="n">
        <v>2</v>
      </c>
      <c r="Q43" t="inlineStr">
        <is>
          <t>PLANO</t>
        </is>
      </c>
      <c r="R43" t="inlineStr">
        <is>
          <t>Z12</t>
        </is>
      </c>
      <c r="S43" s="20" t="n">
        <v>46316</v>
      </c>
    </row>
    <row r="44">
      <c r="A44" t="inlineStr">
        <is>
          <t>AUT</t>
        </is>
      </c>
      <c r="B44" t="inlineStr">
        <is>
          <t>438458740</t>
        </is>
      </c>
      <c r="C44" t="n">
        <v>4384587</v>
      </c>
      <c r="D44" t="inlineStr">
        <is>
          <t>ENCERRADA</t>
        </is>
      </c>
      <c r="E44" s="20" t="n">
        <v>46316</v>
      </c>
      <c r="F44" t="n">
        <v>5</v>
      </c>
      <c r="G44" t="n">
        <v>3</v>
      </c>
      <c r="H44" s="20" t="n">
        <v>46316</v>
      </c>
      <c r="I44" t="n">
        <v>4384587</v>
      </c>
      <c r="J44" t="n">
        <v>40</v>
      </c>
      <c r="K44" t="inlineStr">
        <is>
          <t>E05AUT</t>
        </is>
      </c>
      <c r="L44" t="inlineStr">
        <is>
          <t>01W CONTROL NETWORK</t>
        </is>
      </c>
      <c r="M44" t="inlineStr">
        <is>
          <t>AUT CABINETS STATUS VERIF WEEKLY</t>
        </is>
      </c>
      <c r="N44" t="inlineStr">
        <is>
          <t>1349-SYS87</t>
        </is>
      </c>
      <c r="P44" t="n">
        <v>0.5</v>
      </c>
      <c r="Q44" t="inlineStr">
        <is>
          <t>PLANO</t>
        </is>
      </c>
      <c r="R44" t="inlineStr">
        <is>
          <t>Z12</t>
        </is>
      </c>
      <c r="S44" s="20" t="n">
        <v>46316</v>
      </c>
    </row>
    <row r="45">
      <c r="A45" t="inlineStr">
        <is>
          <t>AUT</t>
        </is>
      </c>
      <c r="B45" t="inlineStr">
        <is>
          <t>438458760</t>
        </is>
      </c>
      <c r="C45" t="n">
        <v>4384587</v>
      </c>
      <c r="D45" t="inlineStr">
        <is>
          <t>ENCERRADA</t>
        </is>
      </c>
      <c r="E45" s="20" t="n">
        <v>46316</v>
      </c>
      <c r="F45" t="n">
        <v>5</v>
      </c>
      <c r="G45" t="n">
        <v>3</v>
      </c>
      <c r="H45" s="20" t="n">
        <v>46316</v>
      </c>
      <c r="I45" t="n">
        <v>4384587</v>
      </c>
      <c r="J45" t="n">
        <v>60</v>
      </c>
      <c r="K45" t="inlineStr">
        <is>
          <t>E05AUT</t>
        </is>
      </c>
      <c r="L45" t="inlineStr">
        <is>
          <t>01W RIO &amp; ORTHER COMMUNICATION</t>
        </is>
      </c>
      <c r="M45" t="inlineStr">
        <is>
          <t>AUT CABINETS STATUS VERIF WEEKLY</t>
        </is>
      </c>
      <c r="N45" t="inlineStr">
        <is>
          <t>1349-SYS87</t>
        </is>
      </c>
      <c r="P45" t="n">
        <v>0.5</v>
      </c>
      <c r="Q45" t="inlineStr">
        <is>
          <t>PLANO</t>
        </is>
      </c>
      <c r="R45" t="inlineStr">
        <is>
          <t>Z12</t>
        </is>
      </c>
      <c r="S45" s="20" t="n">
        <v>46316</v>
      </c>
    </row>
    <row r="46">
      <c r="A46" t="inlineStr">
        <is>
          <t>AUT</t>
        </is>
      </c>
      <c r="B46" t="inlineStr">
        <is>
          <t>438458770</t>
        </is>
      </c>
      <c r="C46" t="n">
        <v>4384587</v>
      </c>
      <c r="D46" t="inlineStr">
        <is>
          <t>ENCERRADA</t>
        </is>
      </c>
      <c r="E46" s="20" t="n">
        <v>46316</v>
      </c>
      <c r="F46" t="n">
        <v>5</v>
      </c>
      <c r="G46" t="n">
        <v>3</v>
      </c>
      <c r="H46" s="20" t="n">
        <v>46316</v>
      </c>
      <c r="I46" t="n">
        <v>4384587</v>
      </c>
      <c r="J46" t="n">
        <v>70</v>
      </c>
      <c r="K46" t="inlineStr">
        <is>
          <t>E05AUT</t>
        </is>
      </c>
      <c r="L46" t="inlineStr">
        <is>
          <t>01W I/O MODULES</t>
        </is>
      </c>
      <c r="M46" t="inlineStr">
        <is>
          <t>AUT CABINETS STATUS VERIF WEEKLY</t>
        </is>
      </c>
      <c r="N46" t="inlineStr">
        <is>
          <t>1349-SYS87</t>
        </is>
      </c>
      <c r="P46" t="n">
        <v>0.5</v>
      </c>
      <c r="Q46" t="inlineStr">
        <is>
          <t>PLANO</t>
        </is>
      </c>
      <c r="R46" t="inlineStr">
        <is>
          <t>Z12</t>
        </is>
      </c>
      <c r="S46" s="20" t="n">
        <v>46316</v>
      </c>
    </row>
    <row r="47">
      <c r="A47" t="inlineStr">
        <is>
          <t>AUT</t>
        </is>
      </c>
      <c r="B47" t="inlineStr">
        <is>
          <t>438458780</t>
        </is>
      </c>
      <c r="C47" t="n">
        <v>4384587</v>
      </c>
      <c r="D47" t="inlineStr">
        <is>
          <t>ENCERRADA</t>
        </is>
      </c>
      <c r="E47" s="20" t="n">
        <v>46316</v>
      </c>
      <c r="F47" t="n">
        <v>5</v>
      </c>
      <c r="G47" t="n">
        <v>3</v>
      </c>
      <c r="H47" s="20" t="n">
        <v>46316</v>
      </c>
      <c r="I47" t="n">
        <v>4384587</v>
      </c>
      <c r="J47" t="n">
        <v>80</v>
      </c>
      <c r="K47" t="inlineStr">
        <is>
          <t>E05AUT</t>
        </is>
      </c>
      <c r="L47" t="inlineStr">
        <is>
          <t>01W CLIENT SERVER AND NETWORKS</t>
        </is>
      </c>
      <c r="M47" t="inlineStr">
        <is>
          <t>AUT CABINETS STATUS VERIF WEEKLY</t>
        </is>
      </c>
      <c r="N47" t="inlineStr">
        <is>
          <t>1349-SYS87</t>
        </is>
      </c>
      <c r="P47" t="n">
        <v>0.5</v>
      </c>
      <c r="Q47" t="inlineStr">
        <is>
          <t>PLANO</t>
        </is>
      </c>
      <c r="R47" t="inlineStr">
        <is>
          <t>Z12</t>
        </is>
      </c>
      <c r="S47" s="20" t="n">
        <v>46316</v>
      </c>
    </row>
    <row r="48">
      <c r="A48" t="inlineStr">
        <is>
          <t>AUT</t>
        </is>
      </c>
      <c r="B48" t="inlineStr">
        <is>
          <t>438458790</t>
        </is>
      </c>
      <c r="C48" t="n">
        <v>4384587</v>
      </c>
      <c r="D48" t="inlineStr">
        <is>
          <t>ENCERRADA</t>
        </is>
      </c>
      <c r="E48" s="20" t="n">
        <v>46316</v>
      </c>
      <c r="F48" t="n">
        <v>5</v>
      </c>
      <c r="G48" t="n">
        <v>3</v>
      </c>
      <c r="H48" s="20" t="n">
        <v>46316</v>
      </c>
      <c r="I48" t="n">
        <v>4384587</v>
      </c>
      <c r="J48" t="n">
        <v>90</v>
      </c>
      <c r="K48" t="inlineStr">
        <is>
          <t>E05AUT</t>
        </is>
      </c>
      <c r="L48" t="inlineStr">
        <is>
          <t>01W SERVERS &amp; SYSTEMS</t>
        </is>
      </c>
      <c r="M48" t="inlineStr">
        <is>
          <t>AUT CABINETS STATUS VERIF WEEKLY</t>
        </is>
      </c>
      <c r="N48" t="inlineStr">
        <is>
          <t>1349-SYS87</t>
        </is>
      </c>
      <c r="P48" t="n">
        <v>0.5</v>
      </c>
      <c r="Q48" t="inlineStr">
        <is>
          <t>PLANO</t>
        </is>
      </c>
      <c r="R48" t="inlineStr">
        <is>
          <t>Z12</t>
        </is>
      </c>
      <c r="S48" s="20" t="n">
        <v>46316</v>
      </c>
    </row>
    <row r="49">
      <c r="A49" t="inlineStr">
        <is>
          <t>AUT</t>
        </is>
      </c>
      <c r="B49" t="inlineStr">
        <is>
          <t>4384587100</t>
        </is>
      </c>
      <c r="C49" t="n">
        <v>4384587</v>
      </c>
      <c r="D49" t="inlineStr">
        <is>
          <t>ENCERRADA</t>
        </is>
      </c>
      <c r="E49" s="20" t="n">
        <v>46316</v>
      </c>
      <c r="F49" t="n">
        <v>5</v>
      </c>
      <c r="G49" t="n">
        <v>3</v>
      </c>
      <c r="H49" s="20" t="n">
        <v>46316</v>
      </c>
      <c r="I49" t="n">
        <v>4384587</v>
      </c>
      <c r="J49" t="n">
        <v>100</v>
      </c>
      <c r="K49" t="inlineStr">
        <is>
          <t>E05AUT</t>
        </is>
      </c>
      <c r="L49" t="inlineStr">
        <is>
          <t>01W SYSTEMS BACKUP</t>
        </is>
      </c>
      <c r="M49" t="inlineStr">
        <is>
          <t>AUT CABINETS STATUS VERIF WEEKLY</t>
        </is>
      </c>
      <c r="N49" t="inlineStr">
        <is>
          <t>1349-SYS87</t>
        </is>
      </c>
      <c r="P49" t="n">
        <v>2</v>
      </c>
      <c r="Q49" t="inlineStr">
        <is>
          <t>PLANO</t>
        </is>
      </c>
      <c r="R49" t="inlineStr">
        <is>
          <t>Z12</t>
        </is>
      </c>
      <c r="S49" s="20" t="n">
        <v>46316</v>
      </c>
    </row>
    <row r="50">
      <c r="A50" t="inlineStr">
        <is>
          <t>AUT</t>
        </is>
      </c>
      <c r="B50" t="inlineStr">
        <is>
          <t>4384587110</t>
        </is>
      </c>
      <c r="C50" t="n">
        <v>4384587</v>
      </c>
      <c r="D50" t="inlineStr">
        <is>
          <t>ENCERRADA</t>
        </is>
      </c>
      <c r="E50" s="20" t="n">
        <v>46316</v>
      </c>
      <c r="F50" t="n">
        <v>5</v>
      </c>
      <c r="G50" t="n">
        <v>3</v>
      </c>
      <c r="H50" s="20" t="n">
        <v>46316</v>
      </c>
      <c r="I50" t="n">
        <v>4384587</v>
      </c>
      <c r="J50" t="n">
        <v>110</v>
      </c>
      <c r="K50" t="inlineStr">
        <is>
          <t>E05AUT</t>
        </is>
      </c>
      <c r="L50" t="inlineStr">
        <is>
          <t>01W ANTIVIRUS UPDATE</t>
        </is>
      </c>
      <c r="M50" t="inlineStr">
        <is>
          <t>AUT CABINETS STATUS VERIF WEEKLY</t>
        </is>
      </c>
      <c r="N50" t="inlineStr">
        <is>
          <t>1349-SYS87</t>
        </is>
      </c>
      <c r="P50" t="n">
        <v>1</v>
      </c>
      <c r="Q50" t="inlineStr">
        <is>
          <t>PLANO</t>
        </is>
      </c>
      <c r="R50" t="inlineStr">
        <is>
          <t>Z12</t>
        </is>
      </c>
      <c r="S50" s="20" t="n">
        <v>46316</v>
      </c>
    </row>
    <row r="51">
      <c r="A51" t="inlineStr">
        <is>
          <t>AUT</t>
        </is>
      </c>
      <c r="B51" t="inlineStr">
        <is>
          <t>4384587120</t>
        </is>
      </c>
      <c r="C51" t="n">
        <v>4384587</v>
      </c>
      <c r="D51" t="inlineStr">
        <is>
          <t>ENCERRADA</t>
        </is>
      </c>
      <c r="E51" s="20" t="n">
        <v>46316</v>
      </c>
      <c r="F51" t="n">
        <v>5</v>
      </c>
      <c r="G51" t="n">
        <v>3</v>
      </c>
      <c r="H51" s="20" t="n">
        <v>46316</v>
      </c>
      <c r="I51" t="n">
        <v>4384587</v>
      </c>
      <c r="J51" t="n">
        <v>120</v>
      </c>
      <c r="K51" t="inlineStr">
        <is>
          <t>E05AUT</t>
        </is>
      </c>
      <c r="L51" t="inlineStr">
        <is>
          <t>02W CONTROL NETWORK CLIENT SERVE</t>
        </is>
      </c>
      <c r="M51" t="inlineStr">
        <is>
          <t>AUT CABINETS STATUS VERIF WEEKLY</t>
        </is>
      </c>
      <c r="N51" t="inlineStr">
        <is>
          <t>1349-SYS87</t>
        </is>
      </c>
      <c r="P51" t="n">
        <v>1</v>
      </c>
      <c r="Q51" t="inlineStr">
        <is>
          <t>PLANO</t>
        </is>
      </c>
      <c r="R51" t="inlineStr">
        <is>
          <t>Z12</t>
        </is>
      </c>
      <c r="S51" s="20" t="n">
        <v>46316</v>
      </c>
    </row>
    <row r="52">
      <c r="A52" t="inlineStr">
        <is>
          <t>AUT</t>
        </is>
      </c>
      <c r="B52" t="inlineStr">
        <is>
          <t>4384587130</t>
        </is>
      </c>
      <c r="C52" t="n">
        <v>4384587</v>
      </c>
      <c r="D52" t="inlineStr">
        <is>
          <t>ENCERRADA</t>
        </is>
      </c>
      <c r="E52" s="20" t="n">
        <v>46316</v>
      </c>
      <c r="F52" t="n">
        <v>5</v>
      </c>
      <c r="G52" t="n">
        <v>3</v>
      </c>
      <c r="H52" s="20" t="n">
        <v>46316</v>
      </c>
      <c r="I52" t="n">
        <v>4384587</v>
      </c>
      <c r="J52" t="n">
        <v>130</v>
      </c>
      <c r="K52" t="inlineStr">
        <is>
          <t>POMAUT</t>
        </is>
      </c>
      <c r="L52" t="inlineStr">
        <is>
          <t>02W CONTROL NET CLIENT THERMOGRAPHY</t>
        </is>
      </c>
      <c r="M52" t="inlineStr">
        <is>
          <t>AUT CABINETS STATUS VERIF WEEKLY</t>
        </is>
      </c>
      <c r="N52" t="inlineStr">
        <is>
          <t>1349-SYS87</t>
        </is>
      </c>
      <c r="P52" t="n">
        <v>3</v>
      </c>
      <c r="Q52" t="inlineStr">
        <is>
          <t>PLANO</t>
        </is>
      </c>
      <c r="R52" t="inlineStr">
        <is>
          <t>Z12</t>
        </is>
      </c>
      <c r="S52" s="20" t="n">
        <v>46316</v>
      </c>
    </row>
    <row r="53">
      <c r="A53" t="inlineStr">
        <is>
          <t>AUT</t>
        </is>
      </c>
      <c r="B53" t="inlineStr">
        <is>
          <t>4384587140</t>
        </is>
      </c>
      <c r="C53" t="n">
        <v>4384587</v>
      </c>
      <c r="D53" t="inlineStr">
        <is>
          <t>ENCERRADA</t>
        </is>
      </c>
      <c r="E53" s="20" t="n">
        <v>46316</v>
      </c>
      <c r="F53" t="n">
        <v>5</v>
      </c>
      <c r="G53" t="n">
        <v>3</v>
      </c>
      <c r="H53" s="20" t="n">
        <v>46316</v>
      </c>
      <c r="I53" t="n">
        <v>4384587</v>
      </c>
      <c r="J53" t="n">
        <v>140</v>
      </c>
      <c r="K53" t="inlineStr">
        <is>
          <t>E05AUT</t>
        </is>
      </c>
      <c r="L53" t="inlineStr">
        <is>
          <t>02W SERVERS AND SYSTEMS</t>
        </is>
      </c>
      <c r="M53" t="inlineStr">
        <is>
          <t>AUT CABINETS STATUS VERIF WEEKLY</t>
        </is>
      </c>
      <c r="N53" t="inlineStr">
        <is>
          <t>1349-SYS87</t>
        </is>
      </c>
      <c r="P53" t="n">
        <v>2</v>
      </c>
      <c r="Q53" t="inlineStr">
        <is>
          <t>PLANO</t>
        </is>
      </c>
      <c r="R53" t="inlineStr">
        <is>
          <t>Z12</t>
        </is>
      </c>
      <c r="S53" s="20" t="n">
        <v>46316</v>
      </c>
    </row>
    <row r="54">
      <c r="A54" t="inlineStr">
        <is>
          <t>AUT</t>
        </is>
      </c>
      <c r="B54" t="inlineStr">
        <is>
          <t>4384587150</t>
        </is>
      </c>
      <c r="C54" t="n">
        <v>4384587</v>
      </c>
      <c r="D54" t="inlineStr">
        <is>
          <t>ENCERRADA</t>
        </is>
      </c>
      <c r="E54" s="20" t="n">
        <v>46316</v>
      </c>
      <c r="F54" t="n">
        <v>5</v>
      </c>
      <c r="G54" t="n">
        <v>3</v>
      </c>
      <c r="H54" s="20" t="n">
        <v>46316</v>
      </c>
      <c r="I54" t="n">
        <v>4384587</v>
      </c>
      <c r="J54" t="n">
        <v>150</v>
      </c>
      <c r="K54" t="inlineStr">
        <is>
          <t>E05AUT</t>
        </is>
      </c>
      <c r="L54" t="inlineStr">
        <is>
          <t>02W 800XA CLIENTS</t>
        </is>
      </c>
      <c r="M54" t="inlineStr">
        <is>
          <t>AUT CABINETS STATUS VERIF WEEKLY</t>
        </is>
      </c>
      <c r="N54" t="inlineStr">
        <is>
          <t>1349-SYS87</t>
        </is>
      </c>
      <c r="P54" t="n">
        <v>0.5</v>
      </c>
      <c r="Q54" t="inlineStr">
        <is>
          <t>PLANO</t>
        </is>
      </c>
      <c r="R54" t="inlineStr">
        <is>
          <t>Z12</t>
        </is>
      </c>
      <c r="S54" s="20" t="n">
        <v>46316</v>
      </c>
    </row>
    <row r="55">
      <c r="A55" t="inlineStr">
        <is>
          <t>AUT</t>
        </is>
      </c>
      <c r="B55" t="inlineStr">
        <is>
          <t>438458840</t>
        </is>
      </c>
      <c r="C55" t="n">
        <v>4384588</v>
      </c>
      <c r="D55" t="inlineStr">
        <is>
          <t>ENCERRADA</t>
        </is>
      </c>
      <c r="E55" s="20" t="n">
        <v>46323</v>
      </c>
      <c r="F55" t="n">
        <v>5</v>
      </c>
      <c r="G55" t="n">
        <v>3</v>
      </c>
      <c r="H55" s="20" t="n">
        <v>46323</v>
      </c>
      <c r="I55" t="n">
        <v>4384588</v>
      </c>
      <c r="J55" t="n">
        <v>40</v>
      </c>
      <c r="K55" t="inlineStr">
        <is>
          <t>E05AUT</t>
        </is>
      </c>
      <c r="L55" t="inlineStr">
        <is>
          <t>01W CONTROL NETWORK</t>
        </is>
      </c>
      <c r="M55" t="inlineStr">
        <is>
          <t>AUT CABINETS STATUS VERIF WEEKLY</t>
        </is>
      </c>
      <c r="N55" t="inlineStr">
        <is>
          <t>1349-SYS87</t>
        </is>
      </c>
      <c r="P55" t="n">
        <v>0.5</v>
      </c>
      <c r="Q55" t="inlineStr">
        <is>
          <t>PLANO</t>
        </is>
      </c>
      <c r="R55" t="inlineStr">
        <is>
          <t>Z12</t>
        </is>
      </c>
      <c r="S55" s="20" t="n">
        <v>46323</v>
      </c>
    </row>
    <row r="56">
      <c r="A56" t="inlineStr">
        <is>
          <t>AUT</t>
        </is>
      </c>
      <c r="B56" t="inlineStr">
        <is>
          <t>438458860</t>
        </is>
      </c>
      <c r="C56" t="n">
        <v>4384588</v>
      </c>
      <c r="D56" t="inlineStr">
        <is>
          <t>ENCERRADA</t>
        </is>
      </c>
      <c r="E56" s="20" t="n">
        <v>46323</v>
      </c>
      <c r="F56" t="n">
        <v>5</v>
      </c>
      <c r="G56" t="n">
        <v>3</v>
      </c>
      <c r="H56" s="20" t="n">
        <v>46323</v>
      </c>
      <c r="I56" t="n">
        <v>4384588</v>
      </c>
      <c r="J56" t="n">
        <v>60</v>
      </c>
      <c r="K56" t="inlineStr">
        <is>
          <t>E05AUT</t>
        </is>
      </c>
      <c r="L56" t="inlineStr">
        <is>
          <t>01W RIO &amp; ORTHER COMMUNICATION</t>
        </is>
      </c>
      <c r="M56" t="inlineStr">
        <is>
          <t>AUT CABINETS STATUS VERIF WEEKLY</t>
        </is>
      </c>
      <c r="N56" t="inlineStr">
        <is>
          <t>1349-SYS87</t>
        </is>
      </c>
      <c r="P56" t="n">
        <v>0.5</v>
      </c>
      <c r="Q56" t="inlineStr">
        <is>
          <t>PLANO</t>
        </is>
      </c>
      <c r="R56" t="inlineStr">
        <is>
          <t>Z12</t>
        </is>
      </c>
      <c r="S56" s="20" t="n">
        <v>46323</v>
      </c>
    </row>
    <row r="57">
      <c r="A57" t="inlineStr">
        <is>
          <t>AUT</t>
        </is>
      </c>
      <c r="B57" t="inlineStr">
        <is>
          <t>438458870</t>
        </is>
      </c>
      <c r="C57" t="n">
        <v>4384588</v>
      </c>
      <c r="D57" t="inlineStr">
        <is>
          <t>ENCERRADA</t>
        </is>
      </c>
      <c r="E57" s="20" t="n">
        <v>46323</v>
      </c>
      <c r="F57" t="n">
        <v>5</v>
      </c>
      <c r="G57" t="n">
        <v>3</v>
      </c>
      <c r="H57" s="20" t="n">
        <v>46323</v>
      </c>
      <c r="I57" t="n">
        <v>4384588</v>
      </c>
      <c r="J57" t="n">
        <v>70</v>
      </c>
      <c r="K57" t="inlineStr">
        <is>
          <t>E05AUT</t>
        </is>
      </c>
      <c r="L57" t="inlineStr">
        <is>
          <t>01W I/O MODULES</t>
        </is>
      </c>
      <c r="M57" t="inlineStr">
        <is>
          <t>AUT CABINETS STATUS VERIF WEEKLY</t>
        </is>
      </c>
      <c r="N57" t="inlineStr">
        <is>
          <t>1349-SYS87</t>
        </is>
      </c>
      <c r="P57" t="n">
        <v>0.5</v>
      </c>
      <c r="Q57" t="inlineStr">
        <is>
          <t>PLANO</t>
        </is>
      </c>
      <c r="R57" t="inlineStr">
        <is>
          <t>Z12</t>
        </is>
      </c>
      <c r="S57" s="20" t="n">
        <v>46323</v>
      </c>
    </row>
    <row r="58">
      <c r="A58" t="inlineStr">
        <is>
          <t>AUT</t>
        </is>
      </c>
      <c r="B58" t="inlineStr">
        <is>
          <t>438458880</t>
        </is>
      </c>
      <c r="C58" t="n">
        <v>4384588</v>
      </c>
      <c r="D58" t="inlineStr">
        <is>
          <t>ENCERRADA</t>
        </is>
      </c>
      <c r="E58" s="20" t="n">
        <v>46323</v>
      </c>
      <c r="F58" t="n">
        <v>5</v>
      </c>
      <c r="G58" t="n">
        <v>3</v>
      </c>
      <c r="H58" s="20" t="n">
        <v>46323</v>
      </c>
      <c r="I58" t="n">
        <v>4384588</v>
      </c>
      <c r="J58" t="n">
        <v>80</v>
      </c>
      <c r="K58" t="inlineStr">
        <is>
          <t>E05AUT</t>
        </is>
      </c>
      <c r="L58" t="inlineStr">
        <is>
          <t>01W CLIENT SERVER AND NETWORKS</t>
        </is>
      </c>
      <c r="M58" t="inlineStr">
        <is>
          <t>AUT CABINETS STATUS VERIF WEEKLY</t>
        </is>
      </c>
      <c r="N58" t="inlineStr">
        <is>
          <t>1349-SYS87</t>
        </is>
      </c>
      <c r="P58" t="n">
        <v>0.5</v>
      </c>
      <c r="Q58" t="inlineStr">
        <is>
          <t>PLANO</t>
        </is>
      </c>
      <c r="R58" t="inlineStr">
        <is>
          <t>Z12</t>
        </is>
      </c>
      <c r="S58" s="20" t="n">
        <v>46323</v>
      </c>
    </row>
    <row r="59">
      <c r="A59" t="inlineStr">
        <is>
          <t>AUT</t>
        </is>
      </c>
      <c r="B59" t="inlineStr">
        <is>
          <t>438458890</t>
        </is>
      </c>
      <c r="C59" t="n">
        <v>4384588</v>
      </c>
      <c r="D59" t="inlineStr">
        <is>
          <t>ENCERRADA</t>
        </is>
      </c>
      <c r="E59" s="20" t="n">
        <v>46323</v>
      </c>
      <c r="F59" t="n">
        <v>5</v>
      </c>
      <c r="G59" t="n">
        <v>3</v>
      </c>
      <c r="H59" s="20" t="n">
        <v>46323</v>
      </c>
      <c r="I59" t="n">
        <v>4384588</v>
      </c>
      <c r="J59" t="n">
        <v>90</v>
      </c>
      <c r="K59" t="inlineStr">
        <is>
          <t>E05AUT</t>
        </is>
      </c>
      <c r="L59" t="inlineStr">
        <is>
          <t>01W SERVERS &amp; SYSTEMS</t>
        </is>
      </c>
      <c r="M59" t="inlineStr">
        <is>
          <t>AUT CABINETS STATUS VERIF WEEKLY</t>
        </is>
      </c>
      <c r="N59" t="inlineStr">
        <is>
          <t>1349-SYS87</t>
        </is>
      </c>
      <c r="P59" t="n">
        <v>0.5</v>
      </c>
      <c r="Q59" t="inlineStr">
        <is>
          <t>PLANO</t>
        </is>
      </c>
      <c r="R59" t="inlineStr">
        <is>
          <t>Z12</t>
        </is>
      </c>
      <c r="S59" s="20" t="n">
        <v>46323</v>
      </c>
    </row>
    <row r="60">
      <c r="A60" t="inlineStr">
        <is>
          <t>AUT</t>
        </is>
      </c>
      <c r="B60" t="inlineStr">
        <is>
          <t>4384588100</t>
        </is>
      </c>
      <c r="C60" t="n">
        <v>4384588</v>
      </c>
      <c r="D60" t="inlineStr">
        <is>
          <t>ENCERRADA</t>
        </is>
      </c>
      <c r="E60" s="20" t="n">
        <v>46323</v>
      </c>
      <c r="F60" t="n">
        <v>5</v>
      </c>
      <c r="G60" t="n">
        <v>3</v>
      </c>
      <c r="H60" s="20" t="n">
        <v>46323</v>
      </c>
      <c r="I60" t="n">
        <v>4384588</v>
      </c>
      <c r="J60" t="n">
        <v>100</v>
      </c>
      <c r="K60" t="inlineStr">
        <is>
          <t>E05AUT</t>
        </is>
      </c>
      <c r="L60" t="inlineStr">
        <is>
          <t>01W SYSTEMS BACKUP</t>
        </is>
      </c>
      <c r="M60" t="inlineStr">
        <is>
          <t>AUT CABINETS STATUS VERIF WEEKLY</t>
        </is>
      </c>
      <c r="N60" t="inlineStr">
        <is>
          <t>1349-SYS87</t>
        </is>
      </c>
      <c r="P60" t="n">
        <v>2</v>
      </c>
      <c r="Q60" t="inlineStr">
        <is>
          <t>PLANO</t>
        </is>
      </c>
      <c r="R60" t="inlineStr">
        <is>
          <t>Z12</t>
        </is>
      </c>
      <c r="S60" s="20" t="n">
        <v>46323</v>
      </c>
    </row>
    <row r="61">
      <c r="A61" t="inlineStr">
        <is>
          <t>AUT</t>
        </is>
      </c>
      <c r="B61" t="inlineStr">
        <is>
          <t>4384588110</t>
        </is>
      </c>
      <c r="C61" t="n">
        <v>4384588</v>
      </c>
      <c r="D61" t="inlineStr">
        <is>
          <t>ENCERRADA</t>
        </is>
      </c>
      <c r="E61" s="20" t="n">
        <v>46323</v>
      </c>
      <c r="F61" t="n">
        <v>5</v>
      </c>
      <c r="G61" t="n">
        <v>3</v>
      </c>
      <c r="H61" s="20" t="n">
        <v>46323</v>
      </c>
      <c r="I61" t="n">
        <v>4384588</v>
      </c>
      <c r="J61" t="n">
        <v>110</v>
      </c>
      <c r="K61" t="inlineStr">
        <is>
          <t>E05AUT</t>
        </is>
      </c>
      <c r="L61" t="inlineStr">
        <is>
          <t>01W ANTIVIRUS UPDATE</t>
        </is>
      </c>
      <c r="M61" t="inlineStr">
        <is>
          <t>AUT CABINETS STATUS VERIF WEEKLY</t>
        </is>
      </c>
      <c r="N61" t="inlineStr">
        <is>
          <t>1349-SYS87</t>
        </is>
      </c>
      <c r="P61" t="n">
        <v>1</v>
      </c>
      <c r="Q61" t="inlineStr">
        <is>
          <t>PLANO</t>
        </is>
      </c>
      <c r="R61" t="inlineStr">
        <is>
          <t>Z12</t>
        </is>
      </c>
      <c r="S61" s="20" t="n">
        <v>46323</v>
      </c>
    </row>
    <row r="62">
      <c r="A62" t="inlineStr">
        <is>
          <t>AUT</t>
        </is>
      </c>
      <c r="B62" t="inlineStr">
        <is>
          <t>438463240</t>
        </is>
      </c>
      <c r="C62" t="n">
        <v>4384632</v>
      </c>
      <c r="D62" t="inlineStr">
        <is>
          <t>ENCERRADA</t>
        </is>
      </c>
      <c r="E62" s="20" t="n">
        <v>46316</v>
      </c>
      <c r="F62" t="n">
        <v>5</v>
      </c>
      <c r="G62" t="n">
        <v>3</v>
      </c>
      <c r="H62" s="20" t="n">
        <v>46316</v>
      </c>
      <c r="I62" t="n">
        <v>4384632</v>
      </c>
      <c r="J62" t="n">
        <v>40</v>
      </c>
      <c r="K62" t="inlineStr">
        <is>
          <t>E05AUT</t>
        </is>
      </c>
      <c r="L62" t="inlineStr">
        <is>
          <t>01W CONTROL NETWORK</t>
        </is>
      </c>
      <c r="M62" t="inlineStr">
        <is>
          <t>AUT CABINETS STATUS VERIF WEEKLY</t>
        </is>
      </c>
      <c r="N62" t="inlineStr">
        <is>
          <t>1349-SYS87</t>
        </is>
      </c>
      <c r="P62" t="n">
        <v>0.5</v>
      </c>
      <c r="Q62" t="inlineStr">
        <is>
          <t>PLANO</t>
        </is>
      </c>
      <c r="R62" t="inlineStr">
        <is>
          <t>Z12</t>
        </is>
      </c>
      <c r="S62" s="20" t="n">
        <v>46316</v>
      </c>
    </row>
    <row r="63">
      <c r="A63" t="inlineStr">
        <is>
          <t>AUT</t>
        </is>
      </c>
      <c r="B63" t="inlineStr">
        <is>
          <t>438463260</t>
        </is>
      </c>
      <c r="C63" t="n">
        <v>4384632</v>
      </c>
      <c r="D63" t="inlineStr">
        <is>
          <t>ENCERRADA</t>
        </is>
      </c>
      <c r="E63" s="20" t="n">
        <v>46316</v>
      </c>
      <c r="F63" t="n">
        <v>5</v>
      </c>
      <c r="G63" t="n">
        <v>3</v>
      </c>
      <c r="H63" s="20" t="n">
        <v>46316</v>
      </c>
      <c r="I63" t="n">
        <v>4384632</v>
      </c>
      <c r="J63" t="n">
        <v>60</v>
      </c>
      <c r="K63" t="inlineStr">
        <is>
          <t>E05AUT</t>
        </is>
      </c>
      <c r="L63" t="inlineStr">
        <is>
          <t>01W RIO &amp; ORTHER COMMUNICATION</t>
        </is>
      </c>
      <c r="M63" t="inlineStr">
        <is>
          <t>AUT CABINETS STATUS VERIF WEEKLY</t>
        </is>
      </c>
      <c r="N63" t="inlineStr">
        <is>
          <t>1349-SYS87</t>
        </is>
      </c>
      <c r="P63" t="n">
        <v>0.5</v>
      </c>
      <c r="Q63" t="inlineStr">
        <is>
          <t>PLANO</t>
        </is>
      </c>
      <c r="R63" t="inlineStr">
        <is>
          <t>Z12</t>
        </is>
      </c>
      <c r="S63" s="20" t="n">
        <v>46316</v>
      </c>
    </row>
    <row r="64">
      <c r="A64" t="inlineStr">
        <is>
          <t>AUT</t>
        </is>
      </c>
      <c r="B64" t="inlineStr">
        <is>
          <t>438463270</t>
        </is>
      </c>
      <c r="C64" t="n">
        <v>4384632</v>
      </c>
      <c r="D64" t="inlineStr">
        <is>
          <t>ENCERRADA</t>
        </is>
      </c>
      <c r="E64" s="20" t="n">
        <v>46316</v>
      </c>
      <c r="F64" t="n">
        <v>5</v>
      </c>
      <c r="G64" t="n">
        <v>3</v>
      </c>
      <c r="H64" s="20" t="n">
        <v>46316</v>
      </c>
      <c r="I64" t="n">
        <v>4384632</v>
      </c>
      <c r="J64" t="n">
        <v>70</v>
      </c>
      <c r="K64" t="inlineStr">
        <is>
          <t>E05AUT</t>
        </is>
      </c>
      <c r="L64" t="inlineStr">
        <is>
          <t>01W I/O MODULES</t>
        </is>
      </c>
      <c r="M64" t="inlineStr">
        <is>
          <t>AUT CABINETS STATUS VERIF WEEKLY</t>
        </is>
      </c>
      <c r="N64" t="inlineStr">
        <is>
          <t>1349-SYS87</t>
        </is>
      </c>
      <c r="P64" t="n">
        <v>0.5</v>
      </c>
      <c r="Q64" t="inlineStr">
        <is>
          <t>PLANO</t>
        </is>
      </c>
      <c r="R64" t="inlineStr">
        <is>
          <t>Z12</t>
        </is>
      </c>
      <c r="S64" s="20" t="n">
        <v>46316</v>
      </c>
    </row>
    <row r="65">
      <c r="A65" t="inlineStr">
        <is>
          <t>AUT</t>
        </is>
      </c>
      <c r="B65" t="inlineStr">
        <is>
          <t>438463280</t>
        </is>
      </c>
      <c r="C65" t="n">
        <v>4384632</v>
      </c>
      <c r="D65" t="inlineStr">
        <is>
          <t>ENCERRADA</t>
        </is>
      </c>
      <c r="E65" s="20" t="n">
        <v>46316</v>
      </c>
      <c r="F65" t="n">
        <v>5</v>
      </c>
      <c r="G65" t="n">
        <v>3</v>
      </c>
      <c r="H65" s="20" t="n">
        <v>46316</v>
      </c>
      <c r="I65" t="n">
        <v>4384632</v>
      </c>
      <c r="J65" t="n">
        <v>80</v>
      </c>
      <c r="K65" t="inlineStr">
        <is>
          <t>E05AUT</t>
        </is>
      </c>
      <c r="L65" t="inlineStr">
        <is>
          <t>01W CLIENT SERVER AND NETWORKS</t>
        </is>
      </c>
      <c r="M65" t="inlineStr">
        <is>
          <t>AUT CABINETS STATUS VERIF WEEKLY</t>
        </is>
      </c>
      <c r="N65" t="inlineStr">
        <is>
          <t>1349-SYS87</t>
        </is>
      </c>
      <c r="P65" t="n">
        <v>0.5</v>
      </c>
      <c r="Q65" t="inlineStr">
        <is>
          <t>PLANO</t>
        </is>
      </c>
      <c r="R65" t="inlineStr">
        <is>
          <t>Z12</t>
        </is>
      </c>
      <c r="S65" s="20" t="n">
        <v>46316</v>
      </c>
    </row>
    <row r="66">
      <c r="A66" t="inlineStr">
        <is>
          <t>AUT</t>
        </is>
      </c>
      <c r="B66" t="inlineStr">
        <is>
          <t>438463290</t>
        </is>
      </c>
      <c r="C66" t="n">
        <v>4384632</v>
      </c>
      <c r="D66" t="inlineStr">
        <is>
          <t>ENCERRADA</t>
        </is>
      </c>
      <c r="E66" s="20" t="n">
        <v>46316</v>
      </c>
      <c r="F66" t="n">
        <v>5</v>
      </c>
      <c r="G66" t="n">
        <v>3</v>
      </c>
      <c r="H66" s="20" t="n">
        <v>46316</v>
      </c>
      <c r="I66" t="n">
        <v>4384632</v>
      </c>
      <c r="J66" t="n">
        <v>90</v>
      </c>
      <c r="K66" t="inlineStr">
        <is>
          <t>E05AUT</t>
        </is>
      </c>
      <c r="L66" t="inlineStr">
        <is>
          <t>01W SERVERS &amp; SYSTEMS</t>
        </is>
      </c>
      <c r="M66" t="inlineStr">
        <is>
          <t>AUT CABINETS STATUS VERIF WEEKLY</t>
        </is>
      </c>
      <c r="N66" t="inlineStr">
        <is>
          <t>1349-SYS87</t>
        </is>
      </c>
      <c r="P66" t="n">
        <v>0.5</v>
      </c>
      <c r="Q66" t="inlineStr">
        <is>
          <t>PLANO</t>
        </is>
      </c>
      <c r="R66" t="inlineStr">
        <is>
          <t>Z12</t>
        </is>
      </c>
      <c r="S66" s="20" t="n">
        <v>46316</v>
      </c>
    </row>
    <row r="67">
      <c r="A67" t="inlineStr">
        <is>
          <t>AUT</t>
        </is>
      </c>
      <c r="B67" t="inlineStr">
        <is>
          <t>4384632100</t>
        </is>
      </c>
      <c r="C67" t="n">
        <v>4384632</v>
      </c>
      <c r="D67" t="inlineStr">
        <is>
          <t>ENCERRADA</t>
        </is>
      </c>
      <c r="E67" s="20" t="n">
        <v>46316</v>
      </c>
      <c r="F67" t="n">
        <v>5</v>
      </c>
      <c r="G67" t="n">
        <v>3</v>
      </c>
      <c r="H67" s="20" t="n">
        <v>46316</v>
      </c>
      <c r="I67" t="n">
        <v>4384632</v>
      </c>
      <c r="J67" t="n">
        <v>100</v>
      </c>
      <c r="K67" t="inlineStr">
        <is>
          <t>E05AUT</t>
        </is>
      </c>
      <c r="L67" t="inlineStr">
        <is>
          <t>01W SYSTEMS BACKUP</t>
        </is>
      </c>
      <c r="M67" t="inlineStr">
        <is>
          <t>AUT CABINETS STATUS VERIF WEEKLY</t>
        </is>
      </c>
      <c r="N67" t="inlineStr">
        <is>
          <t>1349-SYS87</t>
        </is>
      </c>
      <c r="P67" t="n">
        <v>2</v>
      </c>
      <c r="Q67" t="inlineStr">
        <is>
          <t>PLANO</t>
        </is>
      </c>
      <c r="R67" t="inlineStr">
        <is>
          <t>Z12</t>
        </is>
      </c>
      <c r="S67" s="20" t="n">
        <v>46316</v>
      </c>
    </row>
    <row r="68">
      <c r="A68" t="inlineStr">
        <is>
          <t>AUT</t>
        </is>
      </c>
      <c r="B68" t="inlineStr">
        <is>
          <t>4384632110</t>
        </is>
      </c>
      <c r="C68" t="n">
        <v>4384632</v>
      </c>
      <c r="D68" t="inlineStr">
        <is>
          <t>ENCERRADA</t>
        </is>
      </c>
      <c r="E68" s="20" t="n">
        <v>46316</v>
      </c>
      <c r="F68" t="n">
        <v>5</v>
      </c>
      <c r="G68" t="n">
        <v>3</v>
      </c>
      <c r="H68" s="20" t="n">
        <v>46316</v>
      </c>
      <c r="I68" t="n">
        <v>4384632</v>
      </c>
      <c r="J68" t="n">
        <v>110</v>
      </c>
      <c r="K68" t="inlineStr">
        <is>
          <t>E05AUT</t>
        </is>
      </c>
      <c r="L68" t="inlineStr">
        <is>
          <t>01W ANTIVIRUS UPDATE</t>
        </is>
      </c>
      <c r="M68" t="inlineStr">
        <is>
          <t>AUT CABINETS STATUS VERIF WEEKLY</t>
        </is>
      </c>
      <c r="N68" t="inlineStr">
        <is>
          <t>1349-SYS87</t>
        </is>
      </c>
      <c r="P68" t="n">
        <v>1</v>
      </c>
      <c r="Q68" t="inlineStr">
        <is>
          <t>PLANO</t>
        </is>
      </c>
      <c r="R68" t="inlineStr">
        <is>
          <t>Z12</t>
        </is>
      </c>
      <c r="S68" s="20" t="n">
        <v>46316</v>
      </c>
    </row>
    <row r="69">
      <c r="A69" t="inlineStr">
        <is>
          <t>AUT</t>
        </is>
      </c>
      <c r="B69" t="inlineStr">
        <is>
          <t>4384632120</t>
        </is>
      </c>
      <c r="C69" t="n">
        <v>4384632</v>
      </c>
      <c r="D69" t="inlineStr">
        <is>
          <t>ENCERRADA</t>
        </is>
      </c>
      <c r="E69" s="20" t="n">
        <v>46316</v>
      </c>
      <c r="F69" t="n">
        <v>5</v>
      </c>
      <c r="G69" t="n">
        <v>3</v>
      </c>
      <c r="H69" s="20" t="n">
        <v>46316</v>
      </c>
      <c r="I69" t="n">
        <v>4384632</v>
      </c>
      <c r="J69" t="n">
        <v>120</v>
      </c>
      <c r="K69" t="inlineStr">
        <is>
          <t>E05AUT</t>
        </is>
      </c>
      <c r="L69" t="inlineStr">
        <is>
          <t>02W CONTROL NETWORK CLIENT SERVE</t>
        </is>
      </c>
      <c r="M69" t="inlineStr">
        <is>
          <t>AUT CABINETS STATUS VERIF WEEKLY</t>
        </is>
      </c>
      <c r="N69" t="inlineStr">
        <is>
          <t>1349-SYS87</t>
        </is>
      </c>
      <c r="P69" t="n">
        <v>1</v>
      </c>
      <c r="Q69" t="inlineStr">
        <is>
          <t>PLANO</t>
        </is>
      </c>
      <c r="R69" t="inlineStr">
        <is>
          <t>Z12</t>
        </is>
      </c>
      <c r="S69" s="20" t="n">
        <v>46316</v>
      </c>
    </row>
    <row r="70">
      <c r="A70" t="inlineStr">
        <is>
          <t>AUT</t>
        </is>
      </c>
      <c r="B70" t="inlineStr">
        <is>
          <t>4384632130</t>
        </is>
      </c>
      <c r="C70" t="n">
        <v>4384632</v>
      </c>
      <c r="D70" t="inlineStr">
        <is>
          <t>ENCERRADA</t>
        </is>
      </c>
      <c r="E70" s="20" t="n">
        <v>46316</v>
      </c>
      <c r="F70" t="n">
        <v>5</v>
      </c>
      <c r="G70" t="n">
        <v>3</v>
      </c>
      <c r="H70" s="20" t="n">
        <v>46316</v>
      </c>
      <c r="I70" t="n">
        <v>4384632</v>
      </c>
      <c r="J70" t="n">
        <v>130</v>
      </c>
      <c r="K70" t="inlineStr">
        <is>
          <t>POMAUT</t>
        </is>
      </c>
      <c r="L70" t="inlineStr">
        <is>
          <t>02W CONTROL NET CLIENT THERMOGRAPHY</t>
        </is>
      </c>
      <c r="M70" t="inlineStr">
        <is>
          <t>AUT CABINETS STATUS VERIF WEEKLY</t>
        </is>
      </c>
      <c r="N70" t="inlineStr">
        <is>
          <t>1349-SYS87</t>
        </is>
      </c>
      <c r="P70" t="n">
        <v>3</v>
      </c>
      <c r="Q70" t="inlineStr">
        <is>
          <t>PLANO</t>
        </is>
      </c>
      <c r="R70" t="inlineStr">
        <is>
          <t>Z12</t>
        </is>
      </c>
      <c r="S70" s="20" t="n">
        <v>46316</v>
      </c>
    </row>
    <row r="71">
      <c r="A71" t="inlineStr">
        <is>
          <t>AUT</t>
        </is>
      </c>
      <c r="B71" t="inlineStr">
        <is>
          <t>4384632140</t>
        </is>
      </c>
      <c r="C71" t="n">
        <v>4384632</v>
      </c>
      <c r="D71" t="inlineStr">
        <is>
          <t>ENCERRADA</t>
        </is>
      </c>
      <c r="E71" s="20" t="n">
        <v>46316</v>
      </c>
      <c r="F71" t="n">
        <v>5</v>
      </c>
      <c r="G71" t="n">
        <v>3</v>
      </c>
      <c r="H71" s="20" t="n">
        <v>46316</v>
      </c>
      <c r="I71" t="n">
        <v>4384632</v>
      </c>
      <c r="J71" t="n">
        <v>140</v>
      </c>
      <c r="K71" t="inlineStr">
        <is>
          <t>E05AUT</t>
        </is>
      </c>
      <c r="L71" t="inlineStr">
        <is>
          <t>02W SERVERS AND SYSTEMS</t>
        </is>
      </c>
      <c r="M71" t="inlineStr">
        <is>
          <t>AUT CABINETS STATUS VERIF WEEKLY</t>
        </is>
      </c>
      <c r="N71" t="inlineStr">
        <is>
          <t>1349-SYS87</t>
        </is>
      </c>
      <c r="P71" t="n">
        <v>2</v>
      </c>
      <c r="Q71" t="inlineStr">
        <is>
          <t>PLANO</t>
        </is>
      </c>
      <c r="R71" t="inlineStr">
        <is>
          <t>Z12</t>
        </is>
      </c>
      <c r="S71" s="20" t="n">
        <v>46316</v>
      </c>
    </row>
    <row r="72">
      <c r="A72" t="inlineStr">
        <is>
          <t>AUT</t>
        </is>
      </c>
      <c r="B72" t="inlineStr">
        <is>
          <t>4384632150</t>
        </is>
      </c>
      <c r="C72" t="n">
        <v>4384632</v>
      </c>
      <c r="D72" t="inlineStr">
        <is>
          <t>ENCERRADA</t>
        </is>
      </c>
      <c r="E72" s="20" t="n">
        <v>46316</v>
      </c>
      <c r="F72" t="n">
        <v>5</v>
      </c>
      <c r="G72" t="n">
        <v>3</v>
      </c>
      <c r="H72" s="20" t="n">
        <v>46316</v>
      </c>
      <c r="I72" t="n">
        <v>4384632</v>
      </c>
      <c r="J72" t="n">
        <v>150</v>
      </c>
      <c r="K72" t="inlineStr">
        <is>
          <t>E05AUT</t>
        </is>
      </c>
      <c r="L72" t="inlineStr">
        <is>
          <t>02W 800XA CLIENTS</t>
        </is>
      </c>
      <c r="M72" t="inlineStr">
        <is>
          <t>AUT CABINETS STATUS VERIF WEEKLY</t>
        </is>
      </c>
      <c r="N72" t="inlineStr">
        <is>
          <t>1349-SYS87</t>
        </is>
      </c>
      <c r="P72" t="n">
        <v>0.5</v>
      </c>
      <c r="Q72" t="inlineStr">
        <is>
          <t>PLANO</t>
        </is>
      </c>
      <c r="R72" t="inlineStr">
        <is>
          <t>Z12</t>
        </is>
      </c>
      <c r="S72" s="20" t="n">
        <v>46316</v>
      </c>
    </row>
    <row r="73">
      <c r="A73" t="inlineStr">
        <is>
          <t>AUT</t>
        </is>
      </c>
      <c r="B73" t="inlineStr">
        <is>
          <t>438463340</t>
        </is>
      </c>
      <c r="C73" t="n">
        <v>4384633</v>
      </c>
      <c r="D73" t="inlineStr">
        <is>
          <t>ENCERRADA</t>
        </is>
      </c>
      <c r="E73" s="20" t="n">
        <v>46323</v>
      </c>
      <c r="F73" t="n">
        <v>5</v>
      </c>
      <c r="G73" t="n">
        <v>3</v>
      </c>
      <c r="H73" s="20" t="n">
        <v>46323</v>
      </c>
      <c r="I73" t="n">
        <v>4384633</v>
      </c>
      <c r="J73" t="n">
        <v>40</v>
      </c>
      <c r="K73" t="inlineStr">
        <is>
          <t>E05AUT</t>
        </is>
      </c>
      <c r="L73" t="inlineStr">
        <is>
          <t>01W CONTROL NETWORK</t>
        </is>
      </c>
      <c r="M73" t="inlineStr">
        <is>
          <t>AUT CABINETS STATUS VERIF WEEKLY</t>
        </is>
      </c>
      <c r="N73" t="inlineStr">
        <is>
          <t>1349-SYS87</t>
        </is>
      </c>
      <c r="P73" t="n">
        <v>0.5</v>
      </c>
      <c r="Q73" t="inlineStr">
        <is>
          <t>PLANO</t>
        </is>
      </c>
      <c r="R73" t="inlineStr">
        <is>
          <t>Z12</t>
        </is>
      </c>
      <c r="S73" s="20" t="n">
        <v>46323</v>
      </c>
    </row>
    <row r="74">
      <c r="A74" t="inlineStr">
        <is>
          <t>AUT</t>
        </is>
      </c>
      <c r="B74" t="inlineStr">
        <is>
          <t>438463360</t>
        </is>
      </c>
      <c r="C74" t="n">
        <v>4384633</v>
      </c>
      <c r="D74" t="inlineStr">
        <is>
          <t>ENCERRADA</t>
        </is>
      </c>
      <c r="E74" s="20" t="n">
        <v>46323</v>
      </c>
      <c r="F74" t="n">
        <v>5</v>
      </c>
      <c r="G74" t="n">
        <v>3</v>
      </c>
      <c r="H74" s="20" t="n">
        <v>46323</v>
      </c>
      <c r="I74" t="n">
        <v>4384633</v>
      </c>
      <c r="J74" t="n">
        <v>60</v>
      </c>
      <c r="K74" t="inlineStr">
        <is>
          <t>E05AUT</t>
        </is>
      </c>
      <c r="L74" t="inlineStr">
        <is>
          <t>01W RIO &amp; ORTHER COMMUNICATION</t>
        </is>
      </c>
      <c r="M74" t="inlineStr">
        <is>
          <t>AUT CABINETS STATUS VERIF WEEKLY</t>
        </is>
      </c>
      <c r="N74" t="inlineStr">
        <is>
          <t>1349-SYS87</t>
        </is>
      </c>
      <c r="P74" t="n">
        <v>0.5</v>
      </c>
      <c r="Q74" t="inlineStr">
        <is>
          <t>PLANO</t>
        </is>
      </c>
      <c r="R74" t="inlineStr">
        <is>
          <t>Z12</t>
        </is>
      </c>
      <c r="S74" s="20" t="n">
        <v>46323</v>
      </c>
    </row>
    <row r="75">
      <c r="A75" t="inlineStr">
        <is>
          <t>AUT</t>
        </is>
      </c>
      <c r="B75" t="inlineStr">
        <is>
          <t>438463370</t>
        </is>
      </c>
      <c r="C75" t="n">
        <v>4384633</v>
      </c>
      <c r="D75" t="inlineStr">
        <is>
          <t>ENCERRADA</t>
        </is>
      </c>
      <c r="E75" s="20" t="n">
        <v>46323</v>
      </c>
      <c r="F75" t="n">
        <v>5</v>
      </c>
      <c r="G75" t="n">
        <v>3</v>
      </c>
      <c r="H75" s="20" t="n">
        <v>46323</v>
      </c>
      <c r="I75" t="n">
        <v>4384633</v>
      </c>
      <c r="J75" t="n">
        <v>70</v>
      </c>
      <c r="K75" t="inlineStr">
        <is>
          <t>E05AUT</t>
        </is>
      </c>
      <c r="L75" t="inlineStr">
        <is>
          <t>01W I/O MODULES</t>
        </is>
      </c>
      <c r="M75" t="inlineStr">
        <is>
          <t>AUT CABINETS STATUS VERIF WEEKLY</t>
        </is>
      </c>
      <c r="N75" t="inlineStr">
        <is>
          <t>1349-SYS87</t>
        </is>
      </c>
      <c r="P75" t="n">
        <v>0.5</v>
      </c>
      <c r="Q75" t="inlineStr">
        <is>
          <t>PLANO</t>
        </is>
      </c>
      <c r="R75" t="inlineStr">
        <is>
          <t>Z12</t>
        </is>
      </c>
      <c r="S75" s="20" t="n">
        <v>46323</v>
      </c>
    </row>
    <row r="76">
      <c r="A76" t="inlineStr">
        <is>
          <t>AUT</t>
        </is>
      </c>
      <c r="B76" t="inlineStr">
        <is>
          <t>438463380</t>
        </is>
      </c>
      <c r="C76" t="n">
        <v>4384633</v>
      </c>
      <c r="D76" t="inlineStr">
        <is>
          <t>ENCERRADA</t>
        </is>
      </c>
      <c r="E76" s="20" t="n">
        <v>46323</v>
      </c>
      <c r="F76" t="n">
        <v>5</v>
      </c>
      <c r="G76" t="n">
        <v>3</v>
      </c>
      <c r="H76" s="20" t="n">
        <v>46323</v>
      </c>
      <c r="I76" t="n">
        <v>4384633</v>
      </c>
      <c r="J76" t="n">
        <v>80</v>
      </c>
      <c r="K76" t="inlineStr">
        <is>
          <t>E05AUT</t>
        </is>
      </c>
      <c r="L76" t="inlineStr">
        <is>
          <t>01W CLIENT SERVER AND NETWORKS</t>
        </is>
      </c>
      <c r="M76" t="inlineStr">
        <is>
          <t>AUT CABINETS STATUS VERIF WEEKLY</t>
        </is>
      </c>
      <c r="N76" t="inlineStr">
        <is>
          <t>1349-SYS87</t>
        </is>
      </c>
      <c r="P76" t="n">
        <v>0.5</v>
      </c>
      <c r="Q76" t="inlineStr">
        <is>
          <t>PLANO</t>
        </is>
      </c>
      <c r="R76" t="inlineStr">
        <is>
          <t>Z12</t>
        </is>
      </c>
      <c r="S76" s="20" t="n">
        <v>46323</v>
      </c>
    </row>
    <row r="77">
      <c r="A77" t="inlineStr">
        <is>
          <t>AUT</t>
        </is>
      </c>
      <c r="B77" t="inlineStr">
        <is>
          <t>438463390</t>
        </is>
      </c>
      <c r="C77" t="n">
        <v>4384633</v>
      </c>
      <c r="D77" t="inlineStr">
        <is>
          <t>ENCERRADA</t>
        </is>
      </c>
      <c r="E77" s="20" t="n">
        <v>46323</v>
      </c>
      <c r="F77" t="n">
        <v>5</v>
      </c>
      <c r="G77" t="n">
        <v>3</v>
      </c>
      <c r="H77" s="20" t="n">
        <v>46323</v>
      </c>
      <c r="I77" t="n">
        <v>4384633</v>
      </c>
      <c r="J77" t="n">
        <v>90</v>
      </c>
      <c r="K77" t="inlineStr">
        <is>
          <t>E05AUT</t>
        </is>
      </c>
      <c r="L77" t="inlineStr">
        <is>
          <t>01W SERVERS &amp; SYSTEMS</t>
        </is>
      </c>
      <c r="M77" t="inlineStr">
        <is>
          <t>AUT CABINETS STATUS VERIF WEEKLY</t>
        </is>
      </c>
      <c r="N77" t="inlineStr">
        <is>
          <t>1349-SYS87</t>
        </is>
      </c>
      <c r="P77" t="n">
        <v>0.5</v>
      </c>
      <c r="Q77" t="inlineStr">
        <is>
          <t>PLANO</t>
        </is>
      </c>
      <c r="R77" t="inlineStr">
        <is>
          <t>Z12</t>
        </is>
      </c>
      <c r="S77" s="20" t="n">
        <v>46323</v>
      </c>
    </row>
    <row r="78">
      <c r="A78" t="inlineStr">
        <is>
          <t>AUT</t>
        </is>
      </c>
      <c r="B78" t="inlineStr">
        <is>
          <t>4384633100</t>
        </is>
      </c>
      <c r="C78" t="n">
        <v>4384633</v>
      </c>
      <c r="D78" t="inlineStr">
        <is>
          <t>ENCERRADA</t>
        </is>
      </c>
      <c r="E78" s="20" t="n">
        <v>46323</v>
      </c>
      <c r="F78" t="n">
        <v>5</v>
      </c>
      <c r="G78" t="n">
        <v>3</v>
      </c>
      <c r="H78" s="20" t="n">
        <v>46323</v>
      </c>
      <c r="I78" t="n">
        <v>4384633</v>
      </c>
      <c r="J78" t="n">
        <v>100</v>
      </c>
      <c r="K78" t="inlineStr">
        <is>
          <t>E05AUT</t>
        </is>
      </c>
      <c r="L78" t="inlineStr">
        <is>
          <t>01W SYSTEMS BACKUP</t>
        </is>
      </c>
      <c r="M78" t="inlineStr">
        <is>
          <t>AUT CABINETS STATUS VERIF WEEKLY</t>
        </is>
      </c>
      <c r="N78" t="inlineStr">
        <is>
          <t>1349-SYS87</t>
        </is>
      </c>
      <c r="P78" t="n">
        <v>2</v>
      </c>
      <c r="Q78" t="inlineStr">
        <is>
          <t>PLANO</t>
        </is>
      </c>
      <c r="R78" t="inlineStr">
        <is>
          <t>Z12</t>
        </is>
      </c>
      <c r="S78" s="20" t="n">
        <v>46323</v>
      </c>
    </row>
    <row r="79">
      <c r="A79" t="inlineStr">
        <is>
          <t>AUT</t>
        </is>
      </c>
      <c r="B79" t="inlineStr">
        <is>
          <t>4384633110</t>
        </is>
      </c>
      <c r="C79" t="n">
        <v>4384633</v>
      </c>
      <c r="D79" t="inlineStr">
        <is>
          <t>ENCERRADA</t>
        </is>
      </c>
      <c r="E79" s="20" t="n">
        <v>46323</v>
      </c>
      <c r="F79" t="n">
        <v>5</v>
      </c>
      <c r="G79" t="n">
        <v>3</v>
      </c>
      <c r="H79" s="20" t="n">
        <v>46323</v>
      </c>
      <c r="I79" t="n">
        <v>4384633</v>
      </c>
      <c r="J79" t="n">
        <v>110</v>
      </c>
      <c r="K79" t="inlineStr">
        <is>
          <t>E05AUT</t>
        </is>
      </c>
      <c r="L79" t="inlineStr">
        <is>
          <t>01W ANTIVIRUS UPDATE</t>
        </is>
      </c>
      <c r="M79" t="inlineStr">
        <is>
          <t>AUT CABINETS STATUS VERIF WEEKLY</t>
        </is>
      </c>
      <c r="N79" t="inlineStr">
        <is>
          <t>1349-SYS87</t>
        </is>
      </c>
      <c r="P79" t="n">
        <v>1</v>
      </c>
      <c r="Q79" t="inlineStr">
        <is>
          <t>PLANO</t>
        </is>
      </c>
      <c r="R79" t="inlineStr">
        <is>
          <t>Z12</t>
        </is>
      </c>
      <c r="S79" s="20" t="n">
        <v>46323</v>
      </c>
    </row>
    <row r="80">
      <c r="A80" t="inlineStr">
        <is>
          <t>AUT</t>
        </is>
      </c>
      <c r="B80" t="inlineStr">
        <is>
          <t>438467940</t>
        </is>
      </c>
      <c r="C80" t="n">
        <v>4384679</v>
      </c>
      <c r="D80" t="inlineStr">
        <is>
          <t>ENCERRADA</t>
        </is>
      </c>
      <c r="E80" s="20" t="n">
        <v>46316</v>
      </c>
      <c r="F80" t="n">
        <v>5</v>
      </c>
      <c r="G80" t="n">
        <v>3</v>
      </c>
      <c r="H80" s="20" t="n">
        <v>46316</v>
      </c>
      <c r="I80" t="n">
        <v>4384679</v>
      </c>
      <c r="J80" t="n">
        <v>40</v>
      </c>
      <c r="K80" t="inlineStr">
        <is>
          <t>E05AUT</t>
        </is>
      </c>
      <c r="L80" t="inlineStr">
        <is>
          <t>01W CONTROL NETWORK</t>
        </is>
      </c>
      <c r="M80" t="inlineStr">
        <is>
          <t>AUT CABINETS STATUS VERIF WEEKLY</t>
        </is>
      </c>
      <c r="N80" t="inlineStr">
        <is>
          <t>1349-SYS87</t>
        </is>
      </c>
      <c r="P80" t="n">
        <v>0.5</v>
      </c>
      <c r="Q80" t="inlineStr">
        <is>
          <t>PLANO</t>
        </is>
      </c>
      <c r="R80" t="inlineStr">
        <is>
          <t>Z12</t>
        </is>
      </c>
      <c r="S80" s="20" t="n">
        <v>46316</v>
      </c>
    </row>
    <row r="81">
      <c r="A81" t="inlineStr">
        <is>
          <t>AUT</t>
        </is>
      </c>
      <c r="B81" t="inlineStr">
        <is>
          <t>438467960</t>
        </is>
      </c>
      <c r="C81" t="n">
        <v>4384679</v>
      </c>
      <c r="D81" t="inlineStr">
        <is>
          <t>ENCERRADA</t>
        </is>
      </c>
      <c r="E81" s="20" t="n">
        <v>46316</v>
      </c>
      <c r="F81" t="n">
        <v>5</v>
      </c>
      <c r="G81" t="n">
        <v>3</v>
      </c>
      <c r="H81" s="20" t="n">
        <v>46316</v>
      </c>
      <c r="I81" t="n">
        <v>4384679</v>
      </c>
      <c r="J81" t="n">
        <v>60</v>
      </c>
      <c r="K81" t="inlineStr">
        <is>
          <t>E05AUT</t>
        </is>
      </c>
      <c r="L81" t="inlineStr">
        <is>
          <t>01W RIO &amp; ORTHER COMMUNICATION</t>
        </is>
      </c>
      <c r="M81" t="inlineStr">
        <is>
          <t>AUT CABINETS STATUS VERIF WEEKLY</t>
        </is>
      </c>
      <c r="N81" t="inlineStr">
        <is>
          <t>1349-SYS87</t>
        </is>
      </c>
      <c r="P81" t="n">
        <v>0.5</v>
      </c>
      <c r="Q81" t="inlineStr">
        <is>
          <t>PLANO</t>
        </is>
      </c>
      <c r="R81" t="inlineStr">
        <is>
          <t>Z12</t>
        </is>
      </c>
      <c r="S81" s="20" t="n">
        <v>46316</v>
      </c>
    </row>
    <row r="82">
      <c r="A82" t="inlineStr">
        <is>
          <t>AUT</t>
        </is>
      </c>
      <c r="B82" t="inlineStr">
        <is>
          <t>438467970</t>
        </is>
      </c>
      <c r="C82" t="n">
        <v>4384679</v>
      </c>
      <c r="D82" t="inlineStr">
        <is>
          <t>ENCERRADA</t>
        </is>
      </c>
      <c r="E82" s="20" t="n">
        <v>46316</v>
      </c>
      <c r="F82" t="n">
        <v>5</v>
      </c>
      <c r="G82" t="n">
        <v>3</v>
      </c>
      <c r="H82" s="20" t="n">
        <v>46316</v>
      </c>
      <c r="I82" t="n">
        <v>4384679</v>
      </c>
      <c r="J82" t="n">
        <v>70</v>
      </c>
      <c r="K82" t="inlineStr">
        <is>
          <t>E05AUT</t>
        </is>
      </c>
      <c r="L82" t="inlineStr">
        <is>
          <t>01W I/O MODULES</t>
        </is>
      </c>
      <c r="M82" t="inlineStr">
        <is>
          <t>AUT CABINETS STATUS VERIF WEEKLY</t>
        </is>
      </c>
      <c r="N82" t="inlineStr">
        <is>
          <t>1349-SYS87</t>
        </is>
      </c>
      <c r="P82" t="n">
        <v>0.5</v>
      </c>
      <c r="Q82" t="inlineStr">
        <is>
          <t>PLANO</t>
        </is>
      </c>
      <c r="R82" t="inlineStr">
        <is>
          <t>Z12</t>
        </is>
      </c>
      <c r="S82" s="20" t="n">
        <v>46316</v>
      </c>
    </row>
    <row r="83">
      <c r="A83" t="inlineStr">
        <is>
          <t>AUT</t>
        </is>
      </c>
      <c r="B83" t="inlineStr">
        <is>
          <t>438467980</t>
        </is>
      </c>
      <c r="C83" t="n">
        <v>4384679</v>
      </c>
      <c r="D83" t="inlineStr">
        <is>
          <t>ENCERRADA</t>
        </is>
      </c>
      <c r="E83" s="20" t="n">
        <v>46316</v>
      </c>
      <c r="F83" t="n">
        <v>5</v>
      </c>
      <c r="G83" t="n">
        <v>3</v>
      </c>
      <c r="H83" s="20" t="n">
        <v>46316</v>
      </c>
      <c r="I83" t="n">
        <v>4384679</v>
      </c>
      <c r="J83" t="n">
        <v>80</v>
      </c>
      <c r="K83" t="inlineStr">
        <is>
          <t>E05AUT</t>
        </is>
      </c>
      <c r="L83" t="inlineStr">
        <is>
          <t>01W CLIENT SERVER AND NETWORKS</t>
        </is>
      </c>
      <c r="M83" t="inlineStr">
        <is>
          <t>AUT CABINETS STATUS VERIF WEEKLY</t>
        </is>
      </c>
      <c r="N83" t="inlineStr">
        <is>
          <t>1349-SYS87</t>
        </is>
      </c>
      <c r="P83" t="n">
        <v>0.5</v>
      </c>
      <c r="Q83" t="inlineStr">
        <is>
          <t>PLANO</t>
        </is>
      </c>
      <c r="R83" t="inlineStr">
        <is>
          <t>Z12</t>
        </is>
      </c>
      <c r="S83" s="20" t="n">
        <v>46316</v>
      </c>
    </row>
    <row r="84">
      <c r="A84" t="inlineStr">
        <is>
          <t>AUT</t>
        </is>
      </c>
      <c r="B84" t="inlineStr">
        <is>
          <t>438467990</t>
        </is>
      </c>
      <c r="C84" t="n">
        <v>4384679</v>
      </c>
      <c r="D84" t="inlineStr">
        <is>
          <t>ENCERRADA</t>
        </is>
      </c>
      <c r="E84" s="20" t="n">
        <v>46316</v>
      </c>
      <c r="F84" t="n">
        <v>5</v>
      </c>
      <c r="G84" t="n">
        <v>3</v>
      </c>
      <c r="H84" s="20" t="n">
        <v>46316</v>
      </c>
      <c r="I84" t="n">
        <v>4384679</v>
      </c>
      <c r="J84" t="n">
        <v>90</v>
      </c>
      <c r="K84" t="inlineStr">
        <is>
          <t>E05AUT</t>
        </is>
      </c>
      <c r="L84" t="inlineStr">
        <is>
          <t>01W SERVERS &amp; SYSTEMS</t>
        </is>
      </c>
      <c r="M84" t="inlineStr">
        <is>
          <t>AUT CABINETS STATUS VERIF WEEKLY</t>
        </is>
      </c>
      <c r="N84" t="inlineStr">
        <is>
          <t>1349-SYS87</t>
        </is>
      </c>
      <c r="P84" t="n">
        <v>0.5</v>
      </c>
      <c r="Q84" t="inlineStr">
        <is>
          <t>PLANO</t>
        </is>
      </c>
      <c r="R84" t="inlineStr">
        <is>
          <t>Z12</t>
        </is>
      </c>
      <c r="S84" s="20" t="n">
        <v>46316</v>
      </c>
    </row>
    <row r="85">
      <c r="A85" t="inlineStr">
        <is>
          <t>AUT</t>
        </is>
      </c>
      <c r="B85" t="inlineStr">
        <is>
          <t>4384679100</t>
        </is>
      </c>
      <c r="C85" t="n">
        <v>4384679</v>
      </c>
      <c r="D85" t="inlineStr">
        <is>
          <t>ENCERRADA</t>
        </is>
      </c>
      <c r="E85" s="20" t="n">
        <v>46316</v>
      </c>
      <c r="F85" t="n">
        <v>5</v>
      </c>
      <c r="G85" t="n">
        <v>3</v>
      </c>
      <c r="H85" s="20" t="n">
        <v>46316</v>
      </c>
      <c r="I85" t="n">
        <v>4384679</v>
      </c>
      <c r="J85" t="n">
        <v>100</v>
      </c>
      <c r="K85" t="inlineStr">
        <is>
          <t>E05AUT</t>
        </is>
      </c>
      <c r="L85" t="inlineStr">
        <is>
          <t>01W SYSTEMS BACKUP</t>
        </is>
      </c>
      <c r="M85" t="inlineStr">
        <is>
          <t>AUT CABINETS STATUS VERIF WEEKLY</t>
        </is>
      </c>
      <c r="N85" t="inlineStr">
        <is>
          <t>1349-SYS87</t>
        </is>
      </c>
      <c r="P85" t="n">
        <v>2</v>
      </c>
      <c r="Q85" t="inlineStr">
        <is>
          <t>PLANO</t>
        </is>
      </c>
      <c r="R85" t="inlineStr">
        <is>
          <t>Z12</t>
        </is>
      </c>
      <c r="S85" s="20" t="n">
        <v>46316</v>
      </c>
    </row>
    <row r="86">
      <c r="A86" t="inlineStr">
        <is>
          <t>AUT</t>
        </is>
      </c>
      <c r="B86" t="inlineStr">
        <is>
          <t>4384679110</t>
        </is>
      </c>
      <c r="C86" t="n">
        <v>4384679</v>
      </c>
      <c r="D86" t="inlineStr">
        <is>
          <t>ENCERRADA</t>
        </is>
      </c>
      <c r="E86" s="20" t="n">
        <v>46316</v>
      </c>
      <c r="F86" t="n">
        <v>5</v>
      </c>
      <c r="G86" t="n">
        <v>3</v>
      </c>
      <c r="H86" s="20" t="n">
        <v>46316</v>
      </c>
      <c r="I86" t="n">
        <v>4384679</v>
      </c>
      <c r="J86" t="n">
        <v>110</v>
      </c>
      <c r="K86" t="inlineStr">
        <is>
          <t>E05AUT</t>
        </is>
      </c>
      <c r="L86" t="inlineStr">
        <is>
          <t>01W ANTIVIRUS UPDATE</t>
        </is>
      </c>
      <c r="M86" t="inlineStr">
        <is>
          <t>AUT CABINETS STATUS VERIF WEEKLY</t>
        </is>
      </c>
      <c r="N86" t="inlineStr">
        <is>
          <t>1349-SYS87</t>
        </is>
      </c>
      <c r="P86" t="n">
        <v>1</v>
      </c>
      <c r="Q86" t="inlineStr">
        <is>
          <t>PLANO</t>
        </is>
      </c>
      <c r="R86" t="inlineStr">
        <is>
          <t>Z12</t>
        </is>
      </c>
      <c r="S86" s="20" t="n">
        <v>46316</v>
      </c>
    </row>
    <row r="87">
      <c r="A87" t="inlineStr">
        <is>
          <t>AUT</t>
        </is>
      </c>
      <c r="B87" t="inlineStr">
        <is>
          <t>4384679120</t>
        </is>
      </c>
      <c r="C87" t="n">
        <v>4384679</v>
      </c>
      <c r="D87" t="inlineStr">
        <is>
          <t>ENCERRADA</t>
        </is>
      </c>
      <c r="E87" s="20" t="n">
        <v>46316</v>
      </c>
      <c r="F87" t="n">
        <v>5</v>
      </c>
      <c r="G87" t="n">
        <v>3</v>
      </c>
      <c r="H87" s="20" t="n">
        <v>46316</v>
      </c>
      <c r="I87" t="n">
        <v>4384679</v>
      </c>
      <c r="J87" t="n">
        <v>120</v>
      </c>
      <c r="K87" t="inlineStr">
        <is>
          <t>E05AUT</t>
        </is>
      </c>
      <c r="L87" t="inlineStr">
        <is>
          <t>02W CONTROL NETWORK CLIENT SERVE</t>
        </is>
      </c>
      <c r="M87" t="inlineStr">
        <is>
          <t>AUT CABINETS STATUS VERIF WEEKLY</t>
        </is>
      </c>
      <c r="N87" t="inlineStr">
        <is>
          <t>1349-SYS87</t>
        </is>
      </c>
      <c r="P87" t="n">
        <v>1</v>
      </c>
      <c r="Q87" t="inlineStr">
        <is>
          <t>PLANO</t>
        </is>
      </c>
      <c r="R87" t="inlineStr">
        <is>
          <t>Z12</t>
        </is>
      </c>
      <c r="S87" s="20" t="n">
        <v>46316</v>
      </c>
    </row>
    <row r="88">
      <c r="A88" t="inlineStr">
        <is>
          <t>AUT</t>
        </is>
      </c>
      <c r="B88" t="inlineStr">
        <is>
          <t>4384679130</t>
        </is>
      </c>
      <c r="C88" t="n">
        <v>4384679</v>
      </c>
      <c r="D88" t="inlineStr">
        <is>
          <t>ENCERRADA</t>
        </is>
      </c>
      <c r="E88" s="20" t="n">
        <v>46316</v>
      </c>
      <c r="F88" t="n">
        <v>5</v>
      </c>
      <c r="G88" t="n">
        <v>3</v>
      </c>
      <c r="H88" s="20" t="n">
        <v>46316</v>
      </c>
      <c r="I88" t="n">
        <v>4384679</v>
      </c>
      <c r="J88" t="n">
        <v>130</v>
      </c>
      <c r="K88" t="inlineStr">
        <is>
          <t>POMAUT</t>
        </is>
      </c>
      <c r="L88" t="inlineStr">
        <is>
          <t>02W CONTROL NET CLIENT THERMOGRAPHY</t>
        </is>
      </c>
      <c r="M88" t="inlineStr">
        <is>
          <t>AUT CABINETS STATUS VERIF WEEKLY</t>
        </is>
      </c>
      <c r="N88" t="inlineStr">
        <is>
          <t>1349-SYS87</t>
        </is>
      </c>
      <c r="P88" t="n">
        <v>3</v>
      </c>
      <c r="Q88" t="inlineStr">
        <is>
          <t>PLANO</t>
        </is>
      </c>
      <c r="R88" t="inlineStr">
        <is>
          <t>Z12</t>
        </is>
      </c>
      <c r="S88" s="20" t="n">
        <v>46316</v>
      </c>
    </row>
    <row r="89">
      <c r="A89" t="inlineStr">
        <is>
          <t>AUT</t>
        </is>
      </c>
      <c r="B89" t="inlineStr">
        <is>
          <t>4384679140</t>
        </is>
      </c>
      <c r="C89" t="n">
        <v>4384679</v>
      </c>
      <c r="D89" t="inlineStr">
        <is>
          <t>ENCERRADA</t>
        </is>
      </c>
      <c r="E89" s="20" t="n">
        <v>46316</v>
      </c>
      <c r="F89" t="n">
        <v>5</v>
      </c>
      <c r="G89" t="n">
        <v>3</v>
      </c>
      <c r="H89" s="20" t="n">
        <v>46316</v>
      </c>
      <c r="I89" t="n">
        <v>4384679</v>
      </c>
      <c r="J89" t="n">
        <v>140</v>
      </c>
      <c r="K89" t="inlineStr">
        <is>
          <t>E05AUT</t>
        </is>
      </c>
      <c r="L89" t="inlineStr">
        <is>
          <t>02W SERVERS AND SYSTEMS</t>
        </is>
      </c>
      <c r="M89" t="inlineStr">
        <is>
          <t>AUT CABINETS STATUS VERIF WEEKLY</t>
        </is>
      </c>
      <c r="N89" t="inlineStr">
        <is>
          <t>1349-SYS87</t>
        </is>
      </c>
      <c r="P89" t="n">
        <v>2</v>
      </c>
      <c r="Q89" t="inlineStr">
        <is>
          <t>PLANO</t>
        </is>
      </c>
      <c r="R89" t="inlineStr">
        <is>
          <t>Z12</t>
        </is>
      </c>
      <c r="S89" s="20" t="n">
        <v>46316</v>
      </c>
    </row>
    <row r="90">
      <c r="A90" t="inlineStr">
        <is>
          <t>AUT</t>
        </is>
      </c>
      <c r="B90" t="inlineStr">
        <is>
          <t>4384679150</t>
        </is>
      </c>
      <c r="C90" t="n">
        <v>4384679</v>
      </c>
      <c r="D90" t="inlineStr">
        <is>
          <t>ENCERRADA</t>
        </is>
      </c>
      <c r="E90" s="20" t="n">
        <v>46316</v>
      </c>
      <c r="F90" t="n">
        <v>5</v>
      </c>
      <c r="G90" t="n">
        <v>3</v>
      </c>
      <c r="H90" s="20" t="n">
        <v>46316</v>
      </c>
      <c r="I90" t="n">
        <v>4384679</v>
      </c>
      <c r="J90" t="n">
        <v>150</v>
      </c>
      <c r="K90" t="inlineStr">
        <is>
          <t>E05AUT</t>
        </is>
      </c>
      <c r="L90" t="inlineStr">
        <is>
          <t>02W 800XA CLIENTS</t>
        </is>
      </c>
      <c r="M90" t="inlineStr">
        <is>
          <t>AUT CABINETS STATUS VERIF WEEKLY</t>
        </is>
      </c>
      <c r="N90" t="inlineStr">
        <is>
          <t>1349-SYS87</t>
        </is>
      </c>
      <c r="P90" t="n">
        <v>0.5</v>
      </c>
      <c r="Q90" t="inlineStr">
        <is>
          <t>PLANO</t>
        </is>
      </c>
      <c r="R90" t="inlineStr">
        <is>
          <t>Z12</t>
        </is>
      </c>
      <c r="S90" s="20" t="n">
        <v>46316</v>
      </c>
    </row>
    <row r="91">
      <c r="A91" t="inlineStr">
        <is>
          <t>AUT</t>
        </is>
      </c>
      <c r="B91" t="inlineStr">
        <is>
          <t>438468040</t>
        </is>
      </c>
      <c r="C91" t="n">
        <v>4384680</v>
      </c>
      <c r="D91" t="inlineStr">
        <is>
          <t>ENCERRADA</t>
        </is>
      </c>
      <c r="E91" s="20" t="n">
        <v>46323</v>
      </c>
      <c r="F91" t="n">
        <v>5</v>
      </c>
      <c r="G91" t="n">
        <v>3</v>
      </c>
      <c r="H91" s="20" t="n">
        <v>46323</v>
      </c>
      <c r="I91" t="n">
        <v>4384680</v>
      </c>
      <c r="J91" t="n">
        <v>40</v>
      </c>
      <c r="K91" t="inlineStr">
        <is>
          <t>E05AUT</t>
        </is>
      </c>
      <c r="L91" t="inlineStr">
        <is>
          <t>01W CONTROL NETWORK</t>
        </is>
      </c>
      <c r="M91" t="inlineStr">
        <is>
          <t>AUT CABINETS STATUS VERIF WEEKLY</t>
        </is>
      </c>
      <c r="N91" t="inlineStr">
        <is>
          <t>1349-SYS87</t>
        </is>
      </c>
      <c r="P91" t="n">
        <v>0.5</v>
      </c>
      <c r="Q91" t="inlineStr">
        <is>
          <t>PLANO</t>
        </is>
      </c>
      <c r="R91" t="inlineStr">
        <is>
          <t>Z12</t>
        </is>
      </c>
      <c r="S91" s="20" t="n">
        <v>46323</v>
      </c>
    </row>
    <row r="92">
      <c r="A92" t="inlineStr">
        <is>
          <t>AUT</t>
        </is>
      </c>
      <c r="B92" t="inlineStr">
        <is>
          <t>438468060</t>
        </is>
      </c>
      <c r="C92" t="n">
        <v>4384680</v>
      </c>
      <c r="D92" t="inlineStr">
        <is>
          <t>ENCERRADA</t>
        </is>
      </c>
      <c r="E92" s="20" t="n">
        <v>46323</v>
      </c>
      <c r="F92" t="n">
        <v>5</v>
      </c>
      <c r="G92" t="n">
        <v>3</v>
      </c>
      <c r="H92" s="20" t="n">
        <v>46323</v>
      </c>
      <c r="I92" t="n">
        <v>4384680</v>
      </c>
      <c r="J92" t="n">
        <v>60</v>
      </c>
      <c r="K92" t="inlineStr">
        <is>
          <t>E05AUT</t>
        </is>
      </c>
      <c r="L92" t="inlineStr">
        <is>
          <t>01W RIO &amp; ORTHER COMMUNICATION</t>
        </is>
      </c>
      <c r="M92" t="inlineStr">
        <is>
          <t>AUT CABINETS STATUS VERIF WEEKLY</t>
        </is>
      </c>
      <c r="N92" t="inlineStr">
        <is>
          <t>1349-SYS87</t>
        </is>
      </c>
      <c r="P92" t="n">
        <v>0.5</v>
      </c>
      <c r="Q92" t="inlineStr">
        <is>
          <t>PLANO</t>
        </is>
      </c>
      <c r="R92" t="inlineStr">
        <is>
          <t>Z12</t>
        </is>
      </c>
      <c r="S92" s="20" t="n">
        <v>46323</v>
      </c>
    </row>
    <row r="93">
      <c r="A93" t="inlineStr">
        <is>
          <t>AUT</t>
        </is>
      </c>
      <c r="B93" t="inlineStr">
        <is>
          <t>438468070</t>
        </is>
      </c>
      <c r="C93" t="n">
        <v>4384680</v>
      </c>
      <c r="D93" t="inlineStr">
        <is>
          <t>ENCERRADA</t>
        </is>
      </c>
      <c r="E93" s="20" t="n">
        <v>46323</v>
      </c>
      <c r="F93" t="n">
        <v>5</v>
      </c>
      <c r="G93" t="n">
        <v>3</v>
      </c>
      <c r="H93" s="20" t="n">
        <v>46323</v>
      </c>
      <c r="I93" t="n">
        <v>4384680</v>
      </c>
      <c r="J93" t="n">
        <v>70</v>
      </c>
      <c r="K93" t="inlineStr">
        <is>
          <t>E05AUT</t>
        </is>
      </c>
      <c r="L93" t="inlineStr">
        <is>
          <t>01W I/O MODULES</t>
        </is>
      </c>
      <c r="M93" t="inlineStr">
        <is>
          <t>AUT CABINETS STATUS VERIF WEEKLY</t>
        </is>
      </c>
      <c r="N93" t="inlineStr">
        <is>
          <t>1349-SYS87</t>
        </is>
      </c>
      <c r="P93" t="n">
        <v>0.5</v>
      </c>
      <c r="Q93" t="inlineStr">
        <is>
          <t>PLANO</t>
        </is>
      </c>
      <c r="R93" t="inlineStr">
        <is>
          <t>Z12</t>
        </is>
      </c>
      <c r="S93" s="20" t="n">
        <v>46323</v>
      </c>
    </row>
    <row r="94">
      <c r="A94" t="inlineStr">
        <is>
          <t>AUT</t>
        </is>
      </c>
      <c r="B94" t="inlineStr">
        <is>
          <t>438468080</t>
        </is>
      </c>
      <c r="C94" t="n">
        <v>4384680</v>
      </c>
      <c r="D94" t="inlineStr">
        <is>
          <t>ENCERRADA</t>
        </is>
      </c>
      <c r="E94" s="20" t="n">
        <v>46323</v>
      </c>
      <c r="F94" t="n">
        <v>5</v>
      </c>
      <c r="G94" t="n">
        <v>3</v>
      </c>
      <c r="H94" s="20" t="n">
        <v>46323</v>
      </c>
      <c r="I94" t="n">
        <v>4384680</v>
      </c>
      <c r="J94" t="n">
        <v>80</v>
      </c>
      <c r="K94" t="inlineStr">
        <is>
          <t>E05AUT</t>
        </is>
      </c>
      <c r="L94" t="inlineStr">
        <is>
          <t>01W CLIENT SERVER AND NETWORKS</t>
        </is>
      </c>
      <c r="M94" t="inlineStr">
        <is>
          <t>AUT CABINETS STATUS VERIF WEEKLY</t>
        </is>
      </c>
      <c r="N94" t="inlineStr">
        <is>
          <t>1349-SYS87</t>
        </is>
      </c>
      <c r="P94" t="n">
        <v>0.5</v>
      </c>
      <c r="Q94" t="inlineStr">
        <is>
          <t>PLANO</t>
        </is>
      </c>
      <c r="R94" t="inlineStr">
        <is>
          <t>Z12</t>
        </is>
      </c>
      <c r="S94" s="20" t="n">
        <v>46323</v>
      </c>
    </row>
    <row r="95">
      <c r="A95" t="inlineStr">
        <is>
          <t>AUT</t>
        </is>
      </c>
      <c r="B95" t="inlineStr">
        <is>
          <t>438468090</t>
        </is>
      </c>
      <c r="C95" t="n">
        <v>4384680</v>
      </c>
      <c r="D95" t="inlineStr">
        <is>
          <t>ENCERRADA</t>
        </is>
      </c>
      <c r="E95" s="20" t="n">
        <v>46323</v>
      </c>
      <c r="F95" t="n">
        <v>5</v>
      </c>
      <c r="G95" t="n">
        <v>3</v>
      </c>
      <c r="H95" s="20" t="n">
        <v>46323</v>
      </c>
      <c r="I95" t="n">
        <v>4384680</v>
      </c>
      <c r="J95" t="n">
        <v>90</v>
      </c>
      <c r="K95" t="inlineStr">
        <is>
          <t>E05AUT</t>
        </is>
      </c>
      <c r="L95" t="inlineStr">
        <is>
          <t>01W SERVERS &amp; SYSTEMS</t>
        </is>
      </c>
      <c r="M95" t="inlineStr">
        <is>
          <t>AUT CABINETS STATUS VERIF WEEKLY</t>
        </is>
      </c>
      <c r="N95" t="inlineStr">
        <is>
          <t>1349-SYS87</t>
        </is>
      </c>
      <c r="P95" t="n">
        <v>0.5</v>
      </c>
      <c r="Q95" t="inlineStr">
        <is>
          <t>PLANO</t>
        </is>
      </c>
      <c r="R95" t="inlineStr">
        <is>
          <t>Z12</t>
        </is>
      </c>
      <c r="S95" s="20" t="n">
        <v>46323</v>
      </c>
    </row>
    <row r="96">
      <c r="A96" t="inlineStr">
        <is>
          <t>AUT</t>
        </is>
      </c>
      <c r="B96" t="inlineStr">
        <is>
          <t>4384680100</t>
        </is>
      </c>
      <c r="C96" t="n">
        <v>4384680</v>
      </c>
      <c r="D96" t="inlineStr">
        <is>
          <t>ENCERRADA</t>
        </is>
      </c>
      <c r="E96" s="20" t="n">
        <v>46323</v>
      </c>
      <c r="F96" t="n">
        <v>5</v>
      </c>
      <c r="G96" t="n">
        <v>3</v>
      </c>
      <c r="H96" s="20" t="n">
        <v>46323</v>
      </c>
      <c r="I96" t="n">
        <v>4384680</v>
      </c>
      <c r="J96" t="n">
        <v>100</v>
      </c>
      <c r="K96" t="inlineStr">
        <is>
          <t>E05AUT</t>
        </is>
      </c>
      <c r="L96" t="inlineStr">
        <is>
          <t>01W SYSTEMS BACKUP</t>
        </is>
      </c>
      <c r="M96" t="inlineStr">
        <is>
          <t>AUT CABINETS STATUS VERIF WEEKLY</t>
        </is>
      </c>
      <c r="N96" t="inlineStr">
        <is>
          <t>1349-SYS87</t>
        </is>
      </c>
      <c r="P96" t="n">
        <v>2</v>
      </c>
      <c r="Q96" t="inlineStr">
        <is>
          <t>PLANO</t>
        </is>
      </c>
      <c r="R96" t="inlineStr">
        <is>
          <t>Z12</t>
        </is>
      </c>
      <c r="S96" s="20" t="n">
        <v>46323</v>
      </c>
    </row>
    <row r="97">
      <c r="A97" t="inlineStr">
        <is>
          <t>AUT</t>
        </is>
      </c>
      <c r="B97" t="inlineStr">
        <is>
          <t>4384680110</t>
        </is>
      </c>
      <c r="C97" t="n">
        <v>4384680</v>
      </c>
      <c r="D97" t="inlineStr">
        <is>
          <t>ENCERRADA</t>
        </is>
      </c>
      <c r="E97" s="20" t="n">
        <v>46323</v>
      </c>
      <c r="F97" t="n">
        <v>5</v>
      </c>
      <c r="G97" t="n">
        <v>3</v>
      </c>
      <c r="H97" s="20" t="n">
        <v>46323</v>
      </c>
      <c r="I97" t="n">
        <v>4384680</v>
      </c>
      <c r="J97" t="n">
        <v>110</v>
      </c>
      <c r="K97" t="inlineStr">
        <is>
          <t>E05AUT</t>
        </is>
      </c>
      <c r="L97" t="inlineStr">
        <is>
          <t>01W ANTIVIRUS UPDATE</t>
        </is>
      </c>
      <c r="M97" t="inlineStr">
        <is>
          <t>AUT CABINETS STATUS VERIF WEEKLY</t>
        </is>
      </c>
      <c r="N97" t="inlineStr">
        <is>
          <t>1349-SYS87</t>
        </is>
      </c>
      <c r="P97" t="n">
        <v>1</v>
      </c>
      <c r="Q97" t="inlineStr">
        <is>
          <t>PLANO</t>
        </is>
      </c>
      <c r="R97" t="inlineStr">
        <is>
          <t>Z12</t>
        </is>
      </c>
      <c r="S97" s="20" t="n">
        <v>46323</v>
      </c>
    </row>
    <row r="98">
      <c r="A98" t="inlineStr">
        <is>
          <t>AUT</t>
        </is>
      </c>
      <c r="B98" t="inlineStr">
        <is>
          <t>438588810</t>
        </is>
      </c>
      <c r="C98" t="n">
        <v>4385888</v>
      </c>
      <c r="D98" t="inlineStr">
        <is>
          <t>ABERTA</t>
        </is>
      </c>
      <c r="E98" s="20" t="n">
        <v>46316</v>
      </c>
      <c r="F98" t="n">
        <v>5</v>
      </c>
      <c r="G98" t="n">
        <v>3</v>
      </c>
      <c r="H98" s="20" t="n">
        <v>46316</v>
      </c>
      <c r="I98" t="n">
        <v>4385888</v>
      </c>
      <c r="J98" t="n">
        <v>10</v>
      </c>
      <c r="K98" t="inlineStr">
        <is>
          <t>AUT</t>
        </is>
      </c>
      <c r="L98" t="inlineStr">
        <is>
          <t>INS-1016 INSP AUT SISTEMA PAGA</t>
        </is>
      </c>
      <c r="M98" t="inlineStr">
        <is>
          <t>INSP SISTEMA PAGA INS-1016 AUT 6M</t>
        </is>
      </c>
      <c r="N98" t="inlineStr">
        <is>
          <t>PERGC-FSFG-DTC-23-13</t>
        </is>
      </c>
      <c r="P98" t="n">
        <v>2</v>
      </c>
      <c r="Q98" t="inlineStr">
        <is>
          <t>PLANO</t>
        </is>
      </c>
      <c r="R98" t="inlineStr">
        <is>
          <t>Z09</t>
        </is>
      </c>
      <c r="S98" s="20" t="n">
        <v>46316</v>
      </c>
    </row>
    <row r="99">
      <c r="A99" t="inlineStr">
        <is>
          <t>AUT</t>
        </is>
      </c>
      <c r="B99" t="inlineStr">
        <is>
          <t>438589610</t>
        </is>
      </c>
      <c r="C99" t="n">
        <v>4385896</v>
      </c>
      <c r="D99" t="inlineStr">
        <is>
          <t>ABERTA</t>
        </is>
      </c>
      <c r="E99" s="20" t="n">
        <v>46317</v>
      </c>
      <c r="F99" t="n">
        <v>5</v>
      </c>
      <c r="G99" t="n">
        <v>3</v>
      </c>
      <c r="H99" s="20" t="n">
        <v>46317</v>
      </c>
      <c r="I99" t="n">
        <v>4385896</v>
      </c>
      <c r="J99" t="n">
        <v>10</v>
      </c>
      <c r="K99" t="inlineStr">
        <is>
          <t>AUT</t>
        </is>
      </c>
      <c r="L99" t="inlineStr">
        <is>
          <t>INS-1016 INSP AUT SISTEMA PAGA</t>
        </is>
      </c>
      <c r="M99" t="inlineStr">
        <is>
          <t>INSP SISTEMA PAGA INS-1016 AUT 6M</t>
        </is>
      </c>
      <c r="N99" t="inlineStr">
        <is>
          <t>PERGC-FSTI-INT-07-10</t>
        </is>
      </c>
      <c r="P99" t="n">
        <v>2</v>
      </c>
      <c r="Q99" t="inlineStr">
        <is>
          <t>PLANO</t>
        </is>
      </c>
      <c r="R99" t="inlineStr">
        <is>
          <t>Z09</t>
        </is>
      </c>
      <c r="S99" s="20" t="n">
        <v>46317</v>
      </c>
    </row>
    <row r="100">
      <c r="A100" t="inlineStr">
        <is>
          <t>AUT</t>
        </is>
      </c>
      <c r="B100" t="inlineStr">
        <is>
          <t>438590810</t>
        </is>
      </c>
      <c r="C100" t="n">
        <v>4385908</v>
      </c>
      <c r="D100" t="inlineStr">
        <is>
          <t>ABERTA</t>
        </is>
      </c>
      <c r="E100" s="20" t="n">
        <v>46320</v>
      </c>
      <c r="F100" t="n">
        <v>5</v>
      </c>
      <c r="G100" t="n">
        <v>3</v>
      </c>
      <c r="H100" s="20" t="n">
        <v>46320</v>
      </c>
      <c r="I100" t="n">
        <v>4385908</v>
      </c>
      <c r="J100" t="n">
        <v>10</v>
      </c>
      <c r="K100" t="inlineStr">
        <is>
          <t>AUT</t>
        </is>
      </c>
      <c r="L100" t="inlineStr">
        <is>
          <t>PTF-2101 TEST FUNC PRO SISTEMA PAGA</t>
        </is>
      </c>
      <c r="M100" t="inlineStr">
        <is>
          <t>TEST FUNC SISTEMA PAGA PTF-2101 HSE 6M</t>
        </is>
      </c>
      <c r="N100" t="inlineStr">
        <is>
          <t>PERGC-FSTI-INT-07-10</t>
        </is>
      </c>
      <c r="P100" t="n">
        <v>0.5</v>
      </c>
      <c r="Q100" t="inlineStr">
        <is>
          <t>PLANO</t>
        </is>
      </c>
      <c r="R100" t="inlineStr">
        <is>
          <t>Z08</t>
        </is>
      </c>
      <c r="S100" s="20" t="n">
        <v>46320</v>
      </c>
    </row>
    <row r="101">
      <c r="A101" t="inlineStr">
        <is>
          <t>AUT</t>
        </is>
      </c>
      <c r="B101" t="inlineStr">
        <is>
          <t>438644610</t>
        </is>
      </c>
      <c r="C101" t="n">
        <v>4386446</v>
      </c>
      <c r="D101" t="inlineStr">
        <is>
          <t>ENCERRADA</t>
        </is>
      </c>
      <c r="E101" s="20" t="n">
        <v>46314</v>
      </c>
      <c r="F101" t="n">
        <v>5</v>
      </c>
      <c r="G101" t="n">
        <v>3</v>
      </c>
      <c r="H101" s="20" t="n">
        <v>46314</v>
      </c>
      <c r="I101" t="n">
        <v>4386446</v>
      </c>
      <c r="J101" t="n">
        <v>10</v>
      </c>
      <c r="K101" t="inlineStr">
        <is>
          <t>AUT</t>
        </is>
      </c>
      <c r="L101" t="inlineStr">
        <is>
          <t>INS-1016 INSP AUT SISTEMA PAGA</t>
        </is>
      </c>
      <c r="M101" t="inlineStr">
        <is>
          <t>INSP SISTEMA PAGA INS-1016 AUT 6M</t>
        </is>
      </c>
      <c r="N101" t="inlineStr">
        <is>
          <t>PERGC-FSFG-DTC-21-13</t>
        </is>
      </c>
      <c r="P101" t="n">
        <v>2</v>
      </c>
      <c r="Q101" t="inlineStr">
        <is>
          <t>PLANO</t>
        </is>
      </c>
      <c r="R101" t="inlineStr">
        <is>
          <t>Z09</t>
        </is>
      </c>
      <c r="S101" s="20" t="n">
        <v>46314</v>
      </c>
    </row>
    <row r="102">
      <c r="A102" t="inlineStr">
        <is>
          <t>AUT</t>
        </is>
      </c>
      <c r="B102" t="inlineStr">
        <is>
          <t>438648010</t>
        </is>
      </c>
      <c r="C102" t="n">
        <v>4386480</v>
      </c>
      <c r="D102" t="inlineStr">
        <is>
          <t>ABERTA</t>
        </is>
      </c>
      <c r="E102" s="20" t="n">
        <v>46316</v>
      </c>
      <c r="F102" t="n">
        <v>5</v>
      </c>
      <c r="G102" t="n">
        <v>3</v>
      </c>
      <c r="H102" s="20" t="n">
        <v>46316</v>
      </c>
      <c r="I102" t="n">
        <v>4386480</v>
      </c>
      <c r="J102" t="n">
        <v>10</v>
      </c>
      <c r="K102" t="inlineStr">
        <is>
          <t>AUT</t>
        </is>
      </c>
      <c r="L102" t="inlineStr">
        <is>
          <t>INS-1016 INSP AUT SISTEMA PAGA</t>
        </is>
      </c>
      <c r="M102" t="inlineStr">
        <is>
          <t>INSP SISTEMA PAGA INS-1016 AUT 6M</t>
        </is>
      </c>
      <c r="N102" t="inlineStr">
        <is>
          <t>PERGC-FSFG-DTC-33-07</t>
        </is>
      </c>
      <c r="P102" t="n">
        <v>2</v>
      </c>
      <c r="Q102" t="inlineStr">
        <is>
          <t>PLANO</t>
        </is>
      </c>
      <c r="R102" t="inlineStr">
        <is>
          <t>Z09</t>
        </is>
      </c>
      <c r="S102" s="20" t="n">
        <v>46316</v>
      </c>
    </row>
    <row r="103">
      <c r="A103" t="inlineStr">
        <is>
          <t>INS</t>
        </is>
      </c>
      <c r="B103" t="inlineStr">
        <is>
          <t>438645510</t>
        </is>
      </c>
      <c r="C103" t="n">
        <v>4386455</v>
      </c>
      <c r="D103" t="inlineStr">
        <is>
          <t>ENCERRADA</t>
        </is>
      </c>
      <c r="E103" s="20" t="n">
        <v>46314</v>
      </c>
      <c r="F103" t="n">
        <v>5</v>
      </c>
      <c r="G103" t="n">
        <v>3</v>
      </c>
      <c r="H103" s="20" t="n">
        <v>46314</v>
      </c>
      <c r="I103" t="n">
        <v>4386455</v>
      </c>
      <c r="J103" t="n">
        <v>10</v>
      </c>
      <c r="K103" t="inlineStr">
        <is>
          <t>INS</t>
        </is>
      </c>
      <c r="L103" t="inlineStr">
        <is>
          <t>INS-1312 INSP INS DETECTOR GAS</t>
        </is>
      </c>
      <c r="M103" t="inlineStr">
        <is>
          <t>INSP DETECT GAS CH4 INS-1312 INS 3M</t>
        </is>
      </c>
      <c r="N103" t="inlineStr">
        <is>
          <t>PERGC-FSFG-DTC-89-01</t>
        </is>
      </c>
      <c r="P103" t="n">
        <v>8</v>
      </c>
      <c r="Q103" t="inlineStr">
        <is>
          <t>PLANO</t>
        </is>
      </c>
      <c r="R103" t="inlineStr">
        <is>
          <t>Z09</t>
        </is>
      </c>
      <c r="S103" s="20" t="n">
        <v>46314</v>
      </c>
    </row>
    <row r="104">
      <c r="A104" t="inlineStr">
        <is>
          <t>PRO</t>
        </is>
      </c>
      <c r="B104" t="inlineStr">
        <is>
          <t>438641210</t>
        </is>
      </c>
      <c r="C104" t="n">
        <v>4386412</v>
      </c>
      <c r="D104" t="inlineStr">
        <is>
          <t>ENCERRADA</t>
        </is>
      </c>
      <c r="E104" s="20" t="n">
        <v>46311</v>
      </c>
      <c r="F104" t="n">
        <v>5</v>
      </c>
      <c r="G104" t="n">
        <v>3</v>
      </c>
      <c r="H104" s="20" t="n">
        <v>46311</v>
      </c>
      <c r="I104" t="n">
        <v>4386412</v>
      </c>
      <c r="J104" t="n">
        <v>10</v>
      </c>
      <c r="K104" t="inlineStr">
        <is>
          <t>PRO</t>
        </is>
      </c>
      <c r="L104" t="inlineStr">
        <is>
          <t>INS-1813 INSP PRO FILTRO</t>
        </is>
      </c>
      <c r="M104" t="inlineStr">
        <is>
          <t>INSP FILTRO INS-1813 PRO 4M</t>
        </is>
      </c>
      <c r="N104" t="inlineStr">
        <is>
          <t>PERGC-FSGP-GTG-01-16</t>
        </is>
      </c>
      <c r="P104" t="n">
        <v>3</v>
      </c>
      <c r="Q104" t="inlineStr">
        <is>
          <t>PLANO</t>
        </is>
      </c>
      <c r="R104" t="inlineStr">
        <is>
          <t>Z09</t>
        </is>
      </c>
      <c r="S104" s="20" t="n">
        <v>46311</v>
      </c>
    </row>
    <row r="105">
      <c r="A105" t="inlineStr">
        <is>
          <t>PRO</t>
        </is>
      </c>
      <c r="B105" t="inlineStr">
        <is>
          <t>438664910</t>
        </is>
      </c>
      <c r="C105" t="n">
        <v>4386649</v>
      </c>
      <c r="D105" t="inlineStr">
        <is>
          <t>ENCERRADA</t>
        </is>
      </c>
      <c r="E105" s="20" t="n">
        <v>46320</v>
      </c>
      <c r="F105" t="n">
        <v>3</v>
      </c>
      <c r="G105" t="n">
        <v>2</v>
      </c>
      <c r="H105" s="20" t="n">
        <v>46320</v>
      </c>
      <c r="I105" t="n">
        <v>4386649</v>
      </c>
      <c r="J105" t="n">
        <v>10</v>
      </c>
      <c r="K105" t="inlineStr">
        <is>
          <t>PRO</t>
        </is>
      </c>
      <c r="L105" t="inlineStr">
        <is>
          <t>INS-1813 INSP PRO FILTRO</t>
        </is>
      </c>
      <c r="M105" t="inlineStr">
        <is>
          <t>INSP FILTRO INS-1813 PRO 4M</t>
        </is>
      </c>
      <c r="N105" t="inlineStr">
        <is>
          <t>PERGC-FSGP-GTG-01-28-19-01</t>
        </is>
      </c>
      <c r="P105" t="n">
        <v>3</v>
      </c>
      <c r="Q105" t="inlineStr">
        <is>
          <t>PLANO</t>
        </is>
      </c>
      <c r="R105" t="inlineStr">
        <is>
          <t>Z09</t>
        </is>
      </c>
      <c r="S105" s="20" t="n">
        <v>46320</v>
      </c>
    </row>
    <row r="106">
      <c r="A106" t="inlineStr">
        <is>
          <t>PRO</t>
        </is>
      </c>
      <c r="B106" t="inlineStr">
        <is>
          <t>438660110</t>
        </is>
      </c>
      <c r="C106" t="n">
        <v>4386601</v>
      </c>
      <c r="D106" t="inlineStr">
        <is>
          <t>ABERTA</t>
        </is>
      </c>
      <c r="E106" s="20" t="n">
        <v>46323</v>
      </c>
      <c r="F106" t="n">
        <v>5</v>
      </c>
      <c r="G106" t="n">
        <v>3</v>
      </c>
      <c r="H106" s="20" t="n">
        <v>46323</v>
      </c>
      <c r="I106" t="n">
        <v>4386601</v>
      </c>
      <c r="J106" t="n">
        <v>10</v>
      </c>
      <c r="K106" t="inlineStr">
        <is>
          <t>PRO</t>
        </is>
      </c>
      <c r="L106" t="inlineStr">
        <is>
          <t>INS-1813 INSP PRO FILTRO</t>
        </is>
      </c>
      <c r="M106" t="inlineStr">
        <is>
          <t>INSP FILTRO INS-1813 PRO 4M</t>
        </is>
      </c>
      <c r="N106" t="inlineStr">
        <is>
          <t>PERGC-FSGP-GTG-04-16</t>
        </is>
      </c>
      <c r="P106" t="n">
        <v>3</v>
      </c>
      <c r="Q106" t="inlineStr">
        <is>
          <t>PLANO</t>
        </is>
      </c>
      <c r="R106" t="inlineStr">
        <is>
          <t>Z09</t>
        </is>
      </c>
      <c r="S106" s="20" t="n">
        <v>46323</v>
      </c>
    </row>
    <row r="107">
      <c r="A107" t="inlineStr">
        <is>
          <t>ELE</t>
        </is>
      </c>
      <c r="B107" t="inlineStr">
        <is>
          <t>438665010</t>
        </is>
      </c>
      <c r="C107" t="n">
        <v>4386650</v>
      </c>
      <c r="D107" t="inlineStr">
        <is>
          <t>ENCERRADA</t>
        </is>
      </c>
      <c r="E107" s="20" t="n">
        <v>46318</v>
      </c>
      <c r="F107" t="n">
        <v>3</v>
      </c>
      <c r="G107" t="n">
        <v>2</v>
      </c>
      <c r="H107" s="20" t="n">
        <v>46318</v>
      </c>
      <c r="I107" t="n">
        <v>4386650</v>
      </c>
      <c r="J107" t="n">
        <v>10</v>
      </c>
      <c r="K107" t="inlineStr">
        <is>
          <t>ELE</t>
        </is>
      </c>
      <c r="L107" t="inlineStr">
        <is>
          <t>PSE-1200 MANUT ELE MOTOR BT</t>
        </is>
      </c>
      <c r="M107" t="inlineStr">
        <is>
          <t>MANUT MOTOR BAIXA TENSAO PSE-1200 ELE 1A</t>
        </is>
      </c>
      <c r="N107" t="inlineStr">
        <is>
          <t>PERGC-FSGP-GTG-04-34-10-04</t>
        </is>
      </c>
      <c r="P107" t="n">
        <v>4</v>
      </c>
      <c r="Q107" t="inlineStr">
        <is>
          <t>PLANO</t>
        </is>
      </c>
      <c r="R107" t="inlineStr">
        <is>
          <t>Z12</t>
        </is>
      </c>
      <c r="S107" s="20" t="n">
        <v>46318</v>
      </c>
    </row>
    <row r="108">
      <c r="A108" t="inlineStr">
        <is>
          <t>ELE</t>
        </is>
      </c>
      <c r="B108" t="inlineStr">
        <is>
          <t>438673610</t>
        </is>
      </c>
      <c r="C108" t="n">
        <v>4386736</v>
      </c>
      <c r="D108" t="inlineStr">
        <is>
          <t>ENCERRADA</t>
        </is>
      </c>
      <c r="E108" s="20" t="n">
        <v>46313</v>
      </c>
      <c r="F108" t="n">
        <v>3</v>
      </c>
      <c r="G108" t="n">
        <v>2</v>
      </c>
      <c r="H108" s="20" t="n">
        <v>46313</v>
      </c>
      <c r="I108" t="n">
        <v>4386736</v>
      </c>
      <c r="J108" t="n">
        <v>10</v>
      </c>
      <c r="K108" t="inlineStr">
        <is>
          <t>ELE</t>
        </is>
      </c>
      <c r="L108" t="inlineStr">
        <is>
          <t>PSE-1213 MANUT ELE GUINDASTES</t>
        </is>
      </c>
      <c r="M108" t="inlineStr">
        <is>
          <t>MANUT GUINDASTES PSE-1213 ELE 1A</t>
        </is>
      </c>
      <c r="N108" t="inlineStr">
        <is>
          <t>PERGC-FSMC-GUI-04-01</t>
        </is>
      </c>
      <c r="P108" t="n">
        <v>8</v>
      </c>
      <c r="Q108" t="inlineStr">
        <is>
          <t>PLANO</t>
        </is>
      </c>
      <c r="R108" t="inlineStr">
        <is>
          <t>Z12</t>
        </is>
      </c>
      <c r="S108" s="20" t="n">
        <v>46313</v>
      </c>
    </row>
    <row r="109">
      <c r="A109" t="inlineStr">
        <is>
          <t>ELE</t>
        </is>
      </c>
      <c r="B109" t="inlineStr">
        <is>
          <t>438640810</t>
        </is>
      </c>
      <c r="C109" t="n">
        <v>4386408</v>
      </c>
      <c r="D109" t="inlineStr">
        <is>
          <t>ENCERRADA</t>
        </is>
      </c>
      <c r="E109" s="20" t="n">
        <v>46311</v>
      </c>
      <c r="F109" t="n">
        <v>3</v>
      </c>
      <c r="G109" t="n">
        <v>2</v>
      </c>
      <c r="H109" s="20" t="n">
        <v>46311</v>
      </c>
      <c r="I109" t="n">
        <v>4386408</v>
      </c>
      <c r="J109" t="n">
        <v>10</v>
      </c>
      <c r="K109" t="inlineStr">
        <is>
          <t>ELE</t>
        </is>
      </c>
      <c r="L109" t="inlineStr">
        <is>
          <t>PSE-1812 MANUT PRO CONDE/TROC CALOR</t>
        </is>
      </c>
      <c r="M109" t="inlineStr">
        <is>
          <t>MANUT CONDE/TROC CALOR PSE-1812 PRO 1A</t>
        </is>
      </c>
      <c r="N109" t="inlineStr">
        <is>
          <t>PERGC-FSOD-MBB-04-07</t>
        </is>
      </c>
      <c r="P109" t="n">
        <v>1</v>
      </c>
      <c r="Q109" t="inlineStr">
        <is>
          <t>PLANO</t>
        </is>
      </c>
      <c r="R109" t="inlineStr">
        <is>
          <t>Z12</t>
        </is>
      </c>
      <c r="S109" s="20" t="n">
        <v>46311</v>
      </c>
    </row>
    <row r="110">
      <c r="A110" t="inlineStr">
        <is>
          <t>INS</t>
        </is>
      </c>
      <c r="B110" t="inlineStr">
        <is>
          <t>438642110</t>
        </is>
      </c>
      <c r="C110" t="n">
        <v>4386421</v>
      </c>
      <c r="D110" t="inlineStr">
        <is>
          <t>ENCERRADA</t>
        </is>
      </c>
      <c r="E110" s="20" t="n">
        <v>46312</v>
      </c>
      <c r="F110" t="n">
        <v>3</v>
      </c>
      <c r="G110" t="n">
        <v>2</v>
      </c>
      <c r="H110" s="20" t="n">
        <v>46312</v>
      </c>
      <c r="I110" t="n">
        <v>4386421</v>
      </c>
      <c r="J110" t="n">
        <v>10</v>
      </c>
      <c r="K110" t="inlineStr">
        <is>
          <t>INS</t>
        </is>
      </c>
      <c r="L110" t="inlineStr">
        <is>
          <t>PTF-1301 TEST FUNC INS BOTOEIRAS</t>
        </is>
      </c>
      <c r="M110" t="inlineStr">
        <is>
          <t>TEST FUNC BOTOEIRAS PTF-1301 INS 6M</t>
        </is>
      </c>
      <c r="N110" t="inlineStr">
        <is>
          <t>PERGC-FSSV-BEE-01-22</t>
        </is>
      </c>
      <c r="P110" t="n">
        <v>0.5</v>
      </c>
      <c r="Q110" t="inlineStr">
        <is>
          <t>PLANO</t>
        </is>
      </c>
      <c r="R110" t="inlineStr">
        <is>
          <t>Z08</t>
        </is>
      </c>
      <c r="S110" s="20" t="n">
        <v>46312</v>
      </c>
    </row>
    <row r="111">
      <c r="A111" t="inlineStr">
        <is>
          <t>ELE</t>
        </is>
      </c>
      <c r="B111" t="inlineStr">
        <is>
          <t>438647310</t>
        </is>
      </c>
      <c r="C111" t="n">
        <v>4386473</v>
      </c>
      <c r="D111" t="inlineStr">
        <is>
          <t>LIBERADA</t>
        </is>
      </c>
      <c r="E111" s="20" t="n">
        <v>46316</v>
      </c>
      <c r="F111" t="n">
        <v>3</v>
      </c>
      <c r="G111" t="n">
        <v>2</v>
      </c>
      <c r="H111" s="20" t="n">
        <v>46316</v>
      </c>
      <c r="I111" t="n">
        <v>4386473</v>
      </c>
      <c r="J111" t="n">
        <v>10</v>
      </c>
      <c r="K111" t="inlineStr">
        <is>
          <t>ELE</t>
        </is>
      </c>
      <c r="L111" t="inlineStr">
        <is>
          <t>PSE-1200 MANUT ELE MOTOR BT</t>
        </is>
      </c>
      <c r="M111" t="inlineStr">
        <is>
          <t>MANUT MOTOR BAIXA TENSAO PSE-1200 ELE 1A</t>
        </is>
      </c>
      <c r="N111" t="inlineStr">
        <is>
          <t>PERGC-FSSV-BEE-04-19</t>
        </is>
      </c>
      <c r="P111" t="n">
        <v>4</v>
      </c>
      <c r="Q111" t="inlineStr">
        <is>
          <t>PLANO</t>
        </is>
      </c>
      <c r="R111" t="inlineStr">
        <is>
          <t>Z12</t>
        </is>
      </c>
      <c r="S111" s="20" t="n">
        <v>46316</v>
      </c>
    </row>
    <row r="112">
      <c r="A112" t="inlineStr">
        <is>
          <t>ELE</t>
        </is>
      </c>
      <c r="B112" t="inlineStr">
        <is>
          <t>438639310</t>
        </is>
      </c>
      <c r="C112" t="n">
        <v>4386393</v>
      </c>
      <c r="D112" t="inlineStr">
        <is>
          <t>ABERTA</t>
        </is>
      </c>
      <c r="E112" s="20" t="n">
        <v>46325</v>
      </c>
      <c r="F112" t="n">
        <v>3</v>
      </c>
      <c r="G112" t="n">
        <v>2</v>
      </c>
      <c r="H112" s="20" t="n">
        <v>46310</v>
      </c>
      <c r="I112" t="n">
        <v>4386393</v>
      </c>
      <c r="J112" t="n">
        <v>10</v>
      </c>
      <c r="K112" t="inlineStr">
        <is>
          <t>ELE</t>
        </is>
      </c>
      <c r="L112" t="inlineStr">
        <is>
          <t>PSE-1200 MANUT ELE MOTOR BT</t>
        </is>
      </c>
      <c r="M112" t="inlineStr">
        <is>
          <t>MANUT MOTOR BAIXA TENSAO PSE-1200 ELE 1A</t>
        </is>
      </c>
      <c r="N112" t="inlineStr">
        <is>
          <t>PERGC-FSTD-TRA-01-34-04</t>
        </is>
      </c>
      <c r="P112" t="n">
        <v>4</v>
      </c>
      <c r="Q112" t="inlineStr">
        <is>
          <t>PLANO</t>
        </is>
      </c>
      <c r="R112" t="inlineStr">
        <is>
          <t>Z12</t>
        </is>
      </c>
      <c r="S112" s="20" t="n">
        <v>46310</v>
      </c>
    </row>
    <row r="113">
      <c r="A113" t="inlineStr">
        <is>
          <t>AUT</t>
        </is>
      </c>
      <c r="B113" t="inlineStr">
        <is>
          <t>438655610</t>
        </is>
      </c>
      <c r="C113" t="n">
        <v>4386556</v>
      </c>
      <c r="D113" t="inlineStr">
        <is>
          <t>ABERTA</t>
        </is>
      </c>
      <c r="E113" s="20" t="n">
        <v>46320</v>
      </c>
      <c r="F113" t="n">
        <v>5</v>
      </c>
      <c r="G113" t="n">
        <v>3</v>
      </c>
      <c r="H113" s="20" t="n">
        <v>46320</v>
      </c>
      <c r="I113" t="n">
        <v>4386556</v>
      </c>
      <c r="J113" t="n">
        <v>10</v>
      </c>
      <c r="K113" t="inlineStr">
        <is>
          <t>AUT</t>
        </is>
      </c>
      <c r="L113" t="inlineStr">
        <is>
          <t>PTF-2101 TEST FUNC PRO SISTEMA PAGA</t>
        </is>
      </c>
      <c r="M113" t="inlineStr">
        <is>
          <t>TEST FUNC SISTEMA PAGA PTF-2101 HSE 6M</t>
        </is>
      </c>
      <c r="N113" t="inlineStr">
        <is>
          <t>PERGC-FSTI-INT-07-01</t>
        </is>
      </c>
      <c r="P113" t="n">
        <v>0.5</v>
      </c>
      <c r="Q113" t="inlineStr">
        <is>
          <t>PLANO</t>
        </is>
      </c>
      <c r="R113" t="inlineStr">
        <is>
          <t>Z08</t>
        </is>
      </c>
      <c r="S113" s="20" t="n">
        <v>46320</v>
      </c>
    </row>
    <row r="114">
      <c r="A114" t="inlineStr">
        <is>
          <t>TER</t>
        </is>
      </c>
      <c r="B114" t="inlineStr">
        <is>
          <t>438648410</t>
        </is>
      </c>
      <c r="C114" t="n">
        <v>4386484</v>
      </c>
      <c r="D114" t="inlineStr">
        <is>
          <t>ABERTA</t>
        </is>
      </c>
      <c r="E114" s="20" t="n">
        <v>46316</v>
      </c>
      <c r="F114" t="n">
        <v>5</v>
      </c>
      <c r="G114" t="n">
        <v>3</v>
      </c>
      <c r="H114" s="20" t="n">
        <v>46316</v>
      </c>
      <c r="I114" t="n">
        <v>4386484</v>
      </c>
      <c r="J114" t="n">
        <v>10</v>
      </c>
      <c r="K114" t="inlineStr">
        <is>
          <t>TER</t>
        </is>
      </c>
      <c r="L114" t="inlineStr">
        <is>
          <t>PSE-1001 MANUT PRV TER SISTEMA PAGA</t>
        </is>
      </c>
      <c r="M114" t="inlineStr">
        <is>
          <t>MANUT PRV SISTEMA PAGA PSE-1001 AUT 1A</t>
        </is>
      </c>
      <c r="N114" t="inlineStr">
        <is>
          <t>PERGC-FSTI-INT-07-04</t>
        </is>
      </c>
      <c r="P114" t="n">
        <v>16</v>
      </c>
      <c r="Q114" t="inlineStr">
        <is>
          <t>PLANO-VEND</t>
        </is>
      </c>
      <c r="R114" t="inlineStr">
        <is>
          <t>Z12</t>
        </is>
      </c>
      <c r="S114" s="20" t="n">
        <v>46316</v>
      </c>
    </row>
    <row r="115">
      <c r="A115" t="inlineStr">
        <is>
          <t>AUT</t>
        </is>
      </c>
      <c r="B115" t="inlineStr">
        <is>
          <t>438643610</t>
        </is>
      </c>
      <c r="C115" t="n">
        <v>4386436</v>
      </c>
      <c r="D115" t="inlineStr">
        <is>
          <t>ABERTA</t>
        </is>
      </c>
      <c r="E115" s="20" t="n">
        <v>46313</v>
      </c>
      <c r="F115" t="n">
        <v>5</v>
      </c>
      <c r="G115" t="n">
        <v>3</v>
      </c>
      <c r="H115" s="20" t="n">
        <v>46313</v>
      </c>
      <c r="I115" t="n">
        <v>4386436</v>
      </c>
      <c r="J115" t="n">
        <v>10</v>
      </c>
      <c r="K115" t="inlineStr">
        <is>
          <t>AUT</t>
        </is>
      </c>
      <c r="L115" t="inlineStr">
        <is>
          <t>PTF-2101 TEST FUNC PRO SISTEMA PAGA</t>
        </is>
      </c>
      <c r="M115" t="inlineStr">
        <is>
          <t>TEST FUNC SISTEMA PAGA PTF-2101 HSE 6M</t>
        </is>
      </c>
      <c r="N115" t="inlineStr">
        <is>
          <t>PERGC-FSTI-INT-07-07</t>
        </is>
      </c>
      <c r="P115" t="n">
        <v>0.5</v>
      </c>
      <c r="Q115" t="inlineStr">
        <is>
          <t>PLANO</t>
        </is>
      </c>
      <c r="R115" t="inlineStr">
        <is>
          <t>Z08</t>
        </is>
      </c>
      <c r="S115" s="20" t="n">
        <v>46313</v>
      </c>
    </row>
    <row r="116">
      <c r="A116" t="inlineStr">
        <is>
          <t>AUT</t>
        </is>
      </c>
      <c r="B116" t="inlineStr">
        <is>
          <t>438652210</t>
        </is>
      </c>
      <c r="C116" t="n">
        <v>4386522</v>
      </c>
      <c r="D116" t="inlineStr">
        <is>
          <t>ABERTA</t>
        </is>
      </c>
      <c r="E116" s="20" t="n">
        <v>46318</v>
      </c>
      <c r="F116" t="n">
        <v>5</v>
      </c>
      <c r="G116" t="n">
        <v>3</v>
      </c>
      <c r="H116" s="20" t="n">
        <v>46318</v>
      </c>
      <c r="I116" t="n">
        <v>4386522</v>
      </c>
      <c r="J116" t="n">
        <v>10</v>
      </c>
      <c r="K116" t="inlineStr">
        <is>
          <t>AUT</t>
        </is>
      </c>
      <c r="L116" t="inlineStr">
        <is>
          <t>INS-1016 INSP AUT SISTEMA PAGA</t>
        </is>
      </c>
      <c r="M116" t="inlineStr">
        <is>
          <t>INSP SISTEMA PAGA INS-1016 AUT 6M</t>
        </is>
      </c>
      <c r="N116" t="inlineStr">
        <is>
          <t>PERGC-FSTI-INT-07-07</t>
        </is>
      </c>
      <c r="P116" t="n">
        <v>2</v>
      </c>
      <c r="Q116" t="inlineStr">
        <is>
          <t>PLANO</t>
        </is>
      </c>
      <c r="R116" t="inlineStr">
        <is>
          <t>Z09</t>
        </is>
      </c>
      <c r="S116" s="20" t="n">
        <v>46318</v>
      </c>
    </row>
    <row r="117">
      <c r="A117" t="inlineStr">
        <is>
          <t>ELE</t>
        </is>
      </c>
      <c r="B117" t="inlineStr">
        <is>
          <t>438655910</t>
        </is>
      </c>
      <c r="C117" t="n">
        <v>4386559</v>
      </c>
      <c r="D117" t="inlineStr">
        <is>
          <t>ABERTA</t>
        </is>
      </c>
      <c r="E117" s="20" t="n">
        <v>46321</v>
      </c>
      <c r="F117" t="n">
        <v>3</v>
      </c>
      <c r="G117" t="n">
        <v>2</v>
      </c>
      <c r="H117" s="20" t="n">
        <v>46321</v>
      </c>
      <c r="I117" t="n">
        <v>4386559</v>
      </c>
      <c r="J117" t="n">
        <v>10</v>
      </c>
      <c r="K117" t="inlineStr">
        <is>
          <t>ELE</t>
        </is>
      </c>
      <c r="L117" t="inlineStr">
        <is>
          <t>PSE-1200 MANUT ELE MOTOR BT</t>
        </is>
      </c>
      <c r="M117" t="inlineStr">
        <is>
          <t>MANUT MOTOR BAIXA TENSAO PSE-1200 ELE 1A</t>
        </is>
      </c>
      <c r="N117" t="inlineStr">
        <is>
          <t>PERGC-PSGC-GIM-01-13-13-04-04</t>
        </is>
      </c>
      <c r="P117" t="n">
        <v>4</v>
      </c>
      <c r="Q117" t="inlineStr">
        <is>
          <t>PLANO</t>
        </is>
      </c>
      <c r="R117" t="inlineStr">
        <is>
          <t>Z12</t>
        </is>
      </c>
      <c r="S117" s="20" t="n">
        <v>46321</v>
      </c>
    </row>
    <row r="118">
      <c r="A118" t="inlineStr">
        <is>
          <t>PRO</t>
        </is>
      </c>
      <c r="B118" t="inlineStr">
        <is>
          <t>438656010</t>
        </is>
      </c>
      <c r="C118" t="n">
        <v>4386560</v>
      </c>
      <c r="D118" t="inlineStr">
        <is>
          <t>LIBERADA</t>
        </is>
      </c>
      <c r="E118" s="20" t="n">
        <v>46321</v>
      </c>
      <c r="F118" t="n">
        <v>3</v>
      </c>
      <c r="G118" t="n">
        <v>2</v>
      </c>
      <c r="H118" s="20" t="n">
        <v>46321</v>
      </c>
      <c r="I118" t="n">
        <v>4386560</v>
      </c>
      <c r="J118" t="n">
        <v>10</v>
      </c>
      <c r="K118" t="inlineStr">
        <is>
          <t>PRO</t>
        </is>
      </c>
      <c r="L118" t="inlineStr">
        <is>
          <t>INS-1813 INSP PRO FILTRO</t>
        </is>
      </c>
      <c r="M118" t="inlineStr">
        <is>
          <t>INSP FILTRO INS-1813 OPE 4M</t>
        </is>
      </c>
      <c r="N118" t="inlineStr">
        <is>
          <t>PERGC-PSGC-GIM-01-28-16-28</t>
        </is>
      </c>
      <c r="P118" t="n">
        <v>3</v>
      </c>
      <c r="Q118" t="inlineStr">
        <is>
          <t>PLANO</t>
        </is>
      </c>
      <c r="R118" t="inlineStr">
        <is>
          <t>Z09</t>
        </is>
      </c>
      <c r="S118" s="20" t="n">
        <v>46321</v>
      </c>
    </row>
    <row r="119">
      <c r="A119" t="inlineStr">
        <is>
          <t>PRO</t>
        </is>
      </c>
      <c r="B119" t="inlineStr">
        <is>
          <t>438647010</t>
        </is>
      </c>
      <c r="C119" t="n">
        <v>4386470</v>
      </c>
      <c r="D119" t="inlineStr">
        <is>
          <t>ENCERRADA</t>
        </is>
      </c>
      <c r="E119" s="20" t="n">
        <v>46316</v>
      </c>
      <c r="F119" t="n">
        <v>3</v>
      </c>
      <c r="G119" t="n">
        <v>2</v>
      </c>
      <c r="H119" s="20" t="n">
        <v>46316</v>
      </c>
      <c r="I119" t="n">
        <v>4386470</v>
      </c>
      <c r="J119" t="n">
        <v>10</v>
      </c>
      <c r="K119" t="inlineStr">
        <is>
          <t>PRO</t>
        </is>
      </c>
      <c r="L119" t="inlineStr">
        <is>
          <t>INS-1813 INSP PRO FILTRO</t>
        </is>
      </c>
      <c r="M119" t="inlineStr">
        <is>
          <t>INSP FILTRO INS-1813 OPE 4M</t>
        </is>
      </c>
      <c r="N119" t="inlineStr">
        <is>
          <t>PERGC-PSGI-GNI-01-10-01</t>
        </is>
      </c>
      <c r="P119" t="n">
        <v>3</v>
      </c>
      <c r="Q119" t="inlineStr">
        <is>
          <t>PLANO</t>
        </is>
      </c>
      <c r="R119" t="inlineStr">
        <is>
          <t>Z09</t>
        </is>
      </c>
      <c r="S119" s="20" t="n">
        <v>46316</v>
      </c>
    </row>
    <row r="120">
      <c r="A120" t="inlineStr">
        <is>
          <t>PRO</t>
        </is>
      </c>
      <c r="B120" t="inlineStr">
        <is>
          <t>438651010</t>
        </is>
      </c>
      <c r="C120" t="n">
        <v>4386510</v>
      </c>
      <c r="D120" t="inlineStr">
        <is>
          <t>ENCERRADA</t>
        </is>
      </c>
      <c r="E120" s="20" t="n">
        <v>46318</v>
      </c>
      <c r="F120" t="n">
        <v>5</v>
      </c>
      <c r="G120" t="n">
        <v>3</v>
      </c>
      <c r="H120" s="20" t="n">
        <v>46318</v>
      </c>
      <c r="I120" t="n">
        <v>4386510</v>
      </c>
      <c r="J120" t="n">
        <v>10</v>
      </c>
      <c r="K120" t="inlineStr">
        <is>
          <t>PRO</t>
        </is>
      </c>
      <c r="L120" t="inlineStr">
        <is>
          <t>INS-1813 INSP PRO FILTRO</t>
        </is>
      </c>
      <c r="M120" t="inlineStr">
        <is>
          <t>INSP FILTRO INS-1813 PRO 4M</t>
        </is>
      </c>
      <c r="N120" t="inlineStr">
        <is>
          <t>PERGC-PSIQ-UJQ-01-13</t>
        </is>
      </c>
      <c r="P120" t="n">
        <v>3</v>
      </c>
      <c r="Q120" t="inlineStr">
        <is>
          <t>PLANO</t>
        </is>
      </c>
      <c r="R120" t="inlineStr">
        <is>
          <t>Z09</t>
        </is>
      </c>
      <c r="S120" s="20" t="n">
        <v>46318</v>
      </c>
    </row>
    <row r="121">
      <c r="A121" t="inlineStr">
        <is>
          <t>ELE</t>
        </is>
      </c>
      <c r="B121" t="inlineStr">
        <is>
          <t>439103210</t>
        </is>
      </c>
      <c r="C121" t="n">
        <v>4391032</v>
      </c>
      <c r="D121" t="inlineStr">
        <is>
          <t>ABERTA</t>
        </is>
      </c>
      <c r="E121" s="20" t="n">
        <v>46326</v>
      </c>
      <c r="F121" t="n">
        <v>1</v>
      </c>
      <c r="G121" t="n">
        <v>1</v>
      </c>
      <c r="I121" t="n">
        <v>4391032</v>
      </c>
      <c r="J121" t="n">
        <v>10</v>
      </c>
      <c r="K121" t="inlineStr">
        <is>
          <t>ELE</t>
        </is>
      </c>
      <c r="L121" t="inlineStr">
        <is>
          <t>Manut corretiva UPS Iluminação B 85002B</t>
        </is>
      </c>
      <c r="M121" t="inlineStr">
        <is>
          <t>Manut corretiva UPS Iluminação B 85002B</t>
        </is>
      </c>
      <c r="N121" t="inlineStr">
        <is>
          <t>PERGC-FECC-UPS-01-10-01</t>
        </is>
      </c>
      <c r="P121" t="n">
        <v>0</v>
      </c>
      <c r="Q121" t="inlineStr">
        <is>
          <t>AMAT</t>
        </is>
      </c>
      <c r="R121" t="inlineStr">
        <is>
          <t>Z12</t>
        </is>
      </c>
      <c r="S121" s="20" t="n">
        <v>46310</v>
      </c>
    </row>
    <row r="122">
      <c r="A122" t="inlineStr">
        <is>
          <t>AUT</t>
        </is>
      </c>
      <c r="B122" t="inlineStr">
        <is>
          <t>438946510</t>
        </is>
      </c>
      <c r="C122" t="n">
        <v>4389465</v>
      </c>
      <c r="D122" t="inlineStr">
        <is>
          <t>LIBERADA</t>
        </is>
      </c>
      <c r="E122" s="20" t="n">
        <v>46326</v>
      </c>
      <c r="F122" t="n">
        <v>4</v>
      </c>
      <c r="G122" t="n">
        <v>2</v>
      </c>
      <c r="I122" t="n">
        <v>4389465</v>
      </c>
      <c r="J122" t="n">
        <v>10</v>
      </c>
      <c r="K122" t="inlineStr">
        <is>
          <t>AUT</t>
        </is>
      </c>
      <c r="L122" t="inlineStr">
        <is>
          <t>Troca dos componentes do radar sul</t>
        </is>
      </c>
      <c r="M122" t="inlineStr">
        <is>
          <t>Radar Sul com paradas intermitentes.</t>
        </is>
      </c>
      <c r="N122" t="inlineStr">
        <is>
          <t>PERGC-SDMT-PNN-04-10</t>
        </is>
      </c>
      <c r="P122" t="n">
        <v>16</v>
      </c>
      <c r="Q122" t="inlineStr">
        <is>
          <t>VEND</t>
        </is>
      </c>
      <c r="R122" t="inlineStr">
        <is>
          <t>Z03</t>
        </is>
      </c>
      <c r="S122" s="20" t="n">
        <v>46395</v>
      </c>
    </row>
    <row r="123">
      <c r="A123" t="inlineStr">
        <is>
          <t>CON</t>
        </is>
      </c>
      <c r="B123" t="inlineStr">
        <is>
          <t>439189410</t>
        </is>
      </c>
      <c r="C123" t="n">
        <v>4391894</v>
      </c>
      <c r="D123" t="inlineStr">
        <is>
          <t>ABERTA</t>
        </is>
      </c>
      <c r="E123" s="20" t="n">
        <v>46320</v>
      </c>
      <c r="F123" t="n">
        <v>6</v>
      </c>
      <c r="G123" t="n">
        <v>3</v>
      </c>
      <c r="I123" t="n">
        <v>4391894</v>
      </c>
      <c r="J123" t="n">
        <v>10</v>
      </c>
      <c r="K123" t="inlineStr">
        <is>
          <t>PIN</t>
        </is>
      </c>
      <c r="L123" t="inlineStr">
        <is>
          <t>TRAT. E PINT. TETO EXT. HV-LV</t>
        </is>
      </c>
      <c r="M123" t="inlineStr">
        <is>
          <t>TRAT. E PINT. TETO EXT. HV-LV</t>
        </is>
      </c>
      <c r="N123" t="inlineStr">
        <is>
          <t>PERGC</t>
        </is>
      </c>
      <c r="P123" t="n">
        <v>120</v>
      </c>
      <c r="Q123" t="inlineStr">
        <is>
          <t>PROG</t>
        </is>
      </c>
      <c r="R123" t="inlineStr">
        <is>
          <t>Z13</t>
        </is>
      </c>
      <c r="S123" s="20" t="n">
        <v>46419</v>
      </c>
    </row>
    <row r="124">
      <c r="A124" t="inlineStr">
        <is>
          <t>CON</t>
        </is>
      </c>
      <c r="B124" t="inlineStr">
        <is>
          <t>438954810</t>
        </is>
      </c>
      <c r="C124" t="n">
        <v>4389548</v>
      </c>
      <c r="D124" t="inlineStr">
        <is>
          <t>ABERTA</t>
        </is>
      </c>
      <c r="E124" s="20" t="n">
        <v>46321</v>
      </c>
      <c r="F124" t="n">
        <v>4</v>
      </c>
      <c r="G124" t="n">
        <v>3</v>
      </c>
      <c r="I124" t="n">
        <v>4389548</v>
      </c>
      <c r="J124" t="n">
        <v>10</v>
      </c>
      <c r="K124" t="inlineStr">
        <is>
          <t>PIN</t>
        </is>
      </c>
      <c r="L124" t="inlineStr">
        <is>
          <t>PC RI:0001 REL:0837/24 24/06/2024</t>
        </is>
      </c>
      <c r="M124" t="inlineStr">
        <is>
          <t>PC RI:0001 REL:0837/24 24/06/2024</t>
        </is>
      </c>
      <c r="N124" t="inlineStr">
        <is>
          <t>PERGC-FSAC</t>
        </is>
      </c>
      <c r="P124" t="n">
        <v>68</v>
      </c>
      <c r="Q124" t="inlineStr">
        <is>
          <t>PROG</t>
        </is>
      </c>
      <c r="R124" t="inlineStr">
        <is>
          <t>Z01</t>
        </is>
      </c>
      <c r="S124" s="20" t="n">
        <v>46562</v>
      </c>
    </row>
    <row r="125">
      <c r="A125" t="inlineStr">
        <is>
          <t>MEC</t>
        </is>
      </c>
      <c r="B125" t="inlineStr">
        <is>
          <t>439338510</t>
        </is>
      </c>
      <c r="C125" t="n">
        <v>4393385</v>
      </c>
      <c r="D125" t="inlineStr">
        <is>
          <t>ENCERRADA</t>
        </is>
      </c>
      <c r="E125" s="20" t="n">
        <v>46319</v>
      </c>
      <c r="F125" t="n">
        <v>6</v>
      </c>
      <c r="G125" t="n">
        <v>2</v>
      </c>
      <c r="I125" t="n">
        <v>4393385</v>
      </c>
      <c r="J125" t="n">
        <v>10</v>
      </c>
      <c r="K125" t="inlineStr">
        <is>
          <t>MEC</t>
        </is>
      </c>
      <c r="L125" t="inlineStr">
        <is>
          <t>Revisão do motor 50PS001B-M01 SWLP</t>
        </is>
      </c>
      <c r="M125" t="inlineStr">
        <is>
          <t>PRED_VIB - ROLAMENTO - SET26 SWIL</t>
        </is>
      </c>
      <c r="N125" t="inlineStr">
        <is>
          <t>PERGC-FSCA-MBB-10-04</t>
        </is>
      </c>
      <c r="P125" t="n">
        <v>12</v>
      </c>
      <c r="Q125" t="inlineStr">
        <is>
          <t>DPRO</t>
        </is>
      </c>
      <c r="R125" t="inlineStr">
        <is>
          <t>Z12</t>
        </is>
      </c>
      <c r="S125" s="20" t="n">
        <v>46319</v>
      </c>
    </row>
    <row r="126">
      <c r="A126" t="inlineStr">
        <is>
          <t>CON</t>
        </is>
      </c>
      <c r="B126" t="inlineStr">
        <is>
          <t>438961210</t>
        </is>
      </c>
      <c r="C126" t="n">
        <v>4389612</v>
      </c>
      <c r="D126" t="inlineStr">
        <is>
          <t>ABERTA</t>
        </is>
      </c>
      <c r="E126" s="20" t="n">
        <v>46321</v>
      </c>
      <c r="F126" t="n">
        <v>4</v>
      </c>
      <c r="G126" t="n">
        <v>3</v>
      </c>
      <c r="I126" t="n">
        <v>4389612</v>
      </c>
      <c r="J126" t="n">
        <v>10</v>
      </c>
      <c r="K126" t="inlineStr">
        <is>
          <t>PIN</t>
        </is>
      </c>
      <c r="L126" t="inlineStr">
        <is>
          <t>PC RI:0013 REL:0189/26 02/04/2026</t>
        </is>
      </c>
      <c r="M126" t="inlineStr">
        <is>
          <t>PC RI:0013 REL:0189/26 02/04/2026</t>
        </is>
      </c>
      <c r="N126" t="inlineStr">
        <is>
          <t>PERGC-FSRA</t>
        </is>
      </c>
      <c r="P126" t="n">
        <v>101</v>
      </c>
      <c r="Q126" t="inlineStr">
        <is>
          <t>PROG</t>
        </is>
      </c>
      <c r="R126" t="inlineStr">
        <is>
          <t>Z01</t>
        </is>
      </c>
      <c r="S126" s="20" t="n">
        <v>47210</v>
      </c>
    </row>
    <row r="127">
      <c r="A127" t="inlineStr">
        <is>
          <t>CON</t>
        </is>
      </c>
      <c r="B127" t="inlineStr">
        <is>
          <t>438959710</t>
        </is>
      </c>
      <c r="C127" t="n">
        <v>4389597</v>
      </c>
      <c r="D127" t="inlineStr">
        <is>
          <t>ABERTA</t>
        </is>
      </c>
      <c r="E127" s="20" t="n">
        <v>46315</v>
      </c>
      <c r="F127" t="n">
        <v>4</v>
      </c>
      <c r="G127" t="n">
        <v>3</v>
      </c>
      <c r="I127" t="n">
        <v>4389597</v>
      </c>
      <c r="J127" t="n">
        <v>10</v>
      </c>
      <c r="K127" t="inlineStr">
        <is>
          <t>PIN</t>
        </is>
      </c>
      <c r="L127" t="inlineStr">
        <is>
          <t>PC RI:0023 REL:0187/26 31/03/2026</t>
        </is>
      </c>
      <c r="M127" t="inlineStr">
        <is>
          <t>PC RI:0023 REL:0187/26 31/03/2026</t>
        </is>
      </c>
      <c r="N127" t="inlineStr">
        <is>
          <t>PERGC-PSAI</t>
        </is>
      </c>
      <c r="P127" t="n">
        <v>35</v>
      </c>
      <c r="Q127" t="inlineStr">
        <is>
          <t>PROG</t>
        </is>
      </c>
      <c r="R127" t="inlineStr">
        <is>
          <t>Z01</t>
        </is>
      </c>
      <c r="S127" s="20" t="n">
        <v>46843</v>
      </c>
    </row>
    <row r="128">
      <c r="A128" t="inlineStr">
        <is>
          <t>CON</t>
        </is>
      </c>
      <c r="B128" t="inlineStr">
        <is>
          <t>438959810</t>
        </is>
      </c>
      <c r="C128" t="n">
        <v>4389598</v>
      </c>
      <c r="D128" t="inlineStr">
        <is>
          <t>ABERTA</t>
        </is>
      </c>
      <c r="E128" s="20" t="n">
        <v>46315</v>
      </c>
      <c r="F128" t="n">
        <v>4</v>
      </c>
      <c r="G128" t="n">
        <v>3</v>
      </c>
      <c r="I128" t="n">
        <v>4389598</v>
      </c>
      <c r="J128" t="n">
        <v>10</v>
      </c>
      <c r="K128" t="inlineStr">
        <is>
          <t>PIN</t>
        </is>
      </c>
      <c r="L128" t="inlineStr">
        <is>
          <t>PC RI:0024 REL:0187/26 31/03/2026</t>
        </is>
      </c>
      <c r="M128" t="inlineStr">
        <is>
          <t>PC RI:0024 REL:0187/26 31/03/2026</t>
        </is>
      </c>
      <c r="N128" t="inlineStr">
        <is>
          <t>PERGC-PSAI</t>
        </is>
      </c>
      <c r="P128" t="n">
        <v>101</v>
      </c>
      <c r="Q128" t="inlineStr">
        <is>
          <t>PROG</t>
        </is>
      </c>
      <c r="R128" t="inlineStr">
        <is>
          <t>Z01</t>
        </is>
      </c>
      <c r="S128" s="20" t="n">
        <v>46843</v>
      </c>
    </row>
    <row r="129">
      <c r="A129" t="inlineStr">
        <is>
          <t>CON</t>
        </is>
      </c>
      <c r="B129" t="inlineStr">
        <is>
          <t>438960710</t>
        </is>
      </c>
      <c r="C129" t="n">
        <v>4389607</v>
      </c>
      <c r="D129" t="inlineStr">
        <is>
          <t>ENCERRADA</t>
        </is>
      </c>
      <c r="E129" s="20" t="n">
        <v>46315</v>
      </c>
      <c r="F129" t="n">
        <v>4</v>
      </c>
      <c r="G129" t="n">
        <v>3</v>
      </c>
      <c r="I129" t="n">
        <v>4389607</v>
      </c>
      <c r="J129" t="n">
        <v>10</v>
      </c>
      <c r="K129" t="inlineStr">
        <is>
          <t>PIN</t>
        </is>
      </c>
      <c r="L129" t="inlineStr">
        <is>
          <t>PC RI:0025 REL:0187/26 31/03/2026</t>
        </is>
      </c>
      <c r="M129" t="inlineStr">
        <is>
          <t>PC RI:0025 REL:0187/26 31/03/2026</t>
        </is>
      </c>
      <c r="N129" t="inlineStr">
        <is>
          <t>PERGC-PSAI</t>
        </is>
      </c>
      <c r="P129" t="n">
        <v>35</v>
      </c>
      <c r="Q129" t="inlineStr">
        <is>
          <t>PROG</t>
        </is>
      </c>
      <c r="R129" t="inlineStr">
        <is>
          <t>Z01</t>
        </is>
      </c>
      <c r="S129" s="20" t="n">
        <v>46843</v>
      </c>
    </row>
    <row r="130">
      <c r="A130" t="inlineStr">
        <is>
          <t>ELE</t>
        </is>
      </c>
      <c r="B130" t="inlineStr">
        <is>
          <t>439103210</t>
        </is>
      </c>
      <c r="C130" t="n">
        <v>4391032</v>
      </c>
      <c r="D130" t="inlineStr">
        <is>
          <t>ABERTA</t>
        </is>
      </c>
      <c r="E130" s="20" t="n">
        <v>46318</v>
      </c>
      <c r="F130" t="n">
        <v>1</v>
      </c>
      <c r="G130" t="n">
        <v>1</v>
      </c>
      <c r="I130" t="n">
        <v>4391032</v>
      </c>
      <c r="J130" t="n">
        <v>10</v>
      </c>
      <c r="K130" t="inlineStr">
        <is>
          <t>ELE</t>
        </is>
      </c>
      <c r="L130" t="inlineStr">
        <is>
          <t>Manut corretiva UPS Iluminação B 85002B</t>
        </is>
      </c>
      <c r="M130" t="inlineStr">
        <is>
          <t>Manut corretiva UPS Iluminação B 85002B</t>
        </is>
      </c>
      <c r="N130" t="inlineStr">
        <is>
          <t>PERGC-FECC-UPS-01-10-01</t>
        </is>
      </c>
      <c r="P130" t="n">
        <v>16</v>
      </c>
      <c r="Q130" t="inlineStr">
        <is>
          <t>PROG</t>
        </is>
      </c>
      <c r="R130" t="inlineStr">
        <is>
          <t>Z12</t>
        </is>
      </c>
      <c r="S130" s="20" t="n">
        <v>46310</v>
      </c>
    </row>
    <row r="131">
      <c r="A131" t="inlineStr">
        <is>
          <t>MEC</t>
        </is>
      </c>
      <c r="B131" t="inlineStr">
        <is>
          <t>436543710</t>
        </is>
      </c>
      <c r="C131" t="n">
        <v>4365437</v>
      </c>
      <c r="D131" t="inlineStr">
        <is>
          <t>ENCERRADA</t>
        </is>
      </c>
      <c r="E131" s="20" t="n">
        <v>46320</v>
      </c>
      <c r="F131" t="n">
        <v>4</v>
      </c>
      <c r="G131" t="n">
        <v>2</v>
      </c>
      <c r="I131" t="n">
        <v>4365437</v>
      </c>
      <c r="J131" t="n">
        <v>10</v>
      </c>
      <c r="K131" t="inlineStr">
        <is>
          <t>MEC</t>
        </is>
      </c>
      <c r="L131" t="inlineStr">
        <is>
          <t>Realizar inspeção 71PI001A-D01</t>
        </is>
      </c>
      <c r="M131" t="inlineStr">
        <is>
          <t>PRED_OLEO - 2600005802 - ANORMAL</t>
        </is>
      </c>
      <c r="N131" t="inlineStr">
        <is>
          <t>PERGC-FSCI-MBB-01-10-01</t>
        </is>
      </c>
      <c r="P131" t="n">
        <v>3</v>
      </c>
      <c r="Q131" t="inlineStr">
        <is>
          <t>PROG</t>
        </is>
      </c>
      <c r="R131" t="inlineStr">
        <is>
          <t>Z10</t>
        </is>
      </c>
      <c r="S131" s="20" t="n">
        <v>46298</v>
      </c>
    </row>
    <row r="132">
      <c r="A132" t="inlineStr">
        <is>
          <t>MEC</t>
        </is>
      </c>
      <c r="B132" t="inlineStr">
        <is>
          <t>436543720</t>
        </is>
      </c>
      <c r="C132" t="n">
        <v>4365437</v>
      </c>
      <c r="D132" t="inlineStr">
        <is>
          <t>ENCERRADA</t>
        </is>
      </c>
      <c r="E132" s="20" t="n">
        <v>46320</v>
      </c>
      <c r="F132" t="n">
        <v>4</v>
      </c>
      <c r="G132" t="n">
        <v>2</v>
      </c>
      <c r="I132" t="n">
        <v>4365437</v>
      </c>
      <c r="J132" t="n">
        <v>20</v>
      </c>
      <c r="K132" t="inlineStr">
        <is>
          <t>MEC</t>
        </is>
      </c>
      <c r="L132" t="inlineStr">
        <is>
          <t>Realizar coleta do óleo 71PI001A-D01</t>
        </is>
      </c>
      <c r="M132" t="inlineStr">
        <is>
          <t>PRED_OLEO - 2600005802 - ANORMAL</t>
        </is>
      </c>
      <c r="N132" t="inlineStr">
        <is>
          <t>PERGC-FSCI-MBB-01-10-01</t>
        </is>
      </c>
      <c r="P132" t="n">
        <v>1</v>
      </c>
      <c r="Q132" t="inlineStr">
        <is>
          <t>PROG</t>
        </is>
      </c>
      <c r="R132" t="inlineStr">
        <is>
          <t>Z10</t>
        </is>
      </c>
      <c r="S132" s="20" t="n">
        <v>46298</v>
      </c>
    </row>
    <row r="133">
      <c r="A133" t="inlineStr">
        <is>
          <t>MEC</t>
        </is>
      </c>
      <c r="B133" t="inlineStr">
        <is>
          <t>436543810</t>
        </is>
      </c>
      <c r="C133" t="n">
        <v>4365438</v>
      </c>
      <c r="D133" t="inlineStr">
        <is>
          <t>ENCERRADA</t>
        </is>
      </c>
      <c r="E133" s="20" t="n">
        <v>46321</v>
      </c>
      <c r="F133" t="n">
        <v>4</v>
      </c>
      <c r="G133" t="n">
        <v>2</v>
      </c>
      <c r="I133" t="n">
        <v>4365438</v>
      </c>
      <c r="J133" t="n">
        <v>10</v>
      </c>
      <c r="K133" t="inlineStr">
        <is>
          <t>MEC</t>
        </is>
      </c>
      <c r="L133" t="inlineStr">
        <is>
          <t>Realizar inspeção 71PI001A-D01</t>
        </is>
      </c>
      <c r="M133" t="inlineStr">
        <is>
          <t>PRED_OLEO - 2600030968 - ANORMAL</t>
        </is>
      </c>
      <c r="N133" t="inlineStr">
        <is>
          <t>PERGC-FSCI-MBB-01-10-01</t>
        </is>
      </c>
      <c r="P133" t="n">
        <v>3</v>
      </c>
      <c r="Q133" t="inlineStr">
        <is>
          <t>PROG</t>
        </is>
      </c>
      <c r="R133" t="inlineStr">
        <is>
          <t>Z10</t>
        </is>
      </c>
      <c r="S133" s="20" t="n">
        <v>46298</v>
      </c>
    </row>
    <row r="134">
      <c r="A134" t="inlineStr">
        <is>
          <t>MEC</t>
        </is>
      </c>
      <c r="B134" t="inlineStr">
        <is>
          <t>436543820</t>
        </is>
      </c>
      <c r="C134" t="n">
        <v>4365438</v>
      </c>
      <c r="D134" t="inlineStr">
        <is>
          <t>ENCERRADA</t>
        </is>
      </c>
      <c r="E134" s="20" t="n">
        <v>46321</v>
      </c>
      <c r="F134" t="n">
        <v>4</v>
      </c>
      <c r="G134" t="n">
        <v>2</v>
      </c>
      <c r="I134" t="n">
        <v>4365438</v>
      </c>
      <c r="J134" t="n">
        <v>20</v>
      </c>
      <c r="K134" t="inlineStr">
        <is>
          <t>MEC</t>
        </is>
      </c>
      <c r="L134" t="inlineStr">
        <is>
          <t>Realizar filtragem 71PI001A-D01</t>
        </is>
      </c>
      <c r="M134" t="inlineStr">
        <is>
          <t>PRED_OLEO - 2600030968 - ANORMAL</t>
        </is>
      </c>
      <c r="N134" t="inlineStr">
        <is>
          <t>PERGC-FSCI-MBB-01-10-01</t>
        </is>
      </c>
      <c r="P134" t="n">
        <v>6</v>
      </c>
      <c r="Q134" t="inlineStr">
        <is>
          <t>PROG</t>
        </is>
      </c>
      <c r="R134" t="inlineStr">
        <is>
          <t>Z10</t>
        </is>
      </c>
      <c r="S134" s="20" t="n">
        <v>46298</v>
      </c>
    </row>
    <row r="135">
      <c r="A135" t="inlineStr">
        <is>
          <t>MEC</t>
        </is>
      </c>
      <c r="B135" t="inlineStr">
        <is>
          <t>436544010</t>
        </is>
      </c>
      <c r="C135" t="n">
        <v>4365440</v>
      </c>
      <c r="D135" t="inlineStr">
        <is>
          <t>ENCERRADA</t>
        </is>
      </c>
      <c r="E135" s="20" t="n">
        <v>46322</v>
      </c>
      <c r="F135" t="n">
        <v>4</v>
      </c>
      <c r="G135" t="n">
        <v>2</v>
      </c>
      <c r="I135" t="n">
        <v>4365440</v>
      </c>
      <c r="J135" t="n">
        <v>10</v>
      </c>
      <c r="K135" t="inlineStr">
        <is>
          <t>MEC</t>
        </is>
      </c>
      <c r="L135" t="inlineStr">
        <is>
          <t>Realizar filtragem 71P1001B-X01</t>
        </is>
      </c>
      <c r="M135" t="inlineStr">
        <is>
          <t>PRED_OLEO - 2600005899 - ANORMAL</t>
        </is>
      </c>
      <c r="N135" t="inlineStr">
        <is>
          <t>PERGC-FSCI-MBB-04-13-01</t>
        </is>
      </c>
      <c r="P135" t="n">
        <v>6</v>
      </c>
      <c r="Q135" t="inlineStr">
        <is>
          <t>PROG</t>
        </is>
      </c>
      <c r="R135" t="inlineStr">
        <is>
          <t>Z10</t>
        </is>
      </c>
      <c r="S135" s="20" t="n">
        <v>46298</v>
      </c>
    </row>
    <row r="136">
      <c r="A136" t="inlineStr">
        <is>
          <t>MEC</t>
        </is>
      </c>
      <c r="B136" t="inlineStr">
        <is>
          <t>436543910</t>
        </is>
      </c>
      <c r="C136" t="n">
        <v>4365439</v>
      </c>
      <c r="D136" t="inlineStr">
        <is>
          <t>ENCERRADA</t>
        </is>
      </c>
      <c r="E136" s="20" t="n">
        <v>46323</v>
      </c>
      <c r="F136" t="n">
        <v>4</v>
      </c>
      <c r="G136" t="n">
        <v>2</v>
      </c>
      <c r="I136" t="n">
        <v>4365439</v>
      </c>
      <c r="J136" t="n">
        <v>10</v>
      </c>
      <c r="K136" t="inlineStr">
        <is>
          <t>MEC</t>
        </is>
      </c>
      <c r="L136" t="inlineStr">
        <is>
          <t>Realizar filtragem 84EG001-D01</t>
        </is>
      </c>
      <c r="M136" t="inlineStr">
        <is>
          <t>PRED_OLEO - 2600030899 - ANORMAL</t>
        </is>
      </c>
      <c r="N136" t="inlineStr">
        <is>
          <t>PERGC-FSGE-MGE-01-07-01</t>
        </is>
      </c>
      <c r="P136" t="n">
        <v>6</v>
      </c>
      <c r="Q136" t="inlineStr">
        <is>
          <t>PROG</t>
        </is>
      </c>
      <c r="R136" t="inlineStr">
        <is>
          <t>Z10</t>
        </is>
      </c>
      <c r="S136" s="20" t="n">
        <v>46298</v>
      </c>
    </row>
    <row r="137">
      <c r="A137" t="inlineStr">
        <is>
          <t>CON</t>
        </is>
      </c>
      <c r="B137" t="inlineStr">
        <is>
          <t>434945910</t>
        </is>
      </c>
      <c r="C137" t="n">
        <v>4349459</v>
      </c>
      <c r="D137" t="inlineStr">
        <is>
          <t>ABERTA</t>
        </is>
      </c>
      <c r="E137" s="20" t="n">
        <v>46326</v>
      </c>
      <c r="F137" t="n">
        <v>6</v>
      </c>
      <c r="G137" t="n">
        <v>3</v>
      </c>
      <c r="I137" t="n">
        <v>4349459</v>
      </c>
      <c r="J137" t="n">
        <v>10</v>
      </c>
      <c r="K137" t="inlineStr">
        <is>
          <t>CON</t>
        </is>
      </c>
      <c r="L137" t="inlineStr">
        <is>
          <t>Troca dos estojos da check valve</t>
        </is>
      </c>
      <c r="M137" t="inlineStr">
        <is>
          <t>Estojos Check valve Booster B danificado</t>
        </is>
      </c>
      <c r="N137" t="inlineStr">
        <is>
          <t>PERGC-PSCO-MBB-01-07-37-37</t>
        </is>
      </c>
      <c r="P137" t="n">
        <v>18</v>
      </c>
      <c r="Q137" t="inlineStr">
        <is>
          <t>PROG</t>
        </is>
      </c>
      <c r="R137" t="inlineStr">
        <is>
          <t>Z07</t>
        </is>
      </c>
      <c r="S137" s="20" t="n">
        <v>46296</v>
      </c>
    </row>
    <row r="138">
      <c r="A138" t="inlineStr">
        <is>
          <t>MEC</t>
        </is>
      </c>
      <c r="B138" t="inlineStr">
        <is>
          <t>434945920</t>
        </is>
      </c>
      <c r="C138" t="n">
        <v>4349459</v>
      </c>
      <c r="D138" t="inlineStr">
        <is>
          <t>ABERTA</t>
        </is>
      </c>
      <c r="E138" s="20" t="n">
        <v>46326</v>
      </c>
      <c r="F138" t="n">
        <v>6</v>
      </c>
      <c r="G138" t="n">
        <v>3</v>
      </c>
      <c r="I138" t="n">
        <v>4349459</v>
      </c>
      <c r="J138" t="n">
        <v>20</v>
      </c>
      <c r="K138" t="inlineStr">
        <is>
          <t>MEC</t>
        </is>
      </c>
      <c r="L138" t="inlineStr">
        <is>
          <t>Apoio na troca dos estojos</t>
        </is>
      </c>
      <c r="M138" t="inlineStr">
        <is>
          <t>Estojos Check valve Booster B danificado</t>
        </is>
      </c>
      <c r="N138" t="inlineStr">
        <is>
          <t>PERGC-PSCO-MBB-01-07-37-37</t>
        </is>
      </c>
      <c r="P138" t="n">
        <v>9</v>
      </c>
      <c r="Q138" t="inlineStr">
        <is>
          <t>PROG</t>
        </is>
      </c>
      <c r="R138" t="inlineStr">
        <is>
          <t>Z07</t>
        </is>
      </c>
      <c r="S138" s="20" t="n">
        <v>46296</v>
      </c>
    </row>
    <row r="139">
      <c r="A139" t="inlineStr">
        <is>
          <t>CON</t>
        </is>
      </c>
      <c r="B139" t="inlineStr">
        <is>
          <t>434946010</t>
        </is>
      </c>
      <c r="C139" t="n">
        <v>4349460</v>
      </c>
      <c r="D139" t="inlineStr">
        <is>
          <t>ABERTA</t>
        </is>
      </c>
      <c r="E139" s="20" t="n">
        <v>46326</v>
      </c>
      <c r="F139" t="n">
        <v>6</v>
      </c>
      <c r="G139" t="n">
        <v>3</v>
      </c>
      <c r="I139" t="n">
        <v>4349460</v>
      </c>
      <c r="J139" t="n">
        <v>10</v>
      </c>
      <c r="K139" t="inlineStr">
        <is>
          <t>CON</t>
        </is>
      </c>
      <c r="L139" t="inlineStr">
        <is>
          <t>Troca dos estojos da check valve</t>
        </is>
      </c>
      <c r="M139" t="inlineStr">
        <is>
          <t>Estojos Check valve Booster C danificado</t>
        </is>
      </c>
      <c r="N139" t="inlineStr">
        <is>
          <t>PERGC-PSCO-MBB-01-10-37-28</t>
        </is>
      </c>
      <c r="P139" t="n">
        <v>18</v>
      </c>
      <c r="Q139" t="inlineStr">
        <is>
          <t>PROG</t>
        </is>
      </c>
      <c r="R139" t="inlineStr">
        <is>
          <t>Z07</t>
        </is>
      </c>
      <c r="S139" s="20" t="n">
        <v>46296</v>
      </c>
    </row>
    <row r="140">
      <c r="A140" t="inlineStr">
        <is>
          <t>CON</t>
        </is>
      </c>
      <c r="B140" t="inlineStr">
        <is>
          <t>434946020</t>
        </is>
      </c>
      <c r="C140" t="n">
        <v>4349460</v>
      </c>
      <c r="D140" t="inlineStr">
        <is>
          <t>ABERTA</t>
        </is>
      </c>
      <c r="E140" s="20" t="n">
        <v>46326</v>
      </c>
      <c r="F140" t="n">
        <v>6</v>
      </c>
      <c r="G140" t="n">
        <v>3</v>
      </c>
      <c r="I140" t="n">
        <v>4349460</v>
      </c>
      <c r="J140" t="n">
        <v>20</v>
      </c>
      <c r="K140" t="inlineStr">
        <is>
          <t>CON</t>
        </is>
      </c>
      <c r="L140" t="inlineStr">
        <is>
          <t>Apoio na troca dos estojos</t>
        </is>
      </c>
      <c r="M140" t="inlineStr">
        <is>
          <t>Estojos Check valve Booster C danificado</t>
        </is>
      </c>
      <c r="N140" t="inlineStr">
        <is>
          <t>PERGC-PSCO-MBB-01-10-37-28</t>
        </is>
      </c>
      <c r="P140" t="n">
        <v>9</v>
      </c>
      <c r="Q140" t="inlineStr">
        <is>
          <t>PROG</t>
        </is>
      </c>
      <c r="R140" t="inlineStr">
        <is>
          <t>Z07</t>
        </is>
      </c>
      <c r="S140" s="20" t="n">
        <v>46296</v>
      </c>
    </row>
    <row r="141">
      <c r="A141" t="inlineStr">
        <is>
          <t>HSE</t>
        </is>
      </c>
      <c r="B141" t="inlineStr">
        <is>
          <t>435531210</t>
        </is>
      </c>
      <c r="C141" t="n">
        <v>4355312</v>
      </c>
      <c r="D141" t="inlineStr">
        <is>
          <t>ENCERRADA</t>
        </is>
      </c>
      <c r="E141" s="20" t="n">
        <v>46313</v>
      </c>
      <c r="F141" t="n">
        <v>5</v>
      </c>
      <c r="G141" t="n">
        <v>3</v>
      </c>
      <c r="H141" s="20" t="n">
        <v>46313</v>
      </c>
      <c r="I141" t="n">
        <v>4355312</v>
      </c>
      <c r="J141" t="n">
        <v>10</v>
      </c>
      <c r="K141" t="inlineStr">
        <is>
          <t>HSE</t>
        </is>
      </c>
      <c r="L141" t="inlineStr">
        <is>
          <t>INS-2133 HSE ANDAIMES</t>
        </is>
      </c>
      <c r="M141" t="inlineStr">
        <is>
          <t>INSP ANDAIMES INS-2133 HSE 1M</t>
        </is>
      </c>
      <c r="N141" t="inlineStr">
        <is>
          <t>PERGC</t>
        </is>
      </c>
      <c r="O141" t="inlineStr">
        <is>
          <t>PLATAFORMA WHP-C (PRODUCAO)</t>
        </is>
      </c>
      <c r="P141" t="n">
        <v>4</v>
      </c>
      <c r="Q141" t="inlineStr">
        <is>
          <t>PLANO</t>
        </is>
      </c>
      <c r="R141" t="inlineStr">
        <is>
          <t>Z09</t>
        </is>
      </c>
      <c r="S141" s="20" t="n">
        <v>46313</v>
      </c>
    </row>
    <row r="142">
      <c r="A142" t="inlineStr">
        <is>
          <t>TER</t>
        </is>
      </c>
      <c r="B142" t="inlineStr">
        <is>
          <t>438586710</t>
        </is>
      </c>
      <c r="C142" t="n">
        <v>4385867</v>
      </c>
      <c r="D142" t="inlineStr">
        <is>
          <t>ABERTA</t>
        </is>
      </c>
      <c r="E142" s="20" t="n">
        <v>46311</v>
      </c>
      <c r="F142" t="n">
        <v>5</v>
      </c>
      <c r="G142" t="n">
        <v>3</v>
      </c>
      <c r="H142" s="20" t="n">
        <v>46311</v>
      </c>
      <c r="I142" t="n">
        <v>4385867</v>
      </c>
      <c r="J142" t="n">
        <v>10</v>
      </c>
      <c r="K142" t="inlineStr">
        <is>
          <t>TER</t>
        </is>
      </c>
      <c r="L142" t="inlineStr">
        <is>
          <t>PSE-1423 CERT MAR MANGOTES</t>
        </is>
      </c>
      <c r="M142" t="inlineStr">
        <is>
          <t>CERT MANGOTES PSE-1423 MAR 1A</t>
        </is>
      </c>
      <c r="N142" t="inlineStr">
        <is>
          <t>PERGC-FAIN-REC-01-01-10-04</t>
        </is>
      </c>
      <c r="O142" t="inlineStr">
        <is>
          <t>DWATER-01-MG MANGOTE CARREGAMENTO EAST</t>
        </is>
      </c>
      <c r="P142" t="n">
        <v>4</v>
      </c>
      <c r="Q142" t="inlineStr">
        <is>
          <t>PLANO-VEND</t>
        </is>
      </c>
      <c r="R142" t="inlineStr">
        <is>
          <t>Z05</t>
        </is>
      </c>
      <c r="S142" s="20" t="n">
        <v>46311</v>
      </c>
    </row>
    <row r="143">
      <c r="A143" t="inlineStr">
        <is>
          <t>MAR</t>
        </is>
      </c>
      <c r="B143" t="inlineStr">
        <is>
          <t>438650910</t>
        </is>
      </c>
      <c r="C143" t="n">
        <v>4386509</v>
      </c>
      <c r="D143" t="inlineStr">
        <is>
          <t>ENCERRADA</t>
        </is>
      </c>
      <c r="E143" s="20" t="n">
        <v>46318</v>
      </c>
      <c r="F143" t="n">
        <v>5</v>
      </c>
      <c r="G143" t="n">
        <v>3</v>
      </c>
      <c r="H143" s="20" t="n">
        <v>46318</v>
      </c>
      <c r="I143" t="n">
        <v>4386509</v>
      </c>
      <c r="J143" t="n">
        <v>10</v>
      </c>
      <c r="K143" t="inlineStr">
        <is>
          <t>MAR</t>
        </is>
      </c>
      <c r="L143" t="inlineStr">
        <is>
          <t>INS-1431 INSP MAR MANGOTES</t>
        </is>
      </c>
      <c r="M143" t="inlineStr">
        <is>
          <t>INSP MANGOTES INS-1431 MAR 3M</t>
        </is>
      </c>
      <c r="N143" t="inlineStr">
        <is>
          <t>PERGC-FAIN-REC-01-01-10-04</t>
        </is>
      </c>
      <c r="O143" t="inlineStr">
        <is>
          <t>DWATER-01-MG MANGOTE CARREGAMENTO EAST</t>
        </is>
      </c>
      <c r="P143" t="n">
        <v>1</v>
      </c>
      <c r="Q143" t="inlineStr">
        <is>
          <t>PLANO</t>
        </is>
      </c>
      <c r="R143" t="inlineStr">
        <is>
          <t>Z09</t>
        </is>
      </c>
      <c r="S143" s="20" t="n">
        <v>46318</v>
      </c>
    </row>
    <row r="144">
      <c r="A144" t="inlineStr">
        <is>
          <t>MAR</t>
        </is>
      </c>
      <c r="B144" t="inlineStr">
        <is>
          <t>438654810</t>
        </is>
      </c>
      <c r="C144" t="n">
        <v>4386548</v>
      </c>
      <c r="D144" t="inlineStr">
        <is>
          <t>ENCERRADA</t>
        </is>
      </c>
      <c r="E144" s="20" t="n">
        <v>46320</v>
      </c>
      <c r="F144" t="n">
        <v>3</v>
      </c>
      <c r="G144" t="n">
        <v>3</v>
      </c>
      <c r="H144" s="20" t="n">
        <v>46320</v>
      </c>
      <c r="I144" t="n">
        <v>4386548</v>
      </c>
      <c r="J144" t="n">
        <v>10</v>
      </c>
      <c r="K144" t="inlineStr">
        <is>
          <t>MAR</t>
        </is>
      </c>
      <c r="L144" t="inlineStr">
        <is>
          <t>INS-1431 INSP MAR MANGOTES</t>
        </is>
      </c>
      <c r="M144" t="inlineStr">
        <is>
          <t>INSP MANGOTES INS-1431 MAR 3M</t>
        </is>
      </c>
      <c r="N144" t="inlineStr">
        <is>
          <t>PERGC-FAIN-REC-01-04-10-04</t>
        </is>
      </c>
      <c r="O144" t="inlineStr">
        <is>
          <t>DWATER-02-MG MANGOTE CARREGAMENTO WEST</t>
        </is>
      </c>
      <c r="P144" t="n">
        <v>1</v>
      </c>
      <c r="Q144" t="inlineStr">
        <is>
          <t>PLANO</t>
        </is>
      </c>
      <c r="R144" t="inlineStr">
        <is>
          <t>Z09</t>
        </is>
      </c>
      <c r="S144" s="20" t="n">
        <v>46320</v>
      </c>
    </row>
    <row r="145">
      <c r="A145" t="inlineStr">
        <is>
          <t>MEC</t>
        </is>
      </c>
      <c r="B145" t="inlineStr">
        <is>
          <t>438665810</t>
        </is>
      </c>
      <c r="C145" t="n">
        <v>4386658</v>
      </c>
      <c r="D145" t="inlineStr">
        <is>
          <t>ENCERRADA</t>
        </is>
      </c>
      <c r="E145" s="20" t="n">
        <v>46319</v>
      </c>
      <c r="F145" t="n">
        <v>5</v>
      </c>
      <c r="G145" t="n">
        <v>2</v>
      </c>
      <c r="H145" s="20" t="n">
        <v>46319</v>
      </c>
      <c r="I145" t="n">
        <v>4386658</v>
      </c>
      <c r="J145" t="n">
        <v>10</v>
      </c>
      <c r="K145" t="inlineStr">
        <is>
          <t>MEC</t>
        </is>
      </c>
      <c r="L145" t="inlineStr">
        <is>
          <t>INS-1500 INSP OPM VISUAL BOMBA</t>
        </is>
      </c>
      <c r="M145" t="inlineStr">
        <is>
          <t>INSP VISUAL BOMBA INS-1500 MEC 1M</t>
        </is>
      </c>
      <c r="N145" t="inlineStr">
        <is>
          <t>PERGC-FAPO-DES-01-37-01</t>
        </is>
      </c>
      <c r="O145" t="inlineStr">
        <is>
          <t>47PX002 BOMBA CLORO</t>
        </is>
      </c>
      <c r="P145" t="n">
        <v>1</v>
      </c>
      <c r="Q145" t="inlineStr">
        <is>
          <t>PLANO</t>
        </is>
      </c>
      <c r="R145" t="inlineStr">
        <is>
          <t>Z09</t>
        </is>
      </c>
      <c r="S145" s="20" t="n">
        <v>46319</v>
      </c>
    </row>
    <row r="146">
      <c r="A146" t="inlineStr">
        <is>
          <t>MEC</t>
        </is>
      </c>
      <c r="B146" t="inlineStr">
        <is>
          <t>438653210</t>
        </is>
      </c>
      <c r="C146" t="n">
        <v>4386532</v>
      </c>
      <c r="D146" t="inlineStr">
        <is>
          <t>ENCERRADA</t>
        </is>
      </c>
      <c r="E146" s="20" t="n">
        <v>46319</v>
      </c>
      <c r="F146" t="n">
        <v>5</v>
      </c>
      <c r="G146" t="n">
        <v>3</v>
      </c>
      <c r="H146" s="20" t="n">
        <v>46319</v>
      </c>
      <c r="I146" t="n">
        <v>4386532</v>
      </c>
      <c r="J146" t="n">
        <v>10</v>
      </c>
      <c r="K146" t="inlineStr">
        <is>
          <t>MEC</t>
        </is>
      </c>
      <c r="L146" t="inlineStr">
        <is>
          <t>INS-1500 INSP OPM VISUAL BOMBA</t>
        </is>
      </c>
      <c r="M146" t="inlineStr">
        <is>
          <t>INSP VISUAL BOMBA INS-1500 MEC 1M</t>
        </is>
      </c>
      <c r="N146" t="inlineStr">
        <is>
          <t>PERGC-FAPO-DES-01-52-01</t>
        </is>
      </c>
      <c r="O146" t="inlineStr">
        <is>
          <t>53PX002 BOMBA LIMPEZA</t>
        </is>
      </c>
      <c r="P146" t="n">
        <v>1</v>
      </c>
      <c r="Q146" t="inlineStr">
        <is>
          <t>PLANO</t>
        </is>
      </c>
      <c r="R146" t="inlineStr">
        <is>
          <t>Z09</t>
        </is>
      </c>
      <c r="S146" s="20" t="n">
        <v>46319</v>
      </c>
    </row>
    <row r="147">
      <c r="A147" t="inlineStr">
        <is>
          <t>MEC</t>
        </is>
      </c>
      <c r="B147" t="inlineStr">
        <is>
          <t>438656510</t>
        </is>
      </c>
      <c r="C147" t="n">
        <v>4386565</v>
      </c>
      <c r="D147" t="inlineStr">
        <is>
          <t>ENCERRADA</t>
        </is>
      </c>
      <c r="E147" s="20" t="n">
        <v>46321</v>
      </c>
      <c r="F147" t="n">
        <v>5</v>
      </c>
      <c r="G147" t="n">
        <v>3</v>
      </c>
      <c r="H147" s="20" t="n">
        <v>46321</v>
      </c>
      <c r="I147" t="n">
        <v>4386565</v>
      </c>
      <c r="J147" t="n">
        <v>10</v>
      </c>
      <c r="K147" t="inlineStr">
        <is>
          <t>MEC</t>
        </is>
      </c>
      <c r="L147" t="inlineStr">
        <is>
          <t>INS-1500 INSP OPM VISUAL BOMBA</t>
        </is>
      </c>
      <c r="M147" t="inlineStr">
        <is>
          <t>INSP VISUAL BOMBA INS-1500 MEC 1M</t>
        </is>
      </c>
      <c r="N147" t="inlineStr">
        <is>
          <t>PERGC-FAPO-TRA-01-07-01</t>
        </is>
      </c>
      <c r="O147" t="inlineStr">
        <is>
          <t>53PA801A BOMBA CIRCULACAO 1 LQ</t>
        </is>
      </c>
      <c r="P147" t="n">
        <v>1</v>
      </c>
      <c r="Q147" t="inlineStr">
        <is>
          <t>PLANO</t>
        </is>
      </c>
      <c r="R147" t="inlineStr">
        <is>
          <t>Z09</t>
        </is>
      </c>
      <c r="S147" s="20" t="n">
        <v>46321</v>
      </c>
    </row>
    <row r="148">
      <c r="A148" t="inlineStr">
        <is>
          <t>MEC</t>
        </is>
      </c>
      <c r="B148" t="inlineStr">
        <is>
          <t>438641310</t>
        </is>
      </c>
      <c r="C148" t="n">
        <v>4386413</v>
      </c>
      <c r="D148" t="inlineStr">
        <is>
          <t>ENCERRADA</t>
        </is>
      </c>
      <c r="E148" s="20" t="n">
        <v>46311</v>
      </c>
      <c r="F148" t="n">
        <v>5</v>
      </c>
      <c r="G148" t="n">
        <v>3</v>
      </c>
      <c r="H148" s="20" t="n">
        <v>46311</v>
      </c>
      <c r="I148" t="n">
        <v>4386413</v>
      </c>
      <c r="J148" t="n">
        <v>10</v>
      </c>
      <c r="K148" t="inlineStr">
        <is>
          <t>MEC</t>
        </is>
      </c>
      <c r="L148" t="inlineStr">
        <is>
          <t>INS-1500 INSP OPM VISUAL BOMBA</t>
        </is>
      </c>
      <c r="M148" t="inlineStr">
        <is>
          <t>INSP VISUAL BOMBA INS-1500 MEC 1M</t>
        </is>
      </c>
      <c r="N148" t="inlineStr">
        <is>
          <t>PERGC-FAPO-TRA-01-10-01</t>
        </is>
      </c>
      <c r="O148" t="inlineStr">
        <is>
          <t>53PA801B BOMBA CIRCULACAO 2 LQ</t>
        </is>
      </c>
      <c r="P148" t="n">
        <v>1</v>
      </c>
      <c r="Q148" t="inlineStr">
        <is>
          <t>PLANO</t>
        </is>
      </c>
      <c r="R148" t="inlineStr">
        <is>
          <t>Z09</t>
        </is>
      </c>
      <c r="S148" s="20" t="n">
        <v>46311</v>
      </c>
    </row>
    <row r="149">
      <c r="A149" t="inlineStr">
        <is>
          <t>ELE</t>
        </is>
      </c>
      <c r="B149" t="inlineStr">
        <is>
          <t>438587210</t>
        </is>
      </c>
      <c r="C149" t="n">
        <v>4385872</v>
      </c>
      <c r="D149" t="inlineStr">
        <is>
          <t>ENCERRADA</t>
        </is>
      </c>
      <c r="E149" s="20" t="n">
        <v>46313</v>
      </c>
      <c r="F149" t="n">
        <v>5</v>
      </c>
      <c r="G149" t="n">
        <v>3</v>
      </c>
      <c r="H149" s="20" t="n">
        <v>46313</v>
      </c>
      <c r="I149" t="n">
        <v>4385872</v>
      </c>
      <c r="J149" t="n">
        <v>10</v>
      </c>
      <c r="K149" t="inlineStr">
        <is>
          <t>ELE</t>
        </is>
      </c>
      <c r="L149" t="inlineStr">
        <is>
          <t>PSE-1812 MANUT PRO CONDE/TROC CALOR</t>
        </is>
      </c>
      <c r="M149" t="inlineStr">
        <is>
          <t>MANUT TROCADOR PSE-1812 PRO 1A</t>
        </is>
      </c>
      <c r="N149" t="inlineStr">
        <is>
          <t>PERGC-FAPO-TRA-01-19-04</t>
        </is>
      </c>
      <c r="O149" t="inlineStr">
        <is>
          <t>53VX802-H01 AQUECEDOR</t>
        </is>
      </c>
      <c r="P149" t="n">
        <v>1</v>
      </c>
      <c r="Q149" t="inlineStr">
        <is>
          <t>PLANO</t>
        </is>
      </c>
      <c r="R149" t="inlineStr">
        <is>
          <t>Z12</t>
        </is>
      </c>
      <c r="S149" s="20" t="n">
        <v>46313</v>
      </c>
    </row>
    <row r="150">
      <c r="A150" t="inlineStr">
        <is>
          <t>HSE</t>
        </is>
      </c>
      <c r="B150" t="inlineStr">
        <is>
          <t>438654910</t>
        </is>
      </c>
      <c r="C150" t="n">
        <v>4386549</v>
      </c>
      <c r="D150" t="inlineStr">
        <is>
          <t>ABERTA</t>
        </is>
      </c>
      <c r="E150" s="20" t="n">
        <v>46320</v>
      </c>
      <c r="F150" t="n">
        <v>5</v>
      </c>
      <c r="G150" t="n">
        <v>3</v>
      </c>
      <c r="H150" s="20" t="n">
        <v>46320</v>
      </c>
      <c r="I150" t="n">
        <v>4386549</v>
      </c>
      <c r="J150" t="n">
        <v>10</v>
      </c>
      <c r="K150" t="inlineStr">
        <is>
          <t>HSE</t>
        </is>
      </c>
      <c r="L150" t="inlineStr">
        <is>
          <t>INS-2133 HSE ANDAIMES</t>
        </is>
      </c>
      <c r="M150" t="inlineStr">
        <is>
          <t>INSP ANDAIMES INS-2133 HSE 1M</t>
        </is>
      </c>
      <c r="N150" t="inlineStr">
        <is>
          <t>PERGC-FCOE</t>
        </is>
      </c>
      <c r="O150" t="inlineStr">
        <is>
          <t>SISTEMA ESTRUTURAS CONVES E CASCO</t>
        </is>
      </c>
      <c r="P150" t="n">
        <v>4</v>
      </c>
      <c r="Q150" t="inlineStr">
        <is>
          <t>PLANO</t>
        </is>
      </c>
      <c r="R150" t="inlineStr">
        <is>
          <t>Z09</t>
        </is>
      </c>
      <c r="S150" s="20" t="n">
        <v>46320</v>
      </c>
    </row>
    <row r="151">
      <c r="A151" t="inlineStr">
        <is>
          <t>MAR</t>
        </is>
      </c>
      <c r="B151" t="inlineStr">
        <is>
          <t>438653410</t>
        </is>
      </c>
      <c r="C151" t="n">
        <v>4386534</v>
      </c>
      <c r="D151" t="inlineStr">
        <is>
          <t>ENCERRADA</t>
        </is>
      </c>
      <c r="E151" s="20" t="n">
        <v>46319</v>
      </c>
      <c r="F151" t="n">
        <v>2</v>
      </c>
      <c r="G151" t="n">
        <v>3</v>
      </c>
      <c r="H151" s="20" t="n">
        <v>46319</v>
      </c>
      <c r="I151" t="n">
        <v>4386534</v>
      </c>
      <c r="J151" t="n">
        <v>10</v>
      </c>
      <c r="K151" t="inlineStr">
        <is>
          <t>MAR</t>
        </is>
      </c>
      <c r="L151" t="inlineStr">
        <is>
          <t>INS-1415 INSP MAR PORTA CORTA FOGO</t>
        </is>
      </c>
      <c r="M151" t="inlineStr">
        <is>
          <t>INSP PORTA CORTA FOGO INS-1415 MAR 3M</t>
        </is>
      </c>
      <c r="N151" t="inlineStr">
        <is>
          <t>PERGC-FCOE-ETR-16-01</t>
        </is>
      </c>
      <c r="O151" t="inlineStr">
        <is>
          <t>CJ PORTAS CORTA FOGO TIPO A</t>
        </is>
      </c>
      <c r="P151" t="n">
        <v>5</v>
      </c>
      <c r="Q151" t="inlineStr">
        <is>
          <t>PLANO</t>
        </is>
      </c>
      <c r="R151" t="inlineStr">
        <is>
          <t>Z09</t>
        </is>
      </c>
      <c r="S151" s="20" t="n">
        <v>46319</v>
      </c>
    </row>
    <row r="152">
      <c r="A152" t="inlineStr">
        <is>
          <t>ELE</t>
        </is>
      </c>
      <c r="B152" t="inlineStr">
        <is>
          <t>438523710</t>
        </is>
      </c>
      <c r="C152" t="n">
        <v>4385237</v>
      </c>
      <c r="D152" t="inlineStr">
        <is>
          <t>ENCERRADA</t>
        </is>
      </c>
      <c r="E152" s="20" t="n">
        <v>46318</v>
      </c>
      <c r="F152" t="n">
        <v>2</v>
      </c>
      <c r="G152" t="n">
        <v>1</v>
      </c>
      <c r="H152" s="20" t="n">
        <v>46318</v>
      </c>
      <c r="I152" t="n">
        <v>4385237</v>
      </c>
      <c r="J152" t="n">
        <v>10</v>
      </c>
      <c r="K152" t="inlineStr">
        <is>
          <t>ELE</t>
        </is>
      </c>
      <c r="L152" t="inlineStr">
        <is>
          <t>INS-1206 INSP ELE BANCO BATERIAS</t>
        </is>
      </c>
      <c r="M152" t="inlineStr">
        <is>
          <t>INSP BATERIAS INS-1206 ELE 3M</t>
        </is>
      </c>
      <c r="N152" t="inlineStr">
        <is>
          <t>PERGC-FECC-RET-01-01</t>
        </is>
      </c>
      <c r="O152" t="inlineStr">
        <is>
          <t>85EB001A BATERIA PLATFORM UPS A 120KVA</t>
        </is>
      </c>
      <c r="P152" t="n">
        <v>2.5</v>
      </c>
      <c r="Q152" t="inlineStr">
        <is>
          <t>PLANO</t>
        </is>
      </c>
      <c r="R152" t="inlineStr">
        <is>
          <t>Z09</t>
        </is>
      </c>
      <c r="S152" s="20" t="n">
        <v>46318</v>
      </c>
    </row>
    <row r="153">
      <c r="A153" t="inlineStr">
        <is>
          <t>ELE</t>
        </is>
      </c>
      <c r="B153" t="inlineStr">
        <is>
          <t>438524110</t>
        </is>
      </c>
      <c r="C153" t="n">
        <v>4385241</v>
      </c>
      <c r="D153" t="inlineStr">
        <is>
          <t>ENCERRADA</t>
        </is>
      </c>
      <c r="E153" s="20" t="n">
        <v>46324</v>
      </c>
      <c r="F153" t="n">
        <v>2</v>
      </c>
      <c r="G153" t="n">
        <v>1</v>
      </c>
      <c r="H153" s="20" t="n">
        <v>46328</v>
      </c>
      <c r="I153" t="n">
        <v>4385241</v>
      </c>
      <c r="J153" t="n">
        <v>10</v>
      </c>
      <c r="K153" t="inlineStr">
        <is>
          <t>ELE</t>
        </is>
      </c>
      <c r="L153" t="inlineStr">
        <is>
          <t>INS-1206 INSP ELE BANCO BATERIAS</t>
        </is>
      </c>
      <c r="M153" t="inlineStr">
        <is>
          <t>INSP BATERIAS INS-1206 ELE 3M</t>
        </is>
      </c>
      <c r="N153" t="inlineStr">
        <is>
          <t>PERGC-FECC-RET-13-01</t>
        </is>
      </c>
      <c r="O153" t="inlineStr">
        <is>
          <t>D85EB301A BATERIA PLATFORM UPS A 120KVA</t>
        </is>
      </c>
      <c r="P153" t="n">
        <v>2.5</v>
      </c>
      <c r="Q153" t="inlineStr">
        <is>
          <t>PLANO</t>
        </is>
      </c>
      <c r="R153" t="inlineStr">
        <is>
          <t>Z09</t>
        </is>
      </c>
      <c r="S153" s="20" t="n">
        <v>46328</v>
      </c>
    </row>
    <row r="154">
      <c r="A154" t="inlineStr">
        <is>
          <t>ELE</t>
        </is>
      </c>
      <c r="B154" t="inlineStr">
        <is>
          <t>438524210</t>
        </is>
      </c>
      <c r="C154" t="n">
        <v>4385242</v>
      </c>
      <c r="D154" t="inlineStr">
        <is>
          <t>ENCERRADA</t>
        </is>
      </c>
      <c r="E154" s="20" t="n">
        <v>46318</v>
      </c>
      <c r="F154" t="n">
        <v>2</v>
      </c>
      <c r="G154" t="n">
        <v>1</v>
      </c>
      <c r="H154" s="20" t="n">
        <v>46318</v>
      </c>
      <c r="I154" t="n">
        <v>4385242</v>
      </c>
      <c r="J154" t="n">
        <v>10</v>
      </c>
      <c r="K154" t="inlineStr">
        <is>
          <t>ELE</t>
        </is>
      </c>
      <c r="L154" t="inlineStr">
        <is>
          <t>INS-1206 INSP ELE BANCO BATERIAS</t>
        </is>
      </c>
      <c r="M154" t="inlineStr">
        <is>
          <t>INSP BATERIAS INS-1206 ELE 3M</t>
        </is>
      </c>
      <c r="N154" t="inlineStr">
        <is>
          <t>PERGC-FECC-RET-16-01</t>
        </is>
      </c>
      <c r="O154" t="inlineStr">
        <is>
          <t>D85EB301B BATERIA PLATFORM UPS B 120KVA</t>
        </is>
      </c>
      <c r="P154" t="n">
        <v>2.5</v>
      </c>
      <c r="Q154" t="inlineStr">
        <is>
          <t>PLANO</t>
        </is>
      </c>
      <c r="R154" t="inlineStr">
        <is>
          <t>Z09</t>
        </is>
      </c>
      <c r="S154" s="20" t="n">
        <v>46318</v>
      </c>
    </row>
    <row r="155">
      <c r="A155" t="inlineStr">
        <is>
          <t>ELE</t>
        </is>
      </c>
      <c r="B155" t="inlineStr">
        <is>
          <t>438678510</t>
        </is>
      </c>
      <c r="C155" t="n">
        <v>4386785</v>
      </c>
      <c r="D155" t="inlineStr">
        <is>
          <t>ENCERRADA</t>
        </is>
      </c>
      <c r="E155" s="20" t="n">
        <v>46321</v>
      </c>
      <c r="F155" t="n">
        <v>2</v>
      </c>
      <c r="G155" t="n">
        <v>1</v>
      </c>
      <c r="H155" s="20" t="n">
        <v>46321</v>
      </c>
      <c r="I155" t="n">
        <v>4386785</v>
      </c>
      <c r="J155" t="n">
        <v>10</v>
      </c>
      <c r="K155" t="inlineStr">
        <is>
          <t>ELE</t>
        </is>
      </c>
      <c r="L155" t="inlineStr">
        <is>
          <t>INS-1206 INSP ELE BANCO BATERIAS</t>
        </is>
      </c>
      <c r="M155" t="inlineStr">
        <is>
          <t>INSP BATERIAS INS-1206 ELE 3M</t>
        </is>
      </c>
      <c r="N155" t="inlineStr">
        <is>
          <t>PERGC-FECC-RET-19-01</t>
        </is>
      </c>
      <c r="O155" t="inlineStr">
        <is>
          <t>D85EB001A BANCO BATERIA UPS A</t>
        </is>
      </c>
      <c r="P155" t="n">
        <v>2.5</v>
      </c>
      <c r="Q155" t="inlineStr">
        <is>
          <t>PLANO</t>
        </is>
      </c>
      <c r="R155" t="inlineStr">
        <is>
          <t>Z09</t>
        </is>
      </c>
      <c r="S155" s="20" t="n">
        <v>46321</v>
      </c>
    </row>
    <row r="156">
      <c r="A156" t="inlineStr">
        <is>
          <t>ELE</t>
        </is>
      </c>
      <c r="B156" t="inlineStr">
        <is>
          <t>437169510</t>
        </is>
      </c>
      <c r="C156" t="n">
        <v>4371695</v>
      </c>
      <c r="D156" t="inlineStr">
        <is>
          <t>ENCERRADA</t>
        </is>
      </c>
      <c r="E156" s="20" t="n">
        <v>46324</v>
      </c>
      <c r="F156" t="n">
        <v>2</v>
      </c>
      <c r="G156" t="n">
        <v>1</v>
      </c>
      <c r="H156" s="20" t="n">
        <v>46327</v>
      </c>
      <c r="I156" t="n">
        <v>4371695</v>
      </c>
      <c r="J156" t="n">
        <v>10</v>
      </c>
      <c r="K156" t="inlineStr">
        <is>
          <t>ELE</t>
        </is>
      </c>
      <c r="L156" t="inlineStr">
        <is>
          <t>INS-1205 INSP ELE UPS</t>
        </is>
      </c>
      <c r="M156" t="inlineStr">
        <is>
          <t>INSP UPS INS-1205 ELE 3M</t>
        </is>
      </c>
      <c r="N156" t="inlineStr">
        <is>
          <t>PERGC-FECC-UPS-01-07-01</t>
        </is>
      </c>
      <c r="O156" t="inlineStr">
        <is>
          <t>85ER002A ESCAPE LIGHTING UPS A 40KVA</t>
        </is>
      </c>
      <c r="P156" t="n">
        <v>2</v>
      </c>
      <c r="Q156" t="inlineStr">
        <is>
          <t>PLANO</t>
        </is>
      </c>
      <c r="R156" t="inlineStr">
        <is>
          <t>Z09</t>
        </is>
      </c>
      <c r="S156" s="20" t="n">
        <v>46327</v>
      </c>
    </row>
    <row r="157">
      <c r="A157" t="inlineStr">
        <is>
          <t>ELE</t>
        </is>
      </c>
      <c r="B157" t="inlineStr">
        <is>
          <t>437169610</t>
        </is>
      </c>
      <c r="C157" t="n">
        <v>4371696</v>
      </c>
      <c r="D157" t="inlineStr">
        <is>
          <t>ENCERRADA</t>
        </is>
      </c>
      <c r="E157" s="20" t="n">
        <v>46323</v>
      </c>
      <c r="F157" t="n">
        <v>5</v>
      </c>
      <c r="G157" t="n">
        <v>1</v>
      </c>
      <c r="H157" s="20" t="n">
        <v>46327</v>
      </c>
      <c r="I157" t="n">
        <v>4371696</v>
      </c>
      <c r="J157" t="n">
        <v>10</v>
      </c>
      <c r="K157" t="inlineStr">
        <is>
          <t>ELE</t>
        </is>
      </c>
      <c r="L157" t="inlineStr">
        <is>
          <t>INS-1205 INSP ELE UPS</t>
        </is>
      </c>
      <c r="M157" t="inlineStr">
        <is>
          <t>INSP UPS INS-1205 ELE 3M</t>
        </is>
      </c>
      <c r="N157" t="inlineStr">
        <is>
          <t>PERGC-FECC-UPS-01-10-01</t>
        </is>
      </c>
      <c r="O157" t="inlineStr">
        <is>
          <t>85ER002B ESCAPE LIGHTING UPS A 40KVA</t>
        </is>
      </c>
      <c r="P157" t="n">
        <v>2</v>
      </c>
      <c r="Q157" t="inlineStr">
        <is>
          <t>PLANO</t>
        </is>
      </c>
      <c r="R157" t="inlineStr">
        <is>
          <t>Z09</t>
        </is>
      </c>
      <c r="S157" s="20" t="n">
        <v>46327</v>
      </c>
    </row>
    <row r="158">
      <c r="A158" t="inlineStr">
        <is>
          <t>TER</t>
        </is>
      </c>
      <c r="B158" t="inlineStr">
        <is>
          <t>438590110</t>
        </is>
      </c>
      <c r="C158" t="n">
        <v>4385901</v>
      </c>
      <c r="D158" t="inlineStr">
        <is>
          <t>ABERTA</t>
        </is>
      </c>
      <c r="E158" s="20" t="n">
        <v>46320</v>
      </c>
      <c r="F158" t="n">
        <v>3</v>
      </c>
      <c r="G158" t="n">
        <v>3</v>
      </c>
      <c r="H158" s="20" t="n">
        <v>46320</v>
      </c>
      <c r="I158" t="n">
        <v>4385901</v>
      </c>
      <c r="J158" t="n">
        <v>10</v>
      </c>
      <c r="K158" t="inlineStr">
        <is>
          <t>TER</t>
        </is>
      </c>
      <c r="L158" t="inlineStr">
        <is>
          <t>PSE-1204 MANUT TER PAINEL ELETRICO</t>
        </is>
      </c>
      <c r="M158" t="inlineStr">
        <is>
          <t>MANUT PAINEL ELETRICO PSE-1204 EMN 3A</t>
        </is>
      </c>
      <c r="N158" t="inlineStr">
        <is>
          <t>PERGC-FEDN-PNN-16</t>
        </is>
      </c>
      <c r="O158" t="inlineStr">
        <is>
          <t>CJ PANELBOARD 400/230V 3P 4W 82EL104</t>
        </is>
      </c>
      <c r="P158" t="n">
        <v>12</v>
      </c>
      <c r="Q158" t="inlineStr">
        <is>
          <t>PLANO-VEND</t>
        </is>
      </c>
      <c r="R158" t="inlineStr">
        <is>
          <t>Z17</t>
        </is>
      </c>
      <c r="S158" s="20" t="n">
        <v>46320</v>
      </c>
    </row>
    <row r="159">
      <c r="A159" t="inlineStr">
        <is>
          <t>ELE</t>
        </is>
      </c>
      <c r="B159" t="inlineStr">
        <is>
          <t>438562110</t>
        </is>
      </c>
      <c r="C159" t="n">
        <v>4385621</v>
      </c>
      <c r="D159" t="inlineStr">
        <is>
          <t>ENCERRADA</t>
        </is>
      </c>
      <c r="E159" s="20" t="n">
        <v>46314</v>
      </c>
      <c r="F159" t="n">
        <v>5</v>
      </c>
      <c r="G159" t="n">
        <v>2</v>
      </c>
      <c r="H159" s="20" t="n">
        <v>46314</v>
      </c>
      <c r="I159" t="n">
        <v>4385621</v>
      </c>
      <c r="J159" t="n">
        <v>10</v>
      </c>
      <c r="K159" t="inlineStr">
        <is>
          <t>ELE</t>
        </is>
      </c>
      <c r="L159" t="inlineStr">
        <is>
          <t>PSE-1201 MANUT ELE TRANSFORMADOR AT</t>
        </is>
      </c>
      <c r="M159" t="inlineStr">
        <is>
          <t>MANUT TRANSFORMADOR AT PSE-1201 ELE 5A</t>
        </is>
      </c>
      <c r="N159" t="inlineStr">
        <is>
          <t>PERGC-FEDN-TRF-01-07-01</t>
        </is>
      </c>
      <c r="O159" t="inlineStr">
        <is>
          <t>82ET002A TRANSFORMADOR UTILIDADES 3MVA</t>
        </is>
      </c>
      <c r="P159" t="n">
        <v>16</v>
      </c>
      <c r="Q159" t="inlineStr">
        <is>
          <t>PLANO</t>
        </is>
      </c>
      <c r="R159" t="inlineStr">
        <is>
          <t>Z12</t>
        </is>
      </c>
      <c r="S159" s="20" t="n">
        <v>46314</v>
      </c>
    </row>
    <row r="160">
      <c r="A160" t="inlineStr">
        <is>
          <t>ELE</t>
        </is>
      </c>
      <c r="B160" t="inlineStr">
        <is>
          <t>438591410</t>
        </is>
      </c>
      <c r="C160" t="n">
        <v>4385914</v>
      </c>
      <c r="D160" t="inlineStr">
        <is>
          <t>ABERTA</t>
        </is>
      </c>
      <c r="E160" s="20" t="n">
        <v>46322</v>
      </c>
      <c r="F160" t="n">
        <v>3</v>
      </c>
      <c r="G160" t="n">
        <v>3</v>
      </c>
      <c r="H160" s="20" t="n">
        <v>46322</v>
      </c>
      <c r="I160" t="n">
        <v>4385914</v>
      </c>
      <c r="J160" t="n">
        <v>10</v>
      </c>
      <c r="K160" t="inlineStr">
        <is>
          <t>ELE</t>
        </is>
      </c>
      <c r="L160" t="inlineStr">
        <is>
          <t>INS-1202 INSP ELE TRANSFORMADOR AT/BT</t>
        </is>
      </c>
      <c r="M160" t="inlineStr">
        <is>
          <t>INSP TRANSFORMADOR AT/BT INS-1202 ELE 6M</t>
        </is>
      </c>
      <c r="N160" t="inlineStr">
        <is>
          <t>PERGC-FEDN-TRF-01-22-01</t>
        </is>
      </c>
      <c r="O160" t="inlineStr">
        <is>
          <t>82ET201 TRAFO LQ NORMAL LIGHT 690/400V</t>
        </is>
      </c>
      <c r="P160" t="n">
        <v>2</v>
      </c>
      <c r="Q160" t="inlineStr">
        <is>
          <t>PLANO</t>
        </is>
      </c>
      <c r="R160" t="inlineStr">
        <is>
          <t>Z09</t>
        </is>
      </c>
      <c r="S160" s="20" t="n">
        <v>46322</v>
      </c>
    </row>
    <row r="161">
      <c r="A161" t="inlineStr">
        <is>
          <t>ELE</t>
        </is>
      </c>
      <c r="B161" t="inlineStr">
        <is>
          <t>438671910</t>
        </is>
      </c>
      <c r="C161" t="n">
        <v>4386719</v>
      </c>
      <c r="D161" t="inlineStr">
        <is>
          <t>ABERTA</t>
        </is>
      </c>
      <c r="E161" s="20" t="n">
        <v>46321</v>
      </c>
      <c r="F161" t="n">
        <v>5</v>
      </c>
      <c r="G161" t="n">
        <v>2</v>
      </c>
      <c r="H161" s="20" t="n">
        <v>46321</v>
      </c>
      <c r="I161" t="n">
        <v>4386719</v>
      </c>
      <c r="J161" t="n">
        <v>10</v>
      </c>
      <c r="K161" t="inlineStr">
        <is>
          <t>ELE</t>
        </is>
      </c>
      <c r="L161" t="inlineStr">
        <is>
          <t>INS-1221 INSP ELE PAINEL ELETRICO</t>
        </is>
      </c>
      <c r="M161" t="inlineStr">
        <is>
          <t>INSP PAINEL ELETRICO INS-1221 ELE 6M</t>
        </is>
      </c>
      <c r="N161" t="inlineStr">
        <is>
          <t>PERGC-FEDN-TRF-01-22-04</t>
        </is>
      </c>
      <c r="O161" t="inlineStr">
        <is>
          <t>82EC201 PAINEL RELE TEMPERATURA</t>
        </is>
      </c>
      <c r="P161" t="n">
        <v>2</v>
      </c>
      <c r="Q161" t="inlineStr">
        <is>
          <t>PLANO</t>
        </is>
      </c>
      <c r="R161" t="inlineStr">
        <is>
          <t>Z09</t>
        </is>
      </c>
      <c r="S161" s="20" t="n">
        <v>46321</v>
      </c>
    </row>
    <row r="162">
      <c r="A162" t="inlineStr">
        <is>
          <t>ELE</t>
        </is>
      </c>
      <c r="B162" t="inlineStr">
        <is>
          <t>438586810</t>
        </is>
      </c>
      <c r="C162" t="n">
        <v>4385868</v>
      </c>
      <c r="D162" t="inlineStr">
        <is>
          <t>ENCERRADA</t>
        </is>
      </c>
      <c r="E162" s="20" t="n">
        <v>46311</v>
      </c>
      <c r="F162" t="n">
        <v>5</v>
      </c>
      <c r="G162" t="n">
        <v>3</v>
      </c>
      <c r="H162" s="20" t="n">
        <v>46311</v>
      </c>
      <c r="I162" t="n">
        <v>4385868</v>
      </c>
      <c r="J162" t="n">
        <v>10</v>
      </c>
      <c r="K162" t="inlineStr">
        <is>
          <t>ELE</t>
        </is>
      </c>
      <c r="L162" t="inlineStr">
        <is>
          <t>INS-1221 INSP ELE PAINEL ELETRICO</t>
        </is>
      </c>
      <c r="M162" t="inlineStr">
        <is>
          <t>INSP PAINEL ELETRICO INS-1221 ELE 6M</t>
        </is>
      </c>
      <c r="N162" t="inlineStr">
        <is>
          <t>PERGC-FEIE-PNN-01</t>
        </is>
      </c>
      <c r="O162" t="inlineStr">
        <is>
          <t>CJ PAINEL ILUM &amp; SMALL POWER EMERGENCIA</t>
        </is>
      </c>
      <c r="P162" t="n">
        <v>2</v>
      </c>
      <c r="Q162" t="inlineStr">
        <is>
          <t>PLANO</t>
        </is>
      </c>
      <c r="R162" t="inlineStr">
        <is>
          <t>Z09</t>
        </is>
      </c>
      <c r="S162" s="20" t="n">
        <v>46311</v>
      </c>
    </row>
    <row r="163">
      <c r="A163" t="inlineStr">
        <is>
          <t>ELE</t>
        </is>
      </c>
      <c r="B163" t="inlineStr">
        <is>
          <t>438649210</t>
        </is>
      </c>
      <c r="C163" t="n">
        <v>4386492</v>
      </c>
      <c r="D163" t="inlineStr">
        <is>
          <t>ENCERRADA</t>
        </is>
      </c>
      <c r="E163" s="20" t="n">
        <v>46317</v>
      </c>
      <c r="F163" t="n">
        <v>3</v>
      </c>
      <c r="G163" t="n">
        <v>3</v>
      </c>
      <c r="H163" s="20" t="n">
        <v>46317</v>
      </c>
      <c r="I163" t="n">
        <v>4386492</v>
      </c>
      <c r="J163" t="n">
        <v>10</v>
      </c>
      <c r="K163" t="inlineStr">
        <is>
          <t>ELE</t>
        </is>
      </c>
      <c r="L163" t="inlineStr">
        <is>
          <t>PSE-1201 MANUT ELE TRANSFORMADOR AT</t>
        </is>
      </c>
      <c r="M163" t="inlineStr">
        <is>
          <t>MANUT TRANSFORMADOR AT PSE-1201 ELE 5A</t>
        </is>
      </c>
      <c r="N163" t="inlineStr">
        <is>
          <t>PERGC-FEIN-PNN-01-01-28</t>
        </is>
      </c>
      <c r="O163" t="inlineStr">
        <is>
          <t>Z82EL101A-3KQ04 NORM SWBD BRANCH FEED</t>
        </is>
      </c>
      <c r="P163" t="n">
        <v>16</v>
      </c>
      <c r="Q163" t="inlineStr">
        <is>
          <t>PLANO</t>
        </is>
      </c>
      <c r="R163" t="inlineStr">
        <is>
          <t>Z12</t>
        </is>
      </c>
      <c r="S163" s="20" t="n">
        <v>46317</v>
      </c>
    </row>
    <row r="164">
      <c r="A164" t="inlineStr">
        <is>
          <t>ELE</t>
        </is>
      </c>
      <c r="B164" t="inlineStr">
        <is>
          <t>438672010</t>
        </is>
      </c>
      <c r="C164" t="n">
        <v>4386720</v>
      </c>
      <c r="D164" t="inlineStr">
        <is>
          <t>ENCERRADA</t>
        </is>
      </c>
      <c r="E164" s="20" t="n">
        <v>46312</v>
      </c>
      <c r="F164" t="n">
        <v>3</v>
      </c>
      <c r="G164" t="n">
        <v>2</v>
      </c>
      <c r="H164" s="20" t="n">
        <v>46312</v>
      </c>
      <c r="I164" t="n">
        <v>4386720</v>
      </c>
      <c r="J164" t="n">
        <v>10</v>
      </c>
      <c r="K164" t="inlineStr">
        <is>
          <t>ELE</t>
        </is>
      </c>
      <c r="L164" t="inlineStr">
        <is>
          <t>INS-1221 INSP ELE PAINEL ELETRICO</t>
        </is>
      </c>
      <c r="M164" t="inlineStr">
        <is>
          <t>INSP PAINEL ELETRICO INS-1221 ELE 6M</t>
        </is>
      </c>
      <c r="N164" t="inlineStr">
        <is>
          <t>PERGC-FETL-PNN-04-01</t>
        </is>
      </c>
      <c r="O164" t="inlineStr">
        <is>
          <t>85EL001B PLATFORM UPS SWB B</t>
        </is>
      </c>
      <c r="P164" t="n">
        <v>2</v>
      </c>
      <c r="Q164" t="inlineStr">
        <is>
          <t>PLANO</t>
        </is>
      </c>
      <c r="R164" t="inlineStr">
        <is>
          <t>Z09</t>
        </is>
      </c>
      <c r="S164" s="20" t="n">
        <v>46312</v>
      </c>
    </row>
    <row r="165">
      <c r="A165" t="inlineStr">
        <is>
          <t>ELE</t>
        </is>
      </c>
      <c r="B165" t="inlineStr">
        <is>
          <t>438672110</t>
        </is>
      </c>
      <c r="C165" t="n">
        <v>4386721</v>
      </c>
      <c r="D165" t="inlineStr">
        <is>
          <t>ENCERRADA</t>
        </is>
      </c>
      <c r="E165" s="20" t="n">
        <v>46319</v>
      </c>
      <c r="F165" t="n">
        <v>3</v>
      </c>
      <c r="G165" t="n">
        <v>2</v>
      </c>
      <c r="H165" s="20" t="n">
        <v>46319</v>
      </c>
      <c r="I165" t="n">
        <v>4386721</v>
      </c>
      <c r="J165" t="n">
        <v>10</v>
      </c>
      <c r="K165" t="inlineStr">
        <is>
          <t>ELE</t>
        </is>
      </c>
      <c r="L165" t="inlineStr">
        <is>
          <t>INS-1221 INSP ELE PAINEL ELETRICO</t>
        </is>
      </c>
      <c r="M165" t="inlineStr">
        <is>
          <t>INSP PAINEL ELETRICO INS-1221 ELE 6M</t>
        </is>
      </c>
      <c r="N165" t="inlineStr">
        <is>
          <t>PERGC-FETL-PNN-22-01</t>
        </is>
      </c>
      <c r="O165" t="inlineStr">
        <is>
          <t>85EL201B TELECOMM UPS SWITCHBOARD "B"</t>
        </is>
      </c>
      <c r="P165" t="n">
        <v>2</v>
      </c>
      <c r="Q165" t="inlineStr">
        <is>
          <t>PLANO</t>
        </is>
      </c>
      <c r="R165" t="inlineStr">
        <is>
          <t>Z09</t>
        </is>
      </c>
      <c r="S165" s="20" t="n">
        <v>46319</v>
      </c>
    </row>
    <row r="166">
      <c r="A166" t="inlineStr">
        <is>
          <t>ELE</t>
        </is>
      </c>
      <c r="B166" t="inlineStr">
        <is>
          <t>438672210</t>
        </is>
      </c>
      <c r="C166" t="n">
        <v>4386722</v>
      </c>
      <c r="D166" t="inlineStr">
        <is>
          <t>ENCERRADA</t>
        </is>
      </c>
      <c r="E166" s="20" t="n">
        <v>46312</v>
      </c>
      <c r="F166" t="n">
        <v>3</v>
      </c>
      <c r="G166" t="n">
        <v>2</v>
      </c>
      <c r="H166" s="20" t="n">
        <v>46312</v>
      </c>
      <c r="I166" t="n">
        <v>4386722</v>
      </c>
      <c r="J166" t="n">
        <v>10</v>
      </c>
      <c r="K166" t="inlineStr">
        <is>
          <t>ELE</t>
        </is>
      </c>
      <c r="L166" t="inlineStr">
        <is>
          <t>INS-1221 INSP ELE PAINEL ELETRICO</t>
        </is>
      </c>
      <c r="M166" t="inlineStr">
        <is>
          <t>INSP PAINEL ELETRICO INS-1221 ELE 6M</t>
        </is>
      </c>
      <c r="N166" t="inlineStr">
        <is>
          <t>PERGC-FETL-PNN-40-01</t>
        </is>
      </c>
      <c r="O166" t="inlineStr">
        <is>
          <t>85EL212B PAINEL ESCAPE LIGHT UPS "B"</t>
        </is>
      </c>
      <c r="P166" t="n">
        <v>2</v>
      </c>
      <c r="Q166" t="inlineStr">
        <is>
          <t>PLANO</t>
        </is>
      </c>
      <c r="R166" t="inlineStr">
        <is>
          <t>Z09</t>
        </is>
      </c>
      <c r="S166" s="20" t="n">
        <v>46312</v>
      </c>
    </row>
    <row r="167">
      <c r="A167" t="inlineStr">
        <is>
          <t>AUT</t>
        </is>
      </c>
      <c r="B167" t="inlineStr">
        <is>
          <t>438574010</t>
        </is>
      </c>
      <c r="C167" t="n">
        <v>4385740</v>
      </c>
      <c r="D167" t="inlineStr">
        <is>
          <t>ENCERRADA</t>
        </is>
      </c>
      <c r="E167" s="20" t="n">
        <v>46311</v>
      </c>
      <c r="F167" t="n">
        <v>3</v>
      </c>
      <c r="G167" t="n">
        <v>2</v>
      </c>
      <c r="H167" s="20" t="n">
        <v>46311</v>
      </c>
      <c r="I167" t="n">
        <v>4385740</v>
      </c>
      <c r="J167" t="n">
        <v>10</v>
      </c>
      <c r="K167" t="inlineStr">
        <is>
          <t>AUT</t>
        </is>
      </c>
      <c r="L167" t="inlineStr">
        <is>
          <t>INS-1017 INSP AUT PAINEL CONTROLE</t>
        </is>
      </c>
      <c r="M167" t="inlineStr">
        <is>
          <t>INSP PAINEL CONTROLE INS-1017 AUT 1A</t>
        </is>
      </c>
      <c r="N167" t="inlineStr">
        <is>
          <t>PERGC-FETL-PNN-46-01</t>
        </is>
      </c>
      <c r="O167" t="inlineStr">
        <is>
          <t>85EC214 HELIDECK STATUS LT REM CTRL</t>
        </is>
      </c>
      <c r="P167" t="n">
        <v>2</v>
      </c>
      <c r="Q167" t="inlineStr">
        <is>
          <t>PLANO</t>
        </is>
      </c>
      <c r="R167" t="inlineStr">
        <is>
          <t>Z09</t>
        </is>
      </c>
      <c r="S167" s="20" t="n">
        <v>46311</v>
      </c>
    </row>
    <row r="168">
      <c r="A168" t="inlineStr">
        <is>
          <t>ELE</t>
        </is>
      </c>
      <c r="B168" t="inlineStr">
        <is>
          <t>438563910</t>
        </is>
      </c>
      <c r="C168" t="n">
        <v>4385639</v>
      </c>
      <c r="D168" t="inlineStr">
        <is>
          <t>ABERTA</t>
        </is>
      </c>
      <c r="E168" s="20" t="n">
        <v>46323</v>
      </c>
      <c r="F168" t="n">
        <v>3</v>
      </c>
      <c r="G168" t="n">
        <v>2</v>
      </c>
      <c r="H168" s="20" t="n">
        <v>46323</v>
      </c>
      <c r="I168" t="n">
        <v>4385639</v>
      </c>
      <c r="J168" t="n">
        <v>10</v>
      </c>
      <c r="K168" t="inlineStr">
        <is>
          <t>ELE</t>
        </is>
      </c>
      <c r="L168" t="inlineStr">
        <is>
          <t>INS-1221 INSP ELE PAINEL ELETRICO</t>
        </is>
      </c>
      <c r="M168" t="inlineStr">
        <is>
          <t>INSP PAINEL ELETRICO INS-1221 ELE 6M</t>
        </is>
      </c>
      <c r="N168" t="inlineStr">
        <is>
          <t>PERGC-FETL-PNN-58-01</t>
        </is>
      </c>
      <c r="O168" t="inlineStr">
        <is>
          <t>D85EL310B 230V UPS B - SUB DISTR BOARD</t>
        </is>
      </c>
      <c r="P168" t="n">
        <v>2</v>
      </c>
      <c r="Q168" t="inlineStr">
        <is>
          <t>PLANO</t>
        </is>
      </c>
      <c r="R168" t="inlineStr">
        <is>
          <t>Z09</t>
        </is>
      </c>
      <c r="S168" s="20" t="n">
        <v>46323</v>
      </c>
    </row>
    <row r="169">
      <c r="A169" t="inlineStr">
        <is>
          <t>TER</t>
        </is>
      </c>
      <c r="B169" t="inlineStr">
        <is>
          <t>438672510</t>
        </is>
      </c>
      <c r="C169" t="n">
        <v>4386725</v>
      </c>
      <c r="D169" t="inlineStr">
        <is>
          <t>ABERTA</t>
        </is>
      </c>
      <c r="E169" s="20" t="n">
        <v>46315</v>
      </c>
      <c r="F169" t="n">
        <v>3</v>
      </c>
      <c r="G169" t="n">
        <v>2</v>
      </c>
      <c r="H169" s="20" t="n">
        <v>46315</v>
      </c>
      <c r="I169" t="n">
        <v>4386725</v>
      </c>
      <c r="J169" t="n">
        <v>10</v>
      </c>
      <c r="K169" t="inlineStr">
        <is>
          <t>TER</t>
        </is>
      </c>
      <c r="L169" t="inlineStr">
        <is>
          <t>PSE-1204 MANUT TER PAINEL ELETRICO</t>
        </is>
      </c>
      <c r="M169" t="inlineStr">
        <is>
          <t>MANUT PAINEL ELETRICO PSE-1204 EMN 3A</t>
        </is>
      </c>
      <c r="N169" t="inlineStr">
        <is>
          <t>PERGC-FETL-PNN-58-01</t>
        </is>
      </c>
      <c r="O169" t="inlineStr">
        <is>
          <t>D85EL310B 230V UPS B - SUB DISTR BOARD</t>
        </is>
      </c>
      <c r="P169" t="n">
        <v>12</v>
      </c>
      <c r="Q169" t="inlineStr">
        <is>
          <t>PLANO-VEND</t>
        </is>
      </c>
      <c r="R169" t="inlineStr">
        <is>
          <t>Z17</t>
        </is>
      </c>
      <c r="S169" s="20" t="n">
        <v>46315</v>
      </c>
    </row>
    <row r="170">
      <c r="A170" t="inlineStr">
        <is>
          <t>TER</t>
        </is>
      </c>
      <c r="B170" t="inlineStr">
        <is>
          <t>438566110</t>
        </is>
      </c>
      <c r="C170" t="n">
        <v>4385661</v>
      </c>
      <c r="D170" t="inlineStr">
        <is>
          <t>ABERTA</t>
        </is>
      </c>
      <c r="E170" s="20" t="n">
        <v>46313</v>
      </c>
      <c r="F170" t="n">
        <v>3</v>
      </c>
      <c r="G170" t="n">
        <v>2</v>
      </c>
      <c r="H170" s="20" t="n">
        <v>46313</v>
      </c>
      <c r="I170" t="n">
        <v>4385661</v>
      </c>
      <c r="J170" t="n">
        <v>10</v>
      </c>
      <c r="K170" t="inlineStr">
        <is>
          <t>TER</t>
        </is>
      </c>
      <c r="L170" t="inlineStr">
        <is>
          <t>PSE-1204 MANUT TER PAINEL ELETRICO</t>
        </is>
      </c>
      <c r="M170" t="inlineStr">
        <is>
          <t>MANUT PAINEL ELETRICO PSE-1204 EMN 3A</t>
        </is>
      </c>
      <c r="N170" t="inlineStr">
        <is>
          <t>PERGC-FETL-PNN-61-01</t>
        </is>
      </c>
      <c r="O170" t="inlineStr">
        <is>
          <t>D85EL313A 230V UPS A - SUB DISTR BOARD</t>
        </is>
      </c>
      <c r="P170" t="n">
        <v>12</v>
      </c>
      <c r="Q170" t="inlineStr">
        <is>
          <t>PLANO-VEND</t>
        </is>
      </c>
      <c r="R170" t="inlineStr">
        <is>
          <t>Z17</t>
        </is>
      </c>
      <c r="S170" s="20" t="n">
        <v>46313</v>
      </c>
    </row>
    <row r="171">
      <c r="A171" t="inlineStr">
        <is>
          <t>ELE</t>
        </is>
      </c>
      <c r="B171" t="inlineStr">
        <is>
          <t>438672310</t>
        </is>
      </c>
      <c r="C171" t="n">
        <v>4386723</v>
      </c>
      <c r="D171" t="inlineStr">
        <is>
          <t>ABERTA</t>
        </is>
      </c>
      <c r="E171" s="20" t="n">
        <v>46323</v>
      </c>
      <c r="F171" t="n">
        <v>5</v>
      </c>
      <c r="G171" t="n">
        <v>2</v>
      </c>
      <c r="H171" s="20" t="n">
        <v>46323</v>
      </c>
      <c r="I171" t="n">
        <v>4386723</v>
      </c>
      <c r="J171" t="n">
        <v>10</v>
      </c>
      <c r="K171" t="inlineStr">
        <is>
          <t>ELE</t>
        </is>
      </c>
      <c r="L171" t="inlineStr">
        <is>
          <t>INS-1221 INSP ELE PAINEL ELETRICO</t>
        </is>
      </c>
      <c r="M171" t="inlineStr">
        <is>
          <t>INSP PAINEL ELETRICO INS-1221 ELE 6M</t>
        </is>
      </c>
      <c r="N171" t="inlineStr">
        <is>
          <t>PERGC-FETL-PNN-61-01</t>
        </is>
      </c>
      <c r="O171" t="inlineStr">
        <is>
          <t>D85EL313A 230V UPS A - SUB DISTR BOARD</t>
        </is>
      </c>
      <c r="P171" t="n">
        <v>2</v>
      </c>
      <c r="Q171" t="inlineStr">
        <is>
          <t>PLANO</t>
        </is>
      </c>
      <c r="R171" t="inlineStr">
        <is>
          <t>Z09</t>
        </is>
      </c>
      <c r="S171" s="20" t="n">
        <v>46323</v>
      </c>
    </row>
    <row r="172">
      <c r="A172" t="inlineStr">
        <is>
          <t>ELE</t>
        </is>
      </c>
      <c r="B172" t="inlineStr">
        <is>
          <t>438591910</t>
        </is>
      </c>
      <c r="C172" t="n">
        <v>4385919</v>
      </c>
      <c r="D172" t="inlineStr">
        <is>
          <t>ABERTA</t>
        </is>
      </c>
      <c r="E172" s="20" t="n">
        <v>46323</v>
      </c>
      <c r="F172" t="n">
        <v>3</v>
      </c>
      <c r="G172" t="n">
        <v>3</v>
      </c>
      <c r="H172" s="20" t="n">
        <v>46323</v>
      </c>
      <c r="I172" t="n">
        <v>4385919</v>
      </c>
      <c r="J172" t="n">
        <v>10</v>
      </c>
      <c r="K172" t="inlineStr">
        <is>
          <t>ELE</t>
        </is>
      </c>
      <c r="L172" t="inlineStr">
        <is>
          <t>PTF-1301 TEST FUNC INS BOTOEIRAS</t>
        </is>
      </c>
      <c r="M172" t="inlineStr">
        <is>
          <t>TEST FUNC BOTOEIRAS PTF-1301 INS 6M</t>
        </is>
      </c>
      <c r="N172" t="inlineStr">
        <is>
          <t>PERGC-FSAC-CAR-01-16-07</t>
        </is>
      </c>
      <c r="O172" t="inlineStr">
        <is>
          <t>CJ ACIONAMENTO 63JC001</t>
        </is>
      </c>
      <c r="P172" t="n">
        <v>4</v>
      </c>
      <c r="Q172" t="inlineStr">
        <is>
          <t>PLANO</t>
        </is>
      </c>
      <c r="R172" t="inlineStr">
        <is>
          <t>Z08</t>
        </is>
      </c>
      <c r="S172" s="20" t="n">
        <v>46323</v>
      </c>
    </row>
    <row r="173">
      <c r="A173" t="inlineStr">
        <is>
          <t>PRO</t>
        </is>
      </c>
      <c r="B173" t="inlineStr">
        <is>
          <t>438539110</t>
        </is>
      </c>
      <c r="C173" t="n">
        <v>4385391</v>
      </c>
      <c r="D173" t="inlineStr">
        <is>
          <t>ENCERRADA</t>
        </is>
      </c>
      <c r="E173" s="20" t="n">
        <v>46318</v>
      </c>
      <c r="F173" t="n">
        <v>3</v>
      </c>
      <c r="G173" t="n">
        <v>2</v>
      </c>
      <c r="H173" s="20" t="n">
        <v>46318</v>
      </c>
      <c r="I173" t="n">
        <v>4385391</v>
      </c>
      <c r="J173" t="n">
        <v>10</v>
      </c>
      <c r="K173" t="inlineStr">
        <is>
          <t>PRO</t>
        </is>
      </c>
      <c r="L173" t="inlineStr">
        <is>
          <t>INS-1813 INSP PRO FILTRO</t>
        </is>
      </c>
      <c r="M173" t="inlineStr">
        <is>
          <t>INSP FILTRO INS-1813 PRO 4M</t>
        </is>
      </c>
      <c r="N173" t="inlineStr">
        <is>
          <t>PERGC-FSAC-CAR-01-28-01</t>
        </is>
      </c>
      <c r="O173" t="inlineStr">
        <is>
          <t>63CA002A PRE FILTRO</t>
        </is>
      </c>
      <c r="P173" t="n">
        <v>3</v>
      </c>
      <c r="Q173" t="inlineStr">
        <is>
          <t>PLANO</t>
        </is>
      </c>
      <c r="R173" t="inlineStr">
        <is>
          <t>Z09</t>
        </is>
      </c>
      <c r="S173" s="20" t="n">
        <v>46318</v>
      </c>
    </row>
    <row r="174">
      <c r="A174" t="inlineStr">
        <is>
          <t>PRO</t>
        </is>
      </c>
      <c r="B174" t="inlineStr">
        <is>
          <t>438666510</t>
        </is>
      </c>
      <c r="C174" t="n">
        <v>4386665</v>
      </c>
      <c r="D174" t="inlineStr">
        <is>
          <t>ENCERRADA</t>
        </is>
      </c>
      <c r="E174" s="20" t="n">
        <v>46315</v>
      </c>
      <c r="F174" t="n">
        <v>3</v>
      </c>
      <c r="G174" t="n">
        <v>2</v>
      </c>
      <c r="H174" s="20" t="n">
        <v>46315</v>
      </c>
      <c r="I174" t="n">
        <v>4386665</v>
      </c>
      <c r="J174" t="n">
        <v>10</v>
      </c>
      <c r="K174" t="inlineStr">
        <is>
          <t>PRO</t>
        </is>
      </c>
      <c r="L174" t="inlineStr">
        <is>
          <t>INS-1813 INSP PRO FILTRO</t>
        </is>
      </c>
      <c r="M174" t="inlineStr">
        <is>
          <t>INSP FILTRO INS-1813 PRO 4M</t>
        </is>
      </c>
      <c r="N174" t="inlineStr">
        <is>
          <t>PERGC-FSAC-CAR-01-40-01</t>
        </is>
      </c>
      <c r="O174" t="inlineStr">
        <is>
          <t>63CA003A POS FILTRO</t>
        </is>
      </c>
      <c r="P174" t="n">
        <v>3</v>
      </c>
      <c r="Q174" t="inlineStr">
        <is>
          <t>PLANO</t>
        </is>
      </c>
      <c r="R174" t="inlineStr">
        <is>
          <t>Z09</t>
        </is>
      </c>
      <c r="S174" s="20" t="n">
        <v>46315</v>
      </c>
    </row>
    <row r="175">
      <c r="A175" t="inlineStr">
        <is>
          <t>PRO</t>
        </is>
      </c>
      <c r="B175" t="inlineStr">
        <is>
          <t>438539410</t>
        </is>
      </c>
      <c r="C175" t="n">
        <v>4385394</v>
      </c>
      <c r="D175" t="inlineStr">
        <is>
          <t>ENCERRADA</t>
        </is>
      </c>
      <c r="E175" s="20" t="n">
        <v>46313</v>
      </c>
      <c r="F175" t="n">
        <v>5</v>
      </c>
      <c r="G175" t="n">
        <v>2</v>
      </c>
      <c r="H175" s="20" t="n">
        <v>46313</v>
      </c>
      <c r="I175" t="n">
        <v>4385394</v>
      </c>
      <c r="J175" t="n">
        <v>10</v>
      </c>
      <c r="K175" t="inlineStr">
        <is>
          <t>PRO</t>
        </is>
      </c>
      <c r="L175" t="inlineStr">
        <is>
          <t>INS-1813 INSP PRO FILTRO</t>
        </is>
      </c>
      <c r="M175" t="inlineStr">
        <is>
          <t>INSP FILTRO INS-1813 PRO 4M</t>
        </is>
      </c>
      <c r="N175" t="inlineStr">
        <is>
          <t>PERGC-FSAC-CAR-01-49-01</t>
        </is>
      </c>
      <c r="O175" t="inlineStr">
        <is>
          <t>63CA004A POS FILTRO</t>
        </is>
      </c>
      <c r="P175" t="n">
        <v>3</v>
      </c>
      <c r="Q175" t="inlineStr">
        <is>
          <t>PLANO</t>
        </is>
      </c>
      <c r="R175" t="inlineStr">
        <is>
          <t>Z09</t>
        </is>
      </c>
      <c r="S175" s="20" t="n">
        <v>46313</v>
      </c>
    </row>
    <row r="176">
      <c r="A176" t="inlineStr">
        <is>
          <t>MEC</t>
        </is>
      </c>
      <c r="B176" t="inlineStr">
        <is>
          <t>438648710</t>
        </is>
      </c>
      <c r="C176" t="n">
        <v>4386487</v>
      </c>
      <c r="D176" t="inlineStr">
        <is>
          <t>ENCERRADA</t>
        </is>
      </c>
      <c r="E176" s="20" t="n">
        <v>46317</v>
      </c>
      <c r="F176" t="n">
        <v>5</v>
      </c>
      <c r="G176" t="n">
        <v>3</v>
      </c>
      <c r="H176" s="20" t="n">
        <v>46317</v>
      </c>
      <c r="I176" t="n">
        <v>4386487</v>
      </c>
      <c r="J176" t="n">
        <v>10</v>
      </c>
      <c r="K176" t="inlineStr">
        <is>
          <t>MEC</t>
        </is>
      </c>
      <c r="L176" t="inlineStr">
        <is>
          <t>INS-1503 INSP MEC EQUIP ACADEMIA</t>
        </is>
      </c>
      <c r="M176" t="inlineStr">
        <is>
          <t>INSP EQUIP ACADEMIA INS-1503 MEC 1M</t>
        </is>
      </c>
      <c r="N176" t="inlineStr">
        <is>
          <t>PERGC-FSAL</t>
        </is>
      </c>
      <c r="O176" t="inlineStr">
        <is>
          <t>SISTEMA ACOMODACOES OFICINAS E OUTROS</t>
        </is>
      </c>
      <c r="P176" t="n">
        <v>1</v>
      </c>
      <c r="Q176" t="inlineStr">
        <is>
          <t>PLANO</t>
        </is>
      </c>
      <c r="R176" t="inlineStr">
        <is>
          <t>Z09</t>
        </is>
      </c>
      <c r="S176" s="20" t="n">
        <v>46317</v>
      </c>
    </row>
    <row r="177">
      <c r="A177" t="inlineStr">
        <is>
          <t>HSE</t>
        </is>
      </c>
      <c r="B177" t="inlineStr">
        <is>
          <t>439122810</t>
        </is>
      </c>
      <c r="C177" t="n">
        <v>4391228</v>
      </c>
      <c r="D177" t="inlineStr">
        <is>
          <t>ABERTA</t>
        </is>
      </c>
      <c r="E177" s="20" t="n">
        <v>46311</v>
      </c>
      <c r="F177" t="n">
        <v>5</v>
      </c>
      <c r="G177" t="n">
        <v>3</v>
      </c>
      <c r="H177" s="20" t="n">
        <v>46311</v>
      </c>
      <c r="I177" t="n">
        <v>4391228</v>
      </c>
      <c r="J177" t="n">
        <v>10</v>
      </c>
      <c r="K177" t="inlineStr">
        <is>
          <t>HSE</t>
        </is>
      </c>
      <c r="L177" t="inlineStr">
        <is>
          <t>INS-1433 INSP TER CAMAROTE CASARIO</t>
        </is>
      </c>
      <c r="M177" t="inlineStr">
        <is>
          <t>INSP CAMAROTE CASARIO INS-1433 HSE 1S</t>
        </is>
      </c>
      <c r="N177" t="inlineStr">
        <is>
          <t>PERGC-FSAL</t>
        </is>
      </c>
      <c r="O177" t="inlineStr">
        <is>
          <t>SISTEMA ACOMODACOES OFICINAS E OUTROS</t>
        </is>
      </c>
      <c r="P177" t="n">
        <v>2</v>
      </c>
      <c r="Q177" t="inlineStr">
        <is>
          <t>PLANO</t>
        </is>
      </c>
      <c r="R177" t="inlineStr">
        <is>
          <t>Z09</t>
        </is>
      </c>
      <c r="S177" s="20" t="n">
        <v>46311</v>
      </c>
    </row>
    <row r="178">
      <c r="A178" t="inlineStr">
        <is>
          <t>HSE</t>
        </is>
      </c>
      <c r="B178" t="inlineStr">
        <is>
          <t>439292910</t>
        </is>
      </c>
      <c r="C178" t="n">
        <v>4392929</v>
      </c>
      <c r="D178" t="inlineStr">
        <is>
          <t>ABERTA</t>
        </is>
      </c>
      <c r="E178" s="20" t="n">
        <v>46318</v>
      </c>
      <c r="F178" t="n">
        <v>5</v>
      </c>
      <c r="G178" t="n">
        <v>3</v>
      </c>
      <c r="H178" s="20" t="n">
        <v>46318</v>
      </c>
      <c r="I178" t="n">
        <v>4392929</v>
      </c>
      <c r="J178" t="n">
        <v>10</v>
      </c>
      <c r="K178" t="inlineStr">
        <is>
          <t>HSE</t>
        </is>
      </c>
      <c r="L178" t="inlineStr">
        <is>
          <t>INS-1433 INSP TER CAMAROTE CASARIO</t>
        </is>
      </c>
      <c r="M178" t="inlineStr">
        <is>
          <t>INSP CAMAROTE CASARIO INS-1433 HSE 1S</t>
        </is>
      </c>
      <c r="N178" t="inlineStr">
        <is>
          <t>PERGC-FSAL</t>
        </is>
      </c>
      <c r="O178" t="inlineStr">
        <is>
          <t>SISTEMA ACOMODACOES OFICINAS E OUTROS</t>
        </is>
      </c>
      <c r="P178" t="n">
        <v>2</v>
      </c>
      <c r="Q178" t="inlineStr">
        <is>
          <t>PLANO</t>
        </is>
      </c>
      <c r="R178" t="inlineStr">
        <is>
          <t>Z09</t>
        </is>
      </c>
      <c r="S178" s="20" t="n">
        <v>46318</v>
      </c>
    </row>
    <row r="179">
      <c r="A179" t="inlineStr">
        <is>
          <t>HSE</t>
        </is>
      </c>
      <c r="B179" t="inlineStr">
        <is>
          <t>439426610</t>
        </is>
      </c>
      <c r="C179" t="n">
        <v>4394266</v>
      </c>
      <c r="D179" t="inlineStr">
        <is>
          <t>ABERTA</t>
        </is>
      </c>
      <c r="E179" s="20" t="n">
        <v>46323</v>
      </c>
      <c r="F179" t="n">
        <v>5</v>
      </c>
      <c r="G179" t="n">
        <v>3</v>
      </c>
      <c r="H179" s="20" t="n">
        <v>46325</v>
      </c>
      <c r="I179" t="n">
        <v>4394266</v>
      </c>
      <c r="J179" t="n">
        <v>10</v>
      </c>
      <c r="K179" t="inlineStr">
        <is>
          <t>HSE</t>
        </is>
      </c>
      <c r="L179" t="inlineStr">
        <is>
          <t>INS-1433 INSP TER CAMAROTE CASARIO</t>
        </is>
      </c>
      <c r="M179" t="inlineStr">
        <is>
          <t>INSP CAMAROTE CASARIO INS-1433 HSE 1S</t>
        </is>
      </c>
      <c r="N179" t="inlineStr">
        <is>
          <t>PERGC-FSAL</t>
        </is>
      </c>
      <c r="O179" t="inlineStr">
        <is>
          <t>SISTEMA ACOMODACOES OFICINAS E OUTROS</t>
        </is>
      </c>
      <c r="P179" t="n">
        <v>2</v>
      </c>
      <c r="Q179" t="inlineStr">
        <is>
          <t>PLANO</t>
        </is>
      </c>
      <c r="R179" t="inlineStr">
        <is>
          <t>Z09</t>
        </is>
      </c>
      <c r="S179" s="20" t="n">
        <v>46325</v>
      </c>
    </row>
    <row r="180">
      <c r="A180" t="inlineStr">
        <is>
          <t>MEC</t>
        </is>
      </c>
      <c r="B180" t="inlineStr">
        <is>
          <t>439293010</t>
        </is>
      </c>
      <c r="C180" t="n">
        <v>4392930</v>
      </c>
      <c r="D180" t="inlineStr">
        <is>
          <t>ENCERRADA</t>
        </is>
      </c>
      <c r="E180" s="20" t="n">
        <v>46318</v>
      </c>
      <c r="F180" t="n">
        <v>5</v>
      </c>
      <c r="G180" t="n">
        <v>3</v>
      </c>
      <c r="H180" s="20" t="n">
        <v>46318</v>
      </c>
      <c r="I180" t="n">
        <v>4392930</v>
      </c>
      <c r="J180" t="n">
        <v>10</v>
      </c>
      <c r="K180" t="inlineStr">
        <is>
          <t>MEC</t>
        </is>
      </c>
      <c r="L180" t="inlineStr">
        <is>
          <t>INS-1539 INSP REF REFRIG ALIM</t>
        </is>
      </c>
      <c r="M180" t="inlineStr">
        <is>
          <t>INSP SIST REFRIG ALIM INS-1539 MEC 1S</t>
        </is>
      </c>
      <c r="N180" t="inlineStr">
        <is>
          <t>PERGC-FSAL-COZ-01-01</t>
        </is>
      </c>
      <c r="O180" t="inlineStr">
        <is>
          <t>L210 COZINHA</t>
        </is>
      </c>
      <c r="P180" t="n">
        <v>1</v>
      </c>
      <c r="Q180" t="inlineStr">
        <is>
          <t>PLANO</t>
        </is>
      </c>
      <c r="R180" t="inlineStr">
        <is>
          <t>Z09</t>
        </is>
      </c>
      <c r="S180" s="20" t="n">
        <v>46318</v>
      </c>
    </row>
    <row r="181">
      <c r="A181" t="inlineStr">
        <is>
          <t>MEC</t>
        </is>
      </c>
      <c r="B181" t="inlineStr">
        <is>
          <t>439426710</t>
        </is>
      </c>
      <c r="C181" t="n">
        <v>4394267</v>
      </c>
      <c r="D181" t="inlineStr">
        <is>
          <t>ENCERRADA</t>
        </is>
      </c>
      <c r="E181" s="20" t="n">
        <v>46323</v>
      </c>
      <c r="F181" t="n">
        <v>5</v>
      </c>
      <c r="G181" t="n">
        <v>3</v>
      </c>
      <c r="H181" s="20" t="n">
        <v>46325</v>
      </c>
      <c r="I181" t="n">
        <v>4394267</v>
      </c>
      <c r="J181" t="n">
        <v>10</v>
      </c>
      <c r="K181" t="inlineStr">
        <is>
          <t>MEC</t>
        </is>
      </c>
      <c r="L181" t="inlineStr">
        <is>
          <t>INS-1539 INSP REF REFRIG ALIM</t>
        </is>
      </c>
      <c r="M181" t="inlineStr">
        <is>
          <t>INSP SIST REFRIG ALIM INS-1539 MEC 1S</t>
        </is>
      </c>
      <c r="N181" t="inlineStr">
        <is>
          <t>PERGC-FSAL-COZ-01-01</t>
        </is>
      </c>
      <c r="O181" t="inlineStr">
        <is>
          <t>L210 COZINHA</t>
        </is>
      </c>
      <c r="P181" t="n">
        <v>1</v>
      </c>
      <c r="Q181" t="inlineStr">
        <is>
          <t>PLANO</t>
        </is>
      </c>
      <c r="R181" t="inlineStr">
        <is>
          <t>Z09</t>
        </is>
      </c>
      <c r="S181" s="20" t="n">
        <v>46325</v>
      </c>
    </row>
    <row r="182">
      <c r="A182" t="inlineStr">
        <is>
          <t>ELE</t>
        </is>
      </c>
      <c r="B182" t="inlineStr">
        <is>
          <t>438658510</t>
        </is>
      </c>
      <c r="C182" t="n">
        <v>4386585</v>
      </c>
      <c r="D182" t="inlineStr">
        <is>
          <t>ENCERRADA</t>
        </is>
      </c>
      <c r="E182" s="20" t="n">
        <v>46322</v>
      </c>
      <c r="F182" t="n">
        <v>5</v>
      </c>
      <c r="G182" t="n">
        <v>3</v>
      </c>
      <c r="H182" s="20" t="n">
        <v>46322</v>
      </c>
      <c r="I182" t="n">
        <v>4386585</v>
      </c>
      <c r="J182" t="n">
        <v>10</v>
      </c>
      <c r="K182" t="inlineStr">
        <is>
          <t>ELE</t>
        </is>
      </c>
      <c r="L182" t="inlineStr">
        <is>
          <t>INS-1210 INSP ELE EQUIP LAVANDERIA</t>
        </is>
      </c>
      <c r="M182" t="inlineStr">
        <is>
          <t>INSP EQUIP LAVANDERIA INS-1210 ELE 3M</t>
        </is>
      </c>
      <c r="N182" t="inlineStr">
        <is>
          <t>PERGC-FSAL-LAV-01-04-01</t>
        </is>
      </c>
      <c r="O182" t="inlineStr">
        <is>
          <t>CJ EQUIPAMENTOS LAVANDERIA</t>
        </is>
      </c>
      <c r="P182" t="n">
        <v>0.5</v>
      </c>
      <c r="Q182" t="inlineStr">
        <is>
          <t>PLANO</t>
        </is>
      </c>
      <c r="R182" t="inlineStr">
        <is>
          <t>Z09</t>
        </is>
      </c>
      <c r="S182" s="20" t="n">
        <v>46322</v>
      </c>
    </row>
    <row r="183">
      <c r="A183" t="inlineStr">
        <is>
          <t>MEC</t>
        </is>
      </c>
      <c r="B183" t="inlineStr">
        <is>
          <t>438643410</t>
        </is>
      </c>
      <c r="C183" t="n">
        <v>4386434</v>
      </c>
      <c r="D183" t="inlineStr">
        <is>
          <t>ABERTA</t>
        </is>
      </c>
      <c r="E183" s="20" t="n">
        <v>46313</v>
      </c>
      <c r="F183" t="n">
        <v>3</v>
      </c>
      <c r="G183" t="n">
        <v>3</v>
      </c>
      <c r="H183" s="20" t="n">
        <v>46313</v>
      </c>
      <c r="I183" t="n">
        <v>4386434</v>
      </c>
      <c r="J183" t="n">
        <v>10</v>
      </c>
      <c r="K183" t="inlineStr">
        <is>
          <t>MEC</t>
        </is>
      </c>
      <c r="L183" t="inlineStr">
        <is>
          <t>INS-1813 INSP PRO FILTRO</t>
        </is>
      </c>
      <c r="M183" t="inlineStr">
        <is>
          <t>INSP FILTRO INS-1813 PRO 4M</t>
        </is>
      </c>
      <c r="N183" t="inlineStr">
        <is>
          <t>PERGC-FSAR-ARC-01-01</t>
        </is>
      </c>
      <c r="O183" t="inlineStr">
        <is>
          <t>CJ AR CONDICIONADO 77GA002A/B</t>
        </is>
      </c>
      <c r="P183" t="n">
        <v>3</v>
      </c>
      <c r="Q183" t="inlineStr">
        <is>
          <t>PLANO</t>
        </is>
      </c>
      <c r="R183" t="inlineStr">
        <is>
          <t>Z09</t>
        </is>
      </c>
      <c r="S183" s="20" t="n">
        <v>46313</v>
      </c>
    </row>
    <row r="184">
      <c r="A184" t="inlineStr">
        <is>
          <t>PRO</t>
        </is>
      </c>
      <c r="B184" t="inlineStr">
        <is>
          <t>438554510</t>
        </is>
      </c>
      <c r="C184" t="n">
        <v>4385545</v>
      </c>
      <c r="D184" t="inlineStr">
        <is>
          <t>LIBERADA</t>
        </is>
      </c>
      <c r="E184" s="20" t="n">
        <v>46318</v>
      </c>
      <c r="F184" t="n">
        <v>3</v>
      </c>
      <c r="G184" t="n">
        <v>2</v>
      </c>
      <c r="H184" s="20" t="n">
        <v>46318</v>
      </c>
      <c r="I184" t="n">
        <v>4385545</v>
      </c>
      <c r="J184" t="n">
        <v>10</v>
      </c>
      <c r="K184" t="inlineStr">
        <is>
          <t>LAB</t>
        </is>
      </c>
      <c r="L184" t="inlineStr">
        <is>
          <t>PTF-1322 TEST FUNC LAB ANALIS UMIDADE</t>
        </is>
      </c>
      <c r="M184" t="inlineStr">
        <is>
          <t>TEST FUNC ANALIS UMIDADE PTF-1322 INS 6M</t>
        </is>
      </c>
      <c r="N184" t="inlineStr">
        <is>
          <t>PERGC-FSAR-ARC-01-01-07-01</t>
        </is>
      </c>
      <c r="O184" t="inlineStr">
        <is>
          <t>77AT5336 ANALISADOR UMIDADE</t>
        </is>
      </c>
      <c r="P184" t="n">
        <v>3</v>
      </c>
      <c r="Q184" t="inlineStr">
        <is>
          <t>PLANO</t>
        </is>
      </c>
      <c r="R184" t="inlineStr">
        <is>
          <t>Z08</t>
        </is>
      </c>
      <c r="S184" s="20" t="n">
        <v>46318</v>
      </c>
    </row>
    <row r="185">
      <c r="A185" t="inlineStr">
        <is>
          <t>INS</t>
        </is>
      </c>
      <c r="B185" t="inlineStr">
        <is>
          <t>438554520</t>
        </is>
      </c>
      <c r="C185" t="n">
        <v>4385545</v>
      </c>
      <c r="D185" t="inlineStr">
        <is>
          <t>LIBERADA</t>
        </is>
      </c>
      <c r="E185" s="20" t="n">
        <v>46318</v>
      </c>
      <c r="F185" t="n">
        <v>3</v>
      </c>
      <c r="G185" t="n">
        <v>2</v>
      </c>
      <c r="H185" s="20" t="n">
        <v>46318</v>
      </c>
      <c r="I185" t="n">
        <v>4385545</v>
      </c>
      <c r="J185" t="n">
        <v>20</v>
      </c>
      <c r="K185" t="inlineStr">
        <is>
          <t>INS</t>
        </is>
      </c>
      <c r="L185" t="inlineStr">
        <is>
          <t>PTF-1322 TEST FUNC INS ANALIS UMIDADE</t>
        </is>
      </c>
      <c r="M185" t="inlineStr">
        <is>
          <t>TEST FUNC ANALIS UMIDADE PTF-1322 INS 6M</t>
        </is>
      </c>
      <c r="N185" t="inlineStr">
        <is>
          <t>PERGC-FSAR-ARC-01-01-07-01</t>
        </is>
      </c>
      <c r="O185" t="inlineStr">
        <is>
          <t>77AT5336 ANALISADOR UMIDADE</t>
        </is>
      </c>
      <c r="P185" t="n">
        <v>3</v>
      </c>
      <c r="Q185" t="inlineStr">
        <is>
          <t>PLANO</t>
        </is>
      </c>
      <c r="R185" t="inlineStr">
        <is>
          <t>Z08</t>
        </is>
      </c>
      <c r="S185" s="20" t="n">
        <v>46318</v>
      </c>
    </row>
    <row r="186">
      <c r="A186" t="inlineStr">
        <is>
          <t>AUT</t>
        </is>
      </c>
      <c r="B186" t="inlineStr">
        <is>
          <t>438554530</t>
        </is>
      </c>
      <c r="C186" t="n">
        <v>4385545</v>
      </c>
      <c r="D186" t="inlineStr">
        <is>
          <t>LIBERADA</t>
        </is>
      </c>
      <c r="E186" s="20" t="n">
        <v>46318</v>
      </c>
      <c r="F186" t="n">
        <v>3</v>
      </c>
      <c r="G186" t="n">
        <v>2</v>
      </c>
      <c r="H186" s="20" t="n">
        <v>46318</v>
      </c>
      <c r="I186" t="n">
        <v>4385545</v>
      </c>
      <c r="J186" t="n">
        <v>30</v>
      </c>
      <c r="K186" t="inlineStr">
        <is>
          <t>AUT</t>
        </is>
      </c>
      <c r="L186" t="inlineStr">
        <is>
          <t>PTF-1322 TEST FUNC AUT ANALIS UMIDADE</t>
        </is>
      </c>
      <c r="M186" t="inlineStr">
        <is>
          <t>TEST FUNC ANALIS UMIDADE PTF-1322 INS 6M</t>
        </is>
      </c>
      <c r="N186" t="inlineStr">
        <is>
          <t>PERGC-FSAR-ARC-01-01-07-01</t>
        </is>
      </c>
      <c r="O186" t="inlineStr">
        <is>
          <t>77AT5336 ANALISADOR UMIDADE</t>
        </is>
      </c>
      <c r="P186" t="n">
        <v>3</v>
      </c>
      <c r="Q186" t="inlineStr">
        <is>
          <t>PLANO</t>
        </is>
      </c>
      <c r="R186" t="inlineStr">
        <is>
          <t>Z08</t>
        </is>
      </c>
      <c r="S186" s="20" t="n">
        <v>46318</v>
      </c>
    </row>
    <row r="187">
      <c r="A187" t="inlineStr">
        <is>
          <t>ELE</t>
        </is>
      </c>
      <c r="B187" t="inlineStr">
        <is>
          <t>438670010</t>
        </is>
      </c>
      <c r="C187" t="n">
        <v>4386700</v>
      </c>
      <c r="D187" t="inlineStr">
        <is>
          <t>ABERTA</t>
        </is>
      </c>
      <c r="E187" s="20" t="n">
        <v>46318</v>
      </c>
      <c r="F187" t="n">
        <v>3</v>
      </c>
      <c r="G187" t="n">
        <v>2</v>
      </c>
      <c r="H187" s="20" t="n">
        <v>46318</v>
      </c>
      <c r="I187" t="n">
        <v>4386700</v>
      </c>
      <c r="J187" t="n">
        <v>10</v>
      </c>
      <c r="K187" t="inlineStr">
        <is>
          <t>ELE</t>
        </is>
      </c>
      <c r="L187" t="inlineStr">
        <is>
          <t>PSE-1200 MANUT ELE MOTOR BT</t>
        </is>
      </c>
      <c r="M187" t="inlineStr">
        <is>
          <t>MANUT MOTOR BAIXA TENSAO PSE-1200 ELE 1A</t>
        </is>
      </c>
      <c r="N187" t="inlineStr">
        <is>
          <t>PERGC-FSAR-ARC-04-01-01-04</t>
        </is>
      </c>
      <c r="O187" t="inlineStr">
        <is>
          <t>77GA003A-M01 MOTOR AHU</t>
        </is>
      </c>
      <c r="P187" t="n">
        <v>4</v>
      </c>
      <c r="Q187" t="inlineStr">
        <is>
          <t>PLANO</t>
        </is>
      </c>
      <c r="R187" t="inlineStr">
        <is>
          <t>Z12</t>
        </is>
      </c>
      <c r="S187" s="20" t="n">
        <v>46318</v>
      </c>
    </row>
    <row r="188">
      <c r="A188" t="inlineStr">
        <is>
          <t>ELE</t>
        </is>
      </c>
      <c r="B188" t="inlineStr">
        <is>
          <t>438550510</t>
        </is>
      </c>
      <c r="C188" t="n">
        <v>4385505</v>
      </c>
      <c r="D188" t="inlineStr">
        <is>
          <t>ABERTA</t>
        </is>
      </c>
      <c r="E188" s="20" t="n">
        <v>46320</v>
      </c>
      <c r="F188" t="n">
        <v>5</v>
      </c>
      <c r="G188" t="n">
        <v>2</v>
      </c>
      <c r="H188" s="20" t="n">
        <v>46320</v>
      </c>
      <c r="I188" t="n">
        <v>4385505</v>
      </c>
      <c r="J188" t="n">
        <v>10</v>
      </c>
      <c r="K188" t="inlineStr">
        <is>
          <t>ELE</t>
        </is>
      </c>
      <c r="L188" t="inlineStr">
        <is>
          <t>PSE-1200 MANUT ELE MOTOR BT</t>
        </is>
      </c>
      <c r="M188" t="inlineStr">
        <is>
          <t>MANUT MOTOR BAIXA TENSAO PSE-1200 ELE 1A</t>
        </is>
      </c>
      <c r="N188" t="inlineStr">
        <is>
          <t>PERGC-FSAR-ARC-04-01-04-04</t>
        </is>
      </c>
      <c r="O188" t="inlineStr">
        <is>
          <t>77GA003B-M01 MOTOR AHU</t>
        </is>
      </c>
      <c r="P188" t="n">
        <v>4</v>
      </c>
      <c r="Q188" t="inlineStr">
        <is>
          <t>PLANO</t>
        </is>
      </c>
      <c r="R188" t="inlineStr">
        <is>
          <t>Z12</t>
        </is>
      </c>
      <c r="S188" s="20" t="n">
        <v>46320</v>
      </c>
    </row>
    <row r="189">
      <c r="A189" t="inlineStr">
        <is>
          <t>MEC</t>
        </is>
      </c>
      <c r="B189" t="inlineStr">
        <is>
          <t>438588110</t>
        </is>
      </c>
      <c r="C189" t="n">
        <v>4385881</v>
      </c>
      <c r="D189" t="inlineStr">
        <is>
          <t>ABERTA</t>
        </is>
      </c>
      <c r="E189" s="20" t="n">
        <v>46315</v>
      </c>
      <c r="F189" t="n">
        <v>3</v>
      </c>
      <c r="G189" t="n">
        <v>3</v>
      </c>
      <c r="H189" s="20" t="n">
        <v>46315</v>
      </c>
      <c r="I189" t="n">
        <v>4385881</v>
      </c>
      <c r="J189" t="n">
        <v>10</v>
      </c>
      <c r="K189" t="inlineStr">
        <is>
          <t>MEC</t>
        </is>
      </c>
      <c r="L189" t="inlineStr">
        <is>
          <t>INS-1813 INSP PRO FILTRO</t>
        </is>
      </c>
      <c r="M189" t="inlineStr">
        <is>
          <t>INSP FILTRO INS-1813 PRO 4M</t>
        </is>
      </c>
      <c r="N189" t="inlineStr">
        <is>
          <t>PERGC-FSAR-ARC-07-01</t>
        </is>
      </c>
      <c r="O189" t="inlineStr">
        <is>
          <t>CJ AR CONDICIONADO 77GA004A/B</t>
        </is>
      </c>
      <c r="P189" t="n">
        <v>3</v>
      </c>
      <c r="Q189" t="inlineStr">
        <is>
          <t>PLANO</t>
        </is>
      </c>
      <c r="R189" t="inlineStr">
        <is>
          <t>Z09</t>
        </is>
      </c>
      <c r="S189" s="20" t="n">
        <v>46315</v>
      </c>
    </row>
    <row r="190">
      <c r="A190" t="inlineStr">
        <is>
          <t>ELE</t>
        </is>
      </c>
      <c r="B190" t="inlineStr">
        <is>
          <t>438669810</t>
        </is>
      </c>
      <c r="C190" t="n">
        <v>4386698</v>
      </c>
      <c r="D190" t="inlineStr">
        <is>
          <t>ABERTA</t>
        </is>
      </c>
      <c r="E190" s="20" t="n">
        <v>46322</v>
      </c>
      <c r="F190" t="n">
        <v>3</v>
      </c>
      <c r="G190" t="n">
        <v>2</v>
      </c>
      <c r="H190" s="20" t="n">
        <v>46322</v>
      </c>
      <c r="I190" t="n">
        <v>4386698</v>
      </c>
      <c r="J190" t="n">
        <v>10</v>
      </c>
      <c r="K190" t="inlineStr">
        <is>
          <t>ELE</t>
        </is>
      </c>
      <c r="L190" t="inlineStr">
        <is>
          <t>PTF-1301 TEST FUNC INS BOTOEIRAS</t>
        </is>
      </c>
      <c r="M190" t="inlineStr">
        <is>
          <t>TEST FUNC BOTOEIRAS PTF-1301 INS 6M</t>
        </is>
      </c>
      <c r="N190" t="inlineStr">
        <is>
          <t>PERGC-FSAR-ARC-10-01-16</t>
        </is>
      </c>
      <c r="O190" t="inlineStr">
        <is>
          <t>77GA005-M01-S02 BOTOEIRA EMERG E-STOP</t>
        </is>
      </c>
      <c r="P190" t="n">
        <v>4</v>
      </c>
      <c r="Q190" t="inlineStr">
        <is>
          <t>PLANO</t>
        </is>
      </c>
      <c r="R190" t="inlineStr">
        <is>
          <t>Z08</t>
        </is>
      </c>
      <c r="S190" s="20" t="n">
        <v>46322</v>
      </c>
    </row>
    <row r="191">
      <c r="A191" t="inlineStr">
        <is>
          <t>PRO</t>
        </is>
      </c>
      <c r="B191" t="inlineStr">
        <is>
          <t>438670510</t>
        </is>
      </c>
      <c r="C191" t="n">
        <v>4386705</v>
      </c>
      <c r="D191" t="inlineStr">
        <is>
          <t>ABERTA</t>
        </is>
      </c>
      <c r="E191" s="20" t="n">
        <v>46312</v>
      </c>
      <c r="F191" t="n">
        <v>3</v>
      </c>
      <c r="G191" t="n">
        <v>2</v>
      </c>
      <c r="H191" s="20" t="n">
        <v>46312</v>
      </c>
      <c r="I191" t="n">
        <v>4386705</v>
      </c>
      <c r="J191" t="n">
        <v>10</v>
      </c>
      <c r="K191" t="inlineStr">
        <is>
          <t>LAB</t>
        </is>
      </c>
      <c r="L191" t="inlineStr">
        <is>
          <t>PTF-1322 TEST FUNC LAB ANALIS UMIDADE</t>
        </is>
      </c>
      <c r="M191" t="inlineStr">
        <is>
          <t>TEST FUNC ANALIS UMIDADE PTF-1322 INS 6M</t>
        </is>
      </c>
      <c r="N191" t="inlineStr">
        <is>
          <t>PERGC-FSAR-ARC-10-01-28-01</t>
        </is>
      </c>
      <c r="O191" t="inlineStr">
        <is>
          <t>77AT5503 ANALISADOR UMIDADE</t>
        </is>
      </c>
      <c r="P191" t="n">
        <v>3</v>
      </c>
      <c r="Q191" t="inlineStr">
        <is>
          <t>PLANO</t>
        </is>
      </c>
      <c r="R191" t="inlineStr">
        <is>
          <t>Z08</t>
        </is>
      </c>
      <c r="S191" s="20" t="n">
        <v>46312</v>
      </c>
    </row>
    <row r="192">
      <c r="A192" t="inlineStr">
        <is>
          <t>INS</t>
        </is>
      </c>
      <c r="B192" t="inlineStr">
        <is>
          <t>438670520</t>
        </is>
      </c>
      <c r="C192" t="n">
        <v>4386705</v>
      </c>
      <c r="D192" t="inlineStr">
        <is>
          <t>ABERTA</t>
        </is>
      </c>
      <c r="E192" s="20" t="n">
        <v>46312</v>
      </c>
      <c r="F192" t="n">
        <v>3</v>
      </c>
      <c r="G192" t="n">
        <v>2</v>
      </c>
      <c r="H192" s="20" t="n">
        <v>46312</v>
      </c>
      <c r="I192" t="n">
        <v>4386705</v>
      </c>
      <c r="J192" t="n">
        <v>20</v>
      </c>
      <c r="K192" t="inlineStr">
        <is>
          <t>INS</t>
        </is>
      </c>
      <c r="L192" t="inlineStr">
        <is>
          <t>PTF-1322 TEST FUNC INS ANALIS UMIDADE</t>
        </is>
      </c>
      <c r="M192" t="inlineStr">
        <is>
          <t>TEST FUNC ANALIS UMIDADE PTF-1322 INS 6M</t>
        </is>
      </c>
      <c r="N192" t="inlineStr">
        <is>
          <t>PERGC-FSAR-ARC-10-01-28-01</t>
        </is>
      </c>
      <c r="O192" t="inlineStr">
        <is>
          <t>77AT5503 ANALISADOR UMIDADE</t>
        </is>
      </c>
      <c r="P192" t="n">
        <v>3</v>
      </c>
      <c r="Q192" t="inlineStr">
        <is>
          <t>PLANO</t>
        </is>
      </c>
      <c r="R192" t="inlineStr">
        <is>
          <t>Z08</t>
        </is>
      </c>
      <c r="S192" s="20" t="n">
        <v>46312</v>
      </c>
    </row>
    <row r="193">
      <c r="A193" t="inlineStr">
        <is>
          <t>AUT</t>
        </is>
      </c>
      <c r="B193" t="inlineStr">
        <is>
          <t>438670530</t>
        </is>
      </c>
      <c r="C193" t="n">
        <v>4386705</v>
      </c>
      <c r="D193" t="inlineStr">
        <is>
          <t>ABERTA</t>
        </is>
      </c>
      <c r="E193" s="20" t="n">
        <v>46312</v>
      </c>
      <c r="F193" t="n">
        <v>5</v>
      </c>
      <c r="G193" t="n">
        <v>2</v>
      </c>
      <c r="H193" s="20" t="n">
        <v>46312</v>
      </c>
      <c r="I193" t="n">
        <v>4386705</v>
      </c>
      <c r="J193" t="n">
        <v>30</v>
      </c>
      <c r="K193" t="inlineStr">
        <is>
          <t>AUT</t>
        </is>
      </c>
      <c r="L193" t="inlineStr">
        <is>
          <t>PTF-1322 TEST FUNC AUT ANALIS UMIDADE</t>
        </is>
      </c>
      <c r="M193" t="inlineStr">
        <is>
          <t>TEST FUNC ANALIS UMIDADE PTF-1322 INS 6M</t>
        </is>
      </c>
      <c r="N193" t="inlineStr">
        <is>
          <t>PERGC-FSAR-ARC-10-01-28-01</t>
        </is>
      </c>
      <c r="O193" t="inlineStr">
        <is>
          <t>77AT5503 ANALISADOR UMIDADE</t>
        </is>
      </c>
      <c r="P193" t="n">
        <v>3</v>
      </c>
      <c r="Q193" t="inlineStr">
        <is>
          <t>PLANO</t>
        </is>
      </c>
      <c r="R193" t="inlineStr">
        <is>
          <t>Z08</t>
        </is>
      </c>
      <c r="S193" s="20" t="n">
        <v>46312</v>
      </c>
    </row>
    <row r="194">
      <c r="A194" t="inlineStr">
        <is>
          <t>MEC</t>
        </is>
      </c>
      <c r="B194" t="inlineStr">
        <is>
          <t>438649110</t>
        </is>
      </c>
      <c r="C194" t="n">
        <v>4386491</v>
      </c>
      <c r="D194" t="inlineStr">
        <is>
          <t>ABERTA</t>
        </is>
      </c>
      <c r="E194" s="20" t="n">
        <v>46317</v>
      </c>
      <c r="F194" t="n">
        <v>3</v>
      </c>
      <c r="G194" t="n">
        <v>3</v>
      </c>
      <c r="H194" s="20" t="n">
        <v>46317</v>
      </c>
      <c r="I194" t="n">
        <v>4386491</v>
      </c>
      <c r="J194" t="n">
        <v>10</v>
      </c>
      <c r="K194" t="inlineStr">
        <is>
          <t>MEC</t>
        </is>
      </c>
      <c r="L194" t="inlineStr">
        <is>
          <t>INS-1813 INSP PRO FILTRO</t>
        </is>
      </c>
      <c r="M194" t="inlineStr">
        <is>
          <t>INSP FILTRO INS-1813 PRO 4M</t>
        </is>
      </c>
      <c r="N194" t="inlineStr">
        <is>
          <t>PERGC-FSAR-ARC-16-04</t>
        </is>
      </c>
      <c r="O194" t="inlineStr">
        <is>
          <t>CJ AR CONDICIONADO 77GA401B</t>
        </is>
      </c>
      <c r="P194" t="n">
        <v>3</v>
      </c>
      <c r="Q194" t="inlineStr">
        <is>
          <t>PLANO</t>
        </is>
      </c>
      <c r="R194" t="inlineStr">
        <is>
          <t>Z09</t>
        </is>
      </c>
      <c r="S194" s="20" t="n">
        <v>46317</v>
      </c>
    </row>
    <row r="195">
      <c r="A195" t="inlineStr">
        <is>
          <t>ELE</t>
        </is>
      </c>
      <c r="B195" t="inlineStr">
        <is>
          <t>438670110</t>
        </is>
      </c>
      <c r="C195" t="n">
        <v>4386701</v>
      </c>
      <c r="D195" t="inlineStr">
        <is>
          <t>ABERTA</t>
        </is>
      </c>
      <c r="E195" s="20" t="n">
        <v>46320</v>
      </c>
      <c r="F195" t="n">
        <v>3</v>
      </c>
      <c r="G195" t="n">
        <v>2</v>
      </c>
      <c r="H195" s="20" t="n">
        <v>46320</v>
      </c>
      <c r="I195" t="n">
        <v>4386701</v>
      </c>
      <c r="J195" t="n">
        <v>10</v>
      </c>
      <c r="K195" t="inlineStr">
        <is>
          <t>ELE</t>
        </is>
      </c>
      <c r="L195" t="inlineStr">
        <is>
          <t>PSE-1200 MANUT ELE MOTOR BT</t>
        </is>
      </c>
      <c r="M195" t="inlineStr">
        <is>
          <t>MANUT MOTOR BAIXA TENSAO PSE-1200 ELE 1A</t>
        </is>
      </c>
      <c r="N195" t="inlineStr">
        <is>
          <t>PERGC-FSAR-ARC-19-04-04</t>
        </is>
      </c>
      <c r="O195" t="inlineStr">
        <is>
          <t>97KB401A-M01 MOTOR COMPRESSOR</t>
        </is>
      </c>
      <c r="P195" t="n">
        <v>4</v>
      </c>
      <c r="Q195" t="inlineStr">
        <is>
          <t>PLANO</t>
        </is>
      </c>
      <c r="R195" t="inlineStr">
        <is>
          <t>Z12</t>
        </is>
      </c>
      <c r="S195" s="20" t="n">
        <v>46320</v>
      </c>
    </row>
    <row r="196">
      <c r="A196" t="inlineStr">
        <is>
          <t>ELE</t>
        </is>
      </c>
      <c r="B196" t="inlineStr">
        <is>
          <t>438551710</t>
        </is>
      </c>
      <c r="C196" t="n">
        <v>4385517</v>
      </c>
      <c r="D196" t="inlineStr">
        <is>
          <t>ABERTA</t>
        </is>
      </c>
      <c r="E196" s="20" t="n">
        <v>46320</v>
      </c>
      <c r="F196" t="n">
        <v>5</v>
      </c>
      <c r="G196" t="n">
        <v>2</v>
      </c>
      <c r="H196" s="20" t="n">
        <v>46320</v>
      </c>
      <c r="I196" t="n">
        <v>4385517</v>
      </c>
      <c r="J196" t="n">
        <v>10</v>
      </c>
      <c r="K196" t="inlineStr">
        <is>
          <t>ELE</t>
        </is>
      </c>
      <c r="L196" t="inlineStr">
        <is>
          <t>PSE-1200 MANUT ELE MOTOR BT</t>
        </is>
      </c>
      <c r="M196" t="inlineStr">
        <is>
          <t>MANUT MOTOR BAIXA TENSAO PSE-1200 ELE 1A</t>
        </is>
      </c>
      <c r="N196" t="inlineStr">
        <is>
          <t>PERGC-FSAR-ARC-19-04-07-04</t>
        </is>
      </c>
      <c r="O196" t="inlineStr">
        <is>
          <t>97HE401A-M01 MOTOR VENTILADOR</t>
        </is>
      </c>
      <c r="P196" t="n">
        <v>4</v>
      </c>
      <c r="Q196" t="inlineStr">
        <is>
          <t>PLANO</t>
        </is>
      </c>
      <c r="R196" t="inlineStr">
        <is>
          <t>Z12</t>
        </is>
      </c>
      <c r="S196" s="20" t="n">
        <v>46320</v>
      </c>
    </row>
    <row r="197">
      <c r="A197" t="inlineStr">
        <is>
          <t>ELE</t>
        </is>
      </c>
      <c r="B197" t="inlineStr">
        <is>
          <t>438644410</t>
        </is>
      </c>
      <c r="C197" t="n">
        <v>4386444</v>
      </c>
      <c r="D197" t="inlineStr">
        <is>
          <t>ABERTA</t>
        </is>
      </c>
      <c r="E197" s="20" t="n">
        <v>46324</v>
      </c>
      <c r="F197" t="n">
        <v>3</v>
      </c>
      <c r="G197" t="n">
        <v>3</v>
      </c>
      <c r="H197" s="20" t="n">
        <v>46314</v>
      </c>
      <c r="I197" t="n">
        <v>4386444</v>
      </c>
      <c r="J197" t="n">
        <v>10</v>
      </c>
      <c r="K197" t="inlineStr">
        <is>
          <t>ELE</t>
        </is>
      </c>
      <c r="L197" t="inlineStr">
        <is>
          <t>PSE-1812 MANUT PRO CONDE/TROC CALOR</t>
        </is>
      </c>
      <c r="M197" t="inlineStr">
        <is>
          <t>MANUT TROCADOR PSE-1812 PRO 1A</t>
        </is>
      </c>
      <c r="N197" t="inlineStr">
        <is>
          <t>PERGC-FSAR-ARC-22-10-10</t>
        </is>
      </c>
      <c r="O197" t="inlineStr">
        <is>
          <t>97FE414 AQUECEDOR</t>
        </is>
      </c>
      <c r="P197" t="n">
        <v>1</v>
      </c>
      <c r="Q197" t="inlineStr">
        <is>
          <t>PLANO</t>
        </is>
      </c>
      <c r="R197" t="inlineStr">
        <is>
          <t>Z12</t>
        </is>
      </c>
      <c r="S197" s="20" t="n">
        <v>46314</v>
      </c>
    </row>
    <row r="198">
      <c r="A198" t="inlineStr">
        <is>
          <t>ELE</t>
        </is>
      </c>
      <c r="B198" t="inlineStr">
        <is>
          <t>438670610</t>
        </is>
      </c>
      <c r="C198" t="n">
        <v>4386706</v>
      </c>
      <c r="D198" t="inlineStr">
        <is>
          <t>ENCERRADA</t>
        </is>
      </c>
      <c r="E198" s="20" t="n">
        <v>46311</v>
      </c>
      <c r="F198" t="n">
        <v>3</v>
      </c>
      <c r="G198" t="n">
        <v>2</v>
      </c>
      <c r="H198" s="20" t="n">
        <v>46311</v>
      </c>
      <c r="I198" t="n">
        <v>4386706</v>
      </c>
      <c r="J198" t="n">
        <v>10</v>
      </c>
      <c r="K198" t="inlineStr">
        <is>
          <t>ELE</t>
        </is>
      </c>
      <c r="L198" t="inlineStr">
        <is>
          <t>PSE-1812 MANUT PRO CONDE/TROC CALOR</t>
        </is>
      </c>
      <c r="M198" t="inlineStr">
        <is>
          <t>MANUT TROCADOR PSE-1812 PRO 1A</t>
        </is>
      </c>
      <c r="N198" t="inlineStr">
        <is>
          <t>PERGC-FSAR-ARC-28-10-01</t>
        </is>
      </c>
      <c r="O198" t="inlineStr">
        <is>
          <t>97GK412 VENTILADOR</t>
        </is>
      </c>
      <c r="P198" t="n">
        <v>1</v>
      </c>
      <c r="Q198" t="inlineStr">
        <is>
          <t>PLANO</t>
        </is>
      </c>
      <c r="R198" t="inlineStr">
        <is>
          <t>Z12</t>
        </is>
      </c>
      <c r="S198" s="20" t="n">
        <v>46311</v>
      </c>
    </row>
    <row r="199">
      <c r="A199" t="inlineStr">
        <is>
          <t>ELE</t>
        </is>
      </c>
      <c r="B199" t="inlineStr">
        <is>
          <t>438549210</t>
        </is>
      </c>
      <c r="C199" t="n">
        <v>4385492</v>
      </c>
      <c r="D199" t="inlineStr">
        <is>
          <t>ENCERRADA</t>
        </is>
      </c>
      <c r="E199" s="20" t="n">
        <v>46317</v>
      </c>
      <c r="F199" t="n">
        <v>3</v>
      </c>
      <c r="G199" t="n">
        <v>2</v>
      </c>
      <c r="H199" s="20" t="n">
        <v>46317</v>
      </c>
      <c r="I199" t="n">
        <v>4385492</v>
      </c>
      <c r="J199" t="n">
        <v>10</v>
      </c>
      <c r="K199" t="inlineStr">
        <is>
          <t>ELE</t>
        </is>
      </c>
      <c r="L199" t="inlineStr">
        <is>
          <t>PSE-1812 MANUT PRO CONDE/TROC CALOR</t>
        </is>
      </c>
      <c r="M199" t="inlineStr">
        <is>
          <t>MANUT TROCADOR PSE-1812 PRO 1A</t>
        </is>
      </c>
      <c r="N199" t="inlineStr">
        <is>
          <t>PERGC-FSAR-ARC-28-10-07</t>
        </is>
      </c>
      <c r="O199" t="inlineStr">
        <is>
          <t>97FE417 AQUECEDOR</t>
        </is>
      </c>
      <c r="P199" t="n">
        <v>1</v>
      </c>
      <c r="Q199" t="inlineStr">
        <is>
          <t>PLANO</t>
        </is>
      </c>
      <c r="R199" t="inlineStr">
        <is>
          <t>Z12</t>
        </is>
      </c>
      <c r="S199" s="20" t="n">
        <v>46317</v>
      </c>
    </row>
    <row r="200">
      <c r="A200" t="inlineStr">
        <is>
          <t>ELE</t>
        </is>
      </c>
      <c r="B200" t="inlineStr">
        <is>
          <t>438670710</t>
        </is>
      </c>
      <c r="C200" t="n">
        <v>4386707</v>
      </c>
      <c r="D200" t="inlineStr">
        <is>
          <t>ABERTA</t>
        </is>
      </c>
      <c r="E200" s="20" t="n">
        <v>46311</v>
      </c>
      <c r="F200" t="n">
        <v>3</v>
      </c>
      <c r="G200" t="n">
        <v>2</v>
      </c>
      <c r="H200" s="20" t="n">
        <v>46311</v>
      </c>
      <c r="I200" t="n">
        <v>4386707</v>
      </c>
      <c r="J200" t="n">
        <v>10</v>
      </c>
      <c r="K200" t="inlineStr">
        <is>
          <t>ELE</t>
        </is>
      </c>
      <c r="L200" t="inlineStr">
        <is>
          <t>PSE-1812 MANUT PRO CONDE/TROC CALOR</t>
        </is>
      </c>
      <c r="M200" t="inlineStr">
        <is>
          <t>MANUT TROCADOR PSE-1812 PRO 1A</t>
        </is>
      </c>
      <c r="N200" t="inlineStr">
        <is>
          <t>PERGC-FSAR-CHI-01-28</t>
        </is>
      </c>
      <c r="O200" t="inlineStr">
        <is>
          <t>77HB001C INTERNAL HEAT EXCHANGER C</t>
        </is>
      </c>
      <c r="P200" t="n">
        <v>1</v>
      </c>
      <c r="Q200" t="inlineStr">
        <is>
          <t>PLANO</t>
        </is>
      </c>
      <c r="R200" t="inlineStr">
        <is>
          <t>Z12</t>
        </is>
      </c>
      <c r="S200" s="20" t="n">
        <v>46311</v>
      </c>
    </row>
    <row r="201">
      <c r="A201" t="inlineStr">
        <is>
          <t>ELE</t>
        </is>
      </c>
      <c r="B201" t="inlineStr">
        <is>
          <t>438555910</t>
        </is>
      </c>
      <c r="C201" t="n">
        <v>4385559</v>
      </c>
      <c r="D201" t="inlineStr">
        <is>
          <t>ENCERRADA</t>
        </is>
      </c>
      <c r="E201" s="20" t="n">
        <v>46316</v>
      </c>
      <c r="F201" t="n">
        <v>3</v>
      </c>
      <c r="G201" t="n">
        <v>2</v>
      </c>
      <c r="H201" s="20" t="n">
        <v>46316</v>
      </c>
      <c r="I201" t="n">
        <v>4385559</v>
      </c>
      <c r="J201" t="n">
        <v>10</v>
      </c>
      <c r="K201" t="inlineStr">
        <is>
          <t>ELE</t>
        </is>
      </c>
      <c r="L201" t="inlineStr">
        <is>
          <t>PSE-1812 MANUT PRO CONDE/TROC CALOR</t>
        </is>
      </c>
      <c r="M201" t="inlineStr">
        <is>
          <t>MANUT TROCADOR PSE-1812 PRO 1A</t>
        </is>
      </c>
      <c r="N201" t="inlineStr">
        <is>
          <t>PERGC-FSAR-CHI-01-40-01</t>
        </is>
      </c>
      <c r="O201" t="inlineStr">
        <is>
          <t>77KC001A COMPRESSOR 1</t>
        </is>
      </c>
      <c r="P201" t="n">
        <v>1</v>
      </c>
      <c r="Q201" t="inlineStr">
        <is>
          <t>PLANO</t>
        </is>
      </c>
      <c r="R201" t="inlineStr">
        <is>
          <t>Z12</t>
        </is>
      </c>
      <c r="S201" s="20" t="n">
        <v>46316</v>
      </c>
    </row>
    <row r="202">
      <c r="A202" t="inlineStr">
        <is>
          <t>ELE</t>
        </is>
      </c>
      <c r="B202" t="inlineStr">
        <is>
          <t>438557110</t>
        </is>
      </c>
      <c r="C202" t="n">
        <v>4385571</v>
      </c>
      <c r="D202" t="inlineStr">
        <is>
          <t>LIBERADA</t>
        </is>
      </c>
      <c r="E202" s="20" t="n">
        <v>46317</v>
      </c>
      <c r="F202" t="n">
        <v>3</v>
      </c>
      <c r="G202" t="n">
        <v>2</v>
      </c>
      <c r="H202" s="20" t="n">
        <v>46317</v>
      </c>
      <c r="I202" t="n">
        <v>4385571</v>
      </c>
      <c r="J202" t="n">
        <v>10</v>
      </c>
      <c r="K202" t="inlineStr">
        <is>
          <t>ELE</t>
        </is>
      </c>
      <c r="L202" t="inlineStr">
        <is>
          <t>PSE-1812 MANUT PRO CONDE/TROC CALOR</t>
        </is>
      </c>
      <c r="M202" t="inlineStr">
        <is>
          <t>MANUT TROCADOR PSE-1812 PRO 1A</t>
        </is>
      </c>
      <c r="N202" t="inlineStr">
        <is>
          <t>PERGC-FSAR-CHI-04-22</t>
        </is>
      </c>
      <c r="O202" t="inlineStr">
        <is>
          <t>77HB002A INTERNAL HEAT EXCHANGER A</t>
        </is>
      </c>
      <c r="P202" t="n">
        <v>1</v>
      </c>
      <c r="Q202" t="inlineStr">
        <is>
          <t>PLANO</t>
        </is>
      </c>
      <c r="R202" t="inlineStr">
        <is>
          <t>Z12</t>
        </is>
      </c>
      <c r="S202" s="20" t="n">
        <v>46317</v>
      </c>
    </row>
    <row r="203">
      <c r="A203" t="inlineStr">
        <is>
          <t>ELE</t>
        </is>
      </c>
      <c r="B203" t="inlineStr">
        <is>
          <t>438554410</t>
        </is>
      </c>
      <c r="C203" t="n">
        <v>4385544</v>
      </c>
      <c r="D203" t="inlineStr">
        <is>
          <t>ENCERRADA</t>
        </is>
      </c>
      <c r="E203" s="20" t="n">
        <v>46313</v>
      </c>
      <c r="F203" t="n">
        <v>3</v>
      </c>
      <c r="G203" t="n">
        <v>2</v>
      </c>
      <c r="H203" s="20" t="n">
        <v>46313</v>
      </c>
      <c r="I203" t="n">
        <v>4385544</v>
      </c>
      <c r="J203" t="n">
        <v>10</v>
      </c>
      <c r="K203" t="inlineStr">
        <is>
          <t>ELE</t>
        </is>
      </c>
      <c r="L203" t="inlineStr">
        <is>
          <t>PSE-1812 MANUT PRO CONDE/TROC CALOR</t>
        </is>
      </c>
      <c r="M203" t="inlineStr">
        <is>
          <t>MANUT TROCADOR PSE-1812 PRO 1A</t>
        </is>
      </c>
      <c r="N203" t="inlineStr">
        <is>
          <t>PERGC-FSAR-CHI-07-16-01</t>
        </is>
      </c>
      <c r="O203" t="inlineStr">
        <is>
          <t>77HA005B SW CONDENSER 2</t>
        </is>
      </c>
      <c r="P203" t="n">
        <v>1</v>
      </c>
      <c r="Q203" t="inlineStr">
        <is>
          <t>PLANO</t>
        </is>
      </c>
      <c r="R203" t="inlineStr">
        <is>
          <t>Z12</t>
        </is>
      </c>
      <c r="S203" s="20" t="n">
        <v>46313</v>
      </c>
    </row>
    <row r="204">
      <c r="A204" t="inlineStr">
        <is>
          <t>ELE</t>
        </is>
      </c>
      <c r="B204" t="inlineStr">
        <is>
          <t>438670210</t>
        </is>
      </c>
      <c r="C204" t="n">
        <v>4386702</v>
      </c>
      <c r="D204" t="inlineStr">
        <is>
          <t>ABERTA</t>
        </is>
      </c>
      <c r="E204" s="20" t="n">
        <v>46324</v>
      </c>
      <c r="F204" t="n">
        <v>3</v>
      </c>
      <c r="G204" t="n">
        <v>2</v>
      </c>
      <c r="H204" s="20" t="n">
        <v>46314</v>
      </c>
      <c r="I204" t="n">
        <v>4386702</v>
      </c>
      <c r="J204" t="n">
        <v>10</v>
      </c>
      <c r="K204" t="inlineStr">
        <is>
          <t>ELE</t>
        </is>
      </c>
      <c r="L204" t="inlineStr">
        <is>
          <t>PSE-1200 MANUT ELE MOTOR BT</t>
        </is>
      </c>
      <c r="M204" t="inlineStr">
        <is>
          <t>MANUT MOTOR BAIXA TENSAO PSE-1200 ELE 1A</t>
        </is>
      </c>
      <c r="N204" t="inlineStr">
        <is>
          <t>PERGC-FSAR-CHI-07-43-04</t>
        </is>
      </c>
      <c r="O204" t="inlineStr">
        <is>
          <t>77KC003B-M01 MOTOR COMPRESSOR</t>
        </is>
      </c>
      <c r="P204" t="n">
        <v>4</v>
      </c>
      <c r="Q204" t="inlineStr">
        <is>
          <t>PLANO</t>
        </is>
      </c>
      <c r="R204" t="inlineStr">
        <is>
          <t>Z12</t>
        </is>
      </c>
      <c r="S204" s="20" t="n">
        <v>46314</v>
      </c>
    </row>
    <row r="205">
      <c r="A205" t="inlineStr">
        <is>
          <t>PRO</t>
        </is>
      </c>
      <c r="B205" t="inlineStr">
        <is>
          <t>438553210</t>
        </is>
      </c>
      <c r="C205" t="n">
        <v>4385532</v>
      </c>
      <c r="D205" t="inlineStr">
        <is>
          <t>ENCERRADA</t>
        </is>
      </c>
      <c r="E205" s="20" t="n">
        <v>46319</v>
      </c>
      <c r="F205" t="n">
        <v>3</v>
      </c>
      <c r="G205" t="n">
        <v>2</v>
      </c>
      <c r="H205" s="20" t="n">
        <v>46319</v>
      </c>
      <c r="I205" t="n">
        <v>4385532</v>
      </c>
      <c r="J205" t="n">
        <v>10</v>
      </c>
      <c r="K205" t="inlineStr">
        <is>
          <t>PRO</t>
        </is>
      </c>
      <c r="L205" t="inlineStr">
        <is>
          <t>INS-1813 INSP PRO FILTRO</t>
        </is>
      </c>
      <c r="M205" t="inlineStr">
        <is>
          <t>INSP FILTRO INS-1813 PRO 4M</t>
        </is>
      </c>
      <c r="N205" t="inlineStr">
        <is>
          <t>PERGC-FSAR-CHI-10-19-01</t>
        </is>
      </c>
      <c r="O205" t="inlineStr">
        <is>
          <t>SI-0108 FILTRO TEMPORARIO</t>
        </is>
      </c>
      <c r="P205" t="n">
        <v>3</v>
      </c>
      <c r="Q205" t="inlineStr">
        <is>
          <t>PLANO</t>
        </is>
      </c>
      <c r="R205" t="inlineStr">
        <is>
          <t>Z09</t>
        </is>
      </c>
      <c r="S205" s="20" t="n">
        <v>46319</v>
      </c>
    </row>
    <row r="206">
      <c r="A206" t="inlineStr">
        <is>
          <t>ELE</t>
        </is>
      </c>
      <c r="B206" t="inlineStr">
        <is>
          <t>438550210</t>
        </is>
      </c>
      <c r="C206" t="n">
        <v>4385502</v>
      </c>
      <c r="D206" t="inlineStr">
        <is>
          <t>ENCERRADA</t>
        </is>
      </c>
      <c r="E206" s="20" t="n">
        <v>46316</v>
      </c>
      <c r="F206" t="n">
        <v>3</v>
      </c>
      <c r="G206" t="n">
        <v>2</v>
      </c>
      <c r="H206" s="20" t="n">
        <v>46316</v>
      </c>
      <c r="I206" t="n">
        <v>4385502</v>
      </c>
      <c r="J206" t="n">
        <v>10</v>
      </c>
      <c r="K206" t="inlineStr">
        <is>
          <t>ELE</t>
        </is>
      </c>
      <c r="L206" t="inlineStr">
        <is>
          <t>PSE-1812 MANUT PRO CONDE/TROC CALOR</t>
        </is>
      </c>
      <c r="M206" t="inlineStr">
        <is>
          <t>MANUT TROCADOR PSE-1812 PRO 1A</t>
        </is>
      </c>
      <c r="N206" t="inlineStr">
        <is>
          <t>PERGC-FSAR-CHI-13-01</t>
        </is>
      </c>
      <c r="O206" t="inlineStr">
        <is>
          <t>77GX001B BOMBA CHILLER B</t>
        </is>
      </c>
      <c r="P206" t="n">
        <v>1</v>
      </c>
      <c r="Q206" t="inlineStr">
        <is>
          <t>PLANO</t>
        </is>
      </c>
      <c r="R206" t="inlineStr">
        <is>
          <t>Z12</t>
        </is>
      </c>
      <c r="S206" s="20" t="n">
        <v>46316</v>
      </c>
    </row>
    <row r="207">
      <c r="A207" t="inlineStr">
        <is>
          <t>PRO</t>
        </is>
      </c>
      <c r="B207" t="inlineStr">
        <is>
          <t>438670310</t>
        </is>
      </c>
      <c r="C207" t="n">
        <v>4386703</v>
      </c>
      <c r="D207" t="inlineStr">
        <is>
          <t>ENCERRADA</t>
        </is>
      </c>
      <c r="E207" s="20" t="n">
        <v>46319</v>
      </c>
      <c r="F207" t="n">
        <v>2</v>
      </c>
      <c r="G207" t="n">
        <v>2</v>
      </c>
      <c r="H207" s="20" t="n">
        <v>46319</v>
      </c>
      <c r="I207" t="n">
        <v>4386703</v>
      </c>
      <c r="J207" t="n">
        <v>10</v>
      </c>
      <c r="K207" t="inlineStr">
        <is>
          <t>PRO</t>
        </is>
      </c>
      <c r="L207" t="inlineStr">
        <is>
          <t>INS-1813 INSP PRO FILTRO</t>
        </is>
      </c>
      <c r="M207" t="inlineStr">
        <is>
          <t>INSP FILTRO INS-1813 PRO 4M</t>
        </is>
      </c>
      <c r="N207" t="inlineStr">
        <is>
          <t>PERGC-FSAR-CHI-16-19-01</t>
        </is>
      </c>
      <c r="O207" t="inlineStr">
        <is>
          <t>SI-0108 FILTRO TEMPORARIO</t>
        </is>
      </c>
      <c r="P207" t="n">
        <v>3</v>
      </c>
      <c r="Q207" t="inlineStr">
        <is>
          <t>PLANO</t>
        </is>
      </c>
      <c r="R207" t="inlineStr">
        <is>
          <t>Z09</t>
        </is>
      </c>
      <c r="S207" s="20" t="n">
        <v>46319</v>
      </c>
    </row>
    <row r="208">
      <c r="A208" t="inlineStr">
        <is>
          <t>INS</t>
        </is>
      </c>
      <c r="B208" t="inlineStr">
        <is>
          <t>438587710</t>
        </is>
      </c>
      <c r="C208" t="n">
        <v>4385877</v>
      </c>
      <c r="D208" t="inlineStr">
        <is>
          <t>ENCERRADA</t>
        </is>
      </c>
      <c r="E208" s="20" t="n">
        <v>46314</v>
      </c>
      <c r="F208" t="n">
        <v>2</v>
      </c>
      <c r="G208" t="n">
        <v>1</v>
      </c>
      <c r="H208" s="20" t="n">
        <v>46314</v>
      </c>
      <c r="I208" t="n">
        <v>4385877</v>
      </c>
      <c r="J208" t="n">
        <v>10</v>
      </c>
      <c r="K208" t="inlineStr">
        <is>
          <t>INS</t>
        </is>
      </c>
      <c r="L208" t="inlineStr">
        <is>
          <t>PTF-1314 LUBR MEC 6M PREP TEST FUNC</t>
        </is>
      </c>
      <c r="M208" t="inlineStr">
        <is>
          <t>TEST FUNC DAMPER PTF-1314 MEC 6M-1A</t>
        </is>
      </c>
      <c r="N208" t="inlineStr">
        <is>
          <t>PERGC-FSAR-DPE-01-28-01</t>
        </is>
      </c>
      <c r="O208" t="inlineStr">
        <is>
          <t>77GX066 FIRE DAMPER</t>
        </is>
      </c>
      <c r="P208" t="n">
        <v>2</v>
      </c>
      <c r="Q208" t="inlineStr">
        <is>
          <t>PLANO</t>
        </is>
      </c>
      <c r="R208" t="inlineStr">
        <is>
          <t>Z08</t>
        </is>
      </c>
      <c r="S208" s="20" t="n">
        <v>46314</v>
      </c>
    </row>
    <row r="209">
      <c r="A209" t="inlineStr">
        <is>
          <t>INS</t>
        </is>
      </c>
      <c r="B209" t="inlineStr">
        <is>
          <t>438647510</t>
        </is>
      </c>
      <c r="C209" t="n">
        <v>4386475</v>
      </c>
      <c r="D209" t="inlineStr">
        <is>
          <t>ENCERRADA</t>
        </is>
      </c>
      <c r="E209" s="20" t="n">
        <v>46316</v>
      </c>
      <c r="F209" t="n">
        <v>5</v>
      </c>
      <c r="G209" t="n">
        <v>1</v>
      </c>
      <c r="H209" s="20" t="n">
        <v>46316</v>
      </c>
      <c r="I209" t="n">
        <v>4386475</v>
      </c>
      <c r="J209" t="n">
        <v>10</v>
      </c>
      <c r="K209" t="inlineStr">
        <is>
          <t>INS</t>
        </is>
      </c>
      <c r="L209" t="inlineStr">
        <is>
          <t>PTF-1314 LUBR MEC 6M PREP TEST FUNC</t>
        </is>
      </c>
      <c r="M209" t="inlineStr">
        <is>
          <t>TEST FUNC DAMPER PTF-1314 MEC 6M-1A</t>
        </is>
      </c>
      <c r="N209" t="inlineStr">
        <is>
          <t>PERGC-FSAR-DPE-07-01-01</t>
        </is>
      </c>
      <c r="O209" t="inlineStr">
        <is>
          <t>77GX005 FIRE DAMPER</t>
        </is>
      </c>
      <c r="P209" t="n">
        <v>2</v>
      </c>
      <c r="Q209" t="inlineStr">
        <is>
          <t>PLANO</t>
        </is>
      </c>
      <c r="R209" t="inlineStr">
        <is>
          <t>Z08</t>
        </is>
      </c>
      <c r="S209" s="20" t="n">
        <v>46316</v>
      </c>
    </row>
    <row r="210">
      <c r="A210" t="inlineStr">
        <is>
          <t>ELE</t>
        </is>
      </c>
      <c r="B210" t="inlineStr">
        <is>
          <t>438644510</t>
        </is>
      </c>
      <c r="C210" t="n">
        <v>4386445</v>
      </c>
      <c r="D210" t="inlineStr">
        <is>
          <t>ABERTA</t>
        </is>
      </c>
      <c r="E210" s="20" t="n">
        <v>46324</v>
      </c>
      <c r="F210" t="n">
        <v>3</v>
      </c>
      <c r="G210" t="n">
        <v>3</v>
      </c>
      <c r="H210" s="20" t="n">
        <v>46314</v>
      </c>
      <c r="I210" t="n">
        <v>4386445</v>
      </c>
      <c r="J210" t="n">
        <v>10</v>
      </c>
      <c r="K210" t="inlineStr">
        <is>
          <t>ELE</t>
        </is>
      </c>
      <c r="L210" t="inlineStr">
        <is>
          <t>PSE-1812 MANUT PRO CONDE/TROC CALOR</t>
        </is>
      </c>
      <c r="M210" t="inlineStr">
        <is>
          <t>MANUT TROCADOR PSE-1812 PRO 1A</t>
        </is>
      </c>
      <c r="N210" t="inlineStr">
        <is>
          <t>PERGC-FSAR-DUT-01-04-01</t>
        </is>
      </c>
      <c r="O210" t="inlineStr">
        <is>
          <t>CJ AQUECEDOR DUTO HVAC</t>
        </is>
      </c>
      <c r="P210" t="n">
        <v>1</v>
      </c>
      <c r="Q210" t="inlineStr">
        <is>
          <t>PLANO</t>
        </is>
      </c>
      <c r="R210" t="inlineStr">
        <is>
          <t>Z12</t>
        </is>
      </c>
      <c r="S210" s="20" t="n">
        <v>46314</v>
      </c>
    </row>
    <row r="211">
      <c r="A211" t="inlineStr">
        <is>
          <t>PRO</t>
        </is>
      </c>
      <c r="B211" t="inlineStr">
        <is>
          <t>439187010</t>
        </is>
      </c>
      <c r="C211" t="n">
        <v>4391870</v>
      </c>
      <c r="D211" t="inlineStr">
        <is>
          <t>ENCERRADA</t>
        </is>
      </c>
      <c r="E211" s="20" t="n">
        <v>46314</v>
      </c>
      <c r="F211" t="n">
        <v>3</v>
      </c>
      <c r="G211" t="n">
        <v>2</v>
      </c>
      <c r="H211" s="20" t="n">
        <v>46314</v>
      </c>
      <c r="I211" t="n">
        <v>4391870</v>
      </c>
      <c r="J211" t="n">
        <v>10</v>
      </c>
      <c r="K211" t="inlineStr">
        <is>
          <t>OPM</t>
        </is>
      </c>
      <c r="L211" t="inlineStr">
        <is>
          <t>INS-1528 INSP OPM MGPS TIPO CLORO</t>
        </is>
      </c>
      <c r="M211" t="inlineStr">
        <is>
          <t>INSP MGPS TIPO CLORO INS-1528 MEC 1S</t>
        </is>
      </c>
      <c r="N211" t="inlineStr">
        <is>
          <t>PERGC-FSCA-ELT-01-01</t>
        </is>
      </c>
      <c r="O211" t="inlineStr">
        <is>
          <t>47XX001 GERADOR HIPOCLORITO</t>
        </is>
      </c>
      <c r="P211" t="n">
        <v>2</v>
      </c>
      <c r="Q211" t="inlineStr">
        <is>
          <t>PLANO</t>
        </is>
      </c>
      <c r="R211" t="inlineStr">
        <is>
          <t>Z09</t>
        </is>
      </c>
      <c r="S211" s="20" t="n">
        <v>46314</v>
      </c>
    </row>
    <row r="212">
      <c r="A212" t="inlineStr">
        <is>
          <t>PRO</t>
        </is>
      </c>
      <c r="B212" t="inlineStr">
        <is>
          <t>439347610</t>
        </is>
      </c>
      <c r="C212" t="n">
        <v>4393476</v>
      </c>
      <c r="D212" t="inlineStr">
        <is>
          <t>ENCERRADA</t>
        </is>
      </c>
      <c r="E212" s="20" t="n">
        <v>46321</v>
      </c>
      <c r="F212" t="n">
        <v>3</v>
      </c>
      <c r="G212" t="n">
        <v>2</v>
      </c>
      <c r="H212" s="20" t="n">
        <v>46321</v>
      </c>
      <c r="I212" t="n">
        <v>4393476</v>
      </c>
      <c r="J212" t="n">
        <v>10</v>
      </c>
      <c r="K212" t="inlineStr">
        <is>
          <t>OPM</t>
        </is>
      </c>
      <c r="L212" t="inlineStr">
        <is>
          <t>INS-1528 INSP OPM MGPS TIPO CLORO</t>
        </is>
      </c>
      <c r="M212" t="inlineStr">
        <is>
          <t>INSP MGPS TIPO CLORO INS-1528 MEC 1S</t>
        </is>
      </c>
      <c r="N212" t="inlineStr">
        <is>
          <t>PERGC-FSCA-ELT-01-01</t>
        </is>
      </c>
      <c r="O212" t="inlineStr">
        <is>
          <t>47XX001 GERADOR HIPOCLORITO</t>
        </is>
      </c>
      <c r="P212" t="n">
        <v>2</v>
      </c>
      <c r="Q212" t="inlineStr">
        <is>
          <t>PLANO</t>
        </is>
      </c>
      <c r="R212" t="inlineStr">
        <is>
          <t>Z09</t>
        </is>
      </c>
      <c r="S212" s="20" t="n">
        <v>46321</v>
      </c>
    </row>
    <row r="213">
      <c r="A213" t="inlineStr">
        <is>
          <t>PRO</t>
        </is>
      </c>
      <c r="B213" t="inlineStr">
        <is>
          <t>438668610</t>
        </is>
      </c>
      <c r="C213" t="n">
        <v>4386686</v>
      </c>
      <c r="D213" t="inlineStr">
        <is>
          <t>ENCERRADA</t>
        </is>
      </c>
      <c r="E213" s="20" t="n">
        <v>46322</v>
      </c>
      <c r="F213" t="n">
        <v>3</v>
      </c>
      <c r="G213" t="n">
        <v>2</v>
      </c>
      <c r="H213" s="20" t="n">
        <v>46322</v>
      </c>
      <c r="I213" t="n">
        <v>4386686</v>
      </c>
      <c r="J213" t="n">
        <v>10</v>
      </c>
      <c r="K213" t="inlineStr">
        <is>
          <t>PRO</t>
        </is>
      </c>
      <c r="L213" t="inlineStr">
        <is>
          <t>INS-1813 INSP PRO FILTRO</t>
        </is>
      </c>
      <c r="M213" t="inlineStr">
        <is>
          <t>INSP FILTRO INS-1813 PRO 4M</t>
        </is>
      </c>
      <c r="N213" t="inlineStr">
        <is>
          <t>PERGC-FSCA-ELT-01-37-01-01</t>
        </is>
      </c>
      <c r="O213" t="inlineStr">
        <is>
          <t>47CA001A FILTRO CAPTACAO AGUA</t>
        </is>
      </c>
      <c r="P213" t="n">
        <v>3</v>
      </c>
      <c r="Q213" t="inlineStr">
        <is>
          <t>PLANO</t>
        </is>
      </c>
      <c r="R213" t="inlineStr">
        <is>
          <t>Z09</t>
        </is>
      </c>
      <c r="S213" s="20" t="n">
        <v>46322</v>
      </c>
    </row>
    <row r="214">
      <c r="A214" t="inlineStr">
        <is>
          <t>ELE</t>
        </is>
      </c>
      <c r="B214" t="inlineStr">
        <is>
          <t>438668910</t>
        </is>
      </c>
      <c r="C214" t="n">
        <v>4386689</v>
      </c>
      <c r="D214" t="inlineStr">
        <is>
          <t>ABERTA</t>
        </is>
      </c>
      <c r="E214" s="20" t="n">
        <v>46320</v>
      </c>
      <c r="F214" t="n">
        <v>3</v>
      </c>
      <c r="G214" t="n">
        <v>2</v>
      </c>
      <c r="H214" s="20" t="n">
        <v>46320</v>
      </c>
      <c r="I214" t="n">
        <v>4386689</v>
      </c>
      <c r="J214" t="n">
        <v>10</v>
      </c>
      <c r="K214" t="inlineStr">
        <is>
          <t>ELE</t>
        </is>
      </c>
      <c r="L214" t="inlineStr">
        <is>
          <t>PSE-1200 MANUT ELE MOTOR BT</t>
        </is>
      </c>
      <c r="M214" t="inlineStr">
        <is>
          <t>MANUT MOTOR BAIXA TENSAO PSE-1200 ELE 1A</t>
        </is>
      </c>
      <c r="N214" t="inlineStr">
        <is>
          <t>PERGC-FSCA-MBB-13-04</t>
        </is>
      </c>
      <c r="O214" t="inlineStr">
        <is>
          <t>50PS001C-M01 MOTOR ELETRICO</t>
        </is>
      </c>
      <c r="P214" t="n">
        <v>4</v>
      </c>
      <c r="Q214" t="inlineStr">
        <is>
          <t>PLANO</t>
        </is>
      </c>
      <c r="R214" t="inlineStr">
        <is>
          <t>Z12</t>
        </is>
      </c>
      <c r="S214" s="20" t="n">
        <v>46320</v>
      </c>
    </row>
    <row r="215">
      <c r="A215" t="inlineStr">
        <is>
          <t>ELE</t>
        </is>
      </c>
      <c r="B215" t="inlineStr">
        <is>
          <t>438546210</t>
        </is>
      </c>
      <c r="C215" t="n">
        <v>4385462</v>
      </c>
      <c r="D215" t="inlineStr">
        <is>
          <t>ABERTA</t>
        </is>
      </c>
      <c r="E215" s="20" t="n">
        <v>46323</v>
      </c>
      <c r="F215" t="n">
        <v>5</v>
      </c>
      <c r="G215" t="n">
        <v>2</v>
      </c>
      <c r="H215" s="20" t="n">
        <v>46317</v>
      </c>
      <c r="I215" t="n">
        <v>4385462</v>
      </c>
      <c r="J215" t="n">
        <v>10</v>
      </c>
      <c r="K215" t="inlineStr">
        <is>
          <t>ELE</t>
        </is>
      </c>
      <c r="L215" t="inlineStr">
        <is>
          <t>PSE-1812 MANUT PRO CONDE/TROC CALOR</t>
        </is>
      </c>
      <c r="M215" t="inlineStr">
        <is>
          <t>MANUT TROCADOR PSE-1812 PRO 1A</t>
        </is>
      </c>
      <c r="N215" t="inlineStr">
        <is>
          <t>PERGC-FSCA-PMU-01-04-01</t>
        </is>
      </c>
      <c r="O215" t="inlineStr">
        <is>
          <t>40HB001B PERMUTADOR SEAWATER</t>
        </is>
      </c>
      <c r="P215" t="n">
        <v>1</v>
      </c>
      <c r="Q215" t="inlineStr">
        <is>
          <t>PLANO</t>
        </is>
      </c>
      <c r="R215" t="inlineStr">
        <is>
          <t>Z12</t>
        </is>
      </c>
      <c r="S215" s="20" t="n">
        <v>46317</v>
      </c>
    </row>
    <row r="216">
      <c r="A216" t="inlineStr">
        <is>
          <t>MAR</t>
        </is>
      </c>
      <c r="B216" t="inlineStr">
        <is>
          <t>438657310</t>
        </is>
      </c>
      <c r="C216" t="n">
        <v>4386573</v>
      </c>
      <c r="D216" t="inlineStr">
        <is>
          <t>ENCERRADA</t>
        </is>
      </c>
      <c r="E216" s="20" t="n">
        <v>46321</v>
      </c>
      <c r="F216" t="n">
        <v>5</v>
      </c>
      <c r="G216" t="n">
        <v>3</v>
      </c>
      <c r="H216" s="20" t="n">
        <v>46321</v>
      </c>
      <c r="I216" t="n">
        <v>4386573</v>
      </c>
      <c r="J216" t="n">
        <v>10</v>
      </c>
      <c r="K216" t="inlineStr">
        <is>
          <t>MAR</t>
        </is>
      </c>
      <c r="L216" t="inlineStr">
        <is>
          <t>INS-1422 INSP MAR CONEXAO INTERNACIONAL</t>
        </is>
      </c>
      <c r="M216" t="inlineStr">
        <is>
          <t>INSP CONEXOES INTERNACIO INS-1422 MAR 3M</t>
        </is>
      </c>
      <c r="N216" t="inlineStr">
        <is>
          <t>PERGC-FSCI</t>
        </is>
      </c>
      <c r="O216" t="inlineStr">
        <is>
          <t>SISTEMA COMBATE A INCENDIO</t>
        </is>
      </c>
      <c r="P216" t="n">
        <v>0.5</v>
      </c>
      <c r="Q216" t="inlineStr">
        <is>
          <t>PLANO</t>
        </is>
      </c>
      <c r="R216" t="inlineStr">
        <is>
          <t>Z09</t>
        </is>
      </c>
      <c r="S216" s="20" t="n">
        <v>46321</v>
      </c>
    </row>
    <row r="217">
      <c r="A217" t="inlineStr">
        <is>
          <t>HSE</t>
        </is>
      </c>
      <c r="B217" t="inlineStr">
        <is>
          <t>439123510</t>
        </is>
      </c>
      <c r="C217" t="n">
        <v>4391235</v>
      </c>
      <c r="D217" t="inlineStr">
        <is>
          <t>ENCERRADA</t>
        </is>
      </c>
      <c r="E217" s="20" t="n">
        <v>46311</v>
      </c>
      <c r="F217" t="n">
        <v>5</v>
      </c>
      <c r="G217" t="n">
        <v>3</v>
      </c>
      <c r="H217" s="20" t="n">
        <v>46311</v>
      </c>
      <c r="I217" t="n">
        <v>4391235</v>
      </c>
      <c r="J217" t="n">
        <v>10</v>
      </c>
      <c r="K217" t="inlineStr">
        <is>
          <t>HSE</t>
        </is>
      </c>
      <c r="L217" t="inlineStr">
        <is>
          <t>INS-2132 HSE VALV COMB INCEND PROD QUIM</t>
        </is>
      </c>
      <c r="M217" t="inlineStr">
        <is>
          <t>INSP VALV COI PROD QUIM INS-2132 HSE 1S</t>
        </is>
      </c>
      <c r="N217" t="inlineStr">
        <is>
          <t>PERGC-FSCI</t>
        </is>
      </c>
      <c r="O217" t="inlineStr">
        <is>
          <t>SISTEMA COMBATE A INCENDIO</t>
        </is>
      </c>
      <c r="P217" t="n">
        <v>0.5</v>
      </c>
      <c r="Q217" t="inlineStr">
        <is>
          <t>PLANO</t>
        </is>
      </c>
      <c r="R217" t="inlineStr">
        <is>
          <t>Z09</t>
        </is>
      </c>
      <c r="S217" s="20" t="n">
        <v>46311</v>
      </c>
    </row>
    <row r="218">
      <c r="A218" t="inlineStr">
        <is>
          <t>HSE</t>
        </is>
      </c>
      <c r="B218" t="inlineStr">
        <is>
          <t>439293410</t>
        </is>
      </c>
      <c r="C218" t="n">
        <v>4392934</v>
      </c>
      <c r="D218" t="inlineStr">
        <is>
          <t>ENCERRADA</t>
        </is>
      </c>
      <c r="E218" s="20" t="n">
        <v>46318</v>
      </c>
      <c r="F218" t="n">
        <v>5</v>
      </c>
      <c r="G218" t="n">
        <v>3</v>
      </c>
      <c r="H218" s="20" t="n">
        <v>46318</v>
      </c>
      <c r="I218" t="n">
        <v>4392934</v>
      </c>
      <c r="J218" t="n">
        <v>10</v>
      </c>
      <c r="K218" t="inlineStr">
        <is>
          <t>HSE</t>
        </is>
      </c>
      <c r="L218" t="inlineStr">
        <is>
          <t>INS-2132 HSE VALV COMB INCEND PROD QUIM</t>
        </is>
      </c>
      <c r="M218" t="inlineStr">
        <is>
          <t>INSP VALV COI PROD QUIM INS-2132 HSE 1S</t>
        </is>
      </c>
      <c r="N218" t="inlineStr">
        <is>
          <t>PERGC-FSCI</t>
        </is>
      </c>
      <c r="O218" t="inlineStr">
        <is>
          <t>SISTEMA COMBATE A INCENDIO</t>
        </is>
      </c>
      <c r="P218" t="n">
        <v>0.5</v>
      </c>
      <c r="Q218" t="inlineStr">
        <is>
          <t>PLANO</t>
        </is>
      </c>
      <c r="R218" t="inlineStr">
        <is>
          <t>Z09</t>
        </is>
      </c>
      <c r="S218" s="20" t="n">
        <v>46318</v>
      </c>
    </row>
    <row r="219">
      <c r="A219" t="inlineStr">
        <is>
          <t>HSE</t>
        </is>
      </c>
      <c r="B219" t="inlineStr">
        <is>
          <t>439427010</t>
        </is>
      </c>
      <c r="C219" t="n">
        <v>4394270</v>
      </c>
      <c r="D219" t="inlineStr">
        <is>
          <t>ENCERRADA</t>
        </is>
      </c>
      <c r="E219" s="20" t="n">
        <v>46323</v>
      </c>
      <c r="F219" t="n">
        <v>5</v>
      </c>
      <c r="G219" t="n">
        <v>3</v>
      </c>
      <c r="H219" s="20" t="n">
        <v>46325</v>
      </c>
      <c r="I219" t="n">
        <v>4394270</v>
      </c>
      <c r="J219" t="n">
        <v>10</v>
      </c>
      <c r="K219" t="inlineStr">
        <is>
          <t>HSE</t>
        </is>
      </c>
      <c r="L219" t="inlineStr">
        <is>
          <t>INS-2132 HSE VALV COMB INCEND PROD QUIM</t>
        </is>
      </c>
      <c r="M219" t="inlineStr">
        <is>
          <t>INSP VALV COI PROD QUIM INS-2132 HSE 1S</t>
        </is>
      </c>
      <c r="N219" t="inlineStr">
        <is>
          <t>PERGC-FSCI</t>
        </is>
      </c>
      <c r="O219" t="inlineStr">
        <is>
          <t>SISTEMA COMBATE A INCENDIO</t>
        </is>
      </c>
      <c r="P219" t="n">
        <v>0.5</v>
      </c>
      <c r="Q219" t="inlineStr">
        <is>
          <t>PLANO</t>
        </is>
      </c>
      <c r="R219" t="inlineStr">
        <is>
          <t>Z09</t>
        </is>
      </c>
      <c r="S219" s="20" t="n">
        <v>46325</v>
      </c>
    </row>
    <row r="220">
      <c r="A220" t="inlineStr">
        <is>
          <t>INS</t>
        </is>
      </c>
      <c r="B220" t="inlineStr">
        <is>
          <t>438658810</t>
        </is>
      </c>
      <c r="C220" t="n">
        <v>4386588</v>
      </c>
      <c r="D220" t="inlineStr">
        <is>
          <t>LIBERADA</t>
        </is>
      </c>
      <c r="E220" s="20" t="n">
        <v>46322</v>
      </c>
      <c r="F220" t="n">
        <v>5</v>
      </c>
      <c r="G220" t="n">
        <v>3</v>
      </c>
      <c r="H220" s="20" t="n">
        <v>46322</v>
      </c>
      <c r="I220" t="n">
        <v>4386588</v>
      </c>
      <c r="J220" t="n">
        <v>10</v>
      </c>
      <c r="K220" t="inlineStr">
        <is>
          <t>INS</t>
        </is>
      </c>
      <c r="L220" t="inlineStr">
        <is>
          <t>INS-2126 INSP INS SISTEMA ESPUMA</t>
        </is>
      </c>
      <c r="M220" t="inlineStr">
        <is>
          <t>INSP SISTEMA ESPUMA INS-2126 HSE 1M</t>
        </is>
      </c>
      <c r="N220" t="inlineStr">
        <is>
          <t>PERGC-FSCI-LGE-01-01</t>
        </is>
      </c>
      <c r="O220" t="inlineStr">
        <is>
          <t>CJ MONITOR ESPUMA DRILL DECK</t>
        </is>
      </c>
      <c r="P220" t="n">
        <v>2</v>
      </c>
      <c r="Q220" t="inlineStr">
        <is>
          <t>PLANO</t>
        </is>
      </c>
      <c r="R220" t="inlineStr">
        <is>
          <t>Z09</t>
        </is>
      </c>
      <c r="S220" s="20" t="n">
        <v>46322</v>
      </c>
    </row>
    <row r="221">
      <c r="A221" t="inlineStr">
        <is>
          <t>ELE</t>
        </is>
      </c>
      <c r="B221" t="inlineStr">
        <is>
          <t>438658820</t>
        </is>
      </c>
      <c r="C221" t="n">
        <v>4386588</v>
      </c>
      <c r="D221" t="inlineStr">
        <is>
          <t>LIBERADA</t>
        </is>
      </c>
      <c r="E221" s="20" t="n">
        <v>46322</v>
      </c>
      <c r="F221" t="n">
        <v>5</v>
      </c>
      <c r="G221" t="n">
        <v>3</v>
      </c>
      <c r="H221" s="20" t="n">
        <v>46322</v>
      </c>
      <c r="I221" t="n">
        <v>4386588</v>
      </c>
      <c r="J221" t="n">
        <v>20</v>
      </c>
      <c r="K221" t="inlineStr">
        <is>
          <t>ELE</t>
        </is>
      </c>
      <c r="L221" t="inlineStr">
        <is>
          <t>INS-2126 INSP ELE SISTEMA ESPUMA</t>
        </is>
      </c>
      <c r="M221" t="inlineStr">
        <is>
          <t>INSP SISTEMA ESPUMA INS-2126 HSE 1M</t>
        </is>
      </c>
      <c r="N221" t="inlineStr">
        <is>
          <t>PERGC-FSCI-LGE-01-01</t>
        </is>
      </c>
      <c r="O221" t="inlineStr">
        <is>
          <t>CJ MONITOR ESPUMA DRILL DECK</t>
        </is>
      </c>
      <c r="P221" t="n">
        <v>1</v>
      </c>
      <c r="Q221" t="inlineStr">
        <is>
          <t>PLANO</t>
        </is>
      </c>
      <c r="R221" t="inlineStr">
        <is>
          <t>Z09</t>
        </is>
      </c>
      <c r="S221" s="20" t="n">
        <v>46322</v>
      </c>
    </row>
    <row r="222">
      <c r="A222" t="inlineStr">
        <is>
          <t>MEC</t>
        </is>
      </c>
      <c r="B222" t="inlineStr">
        <is>
          <t>438658830</t>
        </is>
      </c>
      <c r="C222" t="n">
        <v>4386588</v>
      </c>
      <c r="D222" t="inlineStr">
        <is>
          <t>ENCERRADA</t>
        </is>
      </c>
      <c r="E222" s="20" t="n">
        <v>46322</v>
      </c>
      <c r="F222" t="n">
        <v>2</v>
      </c>
      <c r="G222" t="n">
        <v>3</v>
      </c>
      <c r="H222" s="20" t="n">
        <v>46322</v>
      </c>
      <c r="I222" t="n">
        <v>4386588</v>
      </c>
      <c r="J222" t="n">
        <v>30</v>
      </c>
      <c r="K222" t="inlineStr">
        <is>
          <t>MEC</t>
        </is>
      </c>
      <c r="L222" t="inlineStr">
        <is>
          <t>INS-2126 INSP OPM SISTEMA ESPUMA</t>
        </is>
      </c>
      <c r="M222" t="inlineStr">
        <is>
          <t>INSP SISTEMA ESPUMA INS-2126 HSE 1M</t>
        </is>
      </c>
      <c r="N222" t="inlineStr">
        <is>
          <t>PERGC-FSCI-LGE-01-01</t>
        </is>
      </c>
      <c r="O222" t="inlineStr">
        <is>
          <t>CJ MONITOR ESPUMA DRILL DECK</t>
        </is>
      </c>
      <c r="P222" t="n">
        <v>2</v>
      </c>
      <c r="Q222" t="inlineStr">
        <is>
          <t>PLANO</t>
        </is>
      </c>
      <c r="R222" t="inlineStr">
        <is>
          <t>Z09</t>
        </is>
      </c>
      <c r="S222" s="20" t="n">
        <v>46322</v>
      </c>
    </row>
    <row r="223">
      <c r="A223" t="inlineStr">
        <is>
          <t>PRO</t>
        </is>
      </c>
      <c r="B223" t="inlineStr">
        <is>
          <t>436701810</t>
        </is>
      </c>
      <c r="C223" t="n">
        <v>4367018</v>
      </c>
      <c r="D223" t="inlineStr">
        <is>
          <t>ENCERRADA</t>
        </is>
      </c>
      <c r="E223" s="20" t="n">
        <v>46322</v>
      </c>
      <c r="F223" t="n">
        <v>2</v>
      </c>
      <c r="G223" t="n">
        <v>1</v>
      </c>
      <c r="H223" s="20" t="n">
        <v>46322</v>
      </c>
      <c r="I223" t="n">
        <v>4367018</v>
      </c>
      <c r="J223" t="n">
        <v>10</v>
      </c>
      <c r="K223" t="inlineStr">
        <is>
          <t>PRO</t>
        </is>
      </c>
      <c r="L223" t="inlineStr">
        <is>
          <t>INS-1815 INSP PRO VALVULA DILUVIO</t>
        </is>
      </c>
      <c r="M223" t="inlineStr">
        <is>
          <t>INSP VALV DILUVIO INS-1815 PRO 1M</t>
        </is>
      </c>
      <c r="N223" t="inlineStr">
        <is>
          <t>PERGC-FSCI-LGE-07-13-01-01</t>
        </is>
      </c>
      <c r="O223" t="inlineStr">
        <is>
          <t>71DV0004 VALVULA DILUVIO</t>
        </is>
      </c>
      <c r="P223" t="n">
        <v>1</v>
      </c>
      <c r="Q223" t="inlineStr">
        <is>
          <t>PLANO</t>
        </is>
      </c>
      <c r="R223" t="inlineStr">
        <is>
          <t>Z09</t>
        </is>
      </c>
      <c r="S223" s="20" t="n">
        <v>46322</v>
      </c>
    </row>
    <row r="224">
      <c r="A224" t="inlineStr">
        <is>
          <t>ELE</t>
        </is>
      </c>
      <c r="B224" t="inlineStr">
        <is>
          <t>437170310</t>
        </is>
      </c>
      <c r="C224" t="n">
        <v>4371703</v>
      </c>
      <c r="D224" t="inlineStr">
        <is>
          <t>ENCERRADA</t>
        </is>
      </c>
      <c r="E224" s="20" t="n">
        <v>46323</v>
      </c>
      <c r="F224" t="n">
        <v>2</v>
      </c>
      <c r="G224" t="n">
        <v>1</v>
      </c>
      <c r="H224" s="20" t="n">
        <v>46327</v>
      </c>
      <c r="I224" t="n">
        <v>4371703</v>
      </c>
      <c r="J224" t="n">
        <v>10</v>
      </c>
      <c r="K224" t="inlineStr">
        <is>
          <t>ELE</t>
        </is>
      </c>
      <c r="L224" t="inlineStr">
        <is>
          <t>INS-1206 INSP ELE BANCO BATERIAS</t>
        </is>
      </c>
      <c r="M224" t="inlineStr">
        <is>
          <t>INSP BATERIAS INS-1206 ELE 3M</t>
        </is>
      </c>
      <c r="N224" t="inlineStr">
        <is>
          <t>PERGC-FSCI-MBB-01-07-01</t>
        </is>
      </c>
      <c r="O224" t="inlineStr">
        <is>
          <t>71PI001A BOMBA INCENDIO</t>
        </is>
      </c>
      <c r="P224" t="n">
        <v>2.5</v>
      </c>
      <c r="Q224" t="inlineStr">
        <is>
          <t>PLANO</t>
        </is>
      </c>
      <c r="R224" t="inlineStr">
        <is>
          <t>Z09</t>
        </is>
      </c>
      <c r="S224" s="20" t="n">
        <v>46327</v>
      </c>
    </row>
    <row r="225">
      <c r="A225" t="inlineStr">
        <is>
          <t>MEC</t>
        </is>
      </c>
      <c r="B225" t="inlineStr">
        <is>
          <t>439145610</t>
        </is>
      </c>
      <c r="C225" t="n">
        <v>4391456</v>
      </c>
      <c r="D225" t="inlineStr">
        <is>
          <t>ENCERRADA</t>
        </is>
      </c>
      <c r="E225" s="20" t="n">
        <v>46312</v>
      </c>
      <c r="F225" t="n">
        <v>2</v>
      </c>
      <c r="G225" t="n">
        <v>1</v>
      </c>
      <c r="H225" s="20" t="n">
        <v>46312</v>
      </c>
      <c r="I225" t="n">
        <v>4391456</v>
      </c>
      <c r="J225" t="n">
        <v>10</v>
      </c>
      <c r="K225" t="inlineStr">
        <is>
          <t>MEC</t>
        </is>
      </c>
      <c r="L225" t="inlineStr">
        <is>
          <t>INS-1501 TEST FUNC MEC BOMBA INCENDIO</t>
        </is>
      </c>
      <c r="M225" t="inlineStr">
        <is>
          <t>TEST FUNC BOMBA INCENDIO INS-1501 MEC 1S</t>
        </is>
      </c>
      <c r="N225" t="inlineStr">
        <is>
          <t>PERGC-FSCI-MBB-01-07-01</t>
        </is>
      </c>
      <c r="O225" t="inlineStr">
        <is>
          <t>71PI001A BOMBA INCENDIO</t>
        </is>
      </c>
      <c r="P225" t="n">
        <v>2</v>
      </c>
      <c r="Q225" t="inlineStr">
        <is>
          <t>PLANO</t>
        </is>
      </c>
      <c r="R225" t="inlineStr">
        <is>
          <t>Z08</t>
        </is>
      </c>
      <c r="S225" s="20" t="n">
        <v>46312</v>
      </c>
    </row>
    <row r="226">
      <c r="A226" t="inlineStr">
        <is>
          <t>MEC</t>
        </is>
      </c>
      <c r="B226" t="inlineStr">
        <is>
          <t>439307110</t>
        </is>
      </c>
      <c r="C226" t="n">
        <v>4393071</v>
      </c>
      <c r="D226" t="inlineStr">
        <is>
          <t>ENCERRADA</t>
        </is>
      </c>
      <c r="E226" s="20" t="n">
        <v>46319</v>
      </c>
      <c r="F226" t="n">
        <v>2</v>
      </c>
      <c r="G226" t="n">
        <v>1</v>
      </c>
      <c r="H226" s="20" t="n">
        <v>46319</v>
      </c>
      <c r="I226" t="n">
        <v>4393071</v>
      </c>
      <c r="J226" t="n">
        <v>10</v>
      </c>
      <c r="K226" t="inlineStr">
        <is>
          <t>MEC</t>
        </is>
      </c>
      <c r="L226" t="inlineStr">
        <is>
          <t>INS-1501 TEST FUNC MEC BOMBA INCENDIO</t>
        </is>
      </c>
      <c r="M226" t="inlineStr">
        <is>
          <t>TEST FUNC BOMBA INCENDIO INS-1501 MEC 1S</t>
        </is>
      </c>
      <c r="N226" t="inlineStr">
        <is>
          <t>PERGC-FSCI-MBB-01-07-01</t>
        </is>
      </c>
      <c r="O226" t="inlineStr">
        <is>
          <t>71PI001A BOMBA INCENDIO</t>
        </is>
      </c>
      <c r="P226" t="n">
        <v>2</v>
      </c>
      <c r="Q226" t="inlineStr">
        <is>
          <t>PLANO</t>
        </is>
      </c>
      <c r="R226" t="inlineStr">
        <is>
          <t>Z08</t>
        </is>
      </c>
      <c r="S226" s="20" t="n">
        <v>46319</v>
      </c>
    </row>
    <row r="227">
      <c r="A227" t="inlineStr">
        <is>
          <t>MEC</t>
        </is>
      </c>
      <c r="B227" t="inlineStr">
        <is>
          <t>439447810</t>
        </is>
      </c>
      <c r="C227" t="n">
        <v>4394478</v>
      </c>
      <c r="D227" t="inlineStr">
        <is>
          <t>ABERTA</t>
        </is>
      </c>
      <c r="E227" s="20" t="n">
        <v>46326</v>
      </c>
      <c r="F227" t="n">
        <v>3</v>
      </c>
      <c r="G227" t="n">
        <v>1</v>
      </c>
      <c r="H227" s="20" t="n">
        <v>46326</v>
      </c>
      <c r="I227" t="n">
        <v>4394478</v>
      </c>
      <c r="J227" t="n">
        <v>10</v>
      </c>
      <c r="K227" t="inlineStr">
        <is>
          <t>MEC</t>
        </is>
      </c>
      <c r="L227" t="inlineStr">
        <is>
          <t>INS-1501 TEST FUNC MEC BOMBA INCENDIO</t>
        </is>
      </c>
      <c r="M227" t="inlineStr">
        <is>
          <t>TEST FUNC BOMBA INCENDIO INS-1501 MEC 1S</t>
        </is>
      </c>
      <c r="N227" t="inlineStr">
        <is>
          <t>PERGC-FSCI-MBB-01-07-01</t>
        </is>
      </c>
      <c r="O227" t="inlineStr">
        <is>
          <t>71PI001A BOMBA INCENDIO</t>
        </is>
      </c>
      <c r="P227" t="n">
        <v>2</v>
      </c>
      <c r="Q227" t="inlineStr">
        <is>
          <t>PLANO</t>
        </is>
      </c>
      <c r="R227" t="inlineStr">
        <is>
          <t>Z08</t>
        </is>
      </c>
      <c r="S227" s="20" t="n">
        <v>46326</v>
      </c>
    </row>
    <row r="228">
      <c r="A228" t="inlineStr">
        <is>
          <t>MEC</t>
        </is>
      </c>
      <c r="B228" t="inlineStr">
        <is>
          <t>438675410</t>
        </is>
      </c>
      <c r="C228" t="n">
        <v>4386754</v>
      </c>
      <c r="D228" t="inlineStr">
        <is>
          <t>ABERTA</t>
        </is>
      </c>
      <c r="E228" s="20" t="n">
        <v>46313</v>
      </c>
      <c r="F228" t="n">
        <v>5</v>
      </c>
      <c r="G228" t="n">
        <v>2</v>
      </c>
      <c r="H228" s="20" t="n">
        <v>46313</v>
      </c>
      <c r="I228" t="n">
        <v>4386754</v>
      </c>
      <c r="J228" t="n">
        <v>10</v>
      </c>
      <c r="K228" t="inlineStr">
        <is>
          <t>MEC</t>
        </is>
      </c>
      <c r="L228" t="inlineStr">
        <is>
          <t>INS-1551 INSP MEC GEARBOX</t>
        </is>
      </c>
      <c r="M228" t="inlineStr">
        <is>
          <t>INSP GEARBOX INS-1551 MEC 60M</t>
        </is>
      </c>
      <c r="N228" t="inlineStr">
        <is>
          <t>PERGC-FSCI-MBB-01-13-01</t>
        </is>
      </c>
      <c r="O228" t="inlineStr">
        <is>
          <t>71PI001A-X01 GEARBOX</t>
        </is>
      </c>
      <c r="P228" t="n">
        <v>60</v>
      </c>
      <c r="Q228" t="inlineStr">
        <is>
          <t>PLANO</t>
        </is>
      </c>
      <c r="R228" t="inlineStr">
        <is>
          <t>Z09</t>
        </is>
      </c>
      <c r="S228" s="20" t="n">
        <v>46313</v>
      </c>
    </row>
    <row r="229">
      <c r="A229" t="inlineStr">
        <is>
          <t>MEC</t>
        </is>
      </c>
      <c r="B229" t="inlineStr">
        <is>
          <t>438641510</t>
        </is>
      </c>
      <c r="C229" t="n">
        <v>4386415</v>
      </c>
      <c r="D229" t="inlineStr">
        <is>
          <t>ENCERRADA</t>
        </is>
      </c>
      <c r="E229" s="20" t="n">
        <v>46311</v>
      </c>
      <c r="F229" t="n">
        <v>5</v>
      </c>
      <c r="G229" t="n">
        <v>3</v>
      </c>
      <c r="H229" s="20" t="n">
        <v>46311</v>
      </c>
      <c r="I229" t="n">
        <v>4386415</v>
      </c>
      <c r="J229" t="n">
        <v>10</v>
      </c>
      <c r="K229" t="inlineStr">
        <is>
          <t>MEC</t>
        </is>
      </c>
      <c r="L229" t="inlineStr">
        <is>
          <t>INSP CILINDRO N2/H2O INS-1550 MEC 1M</t>
        </is>
      </c>
      <c r="M229" t="inlineStr">
        <is>
          <t>INSP CILINDRO N2/H2O INS-1550 MEC 1M</t>
        </is>
      </c>
      <c r="N229" t="inlineStr">
        <is>
          <t>PERGC-FSCI-MBB-01-34-13-04-01</t>
        </is>
      </c>
      <c r="O229" t="inlineStr">
        <is>
          <t>71CNXX002 CILINDRO H2O</t>
        </is>
      </c>
      <c r="P229" t="n">
        <v>1</v>
      </c>
      <c r="Q229" t="inlineStr">
        <is>
          <t>PLANO</t>
        </is>
      </c>
      <c r="R229" t="inlineStr">
        <is>
          <t>Z09</t>
        </is>
      </c>
      <c r="S229" s="20" t="n">
        <v>46311</v>
      </c>
    </row>
    <row r="230">
      <c r="A230" t="inlineStr">
        <is>
          <t>MEC</t>
        </is>
      </c>
      <c r="B230" t="inlineStr">
        <is>
          <t>438657110</t>
        </is>
      </c>
      <c r="C230" t="n">
        <v>4386571</v>
      </c>
      <c r="D230" t="inlineStr">
        <is>
          <t>ENCERRADA</t>
        </is>
      </c>
      <c r="E230" s="20" t="n">
        <v>46321</v>
      </c>
      <c r="F230" t="n">
        <v>2</v>
      </c>
      <c r="G230" t="n">
        <v>3</v>
      </c>
      <c r="H230" s="20" t="n">
        <v>46321</v>
      </c>
      <c r="I230" t="n">
        <v>4386571</v>
      </c>
      <c r="J230" t="n">
        <v>10</v>
      </c>
      <c r="K230" t="inlineStr">
        <is>
          <t>MEC</t>
        </is>
      </c>
      <c r="L230" t="inlineStr">
        <is>
          <t>INSP CILINDRO N2/H2O INS-1550 MEC 1M</t>
        </is>
      </c>
      <c r="M230" t="inlineStr">
        <is>
          <t>INSP CILINDRO N2/H2O INS-1550 MEC 1M</t>
        </is>
      </c>
      <c r="N230" t="inlineStr">
        <is>
          <t>PERGC-FSCI-MBB-01-34-16-04-01</t>
        </is>
      </c>
      <c r="O230" t="inlineStr">
        <is>
          <t>71CNXX004 CILINDRO H2O</t>
        </is>
      </c>
      <c r="P230" t="n">
        <v>1</v>
      </c>
      <c r="Q230" t="inlineStr">
        <is>
          <t>PLANO</t>
        </is>
      </c>
      <c r="R230" t="inlineStr">
        <is>
          <t>Z09</t>
        </is>
      </c>
      <c r="S230" s="20" t="n">
        <v>46321</v>
      </c>
    </row>
    <row r="231">
      <c r="A231" t="inlineStr">
        <is>
          <t>MEC</t>
        </is>
      </c>
      <c r="B231" t="inlineStr">
        <is>
          <t>439145710</t>
        </is>
      </c>
      <c r="C231" t="n">
        <v>4391457</v>
      </c>
      <c r="D231" t="inlineStr">
        <is>
          <t>ENCERRADA</t>
        </is>
      </c>
      <c r="E231" s="20" t="n">
        <v>46312</v>
      </c>
      <c r="F231" t="n">
        <v>2</v>
      </c>
      <c r="G231" t="n">
        <v>1</v>
      </c>
      <c r="H231" s="20" t="n">
        <v>46312</v>
      </c>
      <c r="I231" t="n">
        <v>4391457</v>
      </c>
      <c r="J231" t="n">
        <v>10</v>
      </c>
      <c r="K231" t="inlineStr">
        <is>
          <t>MEC</t>
        </is>
      </c>
      <c r="L231" t="inlineStr">
        <is>
          <t>INS-1501 TEST FUNC MEC BOMBA INCENDIO</t>
        </is>
      </c>
      <c r="M231" t="inlineStr">
        <is>
          <t>TEST FUNC BOMBA INCENDIO INS-1501 MEC 1S</t>
        </is>
      </c>
      <c r="N231" t="inlineStr">
        <is>
          <t>PERGC-FSCI-MBB-04-01</t>
        </is>
      </c>
      <c r="O231" t="inlineStr">
        <is>
          <t>71PZ001B SKID BOMBA INCENDIO</t>
        </is>
      </c>
      <c r="P231" t="n">
        <v>2</v>
      </c>
      <c r="Q231" t="inlineStr">
        <is>
          <t>PLANO</t>
        </is>
      </c>
      <c r="R231" t="inlineStr">
        <is>
          <t>Z08</t>
        </is>
      </c>
      <c r="S231" s="20" t="n">
        <v>46312</v>
      </c>
    </row>
    <row r="232">
      <c r="A232" t="inlineStr">
        <is>
          <t>MEC</t>
        </is>
      </c>
      <c r="B232" t="inlineStr">
        <is>
          <t>439307210</t>
        </is>
      </c>
      <c r="C232" t="n">
        <v>4393072</v>
      </c>
      <c r="D232" t="inlineStr">
        <is>
          <t>ENCERRADA</t>
        </is>
      </c>
      <c r="E232" s="20" t="n">
        <v>46319</v>
      </c>
      <c r="F232" t="n">
        <v>2</v>
      </c>
      <c r="G232" t="n">
        <v>1</v>
      </c>
      <c r="H232" s="20" t="n">
        <v>46319</v>
      </c>
      <c r="I232" t="n">
        <v>4393072</v>
      </c>
      <c r="J232" t="n">
        <v>10</v>
      </c>
      <c r="K232" t="inlineStr">
        <is>
          <t>MEC</t>
        </is>
      </c>
      <c r="L232" t="inlineStr">
        <is>
          <t>INS-1501 TEST FUNC MEC BOMBA INCENDIO</t>
        </is>
      </c>
      <c r="M232" t="inlineStr">
        <is>
          <t>TEST FUNC BOMBA INCENDIO INS-1501 MEC 1S</t>
        </is>
      </c>
      <c r="N232" t="inlineStr">
        <is>
          <t>PERGC-FSCI-MBB-04-01</t>
        </is>
      </c>
      <c r="O232" t="inlineStr">
        <is>
          <t>71PZ001B SKID BOMBA INCENDIO</t>
        </is>
      </c>
      <c r="P232" t="n">
        <v>2</v>
      </c>
      <c r="Q232" t="inlineStr">
        <is>
          <t>PLANO</t>
        </is>
      </c>
      <c r="R232" t="inlineStr">
        <is>
          <t>Z08</t>
        </is>
      </c>
      <c r="S232" s="20" t="n">
        <v>46319</v>
      </c>
    </row>
    <row r="233">
      <c r="A233" t="inlineStr">
        <is>
          <t>MEC</t>
        </is>
      </c>
      <c r="B233" t="inlineStr">
        <is>
          <t>439447910</t>
        </is>
      </c>
      <c r="C233" t="n">
        <v>4394479</v>
      </c>
      <c r="D233" t="inlineStr">
        <is>
          <t>ABERTA</t>
        </is>
      </c>
      <c r="E233" s="20" t="n">
        <v>46326</v>
      </c>
      <c r="F233" t="n">
        <v>2</v>
      </c>
      <c r="G233" t="n">
        <v>1</v>
      </c>
      <c r="H233" s="20" t="n">
        <v>46326</v>
      </c>
      <c r="I233" t="n">
        <v>4394479</v>
      </c>
      <c r="J233" t="n">
        <v>10</v>
      </c>
      <c r="K233" t="inlineStr">
        <is>
          <t>MEC</t>
        </is>
      </c>
      <c r="L233" t="inlineStr">
        <is>
          <t>INS-1501 TEST FUNC MEC BOMBA INCENDIO</t>
        </is>
      </c>
      <c r="M233" t="inlineStr">
        <is>
          <t>TEST FUNC BOMBA INCENDIO INS-1501 MEC 1S</t>
        </is>
      </c>
      <c r="N233" t="inlineStr">
        <is>
          <t>PERGC-FSCI-MBB-04-01</t>
        </is>
      </c>
      <c r="O233" t="inlineStr">
        <is>
          <t>71PZ001B SKID BOMBA INCENDIO</t>
        </is>
      </c>
      <c r="P233" t="n">
        <v>2</v>
      </c>
      <c r="Q233" t="inlineStr">
        <is>
          <t>PLANO</t>
        </is>
      </c>
      <c r="R233" t="inlineStr">
        <is>
          <t>Z08</t>
        </is>
      </c>
      <c r="S233" s="20" t="n">
        <v>46326</v>
      </c>
    </row>
    <row r="234">
      <c r="A234" t="inlineStr">
        <is>
          <t>ELE</t>
        </is>
      </c>
      <c r="B234" t="inlineStr">
        <is>
          <t>437170410</t>
        </is>
      </c>
      <c r="C234" t="n">
        <v>4371704</v>
      </c>
      <c r="D234" t="inlineStr">
        <is>
          <t>ENCERRADA</t>
        </is>
      </c>
      <c r="E234" s="20" t="n">
        <v>46326</v>
      </c>
      <c r="F234" t="n">
        <v>5</v>
      </c>
      <c r="G234" t="n">
        <v>1</v>
      </c>
      <c r="H234" s="20" t="n">
        <v>46327</v>
      </c>
      <c r="I234" t="n">
        <v>4371704</v>
      </c>
      <c r="J234" t="n">
        <v>10</v>
      </c>
      <c r="K234" t="inlineStr">
        <is>
          <t>ELE</t>
        </is>
      </c>
      <c r="L234" t="inlineStr">
        <is>
          <t>INS-1206 INSP ELE BANCO BATERIAS</t>
        </is>
      </c>
      <c r="M234" t="inlineStr">
        <is>
          <t>INSP BATERIAS INS-1206 ELE 3M</t>
        </is>
      </c>
      <c r="N234" t="inlineStr">
        <is>
          <t>PERGC-FSCI-MBB-04-07-01</t>
        </is>
      </c>
      <c r="O234" t="inlineStr">
        <is>
          <t>71PI001B BOMBA INCENDIO</t>
        </is>
      </c>
      <c r="P234" t="n">
        <v>2.5</v>
      </c>
      <c r="Q234" t="inlineStr">
        <is>
          <t>PLANO</t>
        </is>
      </c>
      <c r="R234" t="inlineStr">
        <is>
          <t>Z09</t>
        </is>
      </c>
      <c r="S234" s="20" t="n">
        <v>46327</v>
      </c>
    </row>
    <row r="235">
      <c r="A235" t="inlineStr">
        <is>
          <t>MEC</t>
        </is>
      </c>
      <c r="B235" t="inlineStr">
        <is>
          <t>438646410</t>
        </is>
      </c>
      <c r="C235" t="n">
        <v>4386464</v>
      </c>
      <c r="D235" t="inlineStr">
        <is>
          <t>ENCERRADA</t>
        </is>
      </c>
      <c r="E235" s="20" t="n">
        <v>46315</v>
      </c>
      <c r="F235" t="n">
        <v>5</v>
      </c>
      <c r="G235" t="n">
        <v>3</v>
      </c>
      <c r="H235" s="20" t="n">
        <v>46315</v>
      </c>
      <c r="I235" t="n">
        <v>4386464</v>
      </c>
      <c r="J235" t="n">
        <v>10</v>
      </c>
      <c r="K235" t="inlineStr">
        <is>
          <t>MEC</t>
        </is>
      </c>
      <c r="L235" t="inlineStr">
        <is>
          <t>INSP CILINDRO N2/H2O INS-1550 MEC 1M</t>
        </is>
      </c>
      <c r="M235" t="inlineStr">
        <is>
          <t>INSP CILINDRO N2/H2O INS-1550 MEC 1M</t>
        </is>
      </c>
      <c r="N235" t="inlineStr">
        <is>
          <t>PERGC-FSCI-MBB-04-34-13-01-01</t>
        </is>
      </c>
      <c r="O235" t="inlineStr">
        <is>
          <t>71CNXX005 CILINDRO N2</t>
        </is>
      </c>
      <c r="P235" t="n">
        <v>1</v>
      </c>
      <c r="Q235" t="inlineStr">
        <is>
          <t>PLANO</t>
        </is>
      </c>
      <c r="R235" t="inlineStr">
        <is>
          <t>Z09</t>
        </is>
      </c>
      <c r="S235" s="20" t="n">
        <v>46315</v>
      </c>
    </row>
    <row r="236">
      <c r="A236" t="inlineStr">
        <is>
          <t>MEC</t>
        </is>
      </c>
      <c r="B236" t="inlineStr">
        <is>
          <t>438649510</t>
        </is>
      </c>
      <c r="C236" t="n">
        <v>4386495</v>
      </c>
      <c r="D236" t="inlineStr">
        <is>
          <t>ENCERRADA</t>
        </is>
      </c>
      <c r="E236" s="20" t="n">
        <v>46317</v>
      </c>
      <c r="F236" t="n">
        <v>5</v>
      </c>
      <c r="G236" t="n">
        <v>3</v>
      </c>
      <c r="H236" s="20" t="n">
        <v>46317</v>
      </c>
      <c r="I236" t="n">
        <v>4386495</v>
      </c>
      <c r="J236" t="n">
        <v>10</v>
      </c>
      <c r="K236" t="inlineStr">
        <is>
          <t>MEC</t>
        </is>
      </c>
      <c r="L236" t="inlineStr">
        <is>
          <t>INSP CILINDRO N2/H2O INS-1550 MEC 1M</t>
        </is>
      </c>
      <c r="M236" t="inlineStr">
        <is>
          <t>INSP CILINDRO N2/H2O INS-1550 MEC 1M</t>
        </is>
      </c>
      <c r="N236" t="inlineStr">
        <is>
          <t>PERGC-FSCI-MBB-04-34-13-04-01</t>
        </is>
      </c>
      <c r="O236" t="inlineStr">
        <is>
          <t>71CNXX006 CILINDRO H2O</t>
        </is>
      </c>
      <c r="P236" t="n">
        <v>1</v>
      </c>
      <c r="Q236" t="inlineStr">
        <is>
          <t>PLANO</t>
        </is>
      </c>
      <c r="R236" t="inlineStr">
        <is>
          <t>Z09</t>
        </is>
      </c>
      <c r="S236" s="20" t="n">
        <v>46317</v>
      </c>
    </row>
    <row r="237">
      <c r="A237" t="inlineStr">
        <is>
          <t>MEC</t>
        </is>
      </c>
      <c r="B237" t="inlineStr">
        <is>
          <t>438647610</t>
        </is>
      </c>
      <c r="C237" t="n">
        <v>4386476</v>
      </c>
      <c r="D237" t="inlineStr">
        <is>
          <t>ENCERRADA</t>
        </is>
      </c>
      <c r="E237" s="20" t="n">
        <v>46316</v>
      </c>
      <c r="F237" t="n">
        <v>3</v>
      </c>
      <c r="G237" t="n">
        <v>3</v>
      </c>
      <c r="H237" s="20" t="n">
        <v>46316</v>
      </c>
      <c r="I237" t="n">
        <v>4386476</v>
      </c>
      <c r="J237" t="n">
        <v>10</v>
      </c>
      <c r="K237" t="inlineStr">
        <is>
          <t>MEC</t>
        </is>
      </c>
      <c r="L237" t="inlineStr">
        <is>
          <t>INSP CILINDRO N2/H2O INS-1550 MEC 1M</t>
        </is>
      </c>
      <c r="M237" t="inlineStr">
        <is>
          <t>INSP CILINDRO N2/H2O INS-1550 MEC 1M</t>
        </is>
      </c>
      <c r="N237" t="inlineStr">
        <is>
          <t>PERGC-FSCI-MBB-04-34-16-04-01</t>
        </is>
      </c>
      <c r="O237" t="inlineStr">
        <is>
          <t>71CNXX008 CILINDRO H2O</t>
        </is>
      </c>
      <c r="P237" t="n">
        <v>1</v>
      </c>
      <c r="Q237" t="inlineStr">
        <is>
          <t>PLANO</t>
        </is>
      </c>
      <c r="R237" t="inlineStr">
        <is>
          <t>Z09</t>
        </is>
      </c>
      <c r="S237" s="20" t="n">
        <v>46316</v>
      </c>
    </row>
    <row r="238">
      <c r="A238" t="inlineStr">
        <is>
          <t>MEC</t>
        </is>
      </c>
      <c r="B238" t="inlineStr">
        <is>
          <t>438675610</t>
        </is>
      </c>
      <c r="C238" t="n">
        <v>4386756</v>
      </c>
      <c r="D238" t="inlineStr">
        <is>
          <t>ENCERRADA</t>
        </is>
      </c>
      <c r="E238" s="20" t="n">
        <v>46320</v>
      </c>
      <c r="F238" t="n">
        <v>3</v>
      </c>
      <c r="G238" t="n">
        <v>2</v>
      </c>
      <c r="H238" s="20" t="n">
        <v>46320</v>
      </c>
      <c r="I238" t="n">
        <v>4386756</v>
      </c>
      <c r="J238" t="n">
        <v>10</v>
      </c>
      <c r="K238" t="inlineStr">
        <is>
          <t>MEC</t>
        </is>
      </c>
      <c r="L238" t="inlineStr">
        <is>
          <t>INS-1500 INSP OPM VISUAL BOMBA</t>
        </is>
      </c>
      <c r="M238" t="inlineStr">
        <is>
          <t>INSP VISUAL BOMBA INS-1500 MEC 1M</t>
        </is>
      </c>
      <c r="N238" t="inlineStr">
        <is>
          <t>PERGC-FSCI-MBB-07-01</t>
        </is>
      </c>
      <c r="O238" t="inlineStr">
        <is>
          <t>71PA002 BOMBA JOCKEY</t>
        </is>
      </c>
      <c r="P238" t="n">
        <v>1</v>
      </c>
      <c r="Q238" t="inlineStr">
        <is>
          <t>PLANO</t>
        </is>
      </c>
      <c r="R238" t="inlineStr">
        <is>
          <t>Z09</t>
        </is>
      </c>
      <c r="S238" s="20" t="n">
        <v>46320</v>
      </c>
    </row>
    <row r="239">
      <c r="A239" t="inlineStr">
        <is>
          <t>ELE</t>
        </is>
      </c>
      <c r="B239" t="inlineStr">
        <is>
          <t>438675510</t>
        </is>
      </c>
      <c r="C239" t="n">
        <v>4386755</v>
      </c>
      <c r="D239" t="inlineStr">
        <is>
          <t>ENCERRADA</t>
        </is>
      </c>
      <c r="E239" s="20" t="n">
        <v>46319</v>
      </c>
      <c r="F239" t="n">
        <v>2</v>
      </c>
      <c r="G239" t="n">
        <v>2</v>
      </c>
      <c r="H239" s="20" t="n">
        <v>46319</v>
      </c>
      <c r="I239" t="n">
        <v>4386755</v>
      </c>
      <c r="J239" t="n">
        <v>10</v>
      </c>
      <c r="K239" t="inlineStr">
        <is>
          <t>ELE</t>
        </is>
      </c>
      <c r="L239" t="inlineStr">
        <is>
          <t>PSE-1200 MANUT ELE MOTOR BT</t>
        </is>
      </c>
      <c r="M239" t="inlineStr">
        <is>
          <t>MANUT MOTOR BAIXA TENSAO PSE-1200 ELE 1A</t>
        </is>
      </c>
      <c r="N239" t="inlineStr">
        <is>
          <t>PERGC-FSCI-MBB-07-04</t>
        </is>
      </c>
      <c r="O239" t="inlineStr">
        <is>
          <t>71PA002-M01 MOTOR ELETRICO</t>
        </is>
      </c>
      <c r="P239" t="n">
        <v>4</v>
      </c>
      <c r="Q239" t="inlineStr">
        <is>
          <t>PLANO</t>
        </is>
      </c>
      <c r="R239" t="inlineStr">
        <is>
          <t>Z12</t>
        </is>
      </c>
      <c r="S239" s="20" t="n">
        <v>46319</v>
      </c>
    </row>
    <row r="240">
      <c r="A240" t="inlineStr">
        <is>
          <t>PRO</t>
        </is>
      </c>
      <c r="B240" t="inlineStr">
        <is>
          <t>435507510</t>
        </is>
      </c>
      <c r="C240" t="n">
        <v>4355075</v>
      </c>
      <c r="D240" t="inlineStr">
        <is>
          <t>ENCERRADA</t>
        </is>
      </c>
      <c r="E240" s="20" t="n">
        <v>46312</v>
      </c>
      <c r="F240" t="n">
        <v>5</v>
      </c>
      <c r="G240" t="n">
        <v>1</v>
      </c>
      <c r="H240" s="20" t="n">
        <v>46312</v>
      </c>
      <c r="I240" t="n">
        <v>4355075</v>
      </c>
      <c r="J240" t="n">
        <v>10</v>
      </c>
      <c r="K240" t="inlineStr">
        <is>
          <t>PRO</t>
        </is>
      </c>
      <c r="L240" t="inlineStr">
        <is>
          <t>INS-1815 INSP PRO VALVULA DILUVIO</t>
        </is>
      </c>
      <c r="M240" t="inlineStr">
        <is>
          <t>INSP VALV DILUVIO INS-1815 PRO 1M</t>
        </is>
      </c>
      <c r="N240" t="inlineStr">
        <is>
          <t>PERGC-FSCI-RAC-04-01</t>
        </is>
      </c>
      <c r="O240" t="inlineStr">
        <is>
          <t>71DV0027 VALVULA ON/OFF 6"</t>
        </is>
      </c>
      <c r="P240" t="n">
        <v>1</v>
      </c>
      <c r="Q240" t="inlineStr">
        <is>
          <t>PLANO</t>
        </is>
      </c>
      <c r="R240" t="inlineStr">
        <is>
          <t>Z09</t>
        </is>
      </c>
      <c r="S240" s="20" t="n">
        <v>46312</v>
      </c>
    </row>
    <row r="241">
      <c r="A241" t="inlineStr">
        <is>
          <t>HSE</t>
        </is>
      </c>
      <c r="B241" t="inlineStr">
        <is>
          <t>438659010</t>
        </is>
      </c>
      <c r="C241" t="n">
        <v>4386590</v>
      </c>
      <c r="D241" t="e">
        <v>#N/A</v>
      </c>
      <c r="E241" s="20" t="n">
        <v>46322</v>
      </c>
      <c r="F241" t="n">
        <v>5</v>
      </c>
      <c r="G241" t="n">
        <v>3</v>
      </c>
      <c r="H241" s="20" t="n">
        <v>46322</v>
      </c>
      <c r="I241" t="n">
        <v>4386590</v>
      </c>
      <c r="J241" t="n">
        <v>10</v>
      </c>
      <c r="K241" t="inlineStr">
        <is>
          <t>HSE</t>
        </is>
      </c>
      <c r="L241" t="inlineStr">
        <is>
          <t>INS-2129 INSP HSE BANCO CILINDROS</t>
        </is>
      </c>
      <c r="M241" t="inlineStr">
        <is>
          <t>INSP BANCO CILINDROS INS-2129 HSE 1M</t>
        </is>
      </c>
      <c r="N241" t="inlineStr">
        <is>
          <t>PERGC-FSCI-RGI-04-04</t>
        </is>
      </c>
      <c r="O241" t="inlineStr">
        <is>
          <t>CJ FM-200 72ZS001</t>
        </is>
      </c>
      <c r="P241" t="n">
        <v>1</v>
      </c>
      <c r="Q241" t="inlineStr">
        <is>
          <t>PLANO</t>
        </is>
      </c>
      <c r="R241" t="inlineStr">
        <is>
          <t>Z09</t>
        </is>
      </c>
      <c r="S241" s="20" t="n">
        <v>46322</v>
      </c>
    </row>
    <row r="242">
      <c r="A242" t="inlineStr">
        <is>
          <t>INS</t>
        </is>
      </c>
      <c r="B242" t="inlineStr">
        <is>
          <t>438659020</t>
        </is>
      </c>
      <c r="C242" t="n">
        <v>4386590</v>
      </c>
      <c r="D242" t="inlineStr">
        <is>
          <t>ENCERRADA</t>
        </is>
      </c>
      <c r="E242" s="20" t="n">
        <v>46322</v>
      </c>
      <c r="F242" t="n">
        <v>5</v>
      </c>
      <c r="G242" t="n">
        <v>3</v>
      </c>
      <c r="H242" s="20" t="n">
        <v>46322</v>
      </c>
      <c r="I242" t="n">
        <v>4386590</v>
      </c>
      <c r="J242" t="n">
        <v>20</v>
      </c>
      <c r="K242" t="inlineStr">
        <is>
          <t>INS</t>
        </is>
      </c>
      <c r="L242" t="inlineStr">
        <is>
          <t>INS-2129 INSP INS BANCO CILINDROS</t>
        </is>
      </c>
      <c r="M242" t="inlineStr">
        <is>
          <t>INSP BANCO CILINDROS INS-2129 HSE 1M</t>
        </is>
      </c>
      <c r="N242" t="inlineStr">
        <is>
          <t>PERGC-FSCI-RGI-04-04</t>
        </is>
      </c>
      <c r="O242" t="inlineStr">
        <is>
          <t>CJ FM-200 72ZS001</t>
        </is>
      </c>
      <c r="P242" t="n">
        <v>1</v>
      </c>
      <c r="Q242" t="inlineStr">
        <is>
          <t>PLANO</t>
        </is>
      </c>
      <c r="R242" t="inlineStr">
        <is>
          <t>Z09</t>
        </is>
      </c>
      <c r="S242" s="20" t="n">
        <v>46322</v>
      </c>
    </row>
    <row r="243">
      <c r="A243" t="inlineStr">
        <is>
          <t>HSE</t>
        </is>
      </c>
      <c r="B243" t="inlineStr">
        <is>
          <t>438659210</t>
        </is>
      </c>
      <c r="C243" t="n">
        <v>4386592</v>
      </c>
      <c r="D243" t="inlineStr">
        <is>
          <t>ENCERRADA</t>
        </is>
      </c>
      <c r="E243" s="20" t="n">
        <v>46322</v>
      </c>
      <c r="F243" t="n">
        <v>5</v>
      </c>
      <c r="G243" t="n">
        <v>3</v>
      </c>
      <c r="H243" s="20" t="n">
        <v>46322</v>
      </c>
      <c r="I243" t="n">
        <v>4386592</v>
      </c>
      <c r="J243" t="n">
        <v>10</v>
      </c>
      <c r="K243" t="inlineStr">
        <is>
          <t>HSE</t>
        </is>
      </c>
      <c r="L243" t="inlineStr">
        <is>
          <t>INS-2129 INSP HSE BANCO CILINDROS</t>
        </is>
      </c>
      <c r="M243" t="inlineStr">
        <is>
          <t>INSP BANCO CILINDROS INS-2129 HSE 1M</t>
        </is>
      </c>
      <c r="N243" t="inlineStr">
        <is>
          <t>PERGC-FSCI-RGI-04-10</t>
        </is>
      </c>
      <c r="O243" t="inlineStr">
        <is>
          <t>CJ FM-200 72ZS003</t>
        </is>
      </c>
      <c r="P243" t="n">
        <v>1</v>
      </c>
      <c r="Q243" t="inlineStr">
        <is>
          <t>PLANO</t>
        </is>
      </c>
      <c r="R243" t="inlineStr">
        <is>
          <t>Z09</t>
        </is>
      </c>
      <c r="S243" s="20" t="n">
        <v>46322</v>
      </c>
    </row>
    <row r="244">
      <c r="A244" t="inlineStr">
        <is>
          <t>INS</t>
        </is>
      </c>
      <c r="B244" t="inlineStr">
        <is>
          <t>438659220</t>
        </is>
      </c>
      <c r="C244" t="n">
        <v>4386592</v>
      </c>
      <c r="D244" t="inlineStr">
        <is>
          <t>ENCERRADA</t>
        </is>
      </c>
      <c r="E244" s="20" t="n">
        <v>46322</v>
      </c>
      <c r="F244" t="n">
        <v>5</v>
      </c>
      <c r="G244" t="n">
        <v>3</v>
      </c>
      <c r="H244" s="20" t="n">
        <v>46322</v>
      </c>
      <c r="I244" t="n">
        <v>4386592</v>
      </c>
      <c r="J244" t="n">
        <v>20</v>
      </c>
      <c r="K244" t="inlineStr">
        <is>
          <t>INS</t>
        </is>
      </c>
      <c r="L244" t="inlineStr">
        <is>
          <t>INS-2129 INSP INS BANCO CILINDROS</t>
        </is>
      </c>
      <c r="M244" t="inlineStr">
        <is>
          <t>INSP BANCO CILINDROS INS-2129 HSE 1M</t>
        </is>
      </c>
      <c r="N244" t="inlineStr">
        <is>
          <t>PERGC-FSCI-RGI-04-10</t>
        </is>
      </c>
      <c r="O244" t="inlineStr">
        <is>
          <t>CJ FM-200 72ZS003</t>
        </is>
      </c>
      <c r="P244" t="n">
        <v>1</v>
      </c>
      <c r="Q244" t="inlineStr">
        <is>
          <t>PLANO</t>
        </is>
      </c>
      <c r="R244" t="inlineStr">
        <is>
          <t>Z09</t>
        </is>
      </c>
      <c r="S244" s="20" t="n">
        <v>46322</v>
      </c>
    </row>
    <row r="245">
      <c r="A245" t="inlineStr">
        <is>
          <t>MEC</t>
        </is>
      </c>
      <c r="B245" t="inlineStr">
        <is>
          <t>438649810</t>
        </is>
      </c>
      <c r="C245" t="n">
        <v>4386498</v>
      </c>
      <c r="D245" t="inlineStr">
        <is>
          <t>ENCERRADA</t>
        </is>
      </c>
      <c r="E245" s="20" t="n">
        <v>46317</v>
      </c>
      <c r="F245" t="n">
        <v>5</v>
      </c>
      <c r="G245" t="n">
        <v>3</v>
      </c>
      <c r="H245" s="20" t="n">
        <v>46317</v>
      </c>
      <c r="I245" t="n">
        <v>4386498</v>
      </c>
      <c r="J245" t="n">
        <v>10</v>
      </c>
      <c r="K245" t="inlineStr">
        <is>
          <t>MEC</t>
        </is>
      </c>
      <c r="L245" t="inlineStr">
        <is>
          <t>INSP CILINDRO N2/H2O INS-1550 MEC 1M</t>
        </is>
      </c>
      <c r="M245" t="inlineStr">
        <is>
          <t>INSP CILINDRO N2/H2O INS-1550 MEC 1M</t>
        </is>
      </c>
      <c r="N245" t="inlineStr">
        <is>
          <t>PERGC-FSCI-RGI-04-13</t>
        </is>
      </c>
      <c r="O245" t="inlineStr">
        <is>
          <t>CJ FM-200 72ZS004</t>
        </is>
      </c>
      <c r="P245" t="n">
        <v>1</v>
      </c>
      <c r="Q245" t="inlineStr">
        <is>
          <t>PLANO</t>
        </is>
      </c>
      <c r="R245" t="inlineStr">
        <is>
          <t>Z09</t>
        </is>
      </c>
      <c r="S245" s="20" t="n">
        <v>46317</v>
      </c>
    </row>
    <row r="246">
      <c r="A246" t="inlineStr">
        <is>
          <t>MEC</t>
        </is>
      </c>
      <c r="B246" t="inlineStr">
        <is>
          <t>438651310</t>
        </is>
      </c>
      <c r="C246" t="n">
        <v>4386513</v>
      </c>
      <c r="D246" t="inlineStr">
        <is>
          <t>ENCERRADA</t>
        </is>
      </c>
      <c r="E246" s="20" t="n">
        <v>46318</v>
      </c>
      <c r="F246" t="n">
        <v>5</v>
      </c>
      <c r="G246" t="n">
        <v>3</v>
      </c>
      <c r="H246" s="20" t="n">
        <v>46318</v>
      </c>
      <c r="I246" t="n">
        <v>4386513</v>
      </c>
      <c r="J246" t="n">
        <v>10</v>
      </c>
      <c r="K246" t="inlineStr">
        <is>
          <t>MEC</t>
        </is>
      </c>
      <c r="L246" t="inlineStr">
        <is>
          <t>INSP CILINDRO N2/H2O INS-1550 MEC 1M</t>
        </is>
      </c>
      <c r="M246" t="inlineStr">
        <is>
          <t>INSP CILINDRO N2/H2O INS-1550 MEC 1M</t>
        </is>
      </c>
      <c r="N246" t="inlineStr">
        <is>
          <t>PERGC-FSCI-RGI-04-16</t>
        </is>
      </c>
      <c r="O246" t="inlineStr">
        <is>
          <t>CJ FM-200 72ZS005</t>
        </is>
      </c>
      <c r="P246" t="n">
        <v>1</v>
      </c>
      <c r="Q246" t="inlineStr">
        <is>
          <t>PLANO</t>
        </is>
      </c>
      <c r="R246" t="inlineStr">
        <is>
          <t>Z09</t>
        </is>
      </c>
      <c r="S246" s="20" t="n">
        <v>46318</v>
      </c>
    </row>
    <row r="247">
      <c r="A247" t="inlineStr">
        <is>
          <t>MEC</t>
        </is>
      </c>
      <c r="B247" t="inlineStr">
        <is>
          <t>438655110</t>
        </is>
      </c>
      <c r="C247" t="n">
        <v>4386551</v>
      </c>
      <c r="D247" t="inlineStr">
        <is>
          <t>ENCERRADA</t>
        </is>
      </c>
      <c r="E247" s="20" t="n">
        <v>46320</v>
      </c>
      <c r="F247" t="n">
        <v>5</v>
      </c>
      <c r="G247" t="n">
        <v>3</v>
      </c>
      <c r="H247" s="20" t="n">
        <v>46320</v>
      </c>
      <c r="I247" t="n">
        <v>4386551</v>
      </c>
      <c r="J247" t="n">
        <v>10</v>
      </c>
      <c r="K247" t="inlineStr">
        <is>
          <t>MEC</t>
        </is>
      </c>
      <c r="L247" t="inlineStr">
        <is>
          <t>INSP CILINDRO N2/H2O INS-1550 MEC 1M</t>
        </is>
      </c>
      <c r="M247" t="inlineStr">
        <is>
          <t>INSP CILINDRO N2/H2O INS-1550 MEC 1M</t>
        </is>
      </c>
      <c r="N247" t="inlineStr">
        <is>
          <t>PERGC-FSCI-RGI-04-19</t>
        </is>
      </c>
      <c r="O247" t="inlineStr">
        <is>
          <t>CJ FM-200 72ZS006</t>
        </is>
      </c>
      <c r="P247" t="n">
        <v>1</v>
      </c>
      <c r="Q247" t="inlineStr">
        <is>
          <t>PLANO</t>
        </is>
      </c>
      <c r="R247" t="inlineStr">
        <is>
          <t>Z09</t>
        </is>
      </c>
      <c r="S247" s="20" t="n">
        <v>46320</v>
      </c>
    </row>
    <row r="248">
      <c r="A248" t="inlineStr">
        <is>
          <t>HSE</t>
        </is>
      </c>
      <c r="B248" t="inlineStr">
        <is>
          <t>438641710</t>
        </is>
      </c>
      <c r="C248" t="n">
        <v>4386417</v>
      </c>
      <c r="D248" t="inlineStr">
        <is>
          <t>ENCERRADA</t>
        </is>
      </c>
      <c r="E248" s="20" t="n">
        <v>46311</v>
      </c>
      <c r="F248" t="n">
        <v>5</v>
      </c>
      <c r="G248" t="n">
        <v>3</v>
      </c>
      <c r="H248" s="20" t="n">
        <v>46311</v>
      </c>
      <c r="I248" t="n">
        <v>4386417</v>
      </c>
      <c r="J248" t="n">
        <v>10</v>
      </c>
      <c r="K248" t="inlineStr">
        <is>
          <t>HSE</t>
        </is>
      </c>
      <c r="L248" t="inlineStr">
        <is>
          <t>INS-2129 INSP HSE BANCO CILINDROS</t>
        </is>
      </c>
      <c r="M248" t="inlineStr">
        <is>
          <t>INSP BANCO CILINDROS INS-2129 HSE 1M</t>
        </is>
      </c>
      <c r="N248" t="inlineStr">
        <is>
          <t>PERGC-FSCI-RGI-07-10-10</t>
        </is>
      </c>
      <c r="O248" t="inlineStr">
        <is>
          <t>CJ BANCO CILINDROS - RESERVA</t>
        </is>
      </c>
      <c r="P248" t="n">
        <v>1</v>
      </c>
      <c r="Q248" t="inlineStr">
        <is>
          <t>PLANO</t>
        </is>
      </c>
      <c r="R248" t="inlineStr">
        <is>
          <t>Z09</t>
        </is>
      </c>
      <c r="S248" s="20" t="n">
        <v>46311</v>
      </c>
    </row>
    <row r="249">
      <c r="A249" t="inlineStr">
        <is>
          <t>INS</t>
        </is>
      </c>
      <c r="B249" t="inlineStr">
        <is>
          <t>438641720</t>
        </is>
      </c>
      <c r="C249" t="n">
        <v>4386417</v>
      </c>
      <c r="D249" t="inlineStr">
        <is>
          <t>ENCERRADA</t>
        </is>
      </c>
      <c r="E249" s="20" t="n">
        <v>46311</v>
      </c>
      <c r="F249" t="n">
        <v>5</v>
      </c>
      <c r="G249" t="n">
        <v>3</v>
      </c>
      <c r="H249" s="20" t="n">
        <v>46311</v>
      </c>
      <c r="I249" t="n">
        <v>4386417</v>
      </c>
      <c r="J249" t="n">
        <v>20</v>
      </c>
      <c r="K249" t="inlineStr">
        <is>
          <t>INS</t>
        </is>
      </c>
      <c r="L249" t="inlineStr">
        <is>
          <t>INS-2129 INSP INS BANCO CILINDROS</t>
        </is>
      </c>
      <c r="M249" t="inlineStr">
        <is>
          <t>INSP BANCO CILINDROS INS-2129 HSE 1M</t>
        </is>
      </c>
      <c r="N249" t="inlineStr">
        <is>
          <t>PERGC-FSCI-RGI-07-10-10</t>
        </is>
      </c>
      <c r="O249" t="inlineStr">
        <is>
          <t>CJ BANCO CILINDROS - RESERVA</t>
        </is>
      </c>
      <c r="P249" t="n">
        <v>1</v>
      </c>
      <c r="Q249" t="inlineStr">
        <is>
          <t>PLANO</t>
        </is>
      </c>
      <c r="R249" t="inlineStr">
        <is>
          <t>Z09</t>
        </is>
      </c>
      <c r="S249" s="20" t="n">
        <v>46311</v>
      </c>
    </row>
    <row r="250">
      <c r="A250" t="inlineStr">
        <is>
          <t>INS</t>
        </is>
      </c>
      <c r="B250" t="inlineStr">
        <is>
          <t>438646910</t>
        </is>
      </c>
      <c r="C250" t="n">
        <v>4386469</v>
      </c>
      <c r="D250" t="inlineStr">
        <is>
          <t>ABERTA</t>
        </is>
      </c>
      <c r="E250" s="20" t="n">
        <v>46315</v>
      </c>
      <c r="F250" t="n">
        <v>5</v>
      </c>
      <c r="G250" t="n">
        <v>3</v>
      </c>
      <c r="H250" s="20" t="n">
        <v>46315</v>
      </c>
      <c r="I250" t="n">
        <v>4386469</v>
      </c>
      <c r="J250" t="n">
        <v>10</v>
      </c>
      <c r="K250" t="inlineStr">
        <is>
          <t>INS</t>
        </is>
      </c>
      <c r="L250" t="inlineStr">
        <is>
          <t>PTF-1306 TEST FUNC INS DETECTOR GAS</t>
        </is>
      </c>
      <c r="M250" t="inlineStr">
        <is>
          <t>TEST FUNC DETECT GAS CH4 PTF-1306 INS 6M</t>
        </is>
      </c>
      <c r="N250" t="inlineStr">
        <is>
          <t>PERGC-FSFG-DTC-04-01</t>
        </is>
      </c>
      <c r="O250" t="inlineStr">
        <is>
          <t>CJ DETECTOR GAS FIRE AREA G00W</t>
        </is>
      </c>
      <c r="P250" t="n">
        <v>8</v>
      </c>
      <c r="Q250" t="inlineStr">
        <is>
          <t>PLANO</t>
        </is>
      </c>
      <c r="R250" t="inlineStr">
        <is>
          <t>Z08</t>
        </is>
      </c>
      <c r="S250" s="20" t="n">
        <v>46315</v>
      </c>
    </row>
    <row r="251">
      <c r="A251" t="inlineStr">
        <is>
          <t>INS</t>
        </is>
      </c>
      <c r="B251" t="inlineStr">
        <is>
          <t>438591110</t>
        </is>
      </c>
      <c r="C251" t="n">
        <v>4385911</v>
      </c>
      <c r="D251" t="inlineStr">
        <is>
          <t>ENCERRADA</t>
        </is>
      </c>
      <c r="E251" s="20" t="n">
        <v>46321</v>
      </c>
      <c r="F251" t="n">
        <v>5</v>
      </c>
      <c r="G251" t="n">
        <v>3</v>
      </c>
      <c r="H251" s="20" t="n">
        <v>46321</v>
      </c>
      <c r="I251" t="n">
        <v>4385911</v>
      </c>
      <c r="J251" t="n">
        <v>10</v>
      </c>
      <c r="K251" t="inlineStr">
        <is>
          <t>INS</t>
        </is>
      </c>
      <c r="L251" t="inlineStr">
        <is>
          <t>INS-1312 INSP INS DETECTOR GAS</t>
        </is>
      </c>
      <c r="M251" t="inlineStr">
        <is>
          <t>INSP DETECT GAS CH4 INS-1312 INS 3M</t>
        </is>
      </c>
      <c r="N251" t="inlineStr">
        <is>
          <t>PERGC-FSFG-DTC-07-01</t>
        </is>
      </c>
      <c r="O251" t="inlineStr">
        <is>
          <t>CJ DETECTOR GAS FIRE AREA L100</t>
        </is>
      </c>
      <c r="P251" t="n">
        <v>8</v>
      </c>
      <c r="Q251" t="inlineStr">
        <is>
          <t>PLANO</t>
        </is>
      </c>
      <c r="R251" t="inlineStr">
        <is>
          <t>Z09</t>
        </is>
      </c>
      <c r="S251" s="20" t="n">
        <v>46321</v>
      </c>
    </row>
    <row r="252">
      <c r="A252" t="inlineStr">
        <is>
          <t>INS</t>
        </is>
      </c>
      <c r="B252" t="inlineStr">
        <is>
          <t>438592010</t>
        </is>
      </c>
      <c r="C252" t="n">
        <v>4385920</v>
      </c>
      <c r="D252" t="inlineStr">
        <is>
          <t>ABERTA</t>
        </is>
      </c>
      <c r="E252" s="20" t="n">
        <v>46323</v>
      </c>
      <c r="F252" t="n">
        <v>5</v>
      </c>
      <c r="G252" t="n">
        <v>3</v>
      </c>
      <c r="H252" s="20" t="n">
        <v>46323</v>
      </c>
      <c r="I252" t="n">
        <v>4385920</v>
      </c>
      <c r="J252" t="n">
        <v>10</v>
      </c>
      <c r="K252" t="inlineStr">
        <is>
          <t>INS</t>
        </is>
      </c>
      <c r="L252" t="inlineStr">
        <is>
          <t>PTF-1306 TEST FUNC INS DETECTOR GAS</t>
        </is>
      </c>
      <c r="M252" t="inlineStr">
        <is>
          <t>TEST FUNC DETECT GAS CH4 PTF-1306 INS 6M</t>
        </is>
      </c>
      <c r="N252" t="inlineStr">
        <is>
          <t>PERGC-FSFG-DTC-07-01</t>
        </is>
      </c>
      <c r="O252" t="inlineStr">
        <is>
          <t>CJ DETECTOR GAS FIRE AREA L100</t>
        </is>
      </c>
      <c r="P252" t="n">
        <v>8</v>
      </c>
      <c r="Q252" t="inlineStr">
        <is>
          <t>PLANO</t>
        </is>
      </c>
      <c r="R252" t="inlineStr">
        <is>
          <t>Z08</t>
        </is>
      </c>
      <c r="S252" s="20" t="n">
        <v>46323</v>
      </c>
    </row>
    <row r="253">
      <c r="A253" t="inlineStr">
        <is>
          <t>INS</t>
        </is>
      </c>
      <c r="B253" t="inlineStr">
        <is>
          <t>438646610</t>
        </is>
      </c>
      <c r="C253" t="n">
        <v>4386466</v>
      </c>
      <c r="D253" t="inlineStr">
        <is>
          <t>ABERTA</t>
        </is>
      </c>
      <c r="E253" s="20" t="n">
        <v>46315</v>
      </c>
      <c r="F253" t="n">
        <v>5</v>
      </c>
      <c r="G253" t="n">
        <v>3</v>
      </c>
      <c r="H253" s="20" t="n">
        <v>46315</v>
      </c>
      <c r="I253" t="n">
        <v>4386466</v>
      </c>
      <c r="J253" t="n">
        <v>10</v>
      </c>
      <c r="K253" t="inlineStr">
        <is>
          <t>INS</t>
        </is>
      </c>
      <c r="L253" t="inlineStr">
        <is>
          <t>PCL-1308 CALIB INS DETECTOR GAS</t>
        </is>
      </c>
      <c r="M253" t="inlineStr">
        <is>
          <t>CALIB DETECT GAS CH4 PCL-1308 INS 1A</t>
        </is>
      </c>
      <c r="N253" t="inlineStr">
        <is>
          <t>PERGC-FSFG-DTC-08-01</t>
        </is>
      </c>
      <c r="O253" t="inlineStr">
        <is>
          <t>CJ DETECTOR GAS FIRE AREA L200</t>
        </is>
      </c>
      <c r="P253" t="n">
        <v>8</v>
      </c>
      <c r="Q253" t="inlineStr">
        <is>
          <t>PLANO</t>
        </is>
      </c>
      <c r="R253" t="inlineStr">
        <is>
          <t>Z04</t>
        </is>
      </c>
      <c r="S253" s="20" t="n">
        <v>46315</v>
      </c>
    </row>
    <row r="254">
      <c r="A254" t="inlineStr">
        <is>
          <t>INS</t>
        </is>
      </c>
      <c r="B254" t="inlineStr">
        <is>
          <t>438642810</t>
        </is>
      </c>
      <c r="C254" t="n">
        <v>4386428</v>
      </c>
      <c r="D254" t="inlineStr">
        <is>
          <t>ENCERRADA</t>
        </is>
      </c>
      <c r="E254" s="20" t="n">
        <v>46312</v>
      </c>
      <c r="F254" t="n">
        <v>5</v>
      </c>
      <c r="G254" t="n">
        <v>3</v>
      </c>
      <c r="H254" s="20" t="n">
        <v>46312</v>
      </c>
      <c r="I254" t="n">
        <v>4386428</v>
      </c>
      <c r="J254" t="n">
        <v>10</v>
      </c>
      <c r="K254" t="inlineStr">
        <is>
          <t>INS</t>
        </is>
      </c>
      <c r="L254" t="inlineStr">
        <is>
          <t>INS-1313 INSP INS DETECTOR FUMACA</t>
        </is>
      </c>
      <c r="M254" t="inlineStr">
        <is>
          <t>INSP DETECT FUMACA INS-1313 INS 6M</t>
        </is>
      </c>
      <c r="N254" t="inlineStr">
        <is>
          <t>PERGC-FSFG-DTC-09-07</t>
        </is>
      </c>
      <c r="O254" t="inlineStr">
        <is>
          <t>CJ DETECTOR FUMACA FIRE AREA L300</t>
        </is>
      </c>
      <c r="P254" t="n">
        <v>8</v>
      </c>
      <c r="Q254" t="inlineStr">
        <is>
          <t>PLANO</t>
        </is>
      </c>
      <c r="R254" t="inlineStr">
        <is>
          <t>Z09</t>
        </is>
      </c>
      <c r="S254" s="20" t="n">
        <v>46312</v>
      </c>
    </row>
    <row r="255">
      <c r="A255" t="inlineStr">
        <is>
          <t>INS</t>
        </is>
      </c>
      <c r="B255" t="inlineStr">
        <is>
          <t>438658010</t>
        </is>
      </c>
      <c r="C255" t="n">
        <v>4386580</v>
      </c>
      <c r="D255" t="inlineStr">
        <is>
          <t>ENCERRADA</t>
        </is>
      </c>
      <c r="E255" s="20" t="n">
        <v>46321</v>
      </c>
      <c r="F255" t="n">
        <v>5</v>
      </c>
      <c r="G255" t="n">
        <v>3</v>
      </c>
      <c r="H255" s="20" t="n">
        <v>46321</v>
      </c>
      <c r="I255" t="n">
        <v>4386580</v>
      </c>
      <c r="J255" t="n">
        <v>10</v>
      </c>
      <c r="K255" t="inlineStr">
        <is>
          <t>INS</t>
        </is>
      </c>
      <c r="L255" t="inlineStr">
        <is>
          <t>INS-1312 INSP INS DETECTOR GAS</t>
        </is>
      </c>
      <c r="M255" t="inlineStr">
        <is>
          <t>INSP DETECT GAS CH4 INS-1312 INS 3M</t>
        </is>
      </c>
      <c r="N255" t="inlineStr">
        <is>
          <t>PERGC-FSFG-DTC-12-01</t>
        </is>
      </c>
      <c r="O255" t="inlineStr">
        <is>
          <t>CJ DETECTOR GAS FIRE AREA L600</t>
        </is>
      </c>
      <c r="P255" t="n">
        <v>8</v>
      </c>
      <c r="Q255" t="inlineStr">
        <is>
          <t>PLANO</t>
        </is>
      </c>
      <c r="R255" t="inlineStr">
        <is>
          <t>Z09</t>
        </is>
      </c>
      <c r="S255" s="20" t="n">
        <v>46321</v>
      </c>
    </row>
    <row r="256">
      <c r="A256" t="inlineStr">
        <is>
          <t>INS</t>
        </is>
      </c>
      <c r="B256" t="inlineStr">
        <is>
          <t>438653710</t>
        </is>
      </c>
      <c r="C256" t="n">
        <v>4386537</v>
      </c>
      <c r="D256" t="inlineStr">
        <is>
          <t>ABERTA</t>
        </is>
      </c>
      <c r="E256" s="20" t="n">
        <v>46319</v>
      </c>
      <c r="F256" t="n">
        <v>5</v>
      </c>
      <c r="G256" t="n">
        <v>3</v>
      </c>
      <c r="H256" s="20" t="n">
        <v>46319</v>
      </c>
      <c r="I256" t="n">
        <v>4386537</v>
      </c>
      <c r="J256" t="n">
        <v>10</v>
      </c>
      <c r="K256" t="inlineStr">
        <is>
          <t>INS</t>
        </is>
      </c>
      <c r="L256" t="inlineStr">
        <is>
          <t>PTF-1310 TEST FUNC INS DETECTOR FUMACA</t>
        </is>
      </c>
      <c r="M256" t="inlineStr">
        <is>
          <t>TEST FUNC DETECT FUMACA PTF-1310 INS 1A</t>
        </is>
      </c>
      <c r="N256" t="inlineStr">
        <is>
          <t>PERGC-FSFG-DTC-12-04</t>
        </is>
      </c>
      <c r="O256" t="inlineStr">
        <is>
          <t>CJ DETECTOR FUMACA FIRE AREA L600</t>
        </is>
      </c>
      <c r="P256" t="n">
        <v>8</v>
      </c>
      <c r="Q256" t="inlineStr">
        <is>
          <t>PLANO</t>
        </is>
      </c>
      <c r="R256" t="inlineStr">
        <is>
          <t>Z08</t>
        </is>
      </c>
      <c r="S256" s="20" t="n">
        <v>46319</v>
      </c>
    </row>
    <row r="257">
      <c r="A257" t="inlineStr">
        <is>
          <t>INS</t>
        </is>
      </c>
      <c r="B257" t="inlineStr">
        <is>
          <t>438591210</t>
        </is>
      </c>
      <c r="C257" t="n">
        <v>4385912</v>
      </c>
      <c r="D257" t="inlineStr">
        <is>
          <t>ENCERRADA</t>
        </is>
      </c>
      <c r="E257" s="20" t="n">
        <v>46321</v>
      </c>
      <c r="F257" t="n">
        <v>5</v>
      </c>
      <c r="G257" t="n">
        <v>3</v>
      </c>
      <c r="H257" s="20" t="n">
        <v>46321</v>
      </c>
      <c r="I257" t="n">
        <v>4385912</v>
      </c>
      <c r="J257" t="n">
        <v>10</v>
      </c>
      <c r="K257" t="inlineStr">
        <is>
          <t>INS</t>
        </is>
      </c>
      <c r="L257" t="inlineStr">
        <is>
          <t>INS-1312 INSP INS DETECTOR GAS</t>
        </is>
      </c>
      <c r="M257" t="inlineStr">
        <is>
          <t>INSP DETECT GAS CH4 INS-1312 INS 3M</t>
        </is>
      </c>
      <c r="N257" t="inlineStr">
        <is>
          <t>PERGC-FSFG-DTC-14-01</t>
        </is>
      </c>
      <c r="O257" t="inlineStr">
        <is>
          <t>CJ DETECTOR GAS FIRE AREA Q10CA</t>
        </is>
      </c>
      <c r="P257" t="n">
        <v>8</v>
      </c>
      <c r="Q257" t="inlineStr">
        <is>
          <t>PLANO</t>
        </is>
      </c>
      <c r="R257" t="inlineStr">
        <is>
          <t>Z09</t>
        </is>
      </c>
      <c r="S257" s="20" t="n">
        <v>46321</v>
      </c>
    </row>
    <row r="258">
      <c r="A258" t="inlineStr">
        <is>
          <t>INS</t>
        </is>
      </c>
      <c r="B258" t="inlineStr">
        <is>
          <t>438591310</t>
        </is>
      </c>
      <c r="C258" t="n">
        <v>4385913</v>
      </c>
      <c r="D258" t="inlineStr">
        <is>
          <t>ABERTA</t>
        </is>
      </c>
      <c r="E258" s="20" t="n">
        <v>46321</v>
      </c>
      <c r="F258" t="n">
        <v>5</v>
      </c>
      <c r="G258" t="n">
        <v>3</v>
      </c>
      <c r="H258" s="20" t="n">
        <v>46321</v>
      </c>
      <c r="I258" t="n">
        <v>4385913</v>
      </c>
      <c r="J258" t="n">
        <v>10</v>
      </c>
      <c r="K258" t="inlineStr">
        <is>
          <t>INS</t>
        </is>
      </c>
      <c r="L258" t="inlineStr">
        <is>
          <t>PTF-1306 TEST FUNC INS DETECTOR GAS</t>
        </is>
      </c>
      <c r="M258" t="inlineStr">
        <is>
          <t>TEST FUNC DETECT GAS CH4 PTF-1306 INS 6M</t>
        </is>
      </c>
      <c r="N258" t="inlineStr">
        <is>
          <t>PERGC-FSFG-DTC-14-01</t>
        </is>
      </c>
      <c r="O258" t="inlineStr">
        <is>
          <t>CJ DETECTOR GAS FIRE AREA Q10CA</t>
        </is>
      </c>
      <c r="P258" t="n">
        <v>8</v>
      </c>
      <c r="Q258" t="inlineStr">
        <is>
          <t>PLANO</t>
        </is>
      </c>
      <c r="R258" t="inlineStr">
        <is>
          <t>Z08</t>
        </is>
      </c>
      <c r="S258" s="20" t="n">
        <v>46321</v>
      </c>
    </row>
    <row r="259">
      <c r="A259" t="inlineStr">
        <is>
          <t>INS</t>
        </is>
      </c>
      <c r="B259" t="inlineStr">
        <is>
          <t>438588210</t>
        </is>
      </c>
      <c r="C259" t="n">
        <v>4385882</v>
      </c>
      <c r="D259" t="inlineStr">
        <is>
          <t>ABERTA</t>
        </is>
      </c>
      <c r="E259" s="20" t="n">
        <v>46315</v>
      </c>
      <c r="F259" t="n">
        <v>5</v>
      </c>
      <c r="G259" t="n">
        <v>3</v>
      </c>
      <c r="H259" s="20" t="n">
        <v>46315</v>
      </c>
      <c r="I259" t="n">
        <v>4385882</v>
      </c>
      <c r="J259" t="n">
        <v>10</v>
      </c>
      <c r="K259" t="inlineStr">
        <is>
          <t>INS</t>
        </is>
      </c>
      <c r="L259" t="inlineStr">
        <is>
          <t>PTF-1302 TEST FUNC INS DETECTOR CHAMA</t>
        </is>
      </c>
      <c r="M259" t="inlineStr">
        <is>
          <t>TEST FUNC DETECTOR CHAMA PTF-1302 INS 1A</t>
        </is>
      </c>
      <c r="N259" t="inlineStr">
        <is>
          <t>PERGC-FSFG-DTC-14-07</t>
        </is>
      </c>
      <c r="O259" t="inlineStr">
        <is>
          <t>CJ DETECTOR CHAMA FIRE AREA Q10CA</t>
        </is>
      </c>
      <c r="P259" t="n">
        <v>8</v>
      </c>
      <c r="Q259" t="inlineStr">
        <is>
          <t>PLANO</t>
        </is>
      </c>
      <c r="R259" t="inlineStr">
        <is>
          <t>Z08</t>
        </is>
      </c>
      <c r="S259" s="20" t="n">
        <v>46315</v>
      </c>
    </row>
    <row r="260">
      <c r="A260" t="inlineStr">
        <is>
          <t>INS</t>
        </is>
      </c>
      <c r="B260" t="inlineStr">
        <is>
          <t>438587010</t>
        </is>
      </c>
      <c r="C260" t="n">
        <v>4385870</v>
      </c>
      <c r="D260" t="inlineStr">
        <is>
          <t>ENCERRADA</t>
        </is>
      </c>
      <c r="E260" s="20" t="n">
        <v>46312</v>
      </c>
      <c r="F260" t="n">
        <v>5</v>
      </c>
      <c r="G260" t="n">
        <v>3</v>
      </c>
      <c r="H260" s="20" t="n">
        <v>46312</v>
      </c>
      <c r="I260" t="n">
        <v>4385870</v>
      </c>
      <c r="J260" t="n">
        <v>10</v>
      </c>
      <c r="K260" t="inlineStr">
        <is>
          <t>INS</t>
        </is>
      </c>
      <c r="L260" t="inlineStr">
        <is>
          <t>PCL-1308 CALIB INS DETECTOR GAS</t>
        </is>
      </c>
      <c r="M260" t="inlineStr">
        <is>
          <t>CALIB DETECT GAS CH4 PCL-1308 INS 1A</t>
        </is>
      </c>
      <c r="N260" t="inlineStr">
        <is>
          <t>PERGC-FSFG-DTC-19-01</t>
        </is>
      </c>
      <c r="O260" t="inlineStr">
        <is>
          <t>CJ DETECTOR GAS FIRE AREA Q20CA</t>
        </is>
      </c>
      <c r="P260" t="n">
        <v>8</v>
      </c>
      <c r="Q260" t="inlineStr">
        <is>
          <t>PLANO</t>
        </is>
      </c>
      <c r="R260" t="inlineStr">
        <is>
          <t>Z04</t>
        </is>
      </c>
      <c r="S260" s="20" t="n">
        <v>46312</v>
      </c>
    </row>
    <row r="261">
      <c r="A261" t="inlineStr">
        <is>
          <t>INS</t>
        </is>
      </c>
      <c r="B261" t="inlineStr">
        <is>
          <t>438643710</t>
        </is>
      </c>
      <c r="C261" t="n">
        <v>4386437</v>
      </c>
      <c r="D261" t="inlineStr">
        <is>
          <t>ENCERRADA</t>
        </is>
      </c>
      <c r="E261" s="20" t="n">
        <v>46313</v>
      </c>
      <c r="F261" t="n">
        <v>5</v>
      </c>
      <c r="G261" t="n">
        <v>3</v>
      </c>
      <c r="H261" s="20" t="n">
        <v>46313</v>
      </c>
      <c r="I261" t="n">
        <v>4386437</v>
      </c>
      <c r="J261" t="n">
        <v>10</v>
      </c>
      <c r="K261" t="inlineStr">
        <is>
          <t>INS</t>
        </is>
      </c>
      <c r="L261" t="inlineStr">
        <is>
          <t>INS-1312 INSP INS DETECTOR GAS</t>
        </is>
      </c>
      <c r="M261" t="inlineStr">
        <is>
          <t>INSP DETECT GAS CH4 INS-1312 INS 3M</t>
        </is>
      </c>
      <c r="N261" t="inlineStr">
        <is>
          <t>PERGC-FSFG-DTC-19-01</t>
        </is>
      </c>
      <c r="O261" t="inlineStr">
        <is>
          <t>CJ DETECTOR GAS FIRE AREA Q20CA</t>
        </is>
      </c>
      <c r="P261" t="n">
        <v>8</v>
      </c>
      <c r="Q261" t="inlineStr">
        <is>
          <t>PLANO</t>
        </is>
      </c>
      <c r="R261" t="inlineStr">
        <is>
          <t>Z09</t>
        </is>
      </c>
      <c r="S261" s="20" t="n">
        <v>46313</v>
      </c>
    </row>
    <row r="262">
      <c r="A262" t="inlineStr">
        <is>
          <t>INS</t>
        </is>
      </c>
      <c r="B262" t="inlineStr">
        <is>
          <t>438645410</t>
        </is>
      </c>
      <c r="C262" t="n">
        <v>4386454</v>
      </c>
      <c r="D262" t="inlineStr">
        <is>
          <t>ENCERRADA</t>
        </is>
      </c>
      <c r="E262" s="20" t="n">
        <v>46314</v>
      </c>
      <c r="F262" t="n">
        <v>5</v>
      </c>
      <c r="G262" t="n">
        <v>3</v>
      </c>
      <c r="H262" s="20" t="n">
        <v>46314</v>
      </c>
      <c r="I262" t="n">
        <v>4386454</v>
      </c>
      <c r="J262" t="n">
        <v>10</v>
      </c>
      <c r="K262" t="inlineStr">
        <is>
          <t>INS</t>
        </is>
      </c>
      <c r="L262" t="inlineStr">
        <is>
          <t>PTF-1306 TEST FUNC INS DETECTOR GAS</t>
        </is>
      </c>
      <c r="M262" t="inlineStr">
        <is>
          <t>TEST FUNC DETECT GAS CH4 PTF-1306 INS 6M</t>
        </is>
      </c>
      <c r="N262" t="inlineStr">
        <is>
          <t>PERGC-FSFG-DTC-21-01</t>
        </is>
      </c>
      <c r="O262" t="inlineStr">
        <is>
          <t>CJ DETECTOR GAS FIRE AREA Q20EA</t>
        </is>
      </c>
      <c r="P262" t="n">
        <v>8</v>
      </c>
      <c r="Q262" t="inlineStr">
        <is>
          <t>PLANO</t>
        </is>
      </c>
      <c r="R262" t="inlineStr">
        <is>
          <t>Z08</t>
        </is>
      </c>
      <c r="S262" s="20" t="n">
        <v>46314</v>
      </c>
    </row>
    <row r="263">
      <c r="A263" t="inlineStr">
        <is>
          <t>AUT</t>
        </is>
      </c>
      <c r="B263" t="inlineStr">
        <is>
          <t>438644610</t>
        </is>
      </c>
      <c r="C263" t="n">
        <v>4386446</v>
      </c>
      <c r="D263" t="inlineStr">
        <is>
          <t>ENCERRADA</t>
        </is>
      </c>
      <c r="E263" s="20" t="n">
        <v>46314</v>
      </c>
      <c r="F263" t="n">
        <v>5</v>
      </c>
      <c r="G263" t="n">
        <v>3</v>
      </c>
      <c r="H263" s="20" t="n">
        <v>46314</v>
      </c>
      <c r="I263" t="n">
        <v>4386446</v>
      </c>
      <c r="J263" t="n">
        <v>10</v>
      </c>
      <c r="K263" t="inlineStr">
        <is>
          <t>AUT</t>
        </is>
      </c>
      <c r="L263" t="inlineStr">
        <is>
          <t>INS-1016 INSP AUT SISTEMA PAGA</t>
        </is>
      </c>
      <c r="M263" t="inlineStr">
        <is>
          <t>INSP SISTEMA PAGA INS-1016 AUT 6M</t>
        </is>
      </c>
      <c r="N263" t="inlineStr">
        <is>
          <t>PERGC-FSFG-DTC-21-13</t>
        </is>
      </c>
      <c r="O263" t="inlineStr">
        <is>
          <t>CJ SINALIZACAO FIRE AREA Q20EA</t>
        </is>
      </c>
      <c r="P263" t="n">
        <v>2</v>
      </c>
      <c r="Q263" t="inlineStr">
        <is>
          <t>PLANO</t>
        </is>
      </c>
      <c r="R263" t="inlineStr">
        <is>
          <t>Z09</t>
        </is>
      </c>
      <c r="S263" s="20" t="n">
        <v>46314</v>
      </c>
    </row>
    <row r="264">
      <c r="A264" t="inlineStr">
        <is>
          <t>INS</t>
        </is>
      </c>
      <c r="B264" t="inlineStr">
        <is>
          <t>438642910</t>
        </is>
      </c>
      <c r="C264" t="n">
        <v>4386429</v>
      </c>
      <c r="D264" t="inlineStr">
        <is>
          <t>ABERTA</t>
        </is>
      </c>
      <c r="E264" s="20" t="n">
        <v>46312</v>
      </c>
      <c r="F264" t="n">
        <v>5</v>
      </c>
      <c r="G264" t="n">
        <v>3</v>
      </c>
      <c r="H264" s="20" t="n">
        <v>46312</v>
      </c>
      <c r="I264" t="n">
        <v>4386429</v>
      </c>
      <c r="J264" t="n">
        <v>10</v>
      </c>
      <c r="K264" t="inlineStr">
        <is>
          <t>INS</t>
        </is>
      </c>
      <c r="L264" t="inlineStr">
        <is>
          <t>PTF-1301 TEST FUNC INS BOTOEIRAS</t>
        </is>
      </c>
      <c r="M264" t="inlineStr">
        <is>
          <t>TEST FUNC BOTOEIRAS PTF-1301 INS 6M</t>
        </is>
      </c>
      <c r="N264" t="inlineStr">
        <is>
          <t>PERGC-FSFG-DTC-22-01</t>
        </is>
      </c>
      <c r="O264" t="inlineStr">
        <is>
          <t>CJ MANUAL CALL POINT FIRE AREA Q20W</t>
        </is>
      </c>
      <c r="P264" t="n">
        <v>0.5</v>
      </c>
      <c r="Q264" t="inlineStr">
        <is>
          <t>PLANO</t>
        </is>
      </c>
      <c r="R264" t="inlineStr">
        <is>
          <t>Z08</t>
        </is>
      </c>
      <c r="S264" s="20" t="n">
        <v>46312</v>
      </c>
    </row>
    <row r="265">
      <c r="A265" t="inlineStr">
        <is>
          <t>INS</t>
        </is>
      </c>
      <c r="B265" t="inlineStr">
        <is>
          <t>438652510</t>
        </is>
      </c>
      <c r="C265" t="n">
        <v>4386525</v>
      </c>
      <c r="D265" t="inlineStr">
        <is>
          <t>ENCERRADA</t>
        </is>
      </c>
      <c r="E265" s="20" t="n">
        <v>46318</v>
      </c>
      <c r="F265" t="n">
        <v>5</v>
      </c>
      <c r="G265" t="n">
        <v>3</v>
      </c>
      <c r="H265" s="20" t="n">
        <v>46318</v>
      </c>
      <c r="I265" t="n">
        <v>4386525</v>
      </c>
      <c r="J265" t="n">
        <v>10</v>
      </c>
      <c r="K265" t="inlineStr">
        <is>
          <t>INS</t>
        </is>
      </c>
      <c r="L265" t="inlineStr">
        <is>
          <t>INS-1312 INSP INS DETECTOR GAS</t>
        </is>
      </c>
      <c r="M265" t="inlineStr">
        <is>
          <t>INSP DETECT GAS CH4 INS-1312 INS 3M</t>
        </is>
      </c>
      <c r="N265" t="inlineStr">
        <is>
          <t>PERGC-FSFG-DTC-23-01</t>
        </is>
      </c>
      <c r="O265" t="inlineStr">
        <is>
          <t>CJ DETECTOR GAS FIRE AREA Q20WA</t>
        </is>
      </c>
      <c r="P265" t="n">
        <v>8</v>
      </c>
      <c r="Q265" t="inlineStr">
        <is>
          <t>PLANO</t>
        </is>
      </c>
      <c r="R265" t="inlineStr">
        <is>
          <t>Z09</t>
        </is>
      </c>
      <c r="S265" s="20" t="n">
        <v>46318</v>
      </c>
    </row>
    <row r="266">
      <c r="A266" t="inlineStr">
        <is>
          <t>INS</t>
        </is>
      </c>
      <c r="B266" t="inlineStr">
        <is>
          <t>438659510</t>
        </is>
      </c>
      <c r="C266" t="n">
        <v>4386595</v>
      </c>
      <c r="D266" t="inlineStr">
        <is>
          <t>ENCERRADA</t>
        </is>
      </c>
      <c r="E266" s="20" t="n">
        <v>46322</v>
      </c>
      <c r="F266" t="n">
        <v>5</v>
      </c>
      <c r="G266" t="n">
        <v>3</v>
      </c>
      <c r="H266" s="20" t="n">
        <v>46322</v>
      </c>
      <c r="I266" t="n">
        <v>4386595</v>
      </c>
      <c r="J266" t="n">
        <v>10</v>
      </c>
      <c r="K266" t="inlineStr">
        <is>
          <t>INS</t>
        </is>
      </c>
      <c r="L266" t="inlineStr">
        <is>
          <t>INS-1313 INSP INS DETECTOR FUMACA</t>
        </is>
      </c>
      <c r="M266" t="inlineStr">
        <is>
          <t>INSP DETECT FUMACA INS-1313 INS 6M</t>
        </is>
      </c>
      <c r="N266" t="inlineStr">
        <is>
          <t>PERGC-FSFG-DTC-23-07</t>
        </is>
      </c>
      <c r="O266" t="inlineStr">
        <is>
          <t>CJ DETECTOR FUMACA FIRE AREA Q20WA</t>
        </is>
      </c>
      <c r="P266" t="n">
        <v>8</v>
      </c>
      <c r="Q266" t="inlineStr">
        <is>
          <t>PLANO</t>
        </is>
      </c>
      <c r="R266" t="inlineStr">
        <is>
          <t>Z09</t>
        </is>
      </c>
      <c r="S266" s="20" t="n">
        <v>46322</v>
      </c>
    </row>
    <row r="267">
      <c r="A267" t="inlineStr">
        <is>
          <t>AUT</t>
        </is>
      </c>
      <c r="B267" t="inlineStr">
        <is>
          <t>438588810</t>
        </is>
      </c>
      <c r="C267" t="n">
        <v>4385888</v>
      </c>
      <c r="D267" t="inlineStr">
        <is>
          <t>ABERTA</t>
        </is>
      </c>
      <c r="E267" s="20" t="n">
        <v>46316</v>
      </c>
      <c r="F267" t="n">
        <v>5</v>
      </c>
      <c r="G267" t="n">
        <v>3</v>
      </c>
      <c r="H267" s="20" t="n">
        <v>46316</v>
      </c>
      <c r="I267" t="n">
        <v>4385888</v>
      </c>
      <c r="J267" t="n">
        <v>10</v>
      </c>
      <c r="K267" t="inlineStr">
        <is>
          <t>AUT</t>
        </is>
      </c>
      <c r="L267" t="inlineStr">
        <is>
          <t>INS-1016 INSP AUT SISTEMA PAGA</t>
        </is>
      </c>
      <c r="M267" t="inlineStr">
        <is>
          <t>INSP SISTEMA PAGA INS-1016 AUT 6M</t>
        </is>
      </c>
      <c r="N267" t="inlineStr">
        <is>
          <t>PERGC-FSFG-DTC-23-13</t>
        </is>
      </c>
      <c r="O267" t="inlineStr">
        <is>
          <t>CJ SINALIZACAO FIRE AREA Q20WA</t>
        </is>
      </c>
      <c r="P267" t="n">
        <v>2</v>
      </c>
      <c r="Q267" t="inlineStr">
        <is>
          <t>PLANO</t>
        </is>
      </c>
      <c r="R267" t="inlineStr">
        <is>
          <t>Z09</t>
        </is>
      </c>
      <c r="S267" s="20" t="n">
        <v>46316</v>
      </c>
    </row>
    <row r="268">
      <c r="A268" t="inlineStr">
        <is>
          <t>INS</t>
        </is>
      </c>
      <c r="B268" t="inlineStr">
        <is>
          <t>438588310</t>
        </is>
      </c>
      <c r="C268" t="n">
        <v>4385883</v>
      </c>
      <c r="D268" t="inlineStr">
        <is>
          <t>ABERTA</t>
        </is>
      </c>
      <c r="E268" s="20" t="n">
        <v>46315</v>
      </c>
      <c r="F268" t="n">
        <v>5</v>
      </c>
      <c r="G268" t="n">
        <v>3</v>
      </c>
      <c r="H268" s="20" t="n">
        <v>46315</v>
      </c>
      <c r="I268" t="n">
        <v>4385883</v>
      </c>
      <c r="J268" t="n">
        <v>10</v>
      </c>
      <c r="K268" t="inlineStr">
        <is>
          <t>INS</t>
        </is>
      </c>
      <c r="L268" t="inlineStr">
        <is>
          <t>PTF-1306 TEST FUNC INS DETECTOR GAS</t>
        </is>
      </c>
      <c r="M268" t="inlineStr">
        <is>
          <t>TEST FUNC DETECT GAS CH4 PTF-1306 INS 6M</t>
        </is>
      </c>
      <c r="N268" t="inlineStr">
        <is>
          <t>PERGC-FSFG-DTC-26-01</t>
        </is>
      </c>
      <c r="O268" t="inlineStr">
        <is>
          <t>CJ DETECTOR GAS FIRE AREA Q25EA</t>
        </is>
      </c>
      <c r="P268" t="n">
        <v>8</v>
      </c>
      <c r="Q268" t="inlineStr">
        <is>
          <t>PLANO</t>
        </is>
      </c>
      <c r="R268" t="inlineStr">
        <is>
          <t>Z08</t>
        </is>
      </c>
      <c r="S268" s="20" t="n">
        <v>46315</v>
      </c>
    </row>
    <row r="269">
      <c r="A269" t="inlineStr">
        <is>
          <t>INS</t>
        </is>
      </c>
      <c r="B269" t="inlineStr">
        <is>
          <t>438591810</t>
        </is>
      </c>
      <c r="C269" t="n">
        <v>4385918</v>
      </c>
      <c r="D269" t="inlineStr">
        <is>
          <t>ENCERRADA</t>
        </is>
      </c>
      <c r="E269" s="20" t="n">
        <v>46322</v>
      </c>
      <c r="F269" t="n">
        <v>5</v>
      </c>
      <c r="G269" t="n">
        <v>3</v>
      </c>
      <c r="H269" s="20" t="n">
        <v>46322</v>
      </c>
      <c r="I269" t="n">
        <v>4385918</v>
      </c>
      <c r="J269" t="n">
        <v>10</v>
      </c>
      <c r="K269" t="inlineStr">
        <is>
          <t>INS</t>
        </is>
      </c>
      <c r="L269" t="inlineStr">
        <is>
          <t>INS-1312 INSP INS DETECTOR GAS</t>
        </is>
      </c>
      <c r="M269" t="inlineStr">
        <is>
          <t>INSP DETECT GAS CH4 INS-1312 INS 3M</t>
        </is>
      </c>
      <c r="N269" t="inlineStr">
        <is>
          <t>PERGC-FSFG-DTC-26-01</t>
        </is>
      </c>
      <c r="O269" t="inlineStr">
        <is>
          <t>CJ DETECTOR GAS FIRE AREA Q25EA</t>
        </is>
      </c>
      <c r="P269" t="n">
        <v>8</v>
      </c>
      <c r="Q269" t="inlineStr">
        <is>
          <t>PLANO</t>
        </is>
      </c>
      <c r="R269" t="inlineStr">
        <is>
          <t>Z09</t>
        </is>
      </c>
      <c r="S269" s="20" t="n">
        <v>46322</v>
      </c>
    </row>
    <row r="270">
      <c r="A270" t="inlineStr">
        <is>
          <t>INS</t>
        </is>
      </c>
      <c r="B270" t="inlineStr">
        <is>
          <t>438648110</t>
        </is>
      </c>
      <c r="C270" t="n">
        <v>4386481</v>
      </c>
      <c r="D270" t="inlineStr">
        <is>
          <t>ABERTA</t>
        </is>
      </c>
      <c r="E270" s="20" t="n">
        <v>46316</v>
      </c>
      <c r="F270" t="n">
        <v>5</v>
      </c>
      <c r="G270" t="n">
        <v>3</v>
      </c>
      <c r="H270" s="20" t="n">
        <v>46316</v>
      </c>
      <c r="I270" t="n">
        <v>4386481</v>
      </c>
      <c r="J270" t="n">
        <v>10</v>
      </c>
      <c r="K270" t="inlineStr">
        <is>
          <t>INS</t>
        </is>
      </c>
      <c r="L270" t="inlineStr">
        <is>
          <t>PCL-1308 CALIB INS DETECTOR GAS</t>
        </is>
      </c>
      <c r="M270" t="inlineStr">
        <is>
          <t>CALIB DETECT GAS CH4 PCL-1308 INS 1A</t>
        </is>
      </c>
      <c r="N270" t="inlineStr">
        <is>
          <t>PERGC-FSFG-DTC-26-01</t>
        </is>
      </c>
      <c r="O270" t="inlineStr">
        <is>
          <t>CJ DETECTOR GAS FIRE AREA Q25EA</t>
        </is>
      </c>
      <c r="P270" t="n">
        <v>8</v>
      </c>
      <c r="Q270" t="inlineStr">
        <is>
          <t>PLANO</t>
        </is>
      </c>
      <c r="R270" t="inlineStr">
        <is>
          <t>Z04</t>
        </is>
      </c>
      <c r="S270" s="20" t="n">
        <v>46316</v>
      </c>
    </row>
    <row r="271">
      <c r="A271" t="inlineStr">
        <is>
          <t>INS</t>
        </is>
      </c>
      <c r="B271" t="inlineStr">
        <is>
          <t>438592210</t>
        </is>
      </c>
      <c r="C271" t="n">
        <v>4385922</v>
      </c>
      <c r="D271" t="inlineStr">
        <is>
          <t>ABERTA</t>
        </is>
      </c>
      <c r="E271" s="20" t="n">
        <v>46324</v>
      </c>
      <c r="F271" t="n">
        <v>5</v>
      </c>
      <c r="G271" t="n">
        <v>3</v>
      </c>
      <c r="H271" s="20" t="n">
        <v>46324</v>
      </c>
      <c r="I271" t="n">
        <v>4385922</v>
      </c>
      <c r="J271" t="n">
        <v>10</v>
      </c>
      <c r="K271" t="inlineStr">
        <is>
          <t>INS</t>
        </is>
      </c>
      <c r="L271" t="inlineStr">
        <is>
          <t>PTF-1306 TEST FUNC INS DETECTOR GAS</t>
        </is>
      </c>
      <c r="M271" t="inlineStr">
        <is>
          <t>TEST FUNC DETECT GAS CH4 PTF-1306 INS 6M</t>
        </is>
      </c>
      <c r="N271" t="inlineStr">
        <is>
          <t>PERGC-FSFG-DTC-27-01</t>
        </is>
      </c>
      <c r="O271" t="inlineStr">
        <is>
          <t>CJ DETECTOR GAS FIRE AREA Q25WA</t>
        </is>
      </c>
      <c r="P271" t="n">
        <v>8</v>
      </c>
      <c r="Q271" t="inlineStr">
        <is>
          <t>PLANO</t>
        </is>
      </c>
      <c r="R271" t="inlineStr">
        <is>
          <t>Z08</t>
        </is>
      </c>
      <c r="S271" s="20" t="n">
        <v>46324</v>
      </c>
    </row>
    <row r="272">
      <c r="A272" t="inlineStr">
        <is>
          <t>INS</t>
        </is>
      </c>
      <c r="B272" t="inlineStr">
        <is>
          <t>438587510</t>
        </is>
      </c>
      <c r="C272" t="n">
        <v>4385875</v>
      </c>
      <c r="D272" t="inlineStr">
        <is>
          <t>ENCERRADA</t>
        </is>
      </c>
      <c r="E272" s="20" t="n">
        <v>46313</v>
      </c>
      <c r="F272" t="n">
        <v>5</v>
      </c>
      <c r="G272" t="n">
        <v>3</v>
      </c>
      <c r="H272" s="20" t="n">
        <v>46313</v>
      </c>
      <c r="I272" t="n">
        <v>4385875</v>
      </c>
      <c r="J272" t="n">
        <v>10</v>
      </c>
      <c r="K272" t="inlineStr">
        <is>
          <t>INS</t>
        </is>
      </c>
      <c r="L272" t="inlineStr">
        <is>
          <t>INS-1312 INSP INS DETECTOR GAS</t>
        </is>
      </c>
      <c r="M272" t="inlineStr">
        <is>
          <t>INSP DETECT GAS CH4 INS-1312 INS 3M</t>
        </is>
      </c>
      <c r="N272" t="inlineStr">
        <is>
          <t>PERGC-FSFG-DTC-31-01</t>
        </is>
      </c>
      <c r="O272" t="inlineStr">
        <is>
          <t>CJ DETECTOR GAS FIRE AREA S10E</t>
        </is>
      </c>
      <c r="P272" t="n">
        <v>8</v>
      </c>
      <c r="Q272" t="inlineStr">
        <is>
          <t>PLANO</t>
        </is>
      </c>
      <c r="R272" t="inlineStr">
        <is>
          <t>Z09</t>
        </is>
      </c>
      <c r="S272" s="20" t="n">
        <v>46313</v>
      </c>
    </row>
    <row r="273">
      <c r="A273" t="inlineStr">
        <is>
          <t>INS</t>
        </is>
      </c>
      <c r="B273" t="inlineStr">
        <is>
          <t>438660410</t>
        </is>
      </c>
      <c r="C273" t="n">
        <v>4386604</v>
      </c>
      <c r="D273" t="inlineStr">
        <is>
          <t>ABERTA</t>
        </is>
      </c>
      <c r="E273" s="20" t="n">
        <v>46323</v>
      </c>
      <c r="F273" t="n">
        <v>5</v>
      </c>
      <c r="G273" t="n">
        <v>3</v>
      </c>
      <c r="H273" s="20" t="n">
        <v>46323</v>
      </c>
      <c r="I273" t="n">
        <v>4386604</v>
      </c>
      <c r="J273" t="n">
        <v>10</v>
      </c>
      <c r="K273" t="inlineStr">
        <is>
          <t>INS</t>
        </is>
      </c>
      <c r="L273" t="inlineStr">
        <is>
          <t>PTF-1306 TEST FUNC INS DETECTOR GAS</t>
        </is>
      </c>
      <c r="M273" t="inlineStr">
        <is>
          <t>TEST FUNC DETECT GAS CH4 PTF-1306 INS 6M</t>
        </is>
      </c>
      <c r="N273" t="inlineStr">
        <is>
          <t>PERGC-FSFG-DTC-31-01</t>
        </is>
      </c>
      <c r="O273" t="inlineStr">
        <is>
          <t>CJ DETECTOR GAS FIRE AREA S10E</t>
        </is>
      </c>
      <c r="P273" t="n">
        <v>8</v>
      </c>
      <c r="Q273" t="inlineStr">
        <is>
          <t>PLANO</t>
        </is>
      </c>
      <c r="R273" t="inlineStr">
        <is>
          <t>Z08</t>
        </is>
      </c>
      <c r="S273" s="20" t="n">
        <v>46323</v>
      </c>
    </row>
    <row r="274">
      <c r="A274" t="inlineStr">
        <is>
          <t>INS</t>
        </is>
      </c>
      <c r="B274" t="inlineStr">
        <is>
          <t>438586910</t>
        </is>
      </c>
      <c r="C274" t="n">
        <v>4385869</v>
      </c>
      <c r="D274" t="inlineStr">
        <is>
          <t>ENCERRADA</t>
        </is>
      </c>
      <c r="E274" s="20" t="n">
        <v>46311</v>
      </c>
      <c r="F274" t="n">
        <v>5</v>
      </c>
      <c r="G274" t="n">
        <v>3</v>
      </c>
      <c r="H274" s="20" t="n">
        <v>46311</v>
      </c>
      <c r="I274" t="n">
        <v>4385869</v>
      </c>
      <c r="J274" t="n">
        <v>10</v>
      </c>
      <c r="K274" t="inlineStr">
        <is>
          <t>INS</t>
        </is>
      </c>
      <c r="L274" t="inlineStr">
        <is>
          <t>PTF-1310 TEST FUNC INS DETECTOR FUMACA</t>
        </is>
      </c>
      <c r="M274" t="inlineStr">
        <is>
          <t>TEST FUNC DETECT FUMACA PTF-1310 INS 1A</t>
        </is>
      </c>
      <c r="N274" t="inlineStr">
        <is>
          <t>PERGC-FSFG-DTC-33-04</t>
        </is>
      </c>
      <c r="O274" t="inlineStr">
        <is>
          <t>CJ DETECTOR FUMACA FIRE AREA S20CA</t>
        </is>
      </c>
      <c r="P274" t="n">
        <v>8</v>
      </c>
      <c r="Q274" t="inlineStr">
        <is>
          <t>PLANO</t>
        </is>
      </c>
      <c r="R274" t="inlineStr">
        <is>
          <t>Z08</t>
        </is>
      </c>
      <c r="S274" s="20" t="n">
        <v>46311</v>
      </c>
    </row>
    <row r="275">
      <c r="A275" t="inlineStr">
        <is>
          <t>AUT</t>
        </is>
      </c>
      <c r="B275" t="inlineStr">
        <is>
          <t>438648010</t>
        </is>
      </c>
      <c r="C275" t="n">
        <v>4386480</v>
      </c>
      <c r="D275" t="inlineStr">
        <is>
          <t>ABERTA</t>
        </is>
      </c>
      <c r="E275" s="20" t="n">
        <v>46316</v>
      </c>
      <c r="F275" t="n">
        <v>5</v>
      </c>
      <c r="G275" t="n">
        <v>3</v>
      </c>
      <c r="H275" s="20" t="n">
        <v>46316</v>
      </c>
      <c r="I275" t="n">
        <v>4386480</v>
      </c>
      <c r="J275" t="n">
        <v>10</v>
      </c>
      <c r="K275" t="inlineStr">
        <is>
          <t>AUT</t>
        </is>
      </c>
      <c r="L275" t="inlineStr">
        <is>
          <t>INS-1016 INSP AUT SISTEMA PAGA</t>
        </is>
      </c>
      <c r="M275" t="inlineStr">
        <is>
          <t>INSP SISTEMA PAGA INS-1016 AUT 6M</t>
        </is>
      </c>
      <c r="N275" t="inlineStr">
        <is>
          <t>PERGC-FSFG-DTC-33-07</t>
        </is>
      </c>
      <c r="O275" t="inlineStr">
        <is>
          <t>CJ SINALIZACAO FIRE AREA S20CA</t>
        </is>
      </c>
      <c r="P275" t="n">
        <v>2</v>
      </c>
      <c r="Q275" t="inlineStr">
        <is>
          <t>PLANO</t>
        </is>
      </c>
      <c r="R275" t="inlineStr">
        <is>
          <t>Z09</t>
        </is>
      </c>
      <c r="S275" s="20" t="n">
        <v>46316</v>
      </c>
    </row>
    <row r="276">
      <c r="A276" t="inlineStr">
        <is>
          <t>INS</t>
        </is>
      </c>
      <c r="B276" t="inlineStr">
        <is>
          <t>438642010</t>
        </is>
      </c>
      <c r="C276" t="n">
        <v>4386420</v>
      </c>
      <c r="D276" t="inlineStr">
        <is>
          <t>ENCERRADA</t>
        </is>
      </c>
      <c r="E276" s="20" t="n">
        <v>46311</v>
      </c>
      <c r="F276" t="n">
        <v>5</v>
      </c>
      <c r="G276" t="n">
        <v>3</v>
      </c>
      <c r="H276" s="20" t="n">
        <v>46311</v>
      </c>
      <c r="I276" t="n">
        <v>4386420</v>
      </c>
      <c r="J276" t="n">
        <v>10</v>
      </c>
      <c r="K276" t="inlineStr">
        <is>
          <t>INS</t>
        </is>
      </c>
      <c r="L276" t="inlineStr">
        <is>
          <t>INS-1312 INSP INS DETECTOR GAS</t>
        </is>
      </c>
      <c r="M276" t="inlineStr">
        <is>
          <t>INSP DETECT GAS CH4 INS-1312 INS 3M</t>
        </is>
      </c>
      <c r="N276" t="inlineStr">
        <is>
          <t>PERGC-FSFG-DTC-44-01</t>
        </is>
      </c>
      <c r="O276" t="inlineStr">
        <is>
          <t>CJ DETECTOR GAS FIRE AREA W150</t>
        </is>
      </c>
      <c r="P276" t="n">
        <v>8</v>
      </c>
      <c r="Q276" t="inlineStr">
        <is>
          <t>PLANO</t>
        </is>
      </c>
      <c r="R276" t="inlineStr">
        <is>
          <t>Z09</t>
        </is>
      </c>
      <c r="S276" s="20" t="n">
        <v>46311</v>
      </c>
    </row>
    <row r="277">
      <c r="A277" t="inlineStr">
        <is>
          <t>INS</t>
        </is>
      </c>
      <c r="B277" t="inlineStr">
        <is>
          <t>438587610</t>
        </is>
      </c>
      <c r="C277" t="n">
        <v>4385876</v>
      </c>
      <c r="D277" t="inlineStr">
        <is>
          <t>ENCERRADA</t>
        </is>
      </c>
      <c r="E277" s="20" t="n">
        <v>46313</v>
      </c>
      <c r="F277" t="n">
        <v>5</v>
      </c>
      <c r="G277" t="n">
        <v>3</v>
      </c>
      <c r="H277" s="20" t="n">
        <v>46313</v>
      </c>
      <c r="I277" t="n">
        <v>4385876</v>
      </c>
      <c r="J277" t="n">
        <v>10</v>
      </c>
      <c r="K277" t="inlineStr">
        <is>
          <t>INS</t>
        </is>
      </c>
      <c r="L277" t="inlineStr">
        <is>
          <t>INS-1312 INSP INS DETECTOR GAS</t>
        </is>
      </c>
      <c r="M277" t="inlineStr">
        <is>
          <t>INSP DETECT GAS CH4 INS-1312 INS 3M</t>
        </is>
      </c>
      <c r="N277" t="inlineStr">
        <is>
          <t>PERGC-FSFG-DTC-45-01</t>
        </is>
      </c>
      <c r="O277" t="inlineStr">
        <is>
          <t>CJ DETECTOR GAS FIRE AREA W20C</t>
        </is>
      </c>
      <c r="P277" t="n">
        <v>8</v>
      </c>
      <c r="Q277" t="inlineStr">
        <is>
          <t>PLANO</t>
        </is>
      </c>
      <c r="R277" t="inlineStr">
        <is>
          <t>Z09</t>
        </is>
      </c>
      <c r="S277" s="20" t="n">
        <v>46313</v>
      </c>
    </row>
    <row r="278">
      <c r="A278" t="inlineStr">
        <is>
          <t>INS</t>
        </is>
      </c>
      <c r="B278" t="inlineStr">
        <is>
          <t>438592310</t>
        </is>
      </c>
      <c r="C278" t="n">
        <v>4385923</v>
      </c>
      <c r="D278" t="inlineStr">
        <is>
          <t>ABERTA</t>
        </is>
      </c>
      <c r="E278" s="20" t="n">
        <v>46324</v>
      </c>
      <c r="F278" t="n">
        <v>5</v>
      </c>
      <c r="G278" t="n">
        <v>3</v>
      </c>
      <c r="H278" s="20" t="n">
        <v>46325</v>
      </c>
      <c r="I278" t="n">
        <v>4385923</v>
      </c>
      <c r="J278" t="n">
        <v>10</v>
      </c>
      <c r="K278" t="inlineStr">
        <is>
          <t>INS</t>
        </is>
      </c>
      <c r="L278" t="inlineStr">
        <is>
          <t>PTF-1306 TEST FUNC INS DETECTOR GAS</t>
        </is>
      </c>
      <c r="M278" t="inlineStr">
        <is>
          <t>TEST FUNC DETECT GAS CH4 PTF-1306 INS 6M</t>
        </is>
      </c>
      <c r="N278" t="inlineStr">
        <is>
          <t>PERGC-FSFG-DTC-45-01</t>
        </is>
      </c>
      <c r="O278" t="inlineStr">
        <is>
          <t>CJ DETECTOR GAS FIRE AREA W20C</t>
        </is>
      </c>
      <c r="P278" t="n">
        <v>8</v>
      </c>
      <c r="Q278" t="inlineStr">
        <is>
          <t>PLANO</t>
        </is>
      </c>
      <c r="R278" t="inlineStr">
        <is>
          <t>Z08</t>
        </is>
      </c>
      <c r="S278" s="20" t="n">
        <v>46325</v>
      </c>
    </row>
    <row r="279">
      <c r="A279" t="inlineStr">
        <is>
          <t>INS</t>
        </is>
      </c>
      <c r="B279" t="inlineStr">
        <is>
          <t>438643510</t>
        </is>
      </c>
      <c r="C279" t="n">
        <v>4386435</v>
      </c>
      <c r="D279" t="inlineStr">
        <is>
          <t>ENCERRADA</t>
        </is>
      </c>
      <c r="E279" s="20" t="n">
        <v>46313</v>
      </c>
      <c r="F279" t="n">
        <v>5</v>
      </c>
      <c r="G279" t="n">
        <v>3</v>
      </c>
      <c r="H279" s="20" t="n">
        <v>46313</v>
      </c>
      <c r="I279" t="n">
        <v>4386435</v>
      </c>
      <c r="J279" t="n">
        <v>10</v>
      </c>
      <c r="K279" t="inlineStr">
        <is>
          <t>INS</t>
        </is>
      </c>
      <c r="L279" t="inlineStr">
        <is>
          <t>PCL-1308 CALIB INS DETECTOR GAS</t>
        </is>
      </c>
      <c r="M279" t="inlineStr">
        <is>
          <t>CALIB DETECT GAS CH4 PCL-1308 INS 1A</t>
        </is>
      </c>
      <c r="N279" t="inlineStr">
        <is>
          <t>PERGC-FSFG-DTC-45-01</t>
        </is>
      </c>
      <c r="O279" t="inlineStr">
        <is>
          <t>CJ DETECTOR GAS FIRE AREA W20C</t>
        </is>
      </c>
      <c r="P279" t="n">
        <v>8</v>
      </c>
      <c r="Q279" t="inlineStr">
        <is>
          <t>PLANO</t>
        </is>
      </c>
      <c r="R279" t="inlineStr">
        <is>
          <t>Z04</t>
        </is>
      </c>
      <c r="S279" s="20" t="n">
        <v>46313</v>
      </c>
    </row>
    <row r="280">
      <c r="A280" t="inlineStr">
        <is>
          <t>INS</t>
        </is>
      </c>
      <c r="B280" t="inlineStr">
        <is>
          <t>438650310</t>
        </is>
      </c>
      <c r="C280" t="n">
        <v>4386503</v>
      </c>
      <c r="D280" t="inlineStr">
        <is>
          <t>ENCERRADA</t>
        </is>
      </c>
      <c r="E280" s="20" t="n">
        <v>46317</v>
      </c>
      <c r="F280" t="n">
        <v>5</v>
      </c>
      <c r="G280" t="n">
        <v>3</v>
      </c>
      <c r="H280" s="20" t="n">
        <v>46317</v>
      </c>
      <c r="I280" t="n">
        <v>4386503</v>
      </c>
      <c r="J280" t="n">
        <v>10</v>
      </c>
      <c r="K280" t="inlineStr">
        <is>
          <t>INS</t>
        </is>
      </c>
      <c r="L280" t="inlineStr">
        <is>
          <t>INS-1312 INSP INS DETECTOR GAS</t>
        </is>
      </c>
      <c r="M280" t="inlineStr">
        <is>
          <t>INSP DETECT GAS CH4 INS-1312 INS 3M</t>
        </is>
      </c>
      <c r="N280" t="inlineStr">
        <is>
          <t>PERGC-FSFG-DTC-47-01</t>
        </is>
      </c>
      <c r="O280" t="inlineStr">
        <is>
          <t>CJ DETECTOR GAS FIRE AREA W20W</t>
        </is>
      </c>
      <c r="P280" t="n">
        <v>8</v>
      </c>
      <c r="Q280" t="inlineStr">
        <is>
          <t>PLANO</t>
        </is>
      </c>
      <c r="R280" t="inlineStr">
        <is>
          <t>Z09</t>
        </is>
      </c>
      <c r="S280" s="20" t="n">
        <v>46317</v>
      </c>
    </row>
    <row r="281">
      <c r="A281" t="inlineStr">
        <is>
          <t>INS</t>
        </is>
      </c>
      <c r="B281" t="inlineStr">
        <is>
          <t>438655710</t>
        </is>
      </c>
      <c r="C281" t="n">
        <v>4386557</v>
      </c>
      <c r="D281" t="inlineStr">
        <is>
          <t>ABERTA</t>
        </is>
      </c>
      <c r="E281" s="20" t="n">
        <v>46320</v>
      </c>
      <c r="F281" t="n">
        <v>5</v>
      </c>
      <c r="G281" t="n">
        <v>3</v>
      </c>
      <c r="H281" s="20" t="n">
        <v>46320</v>
      </c>
      <c r="I281" t="n">
        <v>4386557</v>
      </c>
      <c r="J281" t="n">
        <v>10</v>
      </c>
      <c r="K281" t="inlineStr">
        <is>
          <t>INS</t>
        </is>
      </c>
      <c r="L281" t="inlineStr">
        <is>
          <t>PTF-1306 TEST FUNC INS DETECTOR GAS</t>
        </is>
      </c>
      <c r="M281" t="inlineStr">
        <is>
          <t>TEST FUNC DETECT GAS CH4 PTF-1306 INS 6M</t>
        </is>
      </c>
      <c r="N281" t="inlineStr">
        <is>
          <t>PERGC-FSFG-DTC-48-01</t>
        </is>
      </c>
      <c r="O281" t="inlineStr">
        <is>
          <t>CJ DETECTOR GAS FIRE AREA W25C</t>
        </is>
      </c>
      <c r="P281" t="n">
        <v>8</v>
      </c>
      <c r="Q281" t="inlineStr">
        <is>
          <t>PLANO</t>
        </is>
      </c>
      <c r="R281" t="inlineStr">
        <is>
          <t>Z08</t>
        </is>
      </c>
      <c r="S281" s="20" t="n">
        <v>46320</v>
      </c>
    </row>
    <row r="282">
      <c r="A282" t="inlineStr">
        <is>
          <t>INS</t>
        </is>
      </c>
      <c r="B282" t="inlineStr">
        <is>
          <t>438654110</t>
        </is>
      </c>
      <c r="C282" t="n">
        <v>4386541</v>
      </c>
      <c r="D282" t="inlineStr">
        <is>
          <t>ENCERRADA</t>
        </is>
      </c>
      <c r="E282" s="20" t="n">
        <v>46319</v>
      </c>
      <c r="F282" t="n">
        <v>5</v>
      </c>
      <c r="G282" t="n">
        <v>3</v>
      </c>
      <c r="H282" s="20" t="n">
        <v>46319</v>
      </c>
      <c r="I282" t="n">
        <v>4386541</v>
      </c>
      <c r="J282" t="n">
        <v>10</v>
      </c>
      <c r="K282" t="inlineStr">
        <is>
          <t>INS</t>
        </is>
      </c>
      <c r="L282" t="inlineStr">
        <is>
          <t>INS-1312 INSP INS DETECTOR GAS</t>
        </is>
      </c>
      <c r="M282" t="inlineStr">
        <is>
          <t>INSP DETECT GAS CH4 INS-1312 INS 3M</t>
        </is>
      </c>
      <c r="N282" t="inlineStr">
        <is>
          <t>PERGC-FSFG-DTC-54-01</t>
        </is>
      </c>
      <c r="O282" t="inlineStr">
        <is>
          <t>CJ DETECTOR GAS FIRE AREA DFZ001</t>
        </is>
      </c>
      <c r="P282" t="n">
        <v>8</v>
      </c>
      <c r="Q282" t="inlineStr">
        <is>
          <t>PLANO</t>
        </is>
      </c>
      <c r="R282" t="inlineStr">
        <is>
          <t>Z09</t>
        </is>
      </c>
      <c r="S282" s="20" t="n">
        <v>46319</v>
      </c>
    </row>
    <row r="283">
      <c r="A283" t="inlineStr">
        <is>
          <t>INS</t>
        </is>
      </c>
      <c r="B283" t="inlineStr">
        <is>
          <t>438660510</t>
        </is>
      </c>
      <c r="C283" t="n">
        <v>4386605</v>
      </c>
      <c r="D283" t="inlineStr">
        <is>
          <t>ENCERRADA</t>
        </is>
      </c>
      <c r="E283" s="20" t="n">
        <v>46323</v>
      </c>
      <c r="F283" t="n">
        <v>5</v>
      </c>
      <c r="G283" t="n">
        <v>3</v>
      </c>
      <c r="H283" s="20" t="n">
        <v>46323</v>
      </c>
      <c r="I283" t="n">
        <v>4386605</v>
      </c>
      <c r="J283" t="n">
        <v>10</v>
      </c>
      <c r="K283" t="inlineStr">
        <is>
          <t>INS</t>
        </is>
      </c>
      <c r="L283" t="inlineStr">
        <is>
          <t>INS-1312 INSP INS DETECTOR GAS</t>
        </is>
      </c>
      <c r="M283" t="inlineStr">
        <is>
          <t>INSP DETECT GAS CH4 INS-1312 INS 3M</t>
        </is>
      </c>
      <c r="N283" t="inlineStr">
        <is>
          <t>PERGC-FSFG-DTC-57-01</t>
        </is>
      </c>
      <c r="O283" t="inlineStr">
        <is>
          <t>CJ DETECTOR GAS FIRE AREA DFZ004</t>
        </is>
      </c>
      <c r="P283" t="n">
        <v>8</v>
      </c>
      <c r="Q283" t="inlineStr">
        <is>
          <t>PLANO</t>
        </is>
      </c>
      <c r="R283" t="inlineStr">
        <is>
          <t>Z09</t>
        </is>
      </c>
      <c r="S283" s="20" t="n">
        <v>46323</v>
      </c>
    </row>
    <row r="284">
      <c r="A284" t="inlineStr">
        <is>
          <t>INS</t>
        </is>
      </c>
      <c r="B284" t="inlineStr">
        <is>
          <t>438592410</t>
        </is>
      </c>
      <c r="C284" t="n">
        <v>4385924</v>
      </c>
      <c r="D284" t="inlineStr">
        <is>
          <t>ABERTA</t>
        </is>
      </c>
      <c r="E284" s="20" t="n">
        <v>46324</v>
      </c>
      <c r="F284" t="n">
        <v>5</v>
      </c>
      <c r="G284" t="n">
        <v>3</v>
      </c>
      <c r="H284" s="20" t="n">
        <v>46325</v>
      </c>
      <c r="I284" t="n">
        <v>4385924</v>
      </c>
      <c r="J284" t="n">
        <v>10</v>
      </c>
      <c r="K284" t="inlineStr">
        <is>
          <t>INS</t>
        </is>
      </c>
      <c r="L284" t="inlineStr">
        <is>
          <t>PTF-1306 TEST FUNC INS DETECTOR GAS</t>
        </is>
      </c>
      <c r="M284" t="inlineStr">
        <is>
          <t>TEST FUNC DETECT GAS CH4 PTF-1306 INS 6M</t>
        </is>
      </c>
      <c r="N284" t="inlineStr">
        <is>
          <t>PERGC-FSFG-DTC-58-01</t>
        </is>
      </c>
      <c r="O284" t="inlineStr">
        <is>
          <t>CJ DETECTOR GAS FIRE AREA DFZ005</t>
        </is>
      </c>
      <c r="P284" t="n">
        <v>8</v>
      </c>
      <c r="Q284" t="inlineStr">
        <is>
          <t>PLANO</t>
        </is>
      </c>
      <c r="R284" t="inlineStr">
        <is>
          <t>Z08</t>
        </is>
      </c>
      <c r="S284" s="20" t="n">
        <v>46325</v>
      </c>
    </row>
    <row r="285">
      <c r="A285" t="inlineStr">
        <is>
          <t>INS</t>
        </is>
      </c>
      <c r="B285" t="inlineStr">
        <is>
          <t>438657610</t>
        </is>
      </c>
      <c r="C285" t="n">
        <v>4386576</v>
      </c>
      <c r="D285" t="inlineStr">
        <is>
          <t>ENCERRADA</t>
        </is>
      </c>
      <c r="E285" s="20" t="n">
        <v>46321</v>
      </c>
      <c r="F285" t="n">
        <v>5</v>
      </c>
      <c r="G285" t="n">
        <v>3</v>
      </c>
      <c r="H285" s="20" t="n">
        <v>46321</v>
      </c>
      <c r="I285" t="n">
        <v>4386576</v>
      </c>
      <c r="J285" t="n">
        <v>10</v>
      </c>
      <c r="K285" t="inlineStr">
        <is>
          <t>INS</t>
        </is>
      </c>
      <c r="L285" t="inlineStr">
        <is>
          <t>INS-1313 INSP INS DETECTOR FUMACA</t>
        </is>
      </c>
      <c r="M285" t="inlineStr">
        <is>
          <t>INSP DETECT FUMACA INS-1313 INS 6M</t>
        </is>
      </c>
      <c r="N285" t="inlineStr">
        <is>
          <t>PERGC-FSFG-DTC-59-04</t>
        </is>
      </c>
      <c r="O285" t="inlineStr">
        <is>
          <t>CJ DETECTOR FUMACA FIRE AREA DFZ006</t>
        </is>
      </c>
      <c r="P285" t="n">
        <v>8</v>
      </c>
      <c r="Q285" t="inlineStr">
        <is>
          <t>PLANO</t>
        </is>
      </c>
      <c r="R285" t="inlineStr">
        <is>
          <t>Z09</t>
        </is>
      </c>
      <c r="S285" s="20" t="n">
        <v>46321</v>
      </c>
    </row>
    <row r="286">
      <c r="A286" t="inlineStr">
        <is>
          <t>INS</t>
        </is>
      </c>
      <c r="B286" t="inlineStr">
        <is>
          <t>438590910</t>
        </is>
      </c>
      <c r="C286" t="n">
        <v>4385909</v>
      </c>
      <c r="D286" t="inlineStr">
        <is>
          <t>ABERTA</t>
        </is>
      </c>
      <c r="E286" s="20" t="n">
        <v>46321</v>
      </c>
      <c r="F286" t="n">
        <v>5</v>
      </c>
      <c r="G286" t="n">
        <v>3</v>
      </c>
      <c r="H286" s="20" t="n">
        <v>46321</v>
      </c>
      <c r="I286" t="n">
        <v>4385909</v>
      </c>
      <c r="J286" t="n">
        <v>10</v>
      </c>
      <c r="K286" t="inlineStr">
        <is>
          <t>INS</t>
        </is>
      </c>
      <c r="L286" t="inlineStr">
        <is>
          <t>PCL-1308 CALIB INS DETECTOR GAS</t>
        </is>
      </c>
      <c r="M286" t="inlineStr">
        <is>
          <t>CALIB DETECT GAS CH4 PCL-1308 INS 1A</t>
        </is>
      </c>
      <c r="N286" t="inlineStr">
        <is>
          <t>PERGC-FSFG-DTC-62-01</t>
        </is>
      </c>
      <c r="O286" t="inlineStr">
        <is>
          <t>CJ DETECTOR GAS FIRE AREA DFZ403</t>
        </is>
      </c>
      <c r="P286" t="n">
        <v>8</v>
      </c>
      <c r="Q286" t="inlineStr">
        <is>
          <t>PLANO</t>
        </is>
      </c>
      <c r="R286" t="inlineStr">
        <is>
          <t>Z04</t>
        </is>
      </c>
      <c r="S286" s="20" t="n">
        <v>46321</v>
      </c>
    </row>
    <row r="287">
      <c r="A287" t="inlineStr">
        <is>
          <t>INS</t>
        </is>
      </c>
      <c r="B287" t="inlineStr">
        <is>
          <t>438588010</t>
        </is>
      </c>
      <c r="C287" t="n">
        <v>4385880</v>
      </c>
      <c r="D287" t="inlineStr">
        <is>
          <t>ABERTA</t>
        </is>
      </c>
      <c r="E287" s="20" t="n">
        <v>46314</v>
      </c>
      <c r="F287" t="n">
        <v>5</v>
      </c>
      <c r="G287" t="n">
        <v>3</v>
      </c>
      <c r="H287" s="20" t="n">
        <v>46314</v>
      </c>
      <c r="I287" t="n">
        <v>4385880</v>
      </c>
      <c r="J287" t="n">
        <v>10</v>
      </c>
      <c r="K287" t="inlineStr">
        <is>
          <t>INS</t>
        </is>
      </c>
      <c r="L287" t="inlineStr">
        <is>
          <t>PTF-1306 TEST FUNC INS DETECTOR GAS</t>
        </is>
      </c>
      <c r="M287" t="inlineStr">
        <is>
          <t>TEST FUNC DETECT GAS CH4 PTF-1306 INS 6M</t>
        </is>
      </c>
      <c r="N287" t="inlineStr">
        <is>
          <t>PERGC-FSFG-DTC-66-01</t>
        </is>
      </c>
      <c r="O287" t="inlineStr">
        <is>
          <t>CJ DETECTOR GAS FIRE AREA DFZ407</t>
        </is>
      </c>
      <c r="P287" t="n">
        <v>8</v>
      </c>
      <c r="Q287" t="inlineStr">
        <is>
          <t>PLANO</t>
        </is>
      </c>
      <c r="R287" t="inlineStr">
        <is>
          <t>Z08</t>
        </is>
      </c>
      <c r="S287" s="20" t="n">
        <v>46314</v>
      </c>
    </row>
    <row r="288">
      <c r="A288" t="inlineStr">
        <is>
          <t>INS</t>
        </is>
      </c>
      <c r="B288" t="inlineStr">
        <is>
          <t>438592510</t>
        </is>
      </c>
      <c r="C288" t="n">
        <v>4385925</v>
      </c>
      <c r="D288" t="inlineStr">
        <is>
          <t>ABERTA</t>
        </is>
      </c>
      <c r="E288" s="20" t="n">
        <v>46326</v>
      </c>
      <c r="F288" t="n">
        <v>5</v>
      </c>
      <c r="G288" t="n">
        <v>3</v>
      </c>
      <c r="H288" s="20" t="n">
        <v>46326</v>
      </c>
      <c r="I288" t="n">
        <v>4385925</v>
      </c>
      <c r="J288" t="n">
        <v>10</v>
      </c>
      <c r="K288" t="inlineStr">
        <is>
          <t>INS</t>
        </is>
      </c>
      <c r="L288" t="inlineStr">
        <is>
          <t>PTF-1306 TEST FUNC INS DETECTOR GAS</t>
        </is>
      </c>
      <c r="M288" t="inlineStr">
        <is>
          <t>TEST FUNC DETECT GAS CH4 PTF-1306 INS 6M</t>
        </is>
      </c>
      <c r="N288" t="inlineStr">
        <is>
          <t>PERGC-FSFG-DTC-70-01</t>
        </is>
      </c>
      <c r="O288" t="inlineStr">
        <is>
          <t>CJ DETECTOR GAS FIRE AREA DFZ504</t>
        </is>
      </c>
      <c r="P288" t="n">
        <v>8</v>
      </c>
      <c r="Q288" t="inlineStr">
        <is>
          <t>PLANO</t>
        </is>
      </c>
      <c r="R288" t="inlineStr">
        <is>
          <t>Z08</t>
        </is>
      </c>
      <c r="S288" s="20" t="n">
        <v>46326</v>
      </c>
    </row>
    <row r="289">
      <c r="A289" t="inlineStr">
        <is>
          <t>INS</t>
        </is>
      </c>
      <c r="B289" t="inlineStr">
        <is>
          <t>438590510</t>
        </is>
      </c>
      <c r="C289" t="n">
        <v>4385905</v>
      </c>
      <c r="D289" t="inlineStr">
        <is>
          <t>ABERTA</t>
        </is>
      </c>
      <c r="E289" s="20" t="n">
        <v>46320</v>
      </c>
      <c r="F289" t="n">
        <v>5</v>
      </c>
      <c r="G289" t="n">
        <v>3</v>
      </c>
      <c r="H289" s="20" t="n">
        <v>46320</v>
      </c>
      <c r="I289" t="n">
        <v>4385905</v>
      </c>
      <c r="J289" t="n">
        <v>10</v>
      </c>
      <c r="K289" t="inlineStr">
        <is>
          <t>INS</t>
        </is>
      </c>
      <c r="L289" t="inlineStr">
        <is>
          <t>PTF-1310 TEST FUNC INS DETECTOR FUMACA</t>
        </is>
      </c>
      <c r="M289" t="inlineStr">
        <is>
          <t>TEST FUNC DETECT FUMACA PTF-1310 INS 1A</t>
        </is>
      </c>
      <c r="N289" t="inlineStr">
        <is>
          <t>PERGC-FSFG-DTC-70-04</t>
        </is>
      </c>
      <c r="O289" t="inlineStr">
        <is>
          <t>CJ DETECTOR FUMACA FIRE AREA DFZ504</t>
        </is>
      </c>
      <c r="P289" t="n">
        <v>8</v>
      </c>
      <c r="Q289" t="inlineStr">
        <is>
          <t>PLANO</t>
        </is>
      </c>
      <c r="R289" t="inlineStr">
        <is>
          <t>Z08</t>
        </is>
      </c>
      <c r="S289" s="20" t="n">
        <v>46320</v>
      </c>
    </row>
    <row r="290">
      <c r="A290" t="inlineStr">
        <is>
          <t>INS</t>
        </is>
      </c>
      <c r="B290" t="inlineStr">
        <is>
          <t>438589110</t>
        </is>
      </c>
      <c r="C290" t="n">
        <v>4385891</v>
      </c>
      <c r="D290" t="inlineStr">
        <is>
          <t>ENCERRADA</t>
        </is>
      </c>
      <c r="E290" s="20" t="n">
        <v>46316</v>
      </c>
      <c r="F290" t="n">
        <v>5</v>
      </c>
      <c r="G290" t="n">
        <v>3</v>
      </c>
      <c r="H290" s="20" t="n">
        <v>46316</v>
      </c>
      <c r="I290" t="n">
        <v>4385891</v>
      </c>
      <c r="J290" t="n">
        <v>10</v>
      </c>
      <c r="K290" t="inlineStr">
        <is>
          <t>INS</t>
        </is>
      </c>
      <c r="L290" t="inlineStr">
        <is>
          <t>INS-1312 INSP INS DETECTOR GAS</t>
        </is>
      </c>
      <c r="M290" t="inlineStr">
        <is>
          <t>INSP DETECT GAS CH4 INS-1312 INS 3M</t>
        </is>
      </c>
      <c r="N290" t="inlineStr">
        <is>
          <t>PERGC-FSFG-DTC-79-01</t>
        </is>
      </c>
      <c r="O290" t="inlineStr">
        <is>
          <t>CJ DETECTOR GAS FIRE AREA DFZ701</t>
        </is>
      </c>
      <c r="P290" t="n">
        <v>8</v>
      </c>
      <c r="Q290" t="inlineStr">
        <is>
          <t>PLANO</t>
        </is>
      </c>
      <c r="R290" t="inlineStr">
        <is>
          <t>Z09</t>
        </is>
      </c>
      <c r="S290" s="20" t="n">
        <v>46316</v>
      </c>
    </row>
    <row r="291">
      <c r="A291" t="inlineStr">
        <is>
          <t>INS</t>
        </is>
      </c>
      <c r="B291" t="inlineStr">
        <is>
          <t>438592110</t>
        </is>
      </c>
      <c r="C291" t="n">
        <v>4385921</v>
      </c>
      <c r="D291" t="inlineStr">
        <is>
          <t>ABERTA</t>
        </is>
      </c>
      <c r="E291" s="20" t="n">
        <v>46323</v>
      </c>
      <c r="F291" t="n">
        <v>5</v>
      </c>
      <c r="G291" t="n">
        <v>3</v>
      </c>
      <c r="H291" s="20" t="n">
        <v>46323</v>
      </c>
      <c r="I291" t="n">
        <v>4385921</v>
      </c>
      <c r="J291" t="n">
        <v>10</v>
      </c>
      <c r="K291" t="inlineStr">
        <is>
          <t>INS</t>
        </is>
      </c>
      <c r="L291" t="inlineStr">
        <is>
          <t>PTF-1306 TEST FUNC INS DETECTOR GAS</t>
        </is>
      </c>
      <c r="M291" t="inlineStr">
        <is>
          <t>TEST FUNC DETECT GAS CH4 PTF-1306 INS 6M</t>
        </is>
      </c>
      <c r="N291" t="inlineStr">
        <is>
          <t>PERGC-FSFG-DTC-79-01</t>
        </is>
      </c>
      <c r="O291" t="inlineStr">
        <is>
          <t>CJ DETECTOR GAS FIRE AREA DFZ701</t>
        </is>
      </c>
      <c r="P291" t="n">
        <v>8</v>
      </c>
      <c r="Q291" t="inlineStr">
        <is>
          <t>PLANO</t>
        </is>
      </c>
      <c r="R291" t="inlineStr">
        <is>
          <t>Z08</t>
        </is>
      </c>
      <c r="S291" s="20" t="n">
        <v>46323</v>
      </c>
    </row>
    <row r="292">
      <c r="A292" t="inlineStr">
        <is>
          <t>INS</t>
        </is>
      </c>
      <c r="B292" t="inlineStr">
        <is>
          <t>438590610</t>
        </is>
      </c>
      <c r="C292" t="n">
        <v>4385906</v>
      </c>
      <c r="D292" t="inlineStr">
        <is>
          <t>ABERTA</t>
        </is>
      </c>
      <c r="E292" s="20" t="n">
        <v>46320</v>
      </c>
      <c r="F292" t="n">
        <v>5</v>
      </c>
      <c r="G292" t="n">
        <v>3</v>
      </c>
      <c r="H292" s="20" t="n">
        <v>46320</v>
      </c>
      <c r="I292" t="n">
        <v>4385906</v>
      </c>
      <c r="J292" t="n">
        <v>10</v>
      </c>
      <c r="K292" t="inlineStr">
        <is>
          <t>INS</t>
        </is>
      </c>
      <c r="L292" t="inlineStr">
        <is>
          <t>PCL-1308 CALIB INS DETECTOR GAS</t>
        </is>
      </c>
      <c r="M292" t="inlineStr">
        <is>
          <t>CALIB DETECT GAS CH4 PCL-1308 INS 1A</t>
        </is>
      </c>
      <c r="N292" t="inlineStr">
        <is>
          <t>PERGC-FSFG-DTC-80-01</t>
        </is>
      </c>
      <c r="O292" t="inlineStr">
        <is>
          <t>CJ DETECTOR GAS FIRE AREA DFZ702</t>
        </is>
      </c>
      <c r="P292" t="n">
        <v>8</v>
      </c>
      <c r="Q292" t="inlineStr">
        <is>
          <t>PLANO</t>
        </is>
      </c>
      <c r="R292" t="inlineStr">
        <is>
          <t>Z04</t>
        </is>
      </c>
      <c r="S292" s="20" t="n">
        <v>46320</v>
      </c>
    </row>
    <row r="293">
      <c r="A293" t="inlineStr">
        <is>
          <t>INS</t>
        </is>
      </c>
      <c r="B293" t="inlineStr">
        <is>
          <t>438655810</t>
        </is>
      </c>
      <c r="C293" t="n">
        <v>4386558</v>
      </c>
      <c r="D293" t="inlineStr">
        <is>
          <t>ENCERRADA</t>
        </is>
      </c>
      <c r="E293" s="20" t="n">
        <v>46320</v>
      </c>
      <c r="F293" t="n">
        <v>5</v>
      </c>
      <c r="G293" t="n">
        <v>3</v>
      </c>
      <c r="H293" s="20" t="n">
        <v>46320</v>
      </c>
      <c r="I293" t="n">
        <v>4386558</v>
      </c>
      <c r="J293" t="n">
        <v>10</v>
      </c>
      <c r="K293" t="inlineStr">
        <is>
          <t>INS</t>
        </is>
      </c>
      <c r="L293" t="inlineStr">
        <is>
          <t>INS-1312 INSP INS DETECTOR GAS</t>
        </is>
      </c>
      <c r="M293" t="inlineStr">
        <is>
          <t>INSP DETECT GAS CH4 INS-1312 INS 3M</t>
        </is>
      </c>
      <c r="N293" t="inlineStr">
        <is>
          <t>PERGC-FSFG-DTC-81-01</t>
        </is>
      </c>
      <c r="O293" t="inlineStr">
        <is>
          <t>CJ DETECTOR GAS FIRE AREA DFZ703</t>
        </is>
      </c>
      <c r="P293" t="n">
        <v>8</v>
      </c>
      <c r="Q293" t="inlineStr">
        <is>
          <t>PLANO</t>
        </is>
      </c>
      <c r="R293" t="inlineStr">
        <is>
          <t>Z09</t>
        </is>
      </c>
      <c r="S293" s="20" t="n">
        <v>46320</v>
      </c>
    </row>
    <row r="294">
      <c r="A294" t="inlineStr">
        <is>
          <t>INS</t>
        </is>
      </c>
      <c r="B294" t="inlineStr">
        <is>
          <t>438589210</t>
        </is>
      </c>
      <c r="C294" t="n">
        <v>4385892</v>
      </c>
      <c r="D294" t="inlineStr">
        <is>
          <t>ENCERRADA</t>
        </is>
      </c>
      <c r="E294" s="20" t="n">
        <v>46316</v>
      </c>
      <c r="F294" t="n">
        <v>5</v>
      </c>
      <c r="G294" t="n">
        <v>3</v>
      </c>
      <c r="H294" s="20" t="n">
        <v>46316</v>
      </c>
      <c r="I294" t="n">
        <v>4385892</v>
      </c>
      <c r="J294" t="n">
        <v>10</v>
      </c>
      <c r="K294" t="inlineStr">
        <is>
          <t>INS</t>
        </is>
      </c>
      <c r="L294" t="inlineStr">
        <is>
          <t>INS-1312 INSP INS DETECTOR GAS</t>
        </is>
      </c>
      <c r="M294" t="inlineStr">
        <is>
          <t>INSP DETECT GAS CH4 INS-1312 INS 3M</t>
        </is>
      </c>
      <c r="N294" t="inlineStr">
        <is>
          <t>PERGC-FSFG-DTC-82-01</t>
        </is>
      </c>
      <c r="O294" t="inlineStr">
        <is>
          <t>CJ DETECTOR GAS FIRE AREA DFZ704</t>
        </is>
      </c>
      <c r="P294" t="n">
        <v>8</v>
      </c>
      <c r="Q294" t="inlineStr">
        <is>
          <t>PLANO</t>
        </is>
      </c>
      <c r="R294" t="inlineStr">
        <is>
          <t>Z09</t>
        </is>
      </c>
      <c r="S294" s="20" t="n">
        <v>46316</v>
      </c>
    </row>
    <row r="295">
      <c r="A295" t="inlineStr">
        <is>
          <t>INS</t>
        </is>
      </c>
      <c r="B295" t="inlineStr">
        <is>
          <t>438650410</t>
        </is>
      </c>
      <c r="C295" t="n">
        <v>4386504</v>
      </c>
      <c r="D295" t="inlineStr">
        <is>
          <t>ABERTA</t>
        </is>
      </c>
      <c r="E295" s="20" t="n">
        <v>46317</v>
      </c>
      <c r="F295" t="n">
        <v>5</v>
      </c>
      <c r="G295" t="n">
        <v>3</v>
      </c>
      <c r="H295" s="20" t="n">
        <v>46317</v>
      </c>
      <c r="I295" t="n">
        <v>4386504</v>
      </c>
      <c r="J295" t="n">
        <v>10</v>
      </c>
      <c r="K295" t="inlineStr">
        <is>
          <t>INS</t>
        </is>
      </c>
      <c r="L295" t="inlineStr">
        <is>
          <t>PTF-1306 TEST FUNC INS DETECTOR GAS</t>
        </is>
      </c>
      <c r="M295" t="inlineStr">
        <is>
          <t>TEST FUNC DETECT GAS CH4 PTF-1306 INS 6M</t>
        </is>
      </c>
      <c r="N295" t="inlineStr">
        <is>
          <t>PERGC-FSFG-DTC-82-01</t>
        </is>
      </c>
      <c r="O295" t="inlineStr">
        <is>
          <t>CJ DETECTOR GAS FIRE AREA DFZ704</t>
        </is>
      </c>
      <c r="P295" t="n">
        <v>8</v>
      </c>
      <c r="Q295" t="inlineStr">
        <is>
          <t>PLANO</t>
        </is>
      </c>
      <c r="R295" t="inlineStr">
        <is>
          <t>Z08</t>
        </is>
      </c>
      <c r="S295" s="20" t="n">
        <v>46317</v>
      </c>
    </row>
    <row r="296">
      <c r="A296" t="inlineStr">
        <is>
          <t>INS</t>
        </is>
      </c>
      <c r="B296" t="inlineStr">
        <is>
          <t>438641910</t>
        </is>
      </c>
      <c r="C296" t="n">
        <v>4386419</v>
      </c>
      <c r="D296" t="inlineStr">
        <is>
          <t>ENCERRADA</t>
        </is>
      </c>
      <c r="E296" s="20" t="n">
        <v>46311</v>
      </c>
      <c r="F296" t="n">
        <v>5</v>
      </c>
      <c r="G296" t="n">
        <v>3</v>
      </c>
      <c r="H296" s="20" t="n">
        <v>46311</v>
      </c>
      <c r="I296" t="n">
        <v>4386419</v>
      </c>
      <c r="J296" t="n">
        <v>10</v>
      </c>
      <c r="K296" t="inlineStr">
        <is>
          <t>INS</t>
        </is>
      </c>
      <c r="L296" t="inlineStr">
        <is>
          <t>PTF-1306 TEST FUNC INS DETECTOR GAS</t>
        </is>
      </c>
      <c r="M296" t="inlineStr">
        <is>
          <t>TEST FUNC DETECT GAS CH4 PTF-1306 INS 6M</t>
        </is>
      </c>
      <c r="N296" t="inlineStr">
        <is>
          <t>PERGC-FSFG-DTC-87-01</t>
        </is>
      </c>
      <c r="O296" t="inlineStr">
        <is>
          <t>CJ DETECTOR GAS FIRE AREA DFZ709</t>
        </is>
      </c>
      <c r="P296" t="n">
        <v>8</v>
      </c>
      <c r="Q296" t="inlineStr">
        <is>
          <t>PLANO</t>
        </is>
      </c>
      <c r="R296" t="inlineStr">
        <is>
          <t>Z08</t>
        </is>
      </c>
      <c r="S296" s="20" t="n">
        <v>46311</v>
      </c>
    </row>
    <row r="297">
      <c r="A297" t="inlineStr">
        <is>
          <t>INS</t>
        </is>
      </c>
      <c r="B297" t="inlineStr">
        <is>
          <t>438645510</t>
        </is>
      </c>
      <c r="C297" t="n">
        <v>4386455</v>
      </c>
      <c r="D297" t="inlineStr">
        <is>
          <t>ENCERRADA</t>
        </is>
      </c>
      <c r="E297" s="20" t="n">
        <v>46314</v>
      </c>
      <c r="F297" t="n">
        <v>2</v>
      </c>
      <c r="G297" t="n">
        <v>3</v>
      </c>
      <c r="H297" s="20" t="n">
        <v>46314</v>
      </c>
      <c r="I297" t="n">
        <v>4386455</v>
      </c>
      <c r="J297" t="n">
        <v>10</v>
      </c>
      <c r="K297" t="inlineStr">
        <is>
          <t>INS</t>
        </is>
      </c>
      <c r="L297" t="inlineStr">
        <is>
          <t>INS-1312 INSP INS DETECTOR GAS</t>
        </is>
      </c>
      <c r="M297" t="inlineStr">
        <is>
          <t>INSP DETECT GAS CH4 INS-1312 INS 3M</t>
        </is>
      </c>
      <c r="N297" t="inlineStr">
        <is>
          <t>PERGC-FSFG-DTC-89-01</t>
        </is>
      </c>
      <c r="O297" t="inlineStr">
        <is>
          <t>CJ DETECTOR GAS FIRE AREA DFZ711</t>
        </is>
      </c>
      <c r="P297" t="n">
        <v>8</v>
      </c>
      <c r="Q297" t="inlineStr">
        <is>
          <t>PLANO</t>
        </is>
      </c>
      <c r="R297" t="inlineStr">
        <is>
          <t>Z09</t>
        </is>
      </c>
      <c r="S297" s="20" t="n">
        <v>46314</v>
      </c>
    </row>
    <row r="298">
      <c r="A298" t="inlineStr">
        <is>
          <t>ELE</t>
        </is>
      </c>
      <c r="B298" t="inlineStr">
        <is>
          <t>437954310</t>
        </is>
      </c>
      <c r="C298" t="n">
        <v>4379543</v>
      </c>
      <c r="D298" t="inlineStr">
        <is>
          <t>ENCERRADA</t>
        </is>
      </c>
      <c r="E298" s="20" t="n">
        <v>46326</v>
      </c>
      <c r="F298" t="n">
        <v>2</v>
      </c>
      <c r="G298" t="n">
        <v>1</v>
      </c>
      <c r="H298" s="20" t="n">
        <v>46328</v>
      </c>
      <c r="I298" t="n">
        <v>4379543</v>
      </c>
      <c r="J298" t="n">
        <v>10</v>
      </c>
      <c r="K298" t="inlineStr">
        <is>
          <t>ELE</t>
        </is>
      </c>
      <c r="L298" t="inlineStr">
        <is>
          <t>INS-1206 INSP ELE BANCO BATERIAS</t>
        </is>
      </c>
      <c r="M298" t="inlineStr">
        <is>
          <t>INSP BATERIAS INS-1206 ELE 3M</t>
        </is>
      </c>
      <c r="N298" t="inlineStr">
        <is>
          <t>PERGC-FSGE-MGE-01-01</t>
        </is>
      </c>
      <c r="O298" t="inlineStr">
        <is>
          <t>84EZ001 SKID GERADOR EMERGENCIA</t>
        </is>
      </c>
      <c r="P298" t="n">
        <v>2.5</v>
      </c>
      <c r="Q298" t="inlineStr">
        <is>
          <t>PLANO</t>
        </is>
      </c>
      <c r="R298" t="inlineStr">
        <is>
          <t>Z09</t>
        </is>
      </c>
      <c r="S298" s="20" t="n">
        <v>46328</v>
      </c>
    </row>
    <row r="299">
      <c r="A299" t="inlineStr">
        <is>
          <t>ELE</t>
        </is>
      </c>
      <c r="B299" t="inlineStr">
        <is>
          <t>439124010</t>
        </is>
      </c>
      <c r="C299" t="n">
        <v>4391240</v>
      </c>
      <c r="D299" t="inlineStr">
        <is>
          <t>ENCERRADA</t>
        </is>
      </c>
      <c r="E299" s="20" t="n">
        <v>46311</v>
      </c>
      <c r="F299" t="n">
        <v>2</v>
      </c>
      <c r="G299" t="n">
        <v>1</v>
      </c>
      <c r="H299" s="20" t="n">
        <v>46311</v>
      </c>
      <c r="I299" t="n">
        <v>4391240</v>
      </c>
      <c r="J299" t="n">
        <v>10</v>
      </c>
      <c r="K299" t="inlineStr">
        <is>
          <t>ELE</t>
        </is>
      </c>
      <c r="L299" t="inlineStr">
        <is>
          <t>PTF-1203 TEST FUNC ELE GERADOR</t>
        </is>
      </c>
      <c r="M299" t="inlineStr">
        <is>
          <t>TEST FUNC GERADOR PTF-1203 ELE 1S</t>
        </is>
      </c>
      <c r="N299" t="inlineStr">
        <is>
          <t>PERGC-FSGE-MGE-01-04-01</t>
        </is>
      </c>
      <c r="O299" t="inlineStr">
        <is>
          <t>84EG001 GERADOR DIESEL</t>
        </is>
      </c>
      <c r="P299" t="n">
        <v>2</v>
      </c>
      <c r="Q299" t="inlineStr">
        <is>
          <t>PLANO</t>
        </is>
      </c>
      <c r="R299" t="inlineStr">
        <is>
          <t>Z08</t>
        </is>
      </c>
      <c r="S299" s="20" t="n">
        <v>46311</v>
      </c>
    </row>
    <row r="300">
      <c r="A300" t="inlineStr">
        <is>
          <t>ELE</t>
        </is>
      </c>
      <c r="B300" t="inlineStr">
        <is>
          <t>439293910</t>
        </is>
      </c>
      <c r="C300" t="n">
        <v>4392939</v>
      </c>
      <c r="D300" t="inlineStr">
        <is>
          <t>ENCERRADA</t>
        </is>
      </c>
      <c r="E300" s="20" t="n">
        <v>46318</v>
      </c>
      <c r="F300" t="n">
        <v>2</v>
      </c>
      <c r="G300" t="n">
        <v>1</v>
      </c>
      <c r="H300" s="20" t="n">
        <v>46318</v>
      </c>
      <c r="I300" t="n">
        <v>4392939</v>
      </c>
      <c r="J300" t="n">
        <v>10</v>
      </c>
      <c r="K300" t="inlineStr">
        <is>
          <t>ELE</t>
        </is>
      </c>
      <c r="L300" t="inlineStr">
        <is>
          <t>PTF-1203 TEST FUNC ELE GERADOR</t>
        </is>
      </c>
      <c r="M300" t="inlineStr">
        <is>
          <t>TEST FUNC GERADOR PTF-1203 ELE 1S</t>
        </is>
      </c>
      <c r="N300" t="inlineStr">
        <is>
          <t>PERGC-FSGE-MGE-01-04-01</t>
        </is>
      </c>
      <c r="O300" t="inlineStr">
        <is>
          <t>84EG001 GERADOR DIESEL</t>
        </is>
      </c>
      <c r="P300" t="n">
        <v>2</v>
      </c>
      <c r="Q300" t="inlineStr">
        <is>
          <t>PLANO</t>
        </is>
      </c>
      <c r="R300" t="inlineStr">
        <is>
          <t>Z08</t>
        </is>
      </c>
      <c r="S300" s="20" t="n">
        <v>46318</v>
      </c>
    </row>
    <row r="301">
      <c r="A301" t="inlineStr">
        <is>
          <t>ELE</t>
        </is>
      </c>
      <c r="B301" t="inlineStr">
        <is>
          <t>439427110</t>
        </is>
      </c>
      <c r="C301" t="n">
        <v>4394271</v>
      </c>
      <c r="D301" t="inlineStr">
        <is>
          <t>ABERTA</t>
        </is>
      </c>
      <c r="E301" s="20" t="n">
        <v>46324</v>
      </c>
      <c r="F301" t="n">
        <v>5</v>
      </c>
      <c r="G301" t="n">
        <v>1</v>
      </c>
      <c r="H301" s="20" t="n">
        <v>46325</v>
      </c>
      <c r="I301" t="n">
        <v>4394271</v>
      </c>
      <c r="J301" t="n">
        <v>10</v>
      </c>
      <c r="K301" t="inlineStr">
        <is>
          <t>ELE</t>
        </is>
      </c>
      <c r="L301" t="inlineStr">
        <is>
          <t>PTF-1203 TEST FUNC ELE GERADOR</t>
        </is>
      </c>
      <c r="M301" t="inlineStr">
        <is>
          <t>TEST FUNC GERADOR PTF-1203 ELE 1S</t>
        </is>
      </c>
      <c r="N301" t="inlineStr">
        <is>
          <t>PERGC-FSGE-MGE-01-04-01</t>
        </is>
      </c>
      <c r="O301" t="inlineStr">
        <is>
          <t>84EG001 GERADOR DIESEL</t>
        </is>
      </c>
      <c r="P301" t="n">
        <v>2</v>
      </c>
      <c r="Q301" t="inlineStr">
        <is>
          <t>PLANO</t>
        </is>
      </c>
      <c r="R301" t="inlineStr">
        <is>
          <t>Z08</t>
        </is>
      </c>
      <c r="S301" s="20" t="n">
        <v>46325</v>
      </c>
    </row>
    <row r="302">
      <c r="A302" t="inlineStr">
        <is>
          <t>INS</t>
        </is>
      </c>
      <c r="B302" t="inlineStr">
        <is>
          <t>438587410</t>
        </is>
      </c>
      <c r="C302" t="n">
        <v>4385874</v>
      </c>
      <c r="D302" t="inlineStr">
        <is>
          <t>ABERTA</t>
        </is>
      </c>
      <c r="E302" s="20" t="n">
        <v>46313</v>
      </c>
      <c r="F302" t="n">
        <v>3</v>
      </c>
      <c r="G302" t="n">
        <v>3</v>
      </c>
      <c r="H302" s="20" t="n">
        <v>46313</v>
      </c>
      <c r="I302" t="n">
        <v>4385874</v>
      </c>
      <c r="J302" t="n">
        <v>10</v>
      </c>
      <c r="K302" t="inlineStr">
        <is>
          <t>INS</t>
        </is>
      </c>
      <c r="L302" t="inlineStr">
        <is>
          <t>PTF-1314 LUBR MEC 6M PREP TEST FUNC</t>
        </is>
      </c>
      <c r="M302" t="inlineStr">
        <is>
          <t>TEST FUNC DAMPER PTF-1314 INS 1A</t>
        </is>
      </c>
      <c r="N302" t="inlineStr">
        <is>
          <t>PERGC-FSGE-MGE-01-25-04</t>
        </is>
      </c>
      <c r="O302" t="inlineStr">
        <is>
          <t>CJ FIRE DAMPER 84GM002</t>
        </is>
      </c>
      <c r="P302" t="n">
        <v>2</v>
      </c>
      <c r="Q302" t="inlineStr">
        <is>
          <t>PLANO</t>
        </is>
      </c>
      <c r="R302" t="inlineStr">
        <is>
          <t>Z08</t>
        </is>
      </c>
      <c r="S302" s="20" t="n">
        <v>46313</v>
      </c>
    </row>
    <row r="303">
      <c r="A303" t="inlineStr">
        <is>
          <t>MEC</t>
        </is>
      </c>
      <c r="B303" t="inlineStr">
        <is>
          <t>438654210</t>
        </is>
      </c>
      <c r="C303" t="n">
        <v>4386542</v>
      </c>
      <c r="D303" t="inlineStr">
        <is>
          <t>ENCERRADA</t>
        </is>
      </c>
      <c r="E303" s="20" t="n">
        <v>46320</v>
      </c>
      <c r="F303" t="n">
        <v>5</v>
      </c>
      <c r="G303" t="n">
        <v>2</v>
      </c>
      <c r="H303" s="20" t="n">
        <v>46320</v>
      </c>
      <c r="I303" t="n">
        <v>4386542</v>
      </c>
      <c r="J303" t="n">
        <v>10</v>
      </c>
      <c r="K303" t="inlineStr">
        <is>
          <t>MEC</t>
        </is>
      </c>
      <c r="L303" t="inlineStr">
        <is>
          <t>INSP CILINDRO N2/H2O INS-1550 MEC 1M</t>
        </is>
      </c>
      <c r="M303" t="inlineStr">
        <is>
          <t>INSP CILINDRO N2/H2O INS-1550 MEC 1M</t>
        </is>
      </c>
      <c r="N303" t="inlineStr">
        <is>
          <t>PERGC-FSGE-MGE-01-28-07-01</t>
        </is>
      </c>
      <c r="O303" t="inlineStr">
        <is>
          <t>84CN001 CILINDRO N2</t>
        </is>
      </c>
      <c r="P303" t="n">
        <v>1</v>
      </c>
      <c r="Q303" t="inlineStr">
        <is>
          <t>PLANO</t>
        </is>
      </c>
      <c r="R303" t="inlineStr">
        <is>
          <t>Z09</t>
        </is>
      </c>
      <c r="S303" s="20" t="n">
        <v>46320</v>
      </c>
    </row>
    <row r="304">
      <c r="A304" t="inlineStr">
        <is>
          <t>MEC</t>
        </is>
      </c>
      <c r="B304" t="inlineStr">
        <is>
          <t>438656310</t>
        </is>
      </c>
      <c r="C304" t="n">
        <v>4386563</v>
      </c>
      <c r="D304" t="inlineStr">
        <is>
          <t>ABERTA</t>
        </is>
      </c>
      <c r="E304" s="20" t="n">
        <v>46321</v>
      </c>
      <c r="F304" t="n">
        <v>5</v>
      </c>
      <c r="G304" t="n">
        <v>3</v>
      </c>
      <c r="H304" s="20" t="n">
        <v>46321</v>
      </c>
      <c r="I304" t="n">
        <v>4386563</v>
      </c>
      <c r="J304" t="n">
        <v>10</v>
      </c>
      <c r="K304" t="inlineStr">
        <is>
          <t>MEC</t>
        </is>
      </c>
      <c r="L304" t="inlineStr">
        <is>
          <t>INS-1500 INSP OPM VISUAL BOMBA</t>
        </is>
      </c>
      <c r="M304" t="inlineStr">
        <is>
          <t>INSP VISUAL BOMBA INS-1500 MEC 1M</t>
        </is>
      </c>
      <c r="N304" t="inlineStr">
        <is>
          <t>PERGC-FSGP-GTG-01-13-01</t>
        </is>
      </c>
      <c r="O304" t="inlineStr">
        <is>
          <t>CJ BOMBAS LUBRIFICACAO OLEO SINTETICO</t>
        </is>
      </c>
      <c r="P304" t="n">
        <v>1</v>
      </c>
      <c r="Q304" t="inlineStr">
        <is>
          <t>PLANO</t>
        </is>
      </c>
      <c r="R304" t="inlineStr">
        <is>
          <t>Z09</t>
        </is>
      </c>
      <c r="S304" s="20" t="n">
        <v>46321</v>
      </c>
    </row>
    <row r="305">
      <c r="A305" t="inlineStr">
        <is>
          <t>PRO</t>
        </is>
      </c>
      <c r="B305" t="inlineStr">
        <is>
          <t>438641210</t>
        </is>
      </c>
      <c r="C305" t="n">
        <v>4386412</v>
      </c>
      <c r="D305" t="inlineStr">
        <is>
          <t>ENCERRADA</t>
        </is>
      </c>
      <c r="E305" s="20" t="n">
        <v>46311</v>
      </c>
      <c r="F305" t="n">
        <v>5</v>
      </c>
      <c r="G305" t="n">
        <v>3</v>
      </c>
      <c r="H305" s="20" t="n">
        <v>46311</v>
      </c>
      <c r="I305" t="n">
        <v>4386412</v>
      </c>
      <c r="J305" t="n">
        <v>10</v>
      </c>
      <c r="K305" t="inlineStr">
        <is>
          <t>PRO</t>
        </is>
      </c>
      <c r="L305" t="inlineStr">
        <is>
          <t>INS-1813 INSP PRO FILTRO</t>
        </is>
      </c>
      <c r="M305" t="inlineStr">
        <is>
          <t>INSP FILTRO INS-1813 PRO 4M</t>
        </is>
      </c>
      <c r="N305" t="inlineStr">
        <is>
          <t>PERGC-FSGP-GTG-01-16</t>
        </is>
      </c>
      <c r="O305" t="inlineStr">
        <is>
          <t>CJ CONSOLE OLEO SINTETICO TRAIN A</t>
        </is>
      </c>
      <c r="P305" t="n">
        <v>3</v>
      </c>
      <c r="Q305" t="inlineStr">
        <is>
          <t>PLANO</t>
        </is>
      </c>
      <c r="R305" t="inlineStr">
        <is>
          <t>Z09</t>
        </is>
      </c>
      <c r="S305" s="20" t="n">
        <v>46311</v>
      </c>
    </row>
    <row r="306">
      <c r="A306" t="inlineStr">
        <is>
          <t>PRO</t>
        </is>
      </c>
      <c r="B306" t="inlineStr">
        <is>
          <t>438586610</t>
        </is>
      </c>
      <c r="C306" t="n">
        <v>4385866</v>
      </c>
      <c r="D306" t="inlineStr">
        <is>
          <t>ENCERRADA</t>
        </is>
      </c>
      <c r="E306" s="20" t="n">
        <v>46311</v>
      </c>
      <c r="F306" t="n">
        <v>3</v>
      </c>
      <c r="G306" t="n">
        <v>3</v>
      </c>
      <c r="H306" s="20" t="n">
        <v>46311</v>
      </c>
      <c r="I306" t="n">
        <v>4385866</v>
      </c>
      <c r="J306" t="n">
        <v>10</v>
      </c>
      <c r="K306" t="inlineStr">
        <is>
          <t>PRO</t>
        </is>
      </c>
      <c r="L306" t="inlineStr">
        <is>
          <t>INS-1813 INSP PRO FILTRO</t>
        </is>
      </c>
      <c r="M306" t="inlineStr">
        <is>
          <t>INSP FILTRO INS-1813 PRO 4M</t>
        </is>
      </c>
      <c r="N306" t="inlineStr">
        <is>
          <t>PERGC-FSGP-GTG-01-22</t>
        </is>
      </c>
      <c r="O306" t="inlineStr">
        <is>
          <t>CJ SISTEMA PARTIDA HIDRAULICA TRAIN A</t>
        </is>
      </c>
      <c r="P306" t="n">
        <v>3</v>
      </c>
      <c r="Q306" t="inlineStr">
        <is>
          <t>PLANO</t>
        </is>
      </c>
      <c r="R306" t="inlineStr">
        <is>
          <t>Z09</t>
        </is>
      </c>
      <c r="S306" s="20" t="n">
        <v>46311</v>
      </c>
    </row>
    <row r="307">
      <c r="A307" t="inlineStr">
        <is>
          <t>PRO</t>
        </is>
      </c>
      <c r="B307" t="inlineStr">
        <is>
          <t>438664910</t>
        </is>
      </c>
      <c r="C307" t="n">
        <v>4386649</v>
      </c>
      <c r="D307" t="inlineStr">
        <is>
          <t>ENCERRADA</t>
        </is>
      </c>
      <c r="E307" s="20" t="n">
        <v>46320</v>
      </c>
      <c r="F307" t="n">
        <v>5</v>
      </c>
      <c r="G307" t="n">
        <v>2</v>
      </c>
      <c r="H307" s="20" t="n">
        <v>46320</v>
      </c>
      <c r="I307" t="n">
        <v>4386649</v>
      </c>
      <c r="J307" t="n">
        <v>10</v>
      </c>
      <c r="K307" t="inlineStr">
        <is>
          <t>PRO</t>
        </is>
      </c>
      <c r="L307" t="inlineStr">
        <is>
          <t>INS-1813 INSP PRO FILTRO</t>
        </is>
      </c>
      <c r="M307" t="inlineStr">
        <is>
          <t>INSP FILTRO INS-1813 PRO 4M</t>
        </is>
      </c>
      <c r="N307" t="inlineStr">
        <is>
          <t>PERGC-FSGP-GTG-01-28-19-01</t>
        </is>
      </c>
      <c r="O307" t="inlineStr">
        <is>
          <t>SI-0093 FILTRO</t>
        </is>
      </c>
      <c r="P307" t="n">
        <v>3</v>
      </c>
      <c r="Q307" t="inlineStr">
        <is>
          <t>PLANO</t>
        </is>
      </c>
      <c r="R307" t="inlineStr">
        <is>
          <t>Z09</t>
        </is>
      </c>
      <c r="S307" s="20" t="n">
        <v>46320</v>
      </c>
    </row>
    <row r="308">
      <c r="A308" t="inlineStr">
        <is>
          <t>ELE</t>
        </is>
      </c>
      <c r="B308" t="inlineStr">
        <is>
          <t>438590010</t>
        </is>
      </c>
      <c r="C308" t="n">
        <v>4385900</v>
      </c>
      <c r="D308" t="inlineStr">
        <is>
          <t>ABERTA</t>
        </is>
      </c>
      <c r="E308" s="20" t="n">
        <v>46320</v>
      </c>
      <c r="F308" t="n">
        <v>5</v>
      </c>
      <c r="G308" t="n">
        <v>3</v>
      </c>
      <c r="H308" s="20" t="n">
        <v>46320</v>
      </c>
      <c r="I308" t="n">
        <v>4385900</v>
      </c>
      <c r="J308" t="n">
        <v>10</v>
      </c>
      <c r="K308" t="inlineStr">
        <is>
          <t>ELE</t>
        </is>
      </c>
      <c r="L308" t="inlineStr">
        <is>
          <t>PTF-1301 TEST FUNC INS BOTOEIRAS</t>
        </is>
      </c>
      <c r="M308" t="inlineStr">
        <is>
          <t>TEST FUNC BOTOEIRAS PTF-1301 INS 6M</t>
        </is>
      </c>
      <c r="N308" t="inlineStr">
        <is>
          <t>PERGC-FSGP-GTG-01-37</t>
        </is>
      </c>
      <c r="O308" t="inlineStr">
        <is>
          <t>CJ SIST COMB A INCENDIO (WATER MIST) A</t>
        </is>
      </c>
      <c r="P308" t="n">
        <v>4</v>
      </c>
      <c r="Q308" t="inlineStr">
        <is>
          <t>PLANO</t>
        </is>
      </c>
      <c r="R308" t="inlineStr">
        <is>
          <t>Z08</t>
        </is>
      </c>
      <c r="S308" s="20" t="n">
        <v>46320</v>
      </c>
    </row>
    <row r="309">
      <c r="A309" t="inlineStr">
        <is>
          <t>MEC</t>
        </is>
      </c>
      <c r="B309" t="inlineStr">
        <is>
          <t>438646010</t>
        </is>
      </c>
      <c r="C309" t="n">
        <v>4386460</v>
      </c>
      <c r="D309" t="inlineStr">
        <is>
          <t>ABERTA</t>
        </is>
      </c>
      <c r="E309" s="20" t="n">
        <v>46315</v>
      </c>
      <c r="F309" t="n">
        <v>3</v>
      </c>
      <c r="G309" t="n">
        <v>3</v>
      </c>
      <c r="H309" s="20" t="n">
        <v>46315</v>
      </c>
      <c r="I309" t="n">
        <v>4386460</v>
      </c>
      <c r="J309" t="n">
        <v>10</v>
      </c>
      <c r="K309" t="inlineStr">
        <is>
          <t>MEC</t>
        </is>
      </c>
      <c r="L309" t="inlineStr">
        <is>
          <t>INS-1500 INSP OPM VISUAL BOMBA</t>
        </is>
      </c>
      <c r="M309" t="inlineStr">
        <is>
          <t>INSP VISUAL BOMBA INS-1500 MEC 1M</t>
        </is>
      </c>
      <c r="N309" t="inlineStr">
        <is>
          <t>PERGC-FSGP-GTG-01-37-10</t>
        </is>
      </c>
      <c r="O309" t="inlineStr">
        <is>
          <t>72SM001-P01 BOMBA HIDRAULICA MANUAL</t>
        </is>
      </c>
      <c r="P309" t="n">
        <v>1</v>
      </c>
      <c r="Q309" t="inlineStr">
        <is>
          <t>PLANO</t>
        </is>
      </c>
      <c r="R309" t="inlineStr">
        <is>
          <t>Z09</t>
        </is>
      </c>
      <c r="S309" s="20" t="n">
        <v>46315</v>
      </c>
    </row>
    <row r="310">
      <c r="A310" t="inlineStr">
        <is>
          <t>ELE</t>
        </is>
      </c>
      <c r="B310" t="inlineStr">
        <is>
          <t>438530710</t>
        </is>
      </c>
      <c r="C310" t="n">
        <v>4385307</v>
      </c>
      <c r="D310" t="inlineStr">
        <is>
          <t>ENCERRADA</t>
        </is>
      </c>
      <c r="E310" s="20" t="n">
        <v>46318</v>
      </c>
      <c r="F310" t="n">
        <v>3</v>
      </c>
      <c r="G310" t="n">
        <v>2</v>
      </c>
      <c r="H310" s="20" t="n">
        <v>46318</v>
      </c>
      <c r="I310" t="n">
        <v>4385307</v>
      </c>
      <c r="J310" t="n">
        <v>10</v>
      </c>
      <c r="K310" t="inlineStr">
        <is>
          <t>ELE</t>
        </is>
      </c>
      <c r="L310" t="inlineStr">
        <is>
          <t>PSE-1812 MANUT PRO CONDE/TROC CALOR</t>
        </is>
      </c>
      <c r="M310" t="inlineStr">
        <is>
          <t>MANUT TROCADOR PSE-1812 PRO 1A</t>
        </is>
      </c>
      <c r="N310" t="inlineStr">
        <is>
          <t>PERGC-FSGP-GTG-04-07-10-04</t>
        </is>
      </c>
      <c r="O310" t="inlineStr">
        <is>
          <t>80EG001B-H02 AQUECEDOR ANTI CONDENSACAO</t>
        </is>
      </c>
      <c r="P310" t="n">
        <v>1</v>
      </c>
      <c r="Q310" t="inlineStr">
        <is>
          <t>PLANO</t>
        </is>
      </c>
      <c r="R310" t="inlineStr">
        <is>
          <t>Z12</t>
        </is>
      </c>
      <c r="S310" s="20" t="n">
        <v>46318</v>
      </c>
    </row>
    <row r="311">
      <c r="A311" t="inlineStr">
        <is>
          <t>MEC</t>
        </is>
      </c>
      <c r="B311" t="inlineStr">
        <is>
          <t>438934610</t>
        </is>
      </c>
      <c r="C311" t="n">
        <v>4389346</v>
      </c>
      <c r="D311" t="inlineStr">
        <is>
          <t>ABERTA</t>
        </is>
      </c>
      <c r="E311" s="20" t="n">
        <v>46317</v>
      </c>
      <c r="F311" t="n">
        <v>5</v>
      </c>
      <c r="G311" t="n">
        <v>2</v>
      </c>
      <c r="H311" s="20" t="n">
        <v>46317</v>
      </c>
      <c r="I311" t="n">
        <v>4389346</v>
      </c>
      <c r="J311" t="n">
        <v>10</v>
      </c>
      <c r="K311" t="inlineStr">
        <is>
          <t>MEC</t>
        </is>
      </c>
      <c r="L311" t="inlineStr">
        <is>
          <t>PLP-1501 MANUT MEC TURBINA GE</t>
        </is>
      </c>
      <c r="M311" t="inlineStr">
        <is>
          <t>MANUT TURBINA GE PLP-1501 MEC 2000 HRS</t>
        </is>
      </c>
      <c r="N311" t="inlineStr">
        <is>
          <t>PERGC-FSGP-GTG-04-10-01</t>
        </is>
      </c>
      <c r="O311" t="inlineStr">
        <is>
          <t>80EG001B-R01 TURBINA GAS (GG/PT)</t>
        </is>
      </c>
      <c r="P311" t="n">
        <v>6</v>
      </c>
      <c r="Q311" t="inlineStr">
        <is>
          <t>PLANO</t>
        </is>
      </c>
      <c r="R311" t="inlineStr">
        <is>
          <t>Z12</t>
        </is>
      </c>
      <c r="S311" s="20" t="n">
        <v>46317</v>
      </c>
    </row>
    <row r="312">
      <c r="A312" t="inlineStr">
        <is>
          <t>MEC</t>
        </is>
      </c>
      <c r="B312" t="inlineStr">
        <is>
          <t>438646210</t>
        </is>
      </c>
      <c r="C312" t="n">
        <v>4386462</v>
      </c>
      <c r="D312" t="inlineStr">
        <is>
          <t>ABERTA</t>
        </is>
      </c>
      <c r="E312" s="20" t="n">
        <v>46315</v>
      </c>
      <c r="F312" t="n">
        <v>5</v>
      </c>
      <c r="G312" t="n">
        <v>3</v>
      </c>
      <c r="H312" s="20" t="n">
        <v>46315</v>
      </c>
      <c r="I312" t="n">
        <v>4386462</v>
      </c>
      <c r="J312" t="n">
        <v>10</v>
      </c>
      <c r="K312" t="inlineStr">
        <is>
          <t>MEC</t>
        </is>
      </c>
      <c r="L312" t="inlineStr">
        <is>
          <t>INS-1500 INSP OPM VISUAL BOMBA</t>
        </is>
      </c>
      <c r="M312" t="inlineStr">
        <is>
          <t>INSP VISUAL BOMBA INS-1500 MEC 1M</t>
        </is>
      </c>
      <c r="N312" t="inlineStr">
        <is>
          <t>PERGC-FSGP-GTG-04-13-01</t>
        </is>
      </c>
      <c r="O312" t="inlineStr">
        <is>
          <t>CJ BOMBAS LUBRIFICACAO OLEO SINTETICO</t>
        </is>
      </c>
      <c r="P312" t="n">
        <v>1</v>
      </c>
      <c r="Q312" t="inlineStr">
        <is>
          <t>PLANO</t>
        </is>
      </c>
      <c r="R312" t="inlineStr">
        <is>
          <t>Z09</t>
        </is>
      </c>
      <c r="S312" s="20" t="n">
        <v>46315</v>
      </c>
    </row>
    <row r="313">
      <c r="A313" t="inlineStr">
        <is>
          <t>PRO</t>
        </is>
      </c>
      <c r="B313" t="inlineStr">
        <is>
          <t>438660110</t>
        </is>
      </c>
      <c r="C313" t="n">
        <v>4386601</v>
      </c>
      <c r="D313" t="inlineStr">
        <is>
          <t>ABERTA</t>
        </is>
      </c>
      <c r="E313" s="20" t="n">
        <v>46323</v>
      </c>
      <c r="F313" t="n">
        <v>3</v>
      </c>
      <c r="G313" t="n">
        <v>3</v>
      </c>
      <c r="H313" s="20" t="n">
        <v>46323</v>
      </c>
      <c r="I313" t="n">
        <v>4386601</v>
      </c>
      <c r="J313" t="n">
        <v>10</v>
      </c>
      <c r="K313" t="inlineStr">
        <is>
          <t>PRO</t>
        </is>
      </c>
      <c r="L313" t="inlineStr">
        <is>
          <t>INS-1813 INSP PRO FILTRO</t>
        </is>
      </c>
      <c r="M313" t="inlineStr">
        <is>
          <t>INSP FILTRO INS-1813 PRO 4M</t>
        </is>
      </c>
      <c r="N313" t="inlineStr">
        <is>
          <t>PERGC-FSGP-GTG-04-16</t>
        </is>
      </c>
      <c r="O313" t="inlineStr">
        <is>
          <t>CJ CONSOLE OLEO SINTETICO TRAIN B</t>
        </is>
      </c>
      <c r="P313" t="n">
        <v>3</v>
      </c>
      <c r="Q313" t="inlineStr">
        <is>
          <t>PLANO</t>
        </is>
      </c>
      <c r="R313" t="inlineStr">
        <is>
          <t>Z09</t>
        </is>
      </c>
      <c r="S313" s="20" t="n">
        <v>46323</v>
      </c>
    </row>
    <row r="314">
      <c r="A314" t="inlineStr">
        <is>
          <t>MEC</t>
        </is>
      </c>
      <c r="B314" t="inlineStr">
        <is>
          <t>438664310</t>
        </is>
      </c>
      <c r="C314" t="n">
        <v>4386643</v>
      </c>
      <c r="D314" t="inlineStr">
        <is>
          <t>ENCERRADA</t>
        </is>
      </c>
      <c r="E314" s="20" t="n">
        <v>46311</v>
      </c>
      <c r="F314" t="n">
        <v>3</v>
      </c>
      <c r="G314" t="n">
        <v>2</v>
      </c>
      <c r="H314" s="20" t="n">
        <v>46311</v>
      </c>
      <c r="I314" t="n">
        <v>4386643</v>
      </c>
      <c r="J314" t="n">
        <v>10</v>
      </c>
      <c r="K314" t="inlineStr">
        <is>
          <t>MEC</t>
        </is>
      </c>
      <c r="L314" t="inlineStr">
        <is>
          <t>INS-1500 INSP OPM VISUAL BOMBA</t>
        </is>
      </c>
      <c r="M314" t="inlineStr">
        <is>
          <t>INSP VISUAL BOMBA INS-1500 MEC 1M</t>
        </is>
      </c>
      <c r="N314" t="inlineStr">
        <is>
          <t>PERGC-FSGP-GTG-04-19-01-07-01</t>
        </is>
      </c>
      <c r="O314" t="inlineStr">
        <is>
          <t>80PX004 BOMBA LUBRIF AUXILIAR</t>
        </is>
      </c>
      <c r="P314" t="n">
        <v>1</v>
      </c>
      <c r="Q314" t="inlineStr">
        <is>
          <t>PLANO</t>
        </is>
      </c>
      <c r="R314" t="inlineStr">
        <is>
          <t>Z09</t>
        </is>
      </c>
      <c r="S314" s="20" t="n">
        <v>46311</v>
      </c>
    </row>
    <row r="315">
      <c r="A315" t="inlineStr">
        <is>
          <t>ELE</t>
        </is>
      </c>
      <c r="B315" t="inlineStr">
        <is>
          <t>438535610</t>
        </is>
      </c>
      <c r="C315" t="n">
        <v>4385356</v>
      </c>
      <c r="D315" t="inlineStr">
        <is>
          <t>ENCERRADA</t>
        </is>
      </c>
      <c r="E315" s="20" t="n">
        <v>46326</v>
      </c>
      <c r="F315" t="n">
        <v>3</v>
      </c>
      <c r="G315" t="n">
        <v>2</v>
      </c>
      <c r="H315" s="20" t="n">
        <v>46317</v>
      </c>
      <c r="I315" t="n">
        <v>4385356</v>
      </c>
      <c r="J315" t="n">
        <v>10</v>
      </c>
      <c r="K315" t="inlineStr">
        <is>
          <t>ELE</t>
        </is>
      </c>
      <c r="L315" t="inlineStr">
        <is>
          <t>PSE-1200 MANUT ELE MOTOR BT</t>
        </is>
      </c>
      <c r="M315" t="inlineStr">
        <is>
          <t>MANUT MOTOR BAIXA TENSAO PSE-1200 ELE 1A</t>
        </is>
      </c>
      <c r="N315" t="inlineStr">
        <is>
          <t>PERGC-FSGP-GTG-04-19-10-07</t>
        </is>
      </c>
      <c r="O315" t="inlineStr">
        <is>
          <t>80KF002-M01 MOTOR ELETRICO BLOWER</t>
        </is>
      </c>
      <c r="P315" t="n">
        <v>4</v>
      </c>
      <c r="Q315" t="inlineStr">
        <is>
          <t>PLANO</t>
        </is>
      </c>
      <c r="R315" t="inlineStr">
        <is>
          <t>Z12</t>
        </is>
      </c>
      <c r="S315" s="20" t="n">
        <v>46317</v>
      </c>
    </row>
    <row r="316">
      <c r="A316" t="inlineStr">
        <is>
          <t>ELE</t>
        </is>
      </c>
      <c r="B316" t="inlineStr">
        <is>
          <t>438665010</t>
        </is>
      </c>
      <c r="C316" t="n">
        <v>4386650</v>
      </c>
      <c r="D316" t="inlineStr">
        <is>
          <t>ENCERRADA</t>
        </is>
      </c>
      <c r="E316" s="20" t="n">
        <v>46318</v>
      </c>
      <c r="F316" t="n">
        <v>5</v>
      </c>
      <c r="G316" t="n">
        <v>2</v>
      </c>
      <c r="H316" s="20" t="n">
        <v>46318</v>
      </c>
      <c r="I316" t="n">
        <v>4386650</v>
      </c>
      <c r="J316" t="n">
        <v>10</v>
      </c>
      <c r="K316" t="inlineStr">
        <is>
          <t>ELE</t>
        </is>
      </c>
      <c r="L316" t="inlineStr">
        <is>
          <t>PSE-1200 MANUT ELE MOTOR BT</t>
        </is>
      </c>
      <c r="M316" t="inlineStr">
        <is>
          <t>MANUT MOTOR BAIXA TENSAO PSE-1200 ELE 1A</t>
        </is>
      </c>
      <c r="N316" t="inlineStr">
        <is>
          <t>PERGC-FSGP-GTG-04-34-10-04</t>
        </is>
      </c>
      <c r="O316" t="inlineStr">
        <is>
          <t>80KE002A-M01 MOTOR ELETRICO</t>
        </is>
      </c>
      <c r="P316" t="n">
        <v>4</v>
      </c>
      <c r="Q316" t="inlineStr">
        <is>
          <t>PLANO</t>
        </is>
      </c>
      <c r="R316" t="inlineStr">
        <is>
          <t>Z12</t>
        </is>
      </c>
      <c r="S316" s="20" t="n">
        <v>46318</v>
      </c>
    </row>
    <row r="317">
      <c r="A317" t="inlineStr">
        <is>
          <t>MEC</t>
        </is>
      </c>
      <c r="B317" t="inlineStr">
        <is>
          <t>438658310</t>
        </is>
      </c>
      <c r="C317" t="n">
        <v>4386583</v>
      </c>
      <c r="D317" t="inlineStr">
        <is>
          <t>ENCERRADA</t>
        </is>
      </c>
      <c r="E317" s="20" t="n">
        <v>46322</v>
      </c>
      <c r="F317" t="n">
        <v>5</v>
      </c>
      <c r="G317" t="n">
        <v>3</v>
      </c>
      <c r="H317" s="20" t="n">
        <v>46322</v>
      </c>
      <c r="I317" t="n">
        <v>4386583</v>
      </c>
      <c r="J317" t="n">
        <v>10</v>
      </c>
      <c r="K317" t="inlineStr">
        <is>
          <t>MEC</t>
        </is>
      </c>
      <c r="L317" t="inlineStr">
        <is>
          <t>INSP CILINDRO N2/H2O INS-1550 MEC 1M</t>
        </is>
      </c>
      <c r="M317" t="inlineStr">
        <is>
          <t>INSP CILINDRO N2 INS-1550 MEC 1M</t>
        </is>
      </c>
      <c r="N317" t="inlineStr">
        <is>
          <t>PERGC-FSGP-GTG-04-37</t>
        </is>
      </c>
      <c r="O317" t="inlineStr">
        <is>
          <t>CJ SIST COMB A INCENDIO (WATER MIST) B</t>
        </is>
      </c>
      <c r="P317" t="n">
        <v>1</v>
      </c>
      <c r="Q317" t="inlineStr">
        <is>
          <t>PLANO</t>
        </is>
      </c>
      <c r="R317" t="inlineStr">
        <is>
          <t>Z09</t>
        </is>
      </c>
      <c r="S317" s="20" t="n">
        <v>46322</v>
      </c>
    </row>
    <row r="318">
      <c r="A318" t="inlineStr">
        <is>
          <t>MEC</t>
        </is>
      </c>
      <c r="B318" t="inlineStr">
        <is>
          <t>438648510</t>
        </is>
      </c>
      <c r="C318" t="n">
        <v>4386485</v>
      </c>
      <c r="D318" t="inlineStr">
        <is>
          <t>ABERTA</t>
        </is>
      </c>
      <c r="E318" s="20" t="n">
        <v>46317</v>
      </c>
      <c r="F318" t="n">
        <v>5</v>
      </c>
      <c r="G318" t="n">
        <v>3</v>
      </c>
      <c r="H318" s="20" t="n">
        <v>46317</v>
      </c>
      <c r="I318" t="n">
        <v>4386485</v>
      </c>
      <c r="J318" t="n">
        <v>10</v>
      </c>
      <c r="K318" t="inlineStr">
        <is>
          <t>MEC</t>
        </is>
      </c>
      <c r="L318" t="inlineStr">
        <is>
          <t>INS-1500 INSP OPM VISUAL BOMBA</t>
        </is>
      </c>
      <c r="M318" t="inlineStr">
        <is>
          <t>INSP VISUAL BOMBA INS-1500 MEC 1M</t>
        </is>
      </c>
      <c r="N318" t="inlineStr">
        <is>
          <t>PERGC-FSGP-GTG-04-37-10</t>
        </is>
      </c>
      <c r="O318" t="inlineStr">
        <is>
          <t>72SM002-P01 BOMBA HIDRAULICA MANUAL</t>
        </is>
      </c>
      <c r="P318" t="n">
        <v>1</v>
      </c>
      <c r="Q318" t="inlineStr">
        <is>
          <t>PLANO</t>
        </is>
      </c>
      <c r="R318" t="inlineStr">
        <is>
          <t>Z09</t>
        </is>
      </c>
      <c r="S318" s="20" t="n">
        <v>46317</v>
      </c>
    </row>
    <row r="319">
      <c r="A319" t="inlineStr">
        <is>
          <t>ELE</t>
        </is>
      </c>
      <c r="B319" t="inlineStr">
        <is>
          <t>438589410</t>
        </is>
      </c>
      <c r="C319" t="n">
        <v>4385894</v>
      </c>
      <c r="D319" t="inlineStr">
        <is>
          <t>ABERTA</t>
        </is>
      </c>
      <c r="E319" s="20" t="n">
        <v>46324</v>
      </c>
      <c r="F319" t="n">
        <v>5</v>
      </c>
      <c r="G319" t="n">
        <v>3</v>
      </c>
      <c r="H319" s="20" t="n">
        <v>46317</v>
      </c>
      <c r="I319" t="n">
        <v>4385894</v>
      </c>
      <c r="J319" t="n">
        <v>10</v>
      </c>
      <c r="K319" t="inlineStr">
        <is>
          <t>ELE</t>
        </is>
      </c>
      <c r="L319" t="inlineStr">
        <is>
          <t>PSE-1812 MANUT PRO CONDE/TROC CALOR</t>
        </is>
      </c>
      <c r="M319" t="inlineStr">
        <is>
          <t>MANUT TROCADOR PSE-1812 PRO 1A</t>
        </is>
      </c>
      <c r="N319" t="inlineStr">
        <is>
          <t>PERGC-FSGP-GTG-07-07-04</t>
        </is>
      </c>
      <c r="O319" t="inlineStr">
        <is>
          <t>80FF005 AQUECEDOR SOLUCAO LAVAGEM</t>
        </is>
      </c>
      <c r="P319" t="n">
        <v>1</v>
      </c>
      <c r="Q319" t="inlineStr">
        <is>
          <t>PLANO</t>
        </is>
      </c>
      <c r="R319" t="inlineStr">
        <is>
          <t>Z12</t>
        </is>
      </c>
      <c r="S319" s="20" t="n">
        <v>46317</v>
      </c>
    </row>
    <row r="320">
      <c r="A320" t="inlineStr">
        <is>
          <t>MEC</t>
        </is>
      </c>
      <c r="B320" t="inlineStr">
        <is>
          <t>438654610</t>
        </is>
      </c>
      <c r="C320" t="n">
        <v>4386546</v>
      </c>
      <c r="D320" t="inlineStr">
        <is>
          <t>ABERTA</t>
        </is>
      </c>
      <c r="E320" s="20" t="n">
        <v>46320</v>
      </c>
      <c r="F320" t="n">
        <v>5</v>
      </c>
      <c r="G320" t="n">
        <v>3</v>
      </c>
      <c r="H320" s="20" t="n">
        <v>46320</v>
      </c>
      <c r="I320" t="n">
        <v>4386546</v>
      </c>
      <c r="J320" t="n">
        <v>10</v>
      </c>
      <c r="K320" t="inlineStr">
        <is>
          <t>MEC</t>
        </is>
      </c>
      <c r="L320" t="inlineStr">
        <is>
          <t>INS-1500 INSP OPM VISUAL BOMBA</t>
        </is>
      </c>
      <c r="M320" t="inlineStr">
        <is>
          <t>INSP VISUAL BOMBA INS-1500 MEC 1M</t>
        </is>
      </c>
      <c r="N320" t="inlineStr">
        <is>
          <t>PERGC-FSGP-GTG-07-10-01</t>
        </is>
      </c>
      <c r="O320" t="inlineStr">
        <is>
          <t>80PX009 BOMBA LAVAGEM</t>
        </is>
      </c>
      <c r="P320" t="n">
        <v>1</v>
      </c>
      <c r="Q320" t="inlineStr">
        <is>
          <t>PLANO</t>
        </is>
      </c>
      <c r="R320" t="inlineStr">
        <is>
          <t>Z09</t>
        </is>
      </c>
      <c r="S320" s="20" t="n">
        <v>46320</v>
      </c>
    </row>
    <row r="321">
      <c r="A321" t="inlineStr">
        <is>
          <t>MEC</t>
        </is>
      </c>
      <c r="B321" t="inlineStr">
        <is>
          <t>439146410</t>
        </is>
      </c>
      <c r="C321" t="n">
        <v>4391464</v>
      </c>
      <c r="D321" t="inlineStr">
        <is>
          <t>LIBERADA</t>
        </is>
      </c>
      <c r="E321" s="20" t="n">
        <v>46312</v>
      </c>
      <c r="F321" t="n">
        <v>5</v>
      </c>
      <c r="G321" t="n">
        <v>2</v>
      </c>
      <c r="H321" s="20" t="n">
        <v>46312</v>
      </c>
      <c r="I321" t="n">
        <v>4391464</v>
      </c>
      <c r="J321" t="n">
        <v>10</v>
      </c>
      <c r="K321" t="inlineStr">
        <is>
          <t>MEC</t>
        </is>
      </c>
      <c r="L321" t="inlineStr">
        <is>
          <t>INSTRUÇÕES DE SEGURANÇA</t>
        </is>
      </c>
      <c r="M321" t="inlineStr">
        <is>
          <t>1M LUBRICATION PEDESTAL CRANE EAST</t>
        </is>
      </c>
      <c r="N321" t="inlineStr">
        <is>
          <t>PERGC-FSMC-GUI-01-01</t>
        </is>
      </c>
      <c r="O321" t="inlineStr">
        <is>
          <t>73MA001 GUINDASTE (CRANE) - EAST</t>
        </is>
      </c>
      <c r="P321" t="n">
        <v>0</v>
      </c>
      <c r="Q321" t="inlineStr">
        <is>
          <t>PLANO</t>
        </is>
      </c>
      <c r="R321" t="inlineStr">
        <is>
          <t>Z10</t>
        </is>
      </c>
      <c r="S321" s="20" t="n">
        <v>46312</v>
      </c>
    </row>
    <row r="322">
      <c r="A322" t="inlineStr">
        <is>
          <t>MEC</t>
        </is>
      </c>
      <c r="B322" t="inlineStr">
        <is>
          <t>439146420</t>
        </is>
      </c>
      <c r="C322" t="n">
        <v>4391464</v>
      </c>
      <c r="D322" t="inlineStr">
        <is>
          <t>LIBERADA</t>
        </is>
      </c>
      <c r="E322" s="20" t="n">
        <v>46312</v>
      </c>
      <c r="F322" t="n">
        <v>5</v>
      </c>
      <c r="G322" t="n">
        <v>2</v>
      </c>
      <c r="H322" s="20" t="n">
        <v>46312</v>
      </c>
      <c r="I322" t="n">
        <v>4391464</v>
      </c>
      <c r="J322" t="n">
        <v>20</v>
      </c>
      <c r="K322" t="inlineStr">
        <is>
          <t>MEC</t>
        </is>
      </c>
      <c r="L322" t="inlineStr">
        <is>
          <t>LUBRIFICAÇÃO DO EIXO DE ACIONAMENTO</t>
        </is>
      </c>
      <c r="M322" t="inlineStr">
        <is>
          <t>1M LUBRICATION PEDESTAL CRANE EAST</t>
        </is>
      </c>
      <c r="N322" t="inlineStr">
        <is>
          <t>PERGC-FSMC-GUI-01-01</t>
        </is>
      </c>
      <c r="O322" t="inlineStr">
        <is>
          <t>73MA001 GUINDASTE (CRANE) - EAST</t>
        </is>
      </c>
      <c r="P322" t="n">
        <v>1</v>
      </c>
      <c r="Q322" t="inlineStr">
        <is>
          <t>PLANO</t>
        </is>
      </c>
      <c r="R322" t="inlineStr">
        <is>
          <t>Z10</t>
        </is>
      </c>
      <c r="S322" s="20" t="n">
        <v>46312</v>
      </c>
    </row>
    <row r="323">
      <c r="A323" t="inlineStr">
        <is>
          <t>MEC</t>
        </is>
      </c>
      <c r="B323" t="inlineStr">
        <is>
          <t>439146430</t>
        </is>
      </c>
      <c r="C323" t="n">
        <v>4391464</v>
      </c>
      <c r="D323" t="inlineStr">
        <is>
          <t>LIBERADA</t>
        </is>
      </c>
      <c r="E323" s="20" t="n">
        <v>46312</v>
      </c>
      <c r="F323" t="n">
        <v>5</v>
      </c>
      <c r="G323" t="n">
        <v>2</v>
      </c>
      <c r="H323" s="20" t="n">
        <v>46312</v>
      </c>
      <c r="I323" t="n">
        <v>4391464</v>
      </c>
      <c r="J323" t="n">
        <v>30</v>
      </c>
      <c r="K323" t="inlineStr">
        <is>
          <t>MEC</t>
        </is>
      </c>
      <c r="L323" t="inlineStr">
        <is>
          <t>LUBRIFICAR RANHURA DO EIXO DE</t>
        </is>
      </c>
      <c r="M323" t="inlineStr">
        <is>
          <t>1M LUBRICATION PEDESTAL CRANE EAST</t>
        </is>
      </c>
      <c r="N323" t="inlineStr">
        <is>
          <t>PERGC-FSMC-GUI-01-01</t>
        </is>
      </c>
      <c r="O323" t="inlineStr">
        <is>
          <t>73MA001 GUINDASTE (CRANE) - EAST</t>
        </is>
      </c>
      <c r="P323" t="n">
        <v>1</v>
      </c>
      <c r="Q323" t="inlineStr">
        <is>
          <t>PLANO</t>
        </is>
      </c>
      <c r="R323" t="inlineStr">
        <is>
          <t>Z10</t>
        </is>
      </c>
      <c r="S323" s="20" t="n">
        <v>46312</v>
      </c>
    </row>
    <row r="324">
      <c r="A324" t="inlineStr">
        <is>
          <t>MEC</t>
        </is>
      </c>
      <c r="B324" t="inlineStr">
        <is>
          <t>439146440</t>
        </is>
      </c>
      <c r="C324" t="n">
        <v>4391464</v>
      </c>
      <c r="D324" t="inlineStr">
        <is>
          <t>LIBERADA</t>
        </is>
      </c>
      <c r="E324" s="20" t="n">
        <v>46312</v>
      </c>
      <c r="F324" t="n">
        <v>5</v>
      </c>
      <c r="G324" t="n">
        <v>2</v>
      </c>
      <c r="H324" s="20" t="n">
        <v>46312</v>
      </c>
      <c r="I324" t="n">
        <v>4391464</v>
      </c>
      <c r="J324" t="n">
        <v>40</v>
      </c>
      <c r="K324" t="inlineStr">
        <is>
          <t>MEC</t>
        </is>
      </c>
      <c r="L324" t="inlineStr">
        <is>
          <t>LUBRIFICAÇÃO DAS DOBRADIÇAS</t>
        </is>
      </c>
      <c r="M324" t="inlineStr">
        <is>
          <t>1M LUBRICATION PEDESTAL CRANE EAST</t>
        </is>
      </c>
      <c r="N324" t="inlineStr">
        <is>
          <t>PERGC-FSMC-GUI-01-01</t>
        </is>
      </c>
      <c r="O324" t="inlineStr">
        <is>
          <t>73MA001 GUINDASTE (CRANE) - EAST</t>
        </is>
      </c>
      <c r="P324" t="n">
        <v>1</v>
      </c>
      <c r="Q324" t="inlineStr">
        <is>
          <t>PLANO</t>
        </is>
      </c>
      <c r="R324" t="inlineStr">
        <is>
          <t>Z10</t>
        </is>
      </c>
      <c r="S324" s="20" t="n">
        <v>46312</v>
      </c>
    </row>
    <row r="325">
      <c r="A325" t="inlineStr">
        <is>
          <t>MEC</t>
        </is>
      </c>
      <c r="B325" t="inlineStr">
        <is>
          <t>439146450</t>
        </is>
      </c>
      <c r="C325" t="n">
        <v>4391464</v>
      </c>
      <c r="D325" t="inlineStr">
        <is>
          <t>LIBERADA</t>
        </is>
      </c>
      <c r="E325" s="20" t="n">
        <v>46312</v>
      </c>
      <c r="F325" t="n">
        <v>3</v>
      </c>
      <c r="G325" t="n">
        <v>2</v>
      </c>
      <c r="H325" s="20" t="n">
        <v>46312</v>
      </c>
      <c r="I325" t="n">
        <v>4391464</v>
      </c>
      <c r="J325" t="n">
        <v>50</v>
      </c>
      <c r="K325" t="inlineStr">
        <is>
          <t>MEC</t>
        </is>
      </c>
      <c r="L325" t="inlineStr">
        <is>
          <t>LUBRIFICAÇÃO DOS BRAÇOS DE MANUTENÇÃO</t>
        </is>
      </c>
      <c r="M325" t="inlineStr">
        <is>
          <t>1M LUBRICATION PEDESTAL CRANE EAST</t>
        </is>
      </c>
      <c r="N325" t="inlineStr">
        <is>
          <t>PERGC-FSMC-GUI-01-01</t>
        </is>
      </c>
      <c r="O325" t="inlineStr">
        <is>
          <t>73MA001 GUINDASTE (CRANE) - EAST</t>
        </is>
      </c>
      <c r="P325" t="n">
        <v>1</v>
      </c>
      <c r="Q325" t="inlineStr">
        <is>
          <t>PLANO</t>
        </is>
      </c>
      <c r="R325" t="inlineStr">
        <is>
          <t>Z10</t>
        </is>
      </c>
      <c r="S325" s="20" t="n">
        <v>46312</v>
      </c>
    </row>
    <row r="326">
      <c r="A326" t="inlineStr">
        <is>
          <t>ELE</t>
        </is>
      </c>
      <c r="B326" t="inlineStr">
        <is>
          <t>438673610</t>
        </is>
      </c>
      <c r="C326" t="n">
        <v>4386736</v>
      </c>
      <c r="D326" t="inlineStr">
        <is>
          <t>ENCERRADA</t>
        </is>
      </c>
      <c r="E326" s="20" t="n">
        <v>46313</v>
      </c>
      <c r="F326" t="n">
        <v>3</v>
      </c>
      <c r="G326" t="n">
        <v>2</v>
      </c>
      <c r="H326" s="20" t="n">
        <v>46313</v>
      </c>
      <c r="I326" t="n">
        <v>4386736</v>
      </c>
      <c r="J326" t="n">
        <v>10</v>
      </c>
      <c r="K326" t="inlineStr">
        <is>
          <t>ELE</t>
        </is>
      </c>
      <c r="L326" t="inlineStr">
        <is>
          <t>PSE-1213 MANUT ELE GUINDASTES</t>
        </is>
      </c>
      <c r="M326" t="inlineStr">
        <is>
          <t>MANUT GUINDASTES PSE-1213 ELE 1A</t>
        </is>
      </c>
      <c r="N326" t="inlineStr">
        <is>
          <t>PERGC-FSMC-GUI-04-01</t>
        </is>
      </c>
      <c r="O326" t="inlineStr">
        <is>
          <t>73MA002 GUINDASTE (CRANE) - WEST</t>
        </is>
      </c>
      <c r="P326" t="n">
        <v>8</v>
      </c>
      <c r="Q326" t="inlineStr">
        <is>
          <t>PLANO</t>
        </is>
      </c>
      <c r="R326" t="inlineStr">
        <is>
          <t>Z12</t>
        </is>
      </c>
      <c r="S326" s="20" t="n">
        <v>46313</v>
      </c>
    </row>
    <row r="327">
      <c r="A327" t="inlineStr">
        <is>
          <t>MEC</t>
        </is>
      </c>
      <c r="B327" t="inlineStr">
        <is>
          <t>438652610</t>
        </is>
      </c>
      <c r="C327" t="n">
        <v>4386526</v>
      </c>
      <c r="D327" t="inlineStr">
        <is>
          <t>ENCERRADA</t>
        </is>
      </c>
      <c r="E327" s="20" t="n">
        <v>46319</v>
      </c>
      <c r="F327" t="n">
        <v>3</v>
      </c>
      <c r="G327" t="n">
        <v>2</v>
      </c>
      <c r="H327" s="20" t="n">
        <v>46319</v>
      </c>
      <c r="I327" t="n">
        <v>4386526</v>
      </c>
      <c r="J327" t="n">
        <v>10</v>
      </c>
      <c r="K327" t="inlineStr">
        <is>
          <t>MEC</t>
        </is>
      </c>
      <c r="L327" t="inlineStr">
        <is>
          <t>INS-1500 INSP OPM VISUAL BOMBA</t>
        </is>
      </c>
      <c r="M327" t="inlineStr">
        <is>
          <t>INSP VISUAL BOMBA INS-1500 MEC 1M</t>
        </is>
      </c>
      <c r="N327" t="inlineStr">
        <is>
          <t>PERGC-FSOD-MBB-01-01</t>
        </is>
      </c>
      <c r="O327" t="inlineStr">
        <is>
          <t>62PA001A BOMBA TRANSFERENCIA DIESEL</t>
        </is>
      </c>
      <c r="P327" t="n">
        <v>1</v>
      </c>
      <c r="Q327" t="inlineStr">
        <is>
          <t>PLANO</t>
        </is>
      </c>
      <c r="R327" t="inlineStr">
        <is>
          <t>Z09</t>
        </is>
      </c>
      <c r="S327" s="20" t="n">
        <v>46319</v>
      </c>
    </row>
    <row r="328">
      <c r="A328" t="inlineStr">
        <is>
          <t>MEC</t>
        </is>
      </c>
      <c r="B328" t="inlineStr">
        <is>
          <t>438658110</t>
        </is>
      </c>
      <c r="C328" t="n">
        <v>4386581</v>
      </c>
      <c r="D328" t="inlineStr">
        <is>
          <t>ENCERRADA</t>
        </is>
      </c>
      <c r="E328" s="20" t="n">
        <v>46322</v>
      </c>
      <c r="F328" t="n">
        <v>3</v>
      </c>
      <c r="G328" t="n">
        <v>2</v>
      </c>
      <c r="H328" s="20" t="n">
        <v>46322</v>
      </c>
      <c r="I328" t="n">
        <v>4386581</v>
      </c>
      <c r="J328" t="n">
        <v>10</v>
      </c>
      <c r="K328" t="inlineStr">
        <is>
          <t>MEC</t>
        </is>
      </c>
      <c r="L328" t="inlineStr">
        <is>
          <t>INS-1500 INSP OPM VISUAL BOMBA</t>
        </is>
      </c>
      <c r="M328" t="inlineStr">
        <is>
          <t>INSP VISUAL BOMBA INS-1500 MEC 1M</t>
        </is>
      </c>
      <c r="N328" t="inlineStr">
        <is>
          <t>PERGC-FSOD-MBB-04-01</t>
        </is>
      </c>
      <c r="O328" t="inlineStr">
        <is>
          <t>62PA001B BOMBA TRANSFERENCIA DIESEL</t>
        </is>
      </c>
      <c r="P328" t="n">
        <v>1</v>
      </c>
      <c r="Q328" t="inlineStr">
        <is>
          <t>PLANO</t>
        </is>
      </c>
      <c r="R328" t="inlineStr">
        <is>
          <t>Z09</t>
        </is>
      </c>
      <c r="S328" s="20" t="n">
        <v>46322</v>
      </c>
    </row>
    <row r="329">
      <c r="A329" t="inlineStr">
        <is>
          <t>ELE</t>
        </is>
      </c>
      <c r="B329" t="inlineStr">
        <is>
          <t>438640810</t>
        </is>
      </c>
      <c r="C329" t="n">
        <v>4386408</v>
      </c>
      <c r="D329" t="inlineStr">
        <is>
          <t>ENCERRADA</t>
        </is>
      </c>
      <c r="E329" s="20" t="n">
        <v>46311</v>
      </c>
      <c r="F329" t="n">
        <v>5</v>
      </c>
      <c r="G329" t="n">
        <v>2</v>
      </c>
      <c r="H329" s="20" t="n">
        <v>46311</v>
      </c>
      <c r="I329" t="n">
        <v>4386408</v>
      </c>
      <c r="J329" t="n">
        <v>10</v>
      </c>
      <c r="K329" t="inlineStr">
        <is>
          <t>ELE</t>
        </is>
      </c>
      <c r="L329" t="inlineStr">
        <is>
          <t>PSE-1812 MANUT PRO CONDE/TROC CALOR</t>
        </is>
      </c>
      <c r="M329" t="inlineStr">
        <is>
          <t>MANUT CONDE/TROC CALOR PSE-1812 PRO 1A</t>
        </is>
      </c>
      <c r="N329" t="inlineStr">
        <is>
          <t>PERGC-FSOD-MBB-04-07</t>
        </is>
      </c>
      <c r="O329" t="inlineStr">
        <is>
          <t>62PA001B-M01-H01 AQUECEDOR MOTOR</t>
        </is>
      </c>
      <c r="P329" t="n">
        <v>1</v>
      </c>
      <c r="Q329" t="inlineStr">
        <is>
          <t>PLANO</t>
        </is>
      </c>
      <c r="R329" t="inlineStr">
        <is>
          <t>Z12</t>
        </is>
      </c>
      <c r="S329" s="20" t="n">
        <v>46311</v>
      </c>
    </row>
    <row r="330">
      <c r="A330" t="inlineStr">
        <is>
          <t>MEC</t>
        </is>
      </c>
      <c r="B330" t="inlineStr">
        <is>
          <t>438652010</t>
        </is>
      </c>
      <c r="C330" t="n">
        <v>4386520</v>
      </c>
      <c r="D330" t="inlineStr">
        <is>
          <t>ABERTA</t>
        </is>
      </c>
      <c r="E330" s="20" t="n">
        <v>46318</v>
      </c>
      <c r="F330" t="n">
        <v>5</v>
      </c>
      <c r="G330" t="n">
        <v>3</v>
      </c>
      <c r="H330" s="20" t="n">
        <v>46318</v>
      </c>
      <c r="I330" t="n">
        <v>4386520</v>
      </c>
      <c r="J330" t="n">
        <v>10</v>
      </c>
      <c r="K330" t="inlineStr">
        <is>
          <t>MEC</t>
        </is>
      </c>
      <c r="L330" t="inlineStr">
        <is>
          <t>INS-1500 INSP OPM VISUAL BOMBA</t>
        </is>
      </c>
      <c r="M330" t="inlineStr">
        <is>
          <t>INSP VISUAL BOMBA INS-1500 MEC 1M</t>
        </is>
      </c>
      <c r="N330" t="inlineStr">
        <is>
          <t>PERGC-FSOD-MBB-13-01-01</t>
        </is>
      </c>
      <c r="O330" t="inlineStr">
        <is>
          <t>62PA003A BOMBA TRANSF DIESEL TEMPORARIO</t>
        </is>
      </c>
      <c r="P330" t="n">
        <v>1</v>
      </c>
      <c r="Q330" t="inlineStr">
        <is>
          <t>PLANO</t>
        </is>
      </c>
      <c r="R330" t="inlineStr">
        <is>
          <t>Z09</t>
        </is>
      </c>
      <c r="S330" s="20" t="n">
        <v>46318</v>
      </c>
    </row>
    <row r="331">
      <c r="A331" t="inlineStr">
        <is>
          <t>MAR</t>
        </is>
      </c>
      <c r="B331" t="inlineStr">
        <is>
          <t>438590710</t>
        </is>
      </c>
      <c r="C331" t="n">
        <v>4385907</v>
      </c>
      <c r="D331" t="inlineStr">
        <is>
          <t>ENCERRADA</t>
        </is>
      </c>
      <c r="E331" s="20" t="n">
        <v>46320</v>
      </c>
      <c r="F331" t="n">
        <v>3</v>
      </c>
      <c r="G331" t="n">
        <v>3</v>
      </c>
      <c r="H331" s="20" t="n">
        <v>46320</v>
      </c>
      <c r="I331" t="n">
        <v>4385907</v>
      </c>
      <c r="J331" t="n">
        <v>10</v>
      </c>
      <c r="K331" t="inlineStr">
        <is>
          <t>MAR</t>
        </is>
      </c>
      <c r="L331" t="inlineStr">
        <is>
          <t>INS-1451 INSP MAR CARRETEL</t>
        </is>
      </c>
      <c r="M331" t="inlineStr">
        <is>
          <t>INSP CARRETEL INS-1451 MAR 6M</t>
        </is>
      </c>
      <c r="N331" t="inlineStr">
        <is>
          <t>PERGC-FSOD-REC-01-01-01</t>
        </is>
      </c>
      <c r="O331" t="inlineStr">
        <is>
          <t>DIESEL-01-MA CARRETEL CARREGAMENTO EAST</t>
        </is>
      </c>
      <c r="P331" t="n">
        <v>4</v>
      </c>
      <c r="Q331" t="inlineStr">
        <is>
          <t>PLANO</t>
        </is>
      </c>
      <c r="R331" t="inlineStr">
        <is>
          <t>Z09</t>
        </is>
      </c>
      <c r="S331" s="20" t="n">
        <v>46320</v>
      </c>
    </row>
    <row r="332">
      <c r="A332" t="inlineStr">
        <is>
          <t>MEC</t>
        </is>
      </c>
      <c r="B332" t="inlineStr">
        <is>
          <t>438674310</t>
        </is>
      </c>
      <c r="C332" t="n">
        <v>4386743</v>
      </c>
      <c r="D332" t="inlineStr">
        <is>
          <t>ENCERRADA</t>
        </is>
      </c>
      <c r="E332" s="20" t="n">
        <v>46311</v>
      </c>
      <c r="F332" t="n">
        <v>5</v>
      </c>
      <c r="G332" t="n">
        <v>2</v>
      </c>
      <c r="H332" s="20" t="n">
        <v>46311</v>
      </c>
      <c r="I332" t="n">
        <v>4386743</v>
      </c>
      <c r="J332" t="n">
        <v>10</v>
      </c>
      <c r="K332" t="inlineStr">
        <is>
          <t>MEC</t>
        </is>
      </c>
      <c r="L332" t="inlineStr">
        <is>
          <t>INS-1500 INSP OPM VISUAL BOMBA</t>
        </is>
      </c>
      <c r="M332" t="inlineStr">
        <is>
          <t>INSP VISUAL BOMBA INS-1500 MEC 1M</t>
        </is>
      </c>
      <c r="N332" t="inlineStr">
        <is>
          <t>PERGC-FSRA-MBB-01-04-01</t>
        </is>
      </c>
      <c r="O332" t="inlineStr">
        <is>
          <t>40PA001B BOMBA RESFRIAMENTO</t>
        </is>
      </c>
      <c r="P332" t="n">
        <v>1</v>
      </c>
      <c r="Q332" t="inlineStr">
        <is>
          <t>PLANO</t>
        </is>
      </c>
      <c r="R332" t="inlineStr">
        <is>
          <t>Z09</t>
        </is>
      </c>
      <c r="S332" s="20" t="n">
        <v>46311</v>
      </c>
    </row>
    <row r="333">
      <c r="A333" t="inlineStr">
        <is>
          <t>MAR</t>
        </is>
      </c>
      <c r="B333" t="inlineStr">
        <is>
          <t>438643010</t>
        </is>
      </c>
      <c r="C333" t="n">
        <v>4386430</v>
      </c>
      <c r="D333" t="inlineStr">
        <is>
          <t>ENCERRADA</t>
        </is>
      </c>
      <c r="E333" s="20" t="n">
        <v>46312</v>
      </c>
      <c r="F333" t="n">
        <v>2</v>
      </c>
      <c r="G333" t="n">
        <v>3</v>
      </c>
      <c r="H333" s="20" t="n">
        <v>46312</v>
      </c>
      <c r="I333" t="n">
        <v>4386430</v>
      </c>
      <c r="J333" t="n">
        <v>10</v>
      </c>
      <c r="K333" t="inlineStr">
        <is>
          <t>MAR</t>
        </is>
      </c>
      <c r="L333" t="inlineStr">
        <is>
          <t>INS-1410 INSP MAR EQUIP PIROTECNICOS</t>
        </is>
      </c>
      <c r="M333" t="inlineStr">
        <is>
          <t>INSP EQUIP PIROTECNICOS INS-1410 MAR 1M</t>
        </is>
      </c>
      <c r="N333" t="inlineStr">
        <is>
          <t>PERGC-FSSV-BEE</t>
        </is>
      </c>
      <c r="O333" t="inlineStr">
        <is>
          <t>BALEEIRAS</t>
        </is>
      </c>
      <c r="P333" t="n">
        <v>0.2</v>
      </c>
      <c r="Q333" t="inlineStr">
        <is>
          <t>PLANO</t>
        </is>
      </c>
      <c r="R333" t="inlineStr">
        <is>
          <t>Z09</t>
        </is>
      </c>
      <c r="S333" s="20" t="n">
        <v>46312</v>
      </c>
    </row>
    <row r="334">
      <c r="A334" t="inlineStr">
        <is>
          <t>MAR</t>
        </is>
      </c>
      <c r="B334" t="inlineStr">
        <is>
          <t>435572210</t>
        </is>
      </c>
      <c r="C334" t="n">
        <v>4355722</v>
      </c>
      <c r="D334" t="inlineStr">
        <is>
          <t>ENCERRADA</t>
        </is>
      </c>
      <c r="E334" s="20" t="n">
        <v>46315</v>
      </c>
      <c r="F334" t="n">
        <v>2</v>
      </c>
      <c r="G334" t="n">
        <v>1</v>
      </c>
      <c r="H334" s="20" t="n">
        <v>46315</v>
      </c>
      <c r="I334" t="n">
        <v>4355722</v>
      </c>
      <c r="J334" t="n">
        <v>10</v>
      </c>
      <c r="K334" t="inlineStr">
        <is>
          <t>MAR</t>
        </is>
      </c>
      <c r="L334" t="inlineStr">
        <is>
          <t>INS-1407 INSP MAR BALEEIRA</t>
        </is>
      </c>
      <c r="M334" t="inlineStr">
        <is>
          <t>INSP EQUIP BALEEIRA INS-1407 MAR 1M</t>
        </is>
      </c>
      <c r="N334" t="inlineStr">
        <is>
          <t>PERGC-FSSV-BEE-01-01</t>
        </is>
      </c>
      <c r="O334" t="inlineStr">
        <is>
          <t>76SA001 SURVIVAL CRAFT #1</t>
        </is>
      </c>
      <c r="P334" t="n">
        <v>2</v>
      </c>
      <c r="Q334" t="inlineStr">
        <is>
          <t>PLANO</t>
        </is>
      </c>
      <c r="R334" t="inlineStr">
        <is>
          <t>Z09</t>
        </is>
      </c>
      <c r="S334" s="20" t="n">
        <v>46315</v>
      </c>
    </row>
    <row r="335">
      <c r="A335" t="inlineStr">
        <is>
          <t>MAR</t>
        </is>
      </c>
      <c r="B335" t="inlineStr">
        <is>
          <t>439200910</t>
        </is>
      </c>
      <c r="C335" t="n">
        <v>4392009</v>
      </c>
      <c r="D335" t="inlineStr">
        <is>
          <t>ENCERRADA</t>
        </is>
      </c>
      <c r="E335" s="20" t="n">
        <v>46315</v>
      </c>
      <c r="F335" t="n">
        <v>2</v>
      </c>
      <c r="G335" t="n">
        <v>1</v>
      </c>
      <c r="H335" s="20" t="n">
        <v>46315</v>
      </c>
      <c r="I335" t="n">
        <v>4392009</v>
      </c>
      <c r="J335" t="n">
        <v>10</v>
      </c>
      <c r="K335" t="inlineStr">
        <is>
          <t>MAR</t>
        </is>
      </c>
      <c r="L335" t="inlineStr">
        <is>
          <t>INS-1400 INSP MAR BALEEIRA</t>
        </is>
      </c>
      <c r="M335" t="inlineStr">
        <is>
          <t>INSP BALEEIRA INS-1400 MAR 1S</t>
        </is>
      </c>
      <c r="N335" t="inlineStr">
        <is>
          <t>PERGC-FSSV-BEE-01-01</t>
        </is>
      </c>
      <c r="O335" t="inlineStr">
        <is>
          <t>76SA001 SURVIVAL CRAFT #1</t>
        </is>
      </c>
      <c r="P335" t="n">
        <v>2.5</v>
      </c>
      <c r="Q335" t="inlineStr">
        <is>
          <t>PLANO</t>
        </is>
      </c>
      <c r="R335" t="inlineStr">
        <is>
          <t>Z09</t>
        </is>
      </c>
      <c r="S335" s="20" t="n">
        <v>46315</v>
      </c>
    </row>
    <row r="336">
      <c r="A336" t="inlineStr">
        <is>
          <t>MAR</t>
        </is>
      </c>
      <c r="B336" t="inlineStr">
        <is>
          <t>439363010</t>
        </is>
      </c>
      <c r="C336" t="n">
        <v>4393630</v>
      </c>
      <c r="D336" t="inlineStr">
        <is>
          <t>ENCERRADA</t>
        </is>
      </c>
      <c r="E336" s="20" t="n">
        <v>46322</v>
      </c>
      <c r="F336" t="n">
        <v>3</v>
      </c>
      <c r="G336" t="n">
        <v>1</v>
      </c>
      <c r="H336" s="20" t="n">
        <v>46322</v>
      </c>
      <c r="I336" t="n">
        <v>4393630</v>
      </c>
      <c r="J336" t="n">
        <v>10</v>
      </c>
      <c r="K336" t="inlineStr">
        <is>
          <t>MAR</t>
        </is>
      </c>
      <c r="L336" t="inlineStr">
        <is>
          <t>INS-1400 INSP MAR BALEEIRA</t>
        </is>
      </c>
      <c r="M336" t="inlineStr">
        <is>
          <t>INSP BALEEIRA INS-1400 MAR 1S</t>
        </is>
      </c>
      <c r="N336" t="inlineStr">
        <is>
          <t>PERGC-FSSV-BEE-01-01</t>
        </is>
      </c>
      <c r="O336" t="inlineStr">
        <is>
          <t>76SA001 SURVIVAL CRAFT #1</t>
        </is>
      </c>
      <c r="P336" t="n">
        <v>2.5</v>
      </c>
      <c r="Q336" t="inlineStr">
        <is>
          <t>PLANO</t>
        </is>
      </c>
      <c r="R336" t="inlineStr">
        <is>
          <t>Z09</t>
        </is>
      </c>
      <c r="S336" s="20" t="n">
        <v>46322</v>
      </c>
    </row>
    <row r="337">
      <c r="A337" t="inlineStr">
        <is>
          <t>MEC</t>
        </is>
      </c>
      <c r="B337" t="inlineStr">
        <is>
          <t>438654410</t>
        </is>
      </c>
      <c r="C337" t="n">
        <v>4386544</v>
      </c>
      <c r="D337" t="inlineStr">
        <is>
          <t>ENCERRADA</t>
        </is>
      </c>
      <c r="E337" s="20" t="n">
        <v>46320</v>
      </c>
      <c r="F337" t="n">
        <v>3</v>
      </c>
      <c r="G337" t="n">
        <v>2</v>
      </c>
      <c r="H337" s="20" t="n">
        <v>46320</v>
      </c>
      <c r="I337" t="n">
        <v>4386544</v>
      </c>
      <c r="J337" t="n">
        <v>10</v>
      </c>
      <c r="K337" t="inlineStr">
        <is>
          <t>MEC</t>
        </is>
      </c>
      <c r="L337" t="inlineStr">
        <is>
          <t>INS-1500 INSP OPM VISUAL BOMBA</t>
        </is>
      </c>
      <c r="M337" t="inlineStr">
        <is>
          <t>INSP VISUAL BOMBA INS-1500 MEC 1M</t>
        </is>
      </c>
      <c r="N337" t="inlineStr">
        <is>
          <t>PERGC-FSSV-BEE-01-13</t>
        </is>
      </c>
      <c r="O337" t="inlineStr">
        <is>
          <t>76PX001 SPRAY PUMP #1</t>
        </is>
      </c>
      <c r="P337" t="n">
        <v>1</v>
      </c>
      <c r="Q337" t="inlineStr">
        <is>
          <t>PLANO</t>
        </is>
      </c>
      <c r="R337" t="inlineStr">
        <is>
          <t>Z09</t>
        </is>
      </c>
      <c r="S337" s="20" t="n">
        <v>46320</v>
      </c>
    </row>
    <row r="338">
      <c r="A338" t="inlineStr">
        <is>
          <t>MAR</t>
        </is>
      </c>
      <c r="B338" t="inlineStr">
        <is>
          <t>439200510</t>
        </is>
      </c>
      <c r="C338" t="n">
        <v>4392005</v>
      </c>
      <c r="D338" t="inlineStr">
        <is>
          <t>ENCERRADA</t>
        </is>
      </c>
      <c r="E338" s="20" t="n">
        <v>46315</v>
      </c>
      <c r="F338" t="n">
        <v>3</v>
      </c>
      <c r="G338" t="n">
        <v>2</v>
      </c>
      <c r="H338" s="20" t="n">
        <v>46315</v>
      </c>
      <c r="I338" t="n">
        <v>4392005</v>
      </c>
      <c r="J338" t="n">
        <v>10</v>
      </c>
      <c r="K338" t="inlineStr">
        <is>
          <t>MAR</t>
        </is>
      </c>
      <c r="L338" t="inlineStr">
        <is>
          <t>INS-1401 INSP MAR TURCO BALEEIRA</t>
        </is>
      </c>
      <c r="M338" t="inlineStr">
        <is>
          <t>INSP TURCO BALEEIRA INS-1401 MAR 1S</t>
        </is>
      </c>
      <c r="N338" t="inlineStr">
        <is>
          <t>PERGC-FSSV-BEE-01-16</t>
        </is>
      </c>
      <c r="O338" t="inlineStr">
        <is>
          <t>76MK001 TURCO/GUINCHO Nº1</t>
        </is>
      </c>
      <c r="P338" t="n">
        <v>1</v>
      </c>
      <c r="Q338" t="inlineStr">
        <is>
          <t>PLANO</t>
        </is>
      </c>
      <c r="R338" t="inlineStr">
        <is>
          <t>Z09</t>
        </is>
      </c>
      <c r="S338" s="20" t="n">
        <v>46315</v>
      </c>
    </row>
    <row r="339">
      <c r="A339" t="inlineStr">
        <is>
          <t>MAR</t>
        </is>
      </c>
      <c r="B339" t="inlineStr">
        <is>
          <t>439362610</t>
        </is>
      </c>
      <c r="C339" t="n">
        <v>4393626</v>
      </c>
      <c r="D339" t="inlineStr">
        <is>
          <t>ENCERRADA</t>
        </is>
      </c>
      <c r="E339" s="20" t="n">
        <v>46322</v>
      </c>
      <c r="F339" t="n">
        <v>3</v>
      </c>
      <c r="G339" t="n">
        <v>2</v>
      </c>
      <c r="H339" s="20" t="n">
        <v>46322</v>
      </c>
      <c r="I339" t="n">
        <v>4393626</v>
      </c>
      <c r="J339" t="n">
        <v>10</v>
      </c>
      <c r="K339" t="inlineStr">
        <is>
          <t>MAR</t>
        </is>
      </c>
      <c r="L339" t="inlineStr">
        <is>
          <t>INS-1401 INSP MAR TURCO BALEEIRA</t>
        </is>
      </c>
      <c r="M339" t="inlineStr">
        <is>
          <t>INSP TURCO BALEEIRA INS-1401 MAR 1S</t>
        </is>
      </c>
      <c r="N339" t="inlineStr">
        <is>
          <t>PERGC-FSSV-BEE-01-16</t>
        </is>
      </c>
      <c r="O339" t="inlineStr">
        <is>
          <t>76MK001 TURCO/GUINCHO Nº1</t>
        </is>
      </c>
      <c r="P339" t="n">
        <v>1</v>
      </c>
      <c r="Q339" t="inlineStr">
        <is>
          <t>PLANO</t>
        </is>
      </c>
      <c r="R339" t="inlineStr">
        <is>
          <t>Z09</t>
        </is>
      </c>
      <c r="S339" s="20" t="n">
        <v>46322</v>
      </c>
    </row>
    <row r="340">
      <c r="A340" t="inlineStr">
        <is>
          <t>INS</t>
        </is>
      </c>
      <c r="B340" t="inlineStr">
        <is>
          <t>438642110</t>
        </is>
      </c>
      <c r="C340" t="n">
        <v>4386421</v>
      </c>
      <c r="D340" t="inlineStr">
        <is>
          <t>ENCERRADA</t>
        </is>
      </c>
      <c r="E340" s="20" t="n">
        <v>46312</v>
      </c>
      <c r="F340" t="n">
        <v>2</v>
      </c>
      <c r="G340" t="n">
        <v>2</v>
      </c>
      <c r="H340" s="20" t="n">
        <v>46312</v>
      </c>
      <c r="I340" t="n">
        <v>4386421</v>
      </c>
      <c r="J340" t="n">
        <v>10</v>
      </c>
      <c r="K340" t="inlineStr">
        <is>
          <t>INS</t>
        </is>
      </c>
      <c r="L340" t="inlineStr">
        <is>
          <t>PTF-1301 TEST FUNC INS BOTOEIRAS</t>
        </is>
      </c>
      <c r="M340" t="inlineStr">
        <is>
          <t>TEST FUNC BOTOEIRAS PTF-1301 INS 6M</t>
        </is>
      </c>
      <c r="N340" t="inlineStr">
        <is>
          <t>PERGC-FSSV-BEE-01-22</t>
        </is>
      </c>
      <c r="O340" t="inlineStr">
        <is>
          <t>76MK001-M01-S01 BOTOEIRA EMERG/ICAMENTO</t>
        </is>
      </c>
      <c r="P340" t="n">
        <v>0.5</v>
      </c>
      <c r="Q340" t="inlineStr">
        <is>
          <t>PLANO</t>
        </is>
      </c>
      <c r="R340" t="inlineStr">
        <is>
          <t>Z08</t>
        </is>
      </c>
      <c r="S340" s="20" t="n">
        <v>46312</v>
      </c>
    </row>
    <row r="341">
      <c r="A341" t="inlineStr">
        <is>
          <t>MAR</t>
        </is>
      </c>
      <c r="B341" t="inlineStr">
        <is>
          <t>435572310</t>
        </is>
      </c>
      <c r="C341" t="n">
        <v>4355723</v>
      </c>
      <c r="D341" t="inlineStr">
        <is>
          <t>ENCERRADA</t>
        </is>
      </c>
      <c r="E341" s="20" t="n">
        <v>46315</v>
      </c>
      <c r="F341" t="n">
        <v>2</v>
      </c>
      <c r="G341" t="n">
        <v>1</v>
      </c>
      <c r="H341" s="20" t="n">
        <v>46315</v>
      </c>
      <c r="I341" t="n">
        <v>4355723</v>
      </c>
      <c r="J341" t="n">
        <v>10</v>
      </c>
      <c r="K341" t="inlineStr">
        <is>
          <t>MAR</t>
        </is>
      </c>
      <c r="L341" t="inlineStr">
        <is>
          <t>INS-1407 INSP MAR BALEEIRA</t>
        </is>
      </c>
      <c r="M341" t="inlineStr">
        <is>
          <t>INSP EQUIP BALEEIRA INS-1407 MAR 1M</t>
        </is>
      </c>
      <c r="N341" t="inlineStr">
        <is>
          <t>PERGC-FSSV-BEE-04-01</t>
        </is>
      </c>
      <c r="O341" t="inlineStr">
        <is>
          <t>76SA002 SURVIVAL CRAFT #2</t>
        </is>
      </c>
      <c r="P341" t="n">
        <v>2</v>
      </c>
      <c r="Q341" t="inlineStr">
        <is>
          <t>PLANO</t>
        </is>
      </c>
      <c r="R341" t="inlineStr">
        <is>
          <t>Z09</t>
        </is>
      </c>
      <c r="S341" s="20" t="n">
        <v>46315</v>
      </c>
    </row>
    <row r="342">
      <c r="A342" t="inlineStr">
        <is>
          <t>MAR</t>
        </is>
      </c>
      <c r="B342" t="inlineStr">
        <is>
          <t>439201010</t>
        </is>
      </c>
      <c r="C342" t="n">
        <v>4392010</v>
      </c>
      <c r="D342" t="inlineStr">
        <is>
          <t>ENCERRADA</t>
        </is>
      </c>
      <c r="E342" s="20" t="n">
        <v>46315</v>
      </c>
      <c r="F342" t="n">
        <v>2</v>
      </c>
      <c r="G342" t="n">
        <v>1</v>
      </c>
      <c r="H342" s="20" t="n">
        <v>46315</v>
      </c>
      <c r="I342" t="n">
        <v>4392010</v>
      </c>
      <c r="J342" t="n">
        <v>10</v>
      </c>
      <c r="K342" t="inlineStr">
        <is>
          <t>MAR</t>
        </is>
      </c>
      <c r="L342" t="inlineStr">
        <is>
          <t>INS-1400 INSP MAR BALEEIRA</t>
        </is>
      </c>
      <c r="M342" t="inlineStr">
        <is>
          <t>INSP BALEEIRA INS-1400 MAR 1S</t>
        </is>
      </c>
      <c r="N342" t="inlineStr">
        <is>
          <t>PERGC-FSSV-BEE-04-01</t>
        </is>
      </c>
      <c r="O342" t="inlineStr">
        <is>
          <t>76SA002 SURVIVAL CRAFT #2</t>
        </is>
      </c>
      <c r="P342" t="n">
        <v>2.5</v>
      </c>
      <c r="Q342" t="inlineStr">
        <is>
          <t>PLANO</t>
        </is>
      </c>
      <c r="R342" t="inlineStr">
        <is>
          <t>Z09</t>
        </is>
      </c>
      <c r="S342" s="20" t="n">
        <v>46315</v>
      </c>
    </row>
    <row r="343">
      <c r="A343" t="inlineStr">
        <is>
          <t>MAR</t>
        </is>
      </c>
      <c r="B343" t="inlineStr">
        <is>
          <t>439363110</t>
        </is>
      </c>
      <c r="C343" t="n">
        <v>4393631</v>
      </c>
      <c r="D343" t="inlineStr">
        <is>
          <t>ABERTA</t>
        </is>
      </c>
      <c r="E343" s="20" t="n">
        <v>46322</v>
      </c>
      <c r="F343" t="n">
        <v>3</v>
      </c>
      <c r="G343" t="n">
        <v>1</v>
      </c>
      <c r="H343" s="20" t="n">
        <v>46322</v>
      </c>
      <c r="I343" t="n">
        <v>4393631</v>
      </c>
      <c r="J343" t="n">
        <v>10</v>
      </c>
      <c r="K343" t="inlineStr">
        <is>
          <t>MAR</t>
        </is>
      </c>
      <c r="L343" t="inlineStr">
        <is>
          <t>INS-1400 INSP MAR BALEEIRA</t>
        </is>
      </c>
      <c r="M343" t="inlineStr">
        <is>
          <t>INSP BALEEIRA INS-1400 MAR 1S</t>
        </is>
      </c>
      <c r="N343" t="inlineStr">
        <is>
          <t>PERGC-FSSV-BEE-04-01</t>
        </is>
      </c>
      <c r="O343" t="inlineStr">
        <is>
          <t>76SA002 SURVIVAL CRAFT #2</t>
        </is>
      </c>
      <c r="P343" t="n">
        <v>2.5</v>
      </c>
      <c r="Q343" t="inlineStr">
        <is>
          <t>PLANO</t>
        </is>
      </c>
      <c r="R343" t="inlineStr">
        <is>
          <t>Z09</t>
        </is>
      </c>
      <c r="S343" s="20" t="n">
        <v>46322</v>
      </c>
    </row>
    <row r="344">
      <c r="A344" t="inlineStr">
        <is>
          <t>MAR</t>
        </is>
      </c>
      <c r="B344" t="inlineStr">
        <is>
          <t>439200610</t>
        </is>
      </c>
      <c r="C344" t="n">
        <v>4392006</v>
      </c>
      <c r="D344" t="inlineStr">
        <is>
          <t>ENCERRADA</t>
        </is>
      </c>
      <c r="E344" s="20" t="n">
        <v>46315</v>
      </c>
      <c r="F344" t="n">
        <v>3</v>
      </c>
      <c r="G344" t="n">
        <v>2</v>
      </c>
      <c r="H344" s="20" t="n">
        <v>46315</v>
      </c>
      <c r="I344" t="n">
        <v>4392006</v>
      </c>
      <c r="J344" t="n">
        <v>10</v>
      </c>
      <c r="K344" t="inlineStr">
        <is>
          <t>MAR</t>
        </is>
      </c>
      <c r="L344" t="inlineStr">
        <is>
          <t>INS-1401 INSP MAR TURCO BALEEIRA</t>
        </is>
      </c>
      <c r="M344" t="inlineStr">
        <is>
          <t>INSP TURCO BALEEIRA INS-1401 MAR 1S</t>
        </is>
      </c>
      <c r="N344" t="inlineStr">
        <is>
          <t>PERGC-FSSV-BEE-04-16</t>
        </is>
      </c>
      <c r="O344" t="inlineStr">
        <is>
          <t>76MK002 TURCO/GUINCHO Nº2</t>
        </is>
      </c>
      <c r="P344" t="n">
        <v>1</v>
      </c>
      <c r="Q344" t="inlineStr">
        <is>
          <t>PLANO</t>
        </is>
      </c>
      <c r="R344" t="inlineStr">
        <is>
          <t>Z09</t>
        </is>
      </c>
      <c r="S344" s="20" t="n">
        <v>46315</v>
      </c>
    </row>
    <row r="345">
      <c r="A345" t="inlineStr">
        <is>
          <t>MAR</t>
        </is>
      </c>
      <c r="B345" t="inlineStr">
        <is>
          <t>439362710</t>
        </is>
      </c>
      <c r="C345" t="n">
        <v>4393627</v>
      </c>
      <c r="D345" t="inlineStr">
        <is>
          <t>ABERTA</t>
        </is>
      </c>
      <c r="E345" s="20" t="n">
        <v>46322</v>
      </c>
      <c r="F345" t="n">
        <v>3</v>
      </c>
      <c r="G345" t="n">
        <v>2</v>
      </c>
      <c r="H345" s="20" t="n">
        <v>46322</v>
      </c>
      <c r="I345" t="n">
        <v>4393627</v>
      </c>
      <c r="J345" t="n">
        <v>10</v>
      </c>
      <c r="K345" t="inlineStr">
        <is>
          <t>MAR</t>
        </is>
      </c>
      <c r="L345" t="inlineStr">
        <is>
          <t>INS-1401 INSP MAR TURCO BALEEIRA</t>
        </is>
      </c>
      <c r="M345" t="inlineStr">
        <is>
          <t>INSP TURCO BALEEIRA INS-1401 MAR 1S</t>
        </is>
      </c>
      <c r="N345" t="inlineStr">
        <is>
          <t>PERGC-FSSV-BEE-04-16</t>
        </is>
      </c>
      <c r="O345" t="inlineStr">
        <is>
          <t>76MK002 TURCO/GUINCHO Nº2</t>
        </is>
      </c>
      <c r="P345" t="n">
        <v>1</v>
      </c>
      <c r="Q345" t="inlineStr">
        <is>
          <t>PLANO</t>
        </is>
      </c>
      <c r="R345" t="inlineStr">
        <is>
          <t>Z09</t>
        </is>
      </c>
      <c r="S345" s="20" t="n">
        <v>46322</v>
      </c>
    </row>
    <row r="346">
      <c r="A346" t="inlineStr">
        <is>
          <t>ELE</t>
        </is>
      </c>
      <c r="B346" t="inlineStr">
        <is>
          <t>438647310</t>
        </is>
      </c>
      <c r="C346" t="n">
        <v>4386473</v>
      </c>
      <c r="D346" t="inlineStr">
        <is>
          <t>LIBERADA</t>
        </is>
      </c>
      <c r="E346" s="20" t="n">
        <v>46316</v>
      </c>
      <c r="F346" t="n">
        <v>2</v>
      </c>
      <c r="G346" t="n">
        <v>2</v>
      </c>
      <c r="H346" s="20" t="n">
        <v>46316</v>
      </c>
      <c r="I346" t="n">
        <v>4386473</v>
      </c>
      <c r="J346" t="n">
        <v>10</v>
      </c>
      <c r="K346" t="inlineStr">
        <is>
          <t>ELE</t>
        </is>
      </c>
      <c r="L346" t="inlineStr">
        <is>
          <t>PSE-1200 MANUT ELE MOTOR BT</t>
        </is>
      </c>
      <c r="M346" t="inlineStr">
        <is>
          <t>MANUT MOTOR BAIXA TENSAO PSE-1200 ELE 1A</t>
        </is>
      </c>
      <c r="N346" t="inlineStr">
        <is>
          <t>PERGC-FSSV-BEE-04-19</t>
        </is>
      </c>
      <c r="O346" t="inlineStr">
        <is>
          <t>76MK002-M01 MOTOR TURCO/GUINCHO Nº2</t>
        </is>
      </c>
      <c r="P346" t="n">
        <v>4</v>
      </c>
      <c r="Q346" t="inlineStr">
        <is>
          <t>PLANO</t>
        </is>
      </c>
      <c r="R346" t="inlineStr">
        <is>
          <t>Z12</t>
        </is>
      </c>
      <c r="S346" s="20" t="n">
        <v>46316</v>
      </c>
    </row>
    <row r="347">
      <c r="A347" t="inlineStr">
        <is>
          <t>MAR</t>
        </is>
      </c>
      <c r="B347" t="inlineStr">
        <is>
          <t>435572410</t>
        </is>
      </c>
      <c r="C347" t="n">
        <v>4355724</v>
      </c>
      <c r="D347" t="inlineStr">
        <is>
          <t>ENCERRADA</t>
        </is>
      </c>
      <c r="E347" s="20" t="n">
        <v>46315</v>
      </c>
      <c r="F347" t="n">
        <v>2</v>
      </c>
      <c r="G347" t="n">
        <v>1</v>
      </c>
      <c r="H347" s="20" t="n">
        <v>46315</v>
      </c>
      <c r="I347" t="n">
        <v>4355724</v>
      </c>
      <c r="J347" t="n">
        <v>10</v>
      </c>
      <c r="K347" t="inlineStr">
        <is>
          <t>MAR</t>
        </is>
      </c>
      <c r="L347" t="inlineStr">
        <is>
          <t>INS-1407 INSP MAR BALEEIRA</t>
        </is>
      </c>
      <c r="M347" t="inlineStr">
        <is>
          <t>INSP EQUIP BALEEIRA INS-1407 MAR 1M</t>
        </is>
      </c>
      <c r="N347" t="inlineStr">
        <is>
          <t>PERGC-FSSV-BEE-07-01</t>
        </is>
      </c>
      <c r="O347" t="inlineStr">
        <is>
          <t>76SA003 SURVIVAL CRAFT #3</t>
        </is>
      </c>
      <c r="P347" t="n">
        <v>2</v>
      </c>
      <c r="Q347" t="inlineStr">
        <is>
          <t>PLANO</t>
        </is>
      </c>
      <c r="R347" t="inlineStr">
        <is>
          <t>Z09</t>
        </is>
      </c>
      <c r="S347" s="20" t="n">
        <v>46315</v>
      </c>
    </row>
    <row r="348">
      <c r="A348" t="inlineStr">
        <is>
          <t>MAR</t>
        </is>
      </c>
      <c r="B348" t="inlineStr">
        <is>
          <t>439201110</t>
        </is>
      </c>
      <c r="C348" t="n">
        <v>4392011</v>
      </c>
      <c r="D348" t="inlineStr">
        <is>
          <t>ENCERRADA</t>
        </is>
      </c>
      <c r="E348" s="20" t="n">
        <v>46315</v>
      </c>
      <c r="F348" t="n">
        <v>2</v>
      </c>
      <c r="G348" t="n">
        <v>1</v>
      </c>
      <c r="H348" s="20" t="n">
        <v>46315</v>
      </c>
      <c r="I348" t="n">
        <v>4392011</v>
      </c>
      <c r="J348" t="n">
        <v>10</v>
      </c>
      <c r="K348" t="inlineStr">
        <is>
          <t>MAR</t>
        </is>
      </c>
      <c r="L348" t="inlineStr">
        <is>
          <t>INS-1400 INSP MAR BALEEIRA</t>
        </is>
      </c>
      <c r="M348" t="inlineStr">
        <is>
          <t>INSP BALEEIRA INS-1400 MAR 1S</t>
        </is>
      </c>
      <c r="N348" t="inlineStr">
        <is>
          <t>PERGC-FSSV-BEE-07-01</t>
        </is>
      </c>
      <c r="O348" t="inlineStr">
        <is>
          <t>76SA003 SURVIVAL CRAFT #3</t>
        </is>
      </c>
      <c r="P348" t="n">
        <v>2.5</v>
      </c>
      <c r="Q348" t="inlineStr">
        <is>
          <t>PLANO</t>
        </is>
      </c>
      <c r="R348" t="inlineStr">
        <is>
          <t>Z09</t>
        </is>
      </c>
      <c r="S348" s="20" t="n">
        <v>46315</v>
      </c>
    </row>
    <row r="349">
      <c r="A349" t="inlineStr">
        <is>
          <t>MAR</t>
        </is>
      </c>
      <c r="B349" t="inlineStr">
        <is>
          <t>439363210</t>
        </is>
      </c>
      <c r="C349" t="n">
        <v>4393632</v>
      </c>
      <c r="D349" t="inlineStr">
        <is>
          <t>ABERTA</t>
        </is>
      </c>
      <c r="E349" s="20" t="n">
        <v>46322</v>
      </c>
      <c r="F349" t="n">
        <v>3</v>
      </c>
      <c r="G349" t="n">
        <v>1</v>
      </c>
      <c r="H349" s="20" t="n">
        <v>46322</v>
      </c>
      <c r="I349" t="n">
        <v>4393632</v>
      </c>
      <c r="J349" t="n">
        <v>10</v>
      </c>
      <c r="K349" t="inlineStr">
        <is>
          <t>MAR</t>
        </is>
      </c>
      <c r="L349" t="inlineStr">
        <is>
          <t>INS-1400 INSP MAR BALEEIRA</t>
        </is>
      </c>
      <c r="M349" t="inlineStr">
        <is>
          <t>INSP BALEEIRA INS-1400 MAR 1S</t>
        </is>
      </c>
      <c r="N349" t="inlineStr">
        <is>
          <t>PERGC-FSSV-BEE-07-01</t>
        </is>
      </c>
      <c r="O349" t="inlineStr">
        <is>
          <t>76SA003 SURVIVAL CRAFT #3</t>
        </is>
      </c>
      <c r="P349" t="n">
        <v>2.5</v>
      </c>
      <c r="Q349" t="inlineStr">
        <is>
          <t>PLANO</t>
        </is>
      </c>
      <c r="R349" t="inlineStr">
        <is>
          <t>Z09</t>
        </is>
      </c>
      <c r="S349" s="20" t="n">
        <v>46322</v>
      </c>
    </row>
    <row r="350">
      <c r="A350" t="inlineStr">
        <is>
          <t>MAR</t>
        </is>
      </c>
      <c r="B350" t="inlineStr">
        <is>
          <t>439200710</t>
        </is>
      </c>
      <c r="C350" t="n">
        <v>4392007</v>
      </c>
      <c r="D350" t="inlineStr">
        <is>
          <t>ENCERRADA</t>
        </is>
      </c>
      <c r="E350" s="20" t="n">
        <v>46315</v>
      </c>
      <c r="F350" t="n">
        <v>3</v>
      </c>
      <c r="G350" t="n">
        <v>2</v>
      </c>
      <c r="H350" s="20" t="n">
        <v>46315</v>
      </c>
      <c r="I350" t="n">
        <v>4392007</v>
      </c>
      <c r="J350" t="n">
        <v>10</v>
      </c>
      <c r="K350" t="inlineStr">
        <is>
          <t>MAR</t>
        </is>
      </c>
      <c r="L350" t="inlineStr">
        <is>
          <t>INS-1401 INSP MAR TURCO BALEEIRA</t>
        </is>
      </c>
      <c r="M350" t="inlineStr">
        <is>
          <t>INSP TURCO BALEEIRA INS-1401 MAR 1S</t>
        </is>
      </c>
      <c r="N350" t="inlineStr">
        <is>
          <t>PERGC-FSSV-BEE-07-16</t>
        </is>
      </c>
      <c r="O350" t="inlineStr">
        <is>
          <t>76MK003 TURCO/GUINCHO Nº3</t>
        </is>
      </c>
      <c r="P350" t="n">
        <v>1</v>
      </c>
      <c r="Q350" t="inlineStr">
        <is>
          <t>PLANO</t>
        </is>
      </c>
      <c r="R350" t="inlineStr">
        <is>
          <t>Z09</t>
        </is>
      </c>
      <c r="S350" s="20" t="n">
        <v>46315</v>
      </c>
    </row>
    <row r="351">
      <c r="A351" t="inlineStr">
        <is>
          <t>MAR</t>
        </is>
      </c>
      <c r="B351" t="inlineStr">
        <is>
          <t>439362810</t>
        </is>
      </c>
      <c r="C351" t="n">
        <v>4393628</v>
      </c>
      <c r="D351" t="inlineStr">
        <is>
          <t>ABERTA</t>
        </is>
      </c>
      <c r="E351" s="20" t="n">
        <v>46322</v>
      </c>
      <c r="F351" t="n">
        <v>3</v>
      </c>
      <c r="G351" t="n">
        <v>2</v>
      </c>
      <c r="H351" s="20" t="n">
        <v>46322</v>
      </c>
      <c r="I351" t="n">
        <v>4393628</v>
      </c>
      <c r="J351" t="n">
        <v>10</v>
      </c>
      <c r="K351" t="inlineStr">
        <is>
          <t>MAR</t>
        </is>
      </c>
      <c r="L351" t="inlineStr">
        <is>
          <t>INS-1401 INSP MAR TURCO BALEEIRA</t>
        </is>
      </c>
      <c r="M351" t="inlineStr">
        <is>
          <t>INSP TURCO BALEEIRA INS-1401 MAR 1S</t>
        </is>
      </c>
      <c r="N351" t="inlineStr">
        <is>
          <t>PERGC-FSSV-BEE-07-16</t>
        </is>
      </c>
      <c r="O351" t="inlineStr">
        <is>
          <t>76MK003 TURCO/GUINCHO Nº3</t>
        </is>
      </c>
      <c r="P351" t="n">
        <v>1</v>
      </c>
      <c r="Q351" t="inlineStr">
        <is>
          <t>PLANO</t>
        </is>
      </c>
      <c r="R351" t="inlineStr">
        <is>
          <t>Z09</t>
        </is>
      </c>
      <c r="S351" s="20" t="n">
        <v>46322</v>
      </c>
    </row>
    <row r="352">
      <c r="A352" t="inlineStr">
        <is>
          <t>MAR</t>
        </is>
      </c>
      <c r="B352" t="inlineStr">
        <is>
          <t>439201910</t>
        </is>
      </c>
      <c r="C352" t="n">
        <v>4392019</v>
      </c>
      <c r="D352" t="inlineStr">
        <is>
          <t>ENCERRADA</t>
        </is>
      </c>
      <c r="E352" s="20" t="n">
        <v>46315</v>
      </c>
      <c r="F352" t="n">
        <v>3</v>
      </c>
      <c r="G352" t="n">
        <v>2</v>
      </c>
      <c r="H352" s="20" t="n">
        <v>46315</v>
      </c>
      <c r="I352" t="n">
        <v>4392019</v>
      </c>
      <c r="J352" t="n">
        <v>10</v>
      </c>
      <c r="K352" t="inlineStr">
        <is>
          <t>MAR</t>
        </is>
      </c>
      <c r="L352" t="inlineStr">
        <is>
          <t>INS-1402 INSP MAR BALSA SALVA VIDAS</t>
        </is>
      </c>
      <c r="M352" t="inlineStr">
        <is>
          <t>INSP BALSA SALVA VIDAS INS-1402 MAR 1S</t>
        </is>
      </c>
      <c r="N352" t="inlineStr">
        <is>
          <t>PERGC-FSSV-BSA-01-01-01</t>
        </is>
      </c>
      <c r="O352" t="inlineStr">
        <is>
          <t>76SW001 BALSA SALVA-VIDAS</t>
        </is>
      </c>
      <c r="P352" t="n">
        <v>0.5</v>
      </c>
      <c r="Q352" t="inlineStr">
        <is>
          <t>PLANO</t>
        </is>
      </c>
      <c r="R352" t="inlineStr">
        <is>
          <t>Z09</t>
        </is>
      </c>
      <c r="S352" s="20" t="n">
        <v>46315</v>
      </c>
    </row>
    <row r="353">
      <c r="A353" t="inlineStr">
        <is>
          <t>MAR</t>
        </is>
      </c>
      <c r="B353" t="inlineStr">
        <is>
          <t>439363310</t>
        </is>
      </c>
      <c r="C353" t="n">
        <v>4393633</v>
      </c>
      <c r="D353" t="inlineStr">
        <is>
          <t>ENCERRADA</t>
        </is>
      </c>
      <c r="E353" s="20" t="n">
        <v>46322</v>
      </c>
      <c r="F353" t="n">
        <v>3</v>
      </c>
      <c r="G353" t="n">
        <v>2</v>
      </c>
      <c r="H353" s="20" t="n">
        <v>46322</v>
      </c>
      <c r="I353" t="n">
        <v>4393633</v>
      </c>
      <c r="J353" t="n">
        <v>10</v>
      </c>
      <c r="K353" t="inlineStr">
        <is>
          <t>MAR</t>
        </is>
      </c>
      <c r="L353" t="inlineStr">
        <is>
          <t>INS-1402 INSP MAR BALSA SALVA VIDAS</t>
        </is>
      </c>
      <c r="M353" t="inlineStr">
        <is>
          <t>INSP BALSA SALVA VIDAS INS-1402 MAR 1S</t>
        </is>
      </c>
      <c r="N353" t="inlineStr">
        <is>
          <t>PERGC-FSSV-BSA-01-01-01</t>
        </is>
      </c>
      <c r="O353" t="inlineStr">
        <is>
          <t>76SW001 BALSA SALVA-VIDAS</t>
        </is>
      </c>
      <c r="P353" t="n">
        <v>0.5</v>
      </c>
      <c r="Q353" t="inlineStr">
        <is>
          <t>PLANO</t>
        </is>
      </c>
      <c r="R353" t="inlineStr">
        <is>
          <t>Z09</t>
        </is>
      </c>
      <c r="S353" s="20" t="n">
        <v>46322</v>
      </c>
    </row>
    <row r="354">
      <c r="A354" t="inlineStr">
        <is>
          <t>MAR</t>
        </is>
      </c>
      <c r="B354" t="inlineStr">
        <is>
          <t>435573110</t>
        </is>
      </c>
      <c r="C354" t="n">
        <v>4355731</v>
      </c>
      <c r="D354" t="inlineStr">
        <is>
          <t>ENCERRADA</t>
        </is>
      </c>
      <c r="E354" s="20" t="n">
        <v>46315</v>
      </c>
      <c r="F354" t="n">
        <v>3</v>
      </c>
      <c r="G354" t="n">
        <v>2</v>
      </c>
      <c r="H354" s="20" t="n">
        <v>46315</v>
      </c>
      <c r="I354" t="n">
        <v>4355731</v>
      </c>
      <c r="J354" t="n">
        <v>10</v>
      </c>
      <c r="K354" t="inlineStr">
        <is>
          <t>MAR</t>
        </is>
      </c>
      <c r="L354" t="inlineStr">
        <is>
          <t>PSE-1401 LUBR MAR TURCO BALSA</t>
        </is>
      </c>
      <c r="M354" t="inlineStr">
        <is>
          <t>LUBR TURCO BALSA PSE-1401 MAR 1M</t>
        </is>
      </c>
      <c r="N354" t="inlineStr">
        <is>
          <t>PERGC-FSSV-BSA-01-01-04-01</t>
        </is>
      </c>
      <c r="O354" t="inlineStr">
        <is>
          <t>76SW003 TURCO BALSA SALVA-VIDAS</t>
        </is>
      </c>
      <c r="P354" t="n">
        <v>1</v>
      </c>
      <c r="Q354" t="inlineStr">
        <is>
          <t>PLANO</t>
        </is>
      </c>
      <c r="R354" t="inlineStr">
        <is>
          <t>Z10</t>
        </is>
      </c>
      <c r="S354" s="20" t="n">
        <v>46315</v>
      </c>
    </row>
    <row r="355">
      <c r="A355" t="inlineStr">
        <is>
          <t>MAR</t>
        </is>
      </c>
      <c r="B355" t="inlineStr">
        <is>
          <t>439202110</t>
        </is>
      </c>
      <c r="C355" t="n">
        <v>4392021</v>
      </c>
      <c r="D355" t="inlineStr">
        <is>
          <t>ENCERRADA</t>
        </is>
      </c>
      <c r="E355" s="20" t="n">
        <v>46315</v>
      </c>
      <c r="F355" t="n">
        <v>3</v>
      </c>
      <c r="G355" t="n">
        <v>2</v>
      </c>
      <c r="H355" s="20" t="n">
        <v>46315</v>
      </c>
      <c r="I355" t="n">
        <v>4392021</v>
      </c>
      <c r="J355" t="n">
        <v>10</v>
      </c>
      <c r="K355" t="inlineStr">
        <is>
          <t>MAR</t>
        </is>
      </c>
      <c r="L355" t="inlineStr">
        <is>
          <t>INS-1403 INSP MAR TURCO BALSA</t>
        </is>
      </c>
      <c r="M355" t="inlineStr">
        <is>
          <t>INSP TURCO BALSA INS-1403 MAR 1S</t>
        </is>
      </c>
      <c r="N355" t="inlineStr">
        <is>
          <t>PERGC-FSSV-BSA-01-01-04-01</t>
        </is>
      </c>
      <c r="O355" t="inlineStr">
        <is>
          <t>76SW003 TURCO BALSA SALVA-VIDAS</t>
        </is>
      </c>
      <c r="P355" t="n">
        <v>0.5</v>
      </c>
      <c r="Q355" t="inlineStr">
        <is>
          <t>PLANO</t>
        </is>
      </c>
      <c r="R355" t="inlineStr">
        <is>
          <t>Z09</t>
        </is>
      </c>
      <c r="S355" s="20" t="n">
        <v>46315</v>
      </c>
    </row>
    <row r="356">
      <c r="A356" t="inlineStr">
        <is>
          <t>MAR</t>
        </is>
      </c>
      <c r="B356" t="inlineStr">
        <is>
          <t>439363510</t>
        </is>
      </c>
      <c r="C356" t="n">
        <v>4393635</v>
      </c>
      <c r="D356" t="inlineStr">
        <is>
          <t>ENCERRADA</t>
        </is>
      </c>
      <c r="E356" s="20" t="n">
        <v>46322</v>
      </c>
      <c r="F356" t="n">
        <v>3</v>
      </c>
      <c r="G356" t="n">
        <v>2</v>
      </c>
      <c r="H356" s="20" t="n">
        <v>46322</v>
      </c>
      <c r="I356" t="n">
        <v>4393635</v>
      </c>
      <c r="J356" t="n">
        <v>10</v>
      </c>
      <c r="K356" t="inlineStr">
        <is>
          <t>MAR</t>
        </is>
      </c>
      <c r="L356" t="inlineStr">
        <is>
          <t>INS-1403 INSP MAR TURCO BALSA</t>
        </is>
      </c>
      <c r="M356" t="inlineStr">
        <is>
          <t>INSP TURCO BALSA INS-1403 MAR 1S</t>
        </is>
      </c>
      <c r="N356" t="inlineStr">
        <is>
          <t>PERGC-FSSV-BSA-01-01-04-01</t>
        </is>
      </c>
      <c r="O356" t="inlineStr">
        <is>
          <t>76SW003 TURCO BALSA SALVA-VIDAS</t>
        </is>
      </c>
      <c r="P356" t="n">
        <v>0.5</v>
      </c>
      <c r="Q356" t="inlineStr">
        <is>
          <t>PLANO</t>
        </is>
      </c>
      <c r="R356" t="inlineStr">
        <is>
          <t>Z09</t>
        </is>
      </c>
      <c r="S356" s="20" t="n">
        <v>46322</v>
      </c>
    </row>
    <row r="357">
      <c r="A357" t="inlineStr">
        <is>
          <t>MAR</t>
        </is>
      </c>
      <c r="B357" t="inlineStr">
        <is>
          <t>439202010</t>
        </is>
      </c>
      <c r="C357" t="n">
        <v>4392020</v>
      </c>
      <c r="D357" t="inlineStr">
        <is>
          <t>ENCERRADA</t>
        </is>
      </c>
      <c r="E357" s="20" t="n">
        <v>46315</v>
      </c>
      <c r="F357" t="n">
        <v>3</v>
      </c>
      <c r="G357" t="n">
        <v>2</v>
      </c>
      <c r="H357" s="20" t="n">
        <v>46315</v>
      </c>
      <c r="I357" t="n">
        <v>4392020</v>
      </c>
      <c r="J357" t="n">
        <v>10</v>
      </c>
      <c r="K357" t="inlineStr">
        <is>
          <t>MAR</t>
        </is>
      </c>
      <c r="L357" t="inlineStr">
        <is>
          <t>INS-1402 INSP MAR BALSA SALVA VIDAS</t>
        </is>
      </c>
      <c r="M357" t="inlineStr">
        <is>
          <t>INSP BALSA SALVA VIDAS INS-1402 MAR 1S</t>
        </is>
      </c>
      <c r="N357" t="inlineStr">
        <is>
          <t>PERGC-FSSV-BSA-01-04-01</t>
        </is>
      </c>
      <c r="O357" t="inlineStr">
        <is>
          <t>76SW002 BALSA SALVA-VIDAS</t>
        </is>
      </c>
      <c r="P357" t="n">
        <v>0.5</v>
      </c>
      <c r="Q357" t="inlineStr">
        <is>
          <t>PLANO</t>
        </is>
      </c>
      <c r="R357" t="inlineStr">
        <is>
          <t>Z09</t>
        </is>
      </c>
      <c r="S357" s="20" t="n">
        <v>46315</v>
      </c>
    </row>
    <row r="358">
      <c r="A358" t="inlineStr">
        <is>
          <t>MAR</t>
        </is>
      </c>
      <c r="B358" t="inlineStr">
        <is>
          <t>439363410</t>
        </is>
      </c>
      <c r="C358" t="n">
        <v>4393634</v>
      </c>
      <c r="D358" t="inlineStr">
        <is>
          <t>ENCERRADA</t>
        </is>
      </c>
      <c r="E358" s="20" t="n">
        <v>46322</v>
      </c>
      <c r="F358" t="n">
        <v>3</v>
      </c>
      <c r="G358" t="n">
        <v>2</v>
      </c>
      <c r="H358" s="20" t="n">
        <v>46322</v>
      </c>
      <c r="I358" t="n">
        <v>4393634</v>
      </c>
      <c r="J358" t="n">
        <v>10</v>
      </c>
      <c r="K358" t="inlineStr">
        <is>
          <t>MAR</t>
        </is>
      </c>
      <c r="L358" t="inlineStr">
        <is>
          <t>INS-1402 INSP MAR BALSA SALVA VIDAS</t>
        </is>
      </c>
      <c r="M358" t="inlineStr">
        <is>
          <t>INSP BALSA SALVA VIDAS INS-1402 MAR 1S</t>
        </is>
      </c>
      <c r="N358" t="inlineStr">
        <is>
          <t>PERGC-FSSV-BSA-01-04-01</t>
        </is>
      </c>
      <c r="O358" t="inlineStr">
        <is>
          <t>76SW002 BALSA SALVA-VIDAS</t>
        </is>
      </c>
      <c r="P358" t="n">
        <v>0.5</v>
      </c>
      <c r="Q358" t="inlineStr">
        <is>
          <t>PLANO</t>
        </is>
      </c>
      <c r="R358" t="inlineStr">
        <is>
          <t>Z09</t>
        </is>
      </c>
      <c r="S358" s="20" t="n">
        <v>46322</v>
      </c>
    </row>
    <row r="359">
      <c r="A359" t="inlineStr">
        <is>
          <t>MAR</t>
        </is>
      </c>
      <c r="B359" t="inlineStr">
        <is>
          <t>435573210</t>
        </is>
      </c>
      <c r="C359" t="n">
        <v>4355732</v>
      </c>
      <c r="D359" t="inlineStr">
        <is>
          <t>ENCERRADA</t>
        </is>
      </c>
      <c r="E359" s="20" t="n">
        <v>46315</v>
      </c>
      <c r="F359" t="n">
        <v>3</v>
      </c>
      <c r="G359" t="n">
        <v>2</v>
      </c>
      <c r="H359" s="20" t="n">
        <v>46315</v>
      </c>
      <c r="I359" t="n">
        <v>4355732</v>
      </c>
      <c r="J359" t="n">
        <v>10</v>
      </c>
      <c r="K359" t="inlineStr">
        <is>
          <t>MAR</t>
        </is>
      </c>
      <c r="L359" t="inlineStr">
        <is>
          <t>PSE-1401 LUBR MAR TURCO BALSA</t>
        </is>
      </c>
      <c r="M359" t="inlineStr">
        <is>
          <t>LUBR TURCO BALSA PSE-1401 MAR 1M</t>
        </is>
      </c>
      <c r="N359" t="inlineStr">
        <is>
          <t>PERGC-FSSV-BSA-01-04-04-01</t>
        </is>
      </c>
      <c r="O359" t="inlineStr">
        <is>
          <t>76SW004 TURCO BALSA SALVA-VIDAS</t>
        </is>
      </c>
      <c r="P359" t="n">
        <v>1</v>
      </c>
      <c r="Q359" t="inlineStr">
        <is>
          <t>PLANO</t>
        </is>
      </c>
      <c r="R359" t="inlineStr">
        <is>
          <t>Z10</t>
        </is>
      </c>
      <c r="S359" s="20" t="n">
        <v>46315</v>
      </c>
    </row>
    <row r="360">
      <c r="A360" t="inlineStr">
        <is>
          <t>MAR</t>
        </is>
      </c>
      <c r="B360" t="inlineStr">
        <is>
          <t>439202210</t>
        </is>
      </c>
      <c r="C360" t="n">
        <v>4392022</v>
      </c>
      <c r="D360" t="inlineStr">
        <is>
          <t>ENCERRADA</t>
        </is>
      </c>
      <c r="E360" s="20" t="n">
        <v>46315</v>
      </c>
      <c r="F360" t="n">
        <v>3</v>
      </c>
      <c r="G360" t="n">
        <v>2</v>
      </c>
      <c r="H360" s="20" t="n">
        <v>46315</v>
      </c>
      <c r="I360" t="n">
        <v>4392022</v>
      </c>
      <c r="J360" t="n">
        <v>10</v>
      </c>
      <c r="K360" t="inlineStr">
        <is>
          <t>MAR</t>
        </is>
      </c>
      <c r="L360" t="inlineStr">
        <is>
          <t>INS-1403 INSP MAR TURCO BALSA</t>
        </is>
      </c>
      <c r="M360" t="inlineStr">
        <is>
          <t>INSP TURCO BALSA INS-1403 MAR 1S</t>
        </is>
      </c>
      <c r="N360" t="inlineStr">
        <is>
          <t>PERGC-FSSV-BSA-01-04-04-01</t>
        </is>
      </c>
      <c r="O360" t="inlineStr">
        <is>
          <t>76SW004 TURCO BALSA SALVA-VIDAS</t>
        </is>
      </c>
      <c r="P360" t="n">
        <v>0.5</v>
      </c>
      <c r="Q360" t="inlineStr">
        <is>
          <t>PLANO</t>
        </is>
      </c>
      <c r="R360" t="inlineStr">
        <is>
          <t>Z09</t>
        </is>
      </c>
      <c r="S360" s="20" t="n">
        <v>46315</v>
      </c>
    </row>
    <row r="361">
      <c r="A361" t="inlineStr">
        <is>
          <t>MAR</t>
        </is>
      </c>
      <c r="B361" t="inlineStr">
        <is>
          <t>439363610</t>
        </is>
      </c>
      <c r="C361" t="n">
        <v>4393636</v>
      </c>
      <c r="D361" t="inlineStr">
        <is>
          <t>ENCERRADA</t>
        </is>
      </c>
      <c r="E361" s="20" t="n">
        <v>46322</v>
      </c>
      <c r="F361" t="n">
        <v>3</v>
      </c>
      <c r="G361" t="n">
        <v>2</v>
      </c>
      <c r="H361" s="20" t="n">
        <v>46322</v>
      </c>
      <c r="I361" t="n">
        <v>4393636</v>
      </c>
      <c r="J361" t="n">
        <v>10</v>
      </c>
      <c r="K361" t="inlineStr">
        <is>
          <t>MAR</t>
        </is>
      </c>
      <c r="L361" t="inlineStr">
        <is>
          <t>INS-1403 INSP MAR TURCO BALSA</t>
        </is>
      </c>
      <c r="M361" t="inlineStr">
        <is>
          <t>INSP TURCO BALSA INS-1403 MAR 1S</t>
        </is>
      </c>
      <c r="N361" t="inlineStr">
        <is>
          <t>PERGC-FSSV-BSA-01-04-04-01</t>
        </is>
      </c>
      <c r="O361" t="inlineStr">
        <is>
          <t>76SW004 TURCO BALSA SALVA-VIDAS</t>
        </is>
      </c>
      <c r="P361" t="n">
        <v>0.5</v>
      </c>
      <c r="Q361" t="inlineStr">
        <is>
          <t>PLANO</t>
        </is>
      </c>
      <c r="R361" t="inlineStr">
        <is>
          <t>Z09</t>
        </is>
      </c>
      <c r="S361" s="20" t="n">
        <v>46322</v>
      </c>
    </row>
    <row r="362">
      <c r="A362" t="inlineStr">
        <is>
          <t>MAR</t>
        </is>
      </c>
      <c r="B362" t="inlineStr">
        <is>
          <t>439184010</t>
        </is>
      </c>
      <c r="C362" t="n">
        <v>4391840</v>
      </c>
      <c r="D362" t="inlineStr">
        <is>
          <t>ENCERRADA</t>
        </is>
      </c>
      <c r="E362" s="20" t="n">
        <v>46314</v>
      </c>
      <c r="F362" t="n">
        <v>3</v>
      </c>
      <c r="G362" t="n">
        <v>2</v>
      </c>
      <c r="H362" s="20" t="n">
        <v>46314</v>
      </c>
      <c r="I362" t="n">
        <v>4391840</v>
      </c>
      <c r="J362" t="n">
        <v>10</v>
      </c>
      <c r="K362" t="inlineStr">
        <is>
          <t>MAR</t>
        </is>
      </c>
      <c r="L362" t="inlineStr">
        <is>
          <t>INS-1402 INSP MAR BALSA SALVA VIDAS</t>
        </is>
      </c>
      <c r="M362" t="inlineStr">
        <is>
          <t>INSP BALSA SALVA VIDAS INS-1402 MAR 1S</t>
        </is>
      </c>
      <c r="N362" t="inlineStr">
        <is>
          <t>PERGC-FSSV-BSA-01-07-01</t>
        </is>
      </c>
      <c r="O362" t="inlineStr">
        <is>
          <t>76SW007 BALSA SALVA-VIDAS</t>
        </is>
      </c>
      <c r="P362" t="n">
        <v>0.5</v>
      </c>
      <c r="Q362" t="inlineStr">
        <is>
          <t>PLANO</t>
        </is>
      </c>
      <c r="R362" t="inlineStr">
        <is>
          <t>Z09</t>
        </is>
      </c>
      <c r="S362" s="20" t="n">
        <v>46314</v>
      </c>
    </row>
    <row r="363">
      <c r="A363" t="inlineStr">
        <is>
          <t>MAR</t>
        </is>
      </c>
      <c r="B363" t="inlineStr">
        <is>
          <t>439345610</t>
        </is>
      </c>
      <c r="C363" t="n">
        <v>4393456</v>
      </c>
      <c r="D363" t="inlineStr">
        <is>
          <t>ENCERRADA</t>
        </is>
      </c>
      <c r="E363" s="20" t="n">
        <v>46321</v>
      </c>
      <c r="F363" t="n">
        <v>3</v>
      </c>
      <c r="G363" t="n">
        <v>2</v>
      </c>
      <c r="H363" s="20" t="n">
        <v>46321</v>
      </c>
      <c r="I363" t="n">
        <v>4393456</v>
      </c>
      <c r="J363" t="n">
        <v>10</v>
      </c>
      <c r="K363" t="inlineStr">
        <is>
          <t>MAR</t>
        </is>
      </c>
      <c r="L363" t="inlineStr">
        <is>
          <t>INS-1402 INSP MAR BALSA SALVA VIDAS</t>
        </is>
      </c>
      <c r="M363" t="inlineStr">
        <is>
          <t>INSP BALSA SALVA VIDAS INS-1402 MAR 1S</t>
        </is>
      </c>
      <c r="N363" t="inlineStr">
        <is>
          <t>PERGC-FSSV-BSA-01-07-01</t>
        </is>
      </c>
      <c r="O363" t="inlineStr">
        <is>
          <t>76SW007 BALSA SALVA-VIDAS</t>
        </is>
      </c>
      <c r="P363" t="n">
        <v>0.5</v>
      </c>
      <c r="Q363" t="inlineStr">
        <is>
          <t>PLANO</t>
        </is>
      </c>
      <c r="R363" t="inlineStr">
        <is>
          <t>Z09</t>
        </is>
      </c>
      <c r="S363" s="20" t="n">
        <v>46321</v>
      </c>
    </row>
    <row r="364">
      <c r="A364" t="inlineStr">
        <is>
          <t>MAR</t>
        </is>
      </c>
      <c r="B364" t="inlineStr">
        <is>
          <t>439184110</t>
        </is>
      </c>
      <c r="C364" t="n">
        <v>4391841</v>
      </c>
      <c r="D364" t="inlineStr">
        <is>
          <t>ENCERRADA</t>
        </is>
      </c>
      <c r="E364" s="20" t="n">
        <v>46314</v>
      </c>
      <c r="F364" t="n">
        <v>3</v>
      </c>
      <c r="G364" t="n">
        <v>2</v>
      </c>
      <c r="H364" s="20" t="n">
        <v>46314</v>
      </c>
      <c r="I364" t="n">
        <v>4391841</v>
      </c>
      <c r="J364" t="n">
        <v>10</v>
      </c>
      <c r="K364" t="inlineStr">
        <is>
          <t>MAR</t>
        </is>
      </c>
      <c r="L364" t="inlineStr">
        <is>
          <t>INS-1402 INSP MAR BALSA SALVA VIDAS</t>
        </is>
      </c>
      <c r="M364" t="inlineStr">
        <is>
          <t>INSP BALSA SALVA VIDAS INS-1402 MAR 1S</t>
        </is>
      </c>
      <c r="N364" t="inlineStr">
        <is>
          <t>PERGC-FSSV-BSA-01-10-01</t>
        </is>
      </c>
      <c r="O364" t="inlineStr">
        <is>
          <t>76SW008 BALSA SALVA-VIDAS</t>
        </is>
      </c>
      <c r="P364" t="n">
        <v>0.5</v>
      </c>
      <c r="Q364" t="inlineStr">
        <is>
          <t>PLANO</t>
        </is>
      </c>
      <c r="R364" t="inlineStr">
        <is>
          <t>Z09</t>
        </is>
      </c>
      <c r="S364" s="20" t="n">
        <v>46314</v>
      </c>
    </row>
    <row r="365">
      <c r="A365" t="inlineStr">
        <is>
          <t>MAR</t>
        </is>
      </c>
      <c r="B365" t="inlineStr">
        <is>
          <t>439345710</t>
        </is>
      </c>
      <c r="C365" t="n">
        <v>4393457</v>
      </c>
      <c r="D365" t="inlineStr">
        <is>
          <t>ENCERRADA</t>
        </is>
      </c>
      <c r="E365" s="20" t="n">
        <v>46321</v>
      </c>
      <c r="F365" t="n">
        <v>2</v>
      </c>
      <c r="G365" t="n">
        <v>2</v>
      </c>
      <c r="H365" s="20" t="n">
        <v>46321</v>
      </c>
      <c r="I365" t="n">
        <v>4393457</v>
      </c>
      <c r="J365" t="n">
        <v>10</v>
      </c>
      <c r="K365" t="inlineStr">
        <is>
          <t>MAR</t>
        </is>
      </c>
      <c r="L365" t="inlineStr">
        <is>
          <t>INS-1402 INSP MAR BALSA SALVA VIDAS</t>
        </is>
      </c>
      <c r="M365" t="inlineStr">
        <is>
          <t>INSP BALSA SALVA VIDAS INS-1402 MAR 1S</t>
        </is>
      </c>
      <c r="N365" t="inlineStr">
        <is>
          <t>PERGC-FSSV-BSA-01-10-01</t>
        </is>
      </c>
      <c r="O365" t="inlineStr">
        <is>
          <t>76SW008 BALSA SALVA-VIDAS</t>
        </is>
      </c>
      <c r="P365" t="n">
        <v>0.5</v>
      </c>
      <c r="Q365" t="inlineStr">
        <is>
          <t>PLANO</t>
        </is>
      </c>
      <c r="R365" t="inlineStr">
        <is>
          <t>Z09</t>
        </is>
      </c>
      <c r="S365" s="20" t="n">
        <v>46321</v>
      </c>
    </row>
    <row r="366">
      <c r="A366" t="inlineStr">
        <is>
          <t>MAR</t>
        </is>
      </c>
      <c r="B366" t="inlineStr">
        <is>
          <t>435573410</t>
        </is>
      </c>
      <c r="C366" t="n">
        <v>4355734</v>
      </c>
      <c r="D366" t="inlineStr">
        <is>
          <t>ENCERRADA</t>
        </is>
      </c>
      <c r="E366" s="20" t="n">
        <v>46315</v>
      </c>
      <c r="F366" t="n">
        <v>2</v>
      </c>
      <c r="G366" t="n">
        <v>1</v>
      </c>
      <c r="H366" s="20" t="n">
        <v>46315</v>
      </c>
      <c r="I366" t="n">
        <v>4355734</v>
      </c>
      <c r="J366" t="n">
        <v>10</v>
      </c>
      <c r="K366" t="inlineStr">
        <is>
          <t>MAR</t>
        </is>
      </c>
      <c r="L366" t="inlineStr">
        <is>
          <t>INS-1408 INSP MAR EQUIP BOTE RESGATE</t>
        </is>
      </c>
      <c r="M366" t="inlineStr">
        <is>
          <t>INSP EQUIP BOTE RESGATE INS-1408 MAR 1M</t>
        </is>
      </c>
      <c r="N366" t="inlineStr">
        <is>
          <t>PERGC-FSSV-BTE-01-01</t>
        </is>
      </c>
      <c r="O366" t="inlineStr">
        <is>
          <t>76SB001 BOTE RESGATE (FRB)</t>
        </is>
      </c>
      <c r="P366" t="n">
        <v>0.8</v>
      </c>
      <c r="Q366" t="inlineStr">
        <is>
          <t>PLANO</t>
        </is>
      </c>
      <c r="R366" t="inlineStr">
        <is>
          <t>Z09</t>
        </is>
      </c>
      <c r="S366" s="20" t="n">
        <v>46315</v>
      </c>
    </row>
    <row r="367">
      <c r="A367" t="inlineStr">
        <is>
          <t>MEC</t>
        </is>
      </c>
      <c r="B367" t="inlineStr">
        <is>
          <t>435573510</t>
        </is>
      </c>
      <c r="C367" t="n">
        <v>4355735</v>
      </c>
      <c r="D367" t="inlineStr">
        <is>
          <t>ENCERRADA</t>
        </is>
      </c>
      <c r="E367" s="20" t="n">
        <v>46315</v>
      </c>
      <c r="F367" t="n">
        <v>2</v>
      </c>
      <c r="G367" t="n">
        <v>1</v>
      </c>
      <c r="H367" s="20" t="n">
        <v>46315</v>
      </c>
      <c r="I367" t="n">
        <v>4355735</v>
      </c>
      <c r="J367" t="n">
        <v>10</v>
      </c>
      <c r="K367" t="inlineStr">
        <is>
          <t>MEC</t>
        </is>
      </c>
      <c r="L367" t="inlineStr">
        <is>
          <t>PSE-1564 MANUT MAR MOTOR BOTE RESGATE</t>
        </is>
      </c>
      <c r="M367" t="inlineStr">
        <is>
          <t>MANUT MOTOR BOTE RESGATE PSE-1564 MEC 1M</t>
        </is>
      </c>
      <c r="N367" t="inlineStr">
        <is>
          <t>PERGC-FSSV-BTE-01-01</t>
        </is>
      </c>
      <c r="O367" t="inlineStr">
        <is>
          <t>76SB001 BOTE RESGATE (FRB)</t>
        </is>
      </c>
      <c r="P367" t="n">
        <v>3</v>
      </c>
      <c r="Q367" t="inlineStr">
        <is>
          <t>PLANO</t>
        </is>
      </c>
      <c r="R367" t="inlineStr">
        <is>
          <t>Z12</t>
        </is>
      </c>
      <c r="S367" s="20" t="n">
        <v>46315</v>
      </c>
    </row>
    <row r="368">
      <c r="A368" t="inlineStr">
        <is>
          <t>MAR</t>
        </is>
      </c>
      <c r="B368" t="inlineStr">
        <is>
          <t>439117310</t>
        </is>
      </c>
      <c r="C368" t="n">
        <v>4391173</v>
      </c>
      <c r="D368" t="inlineStr">
        <is>
          <t>ENCERRADA</t>
        </is>
      </c>
      <c r="E368" s="20" t="n">
        <v>46311</v>
      </c>
      <c r="F368" t="n">
        <v>2</v>
      </c>
      <c r="G368" t="n">
        <v>1</v>
      </c>
      <c r="H368" s="20" t="n">
        <v>46311</v>
      </c>
      <c r="I368" t="n">
        <v>4391173</v>
      </c>
      <c r="J368" t="n">
        <v>10</v>
      </c>
      <c r="K368" t="inlineStr">
        <is>
          <t>MAR</t>
        </is>
      </c>
      <c r="L368" t="inlineStr">
        <is>
          <t>INS-1404 INSP MAR BOTE RESGATE</t>
        </is>
      </c>
      <c r="M368" t="inlineStr">
        <is>
          <t>INSP BOTE RESGATE INS-1404 MAR 1S</t>
        </is>
      </c>
      <c r="N368" t="inlineStr">
        <is>
          <t>PERGC-FSSV-BTE-01-01</t>
        </is>
      </c>
      <c r="O368" t="inlineStr">
        <is>
          <t>76SB001 BOTE RESGATE (FRB)</t>
        </is>
      </c>
      <c r="P368" t="n">
        <v>1</v>
      </c>
      <c r="Q368" t="inlineStr">
        <is>
          <t>PLANO</t>
        </is>
      </c>
      <c r="R368" t="inlineStr">
        <is>
          <t>Z09</t>
        </is>
      </c>
      <c r="S368" s="20" t="n">
        <v>46311</v>
      </c>
    </row>
    <row r="369">
      <c r="A369" t="inlineStr">
        <is>
          <t>MAR</t>
        </is>
      </c>
      <c r="B369" t="inlineStr">
        <is>
          <t>439287410</t>
        </is>
      </c>
      <c r="C369" t="n">
        <v>4392874</v>
      </c>
      <c r="D369" t="inlineStr">
        <is>
          <t>ENCERRADA</t>
        </is>
      </c>
      <c r="E369" s="20" t="n">
        <v>46318</v>
      </c>
      <c r="F369" t="n">
        <v>2</v>
      </c>
      <c r="G369" t="n">
        <v>1</v>
      </c>
      <c r="H369" s="20" t="n">
        <v>46318</v>
      </c>
      <c r="I369" t="n">
        <v>4392874</v>
      </c>
      <c r="J369" t="n">
        <v>10</v>
      </c>
      <c r="K369" t="inlineStr">
        <is>
          <t>MAR</t>
        </is>
      </c>
      <c r="L369" t="inlineStr">
        <is>
          <t>INS-1404 INSP MAR BOTE RESGATE</t>
        </is>
      </c>
      <c r="M369" t="inlineStr">
        <is>
          <t>INSP BOTE RESGATE INS-1404 MAR 1S</t>
        </is>
      </c>
      <c r="N369" t="inlineStr">
        <is>
          <t>PERGC-FSSV-BTE-01-01</t>
        </is>
      </c>
      <c r="O369" t="inlineStr">
        <is>
          <t>76SB001 BOTE RESGATE (FRB)</t>
        </is>
      </c>
      <c r="P369" t="n">
        <v>1</v>
      </c>
      <c r="Q369" t="inlineStr">
        <is>
          <t>PLANO</t>
        </is>
      </c>
      <c r="R369" t="inlineStr">
        <is>
          <t>Z09</t>
        </is>
      </c>
      <c r="S369" s="20" t="n">
        <v>46318</v>
      </c>
    </row>
    <row r="370">
      <c r="A370" t="inlineStr">
        <is>
          <t>MAR</t>
        </is>
      </c>
      <c r="B370" t="inlineStr">
        <is>
          <t>439420510</t>
        </is>
      </c>
      <c r="C370" t="n">
        <v>4394205</v>
      </c>
      <c r="D370" t="inlineStr">
        <is>
          <t>ABERTA</t>
        </is>
      </c>
      <c r="E370" s="20" t="n">
        <v>46324</v>
      </c>
      <c r="F370" t="n">
        <v>3</v>
      </c>
      <c r="G370" t="n">
        <v>1</v>
      </c>
      <c r="H370" s="20" t="n">
        <v>46325</v>
      </c>
      <c r="I370" t="n">
        <v>4394205</v>
      </c>
      <c r="J370" t="n">
        <v>10</v>
      </c>
      <c r="K370" t="inlineStr">
        <is>
          <t>MAR</t>
        </is>
      </c>
      <c r="L370" t="inlineStr">
        <is>
          <t>INS-1404 INSP MAR BOTE RESGATE</t>
        </is>
      </c>
      <c r="M370" t="inlineStr">
        <is>
          <t>INSP BOTE RESGATE INS-1404 MAR 1S</t>
        </is>
      </c>
      <c r="N370" t="inlineStr">
        <is>
          <t>PERGC-FSSV-BTE-01-01</t>
        </is>
      </c>
      <c r="O370" t="inlineStr">
        <is>
          <t>76SB001 BOTE RESGATE (FRB)</t>
        </is>
      </c>
      <c r="P370" t="n">
        <v>1</v>
      </c>
      <c r="Q370" t="inlineStr">
        <is>
          <t>PLANO</t>
        </is>
      </c>
      <c r="R370" t="inlineStr">
        <is>
          <t>Z09</t>
        </is>
      </c>
      <c r="S370" s="20" t="n">
        <v>46325</v>
      </c>
    </row>
    <row r="371">
      <c r="A371" t="inlineStr">
        <is>
          <t>MEC</t>
        </is>
      </c>
      <c r="B371" t="inlineStr">
        <is>
          <t>435573710</t>
        </is>
      </c>
      <c r="C371" t="n">
        <v>4355737</v>
      </c>
      <c r="D371" t="inlineStr">
        <is>
          <t>ENCERRADA</t>
        </is>
      </c>
      <c r="E371" s="20" t="n">
        <v>46315</v>
      </c>
      <c r="F371" t="n">
        <v>3</v>
      </c>
      <c r="G371" t="n">
        <v>2</v>
      </c>
      <c r="H371" s="20" t="n">
        <v>46315</v>
      </c>
      <c r="I371" t="n">
        <v>4355737</v>
      </c>
      <c r="J371" t="n">
        <v>10</v>
      </c>
      <c r="K371" t="inlineStr">
        <is>
          <t>MEC</t>
        </is>
      </c>
      <c r="L371" t="inlineStr">
        <is>
          <t>PSE-1577 LUBR MEC TURCO BOTE RESGATE</t>
        </is>
      </c>
      <c r="M371" t="inlineStr">
        <is>
          <t>LUBR TURCO BOTE RESGATE PSE-1577 MAR 1M</t>
        </is>
      </c>
      <c r="N371" t="inlineStr">
        <is>
          <t>PERGC-FSSV-BTE-01-10</t>
        </is>
      </c>
      <c r="O371" t="inlineStr">
        <is>
          <t>76SB002 TURCO BOTE RESGATE</t>
        </is>
      </c>
      <c r="P371" t="n">
        <v>2</v>
      </c>
      <c r="Q371" t="inlineStr">
        <is>
          <t>PLANO</t>
        </is>
      </c>
      <c r="R371" t="inlineStr">
        <is>
          <t>Z10</t>
        </is>
      </c>
      <c r="S371" s="20" t="n">
        <v>46315</v>
      </c>
    </row>
    <row r="372">
      <c r="A372" t="inlineStr">
        <is>
          <t>MAR</t>
        </is>
      </c>
      <c r="B372" t="inlineStr">
        <is>
          <t>439117410</t>
        </is>
      </c>
      <c r="C372" t="n">
        <v>4391174</v>
      </c>
      <c r="D372" t="inlineStr">
        <is>
          <t>ENCERRADA</t>
        </is>
      </c>
      <c r="E372" s="20" t="n">
        <v>46311</v>
      </c>
      <c r="F372" t="n">
        <v>3</v>
      </c>
      <c r="G372" t="n">
        <v>2</v>
      </c>
      <c r="H372" s="20" t="n">
        <v>46311</v>
      </c>
      <c r="I372" t="n">
        <v>4391174</v>
      </c>
      <c r="J372" t="n">
        <v>10</v>
      </c>
      <c r="K372" t="inlineStr">
        <is>
          <t>MAR</t>
        </is>
      </c>
      <c r="L372" t="inlineStr">
        <is>
          <t>INS-1405 INSP MAR TURCO BOTE RESGATE</t>
        </is>
      </c>
      <c r="M372" t="inlineStr">
        <is>
          <t>INSP TURCO BOTE RESGATE INS-1405 MAR 1S</t>
        </is>
      </c>
      <c r="N372" t="inlineStr">
        <is>
          <t>PERGC-FSSV-BTE-01-10</t>
        </is>
      </c>
      <c r="O372" t="inlineStr">
        <is>
          <t>76SB002 TURCO BOTE RESGATE</t>
        </is>
      </c>
      <c r="P372" t="n">
        <v>1</v>
      </c>
      <c r="Q372" t="inlineStr">
        <is>
          <t>PLANO</t>
        </is>
      </c>
      <c r="R372" t="inlineStr">
        <is>
          <t>Z09</t>
        </is>
      </c>
      <c r="S372" s="20" t="n">
        <v>46311</v>
      </c>
    </row>
    <row r="373">
      <c r="A373" t="inlineStr">
        <is>
          <t>MAR</t>
        </is>
      </c>
      <c r="B373" t="inlineStr">
        <is>
          <t>439287710</t>
        </is>
      </c>
      <c r="C373" t="n">
        <v>4392877</v>
      </c>
      <c r="D373" t="inlineStr">
        <is>
          <t>ENCERRADA</t>
        </is>
      </c>
      <c r="E373" s="20" t="n">
        <v>46318</v>
      </c>
      <c r="F373" t="n">
        <v>3</v>
      </c>
      <c r="G373" t="n">
        <v>2</v>
      </c>
      <c r="H373" s="20" t="n">
        <v>46318</v>
      </c>
      <c r="I373" t="n">
        <v>4392877</v>
      </c>
      <c r="J373" t="n">
        <v>10</v>
      </c>
      <c r="K373" t="inlineStr">
        <is>
          <t>MAR</t>
        </is>
      </c>
      <c r="L373" t="inlineStr">
        <is>
          <t>INS-1405 INSP MAR TURCO BOTE RESGATE</t>
        </is>
      </c>
      <c r="M373" t="inlineStr">
        <is>
          <t>INSP TURCO BOTE RESGATE INS-1405 MAR 1S</t>
        </is>
      </c>
      <c r="N373" t="inlineStr">
        <is>
          <t>PERGC-FSSV-BTE-01-10</t>
        </is>
      </c>
      <c r="O373" t="inlineStr">
        <is>
          <t>76SB002 TURCO BOTE RESGATE</t>
        </is>
      </c>
      <c r="P373" t="n">
        <v>1</v>
      </c>
      <c r="Q373" t="inlineStr">
        <is>
          <t>PLANO</t>
        </is>
      </c>
      <c r="R373" t="inlineStr">
        <is>
          <t>Z09</t>
        </is>
      </c>
      <c r="S373" s="20" t="n">
        <v>46318</v>
      </c>
    </row>
    <row r="374">
      <c r="A374" t="inlineStr">
        <is>
          <t>MAR</t>
        </is>
      </c>
      <c r="B374" t="inlineStr">
        <is>
          <t>439420610</t>
        </is>
      </c>
      <c r="C374" t="n">
        <v>4394206</v>
      </c>
      <c r="D374" t="inlineStr">
        <is>
          <t>ABERTA</t>
        </is>
      </c>
      <c r="E374" s="20" t="n">
        <v>46324</v>
      </c>
      <c r="F374" t="n">
        <v>5</v>
      </c>
      <c r="G374" t="n">
        <v>2</v>
      </c>
      <c r="H374" s="20" t="n">
        <v>46325</v>
      </c>
      <c r="I374" t="n">
        <v>4394206</v>
      </c>
      <c r="J374" t="n">
        <v>10</v>
      </c>
      <c r="K374" t="inlineStr">
        <is>
          <t>MAR</t>
        </is>
      </c>
      <c r="L374" t="inlineStr">
        <is>
          <t>INS-1405 INSP MAR TURCO BOTE RESGATE</t>
        </is>
      </c>
      <c r="M374" t="inlineStr">
        <is>
          <t>INSP TURCO BOTE RESGATE INS-1405 MAR 1S</t>
        </is>
      </c>
      <c r="N374" t="inlineStr">
        <is>
          <t>PERGC-FSSV-BTE-01-10</t>
        </is>
      </c>
      <c r="O374" t="inlineStr">
        <is>
          <t>76SB002 TURCO BOTE RESGATE</t>
        </is>
      </c>
      <c r="P374" t="n">
        <v>1</v>
      </c>
      <c r="Q374" t="inlineStr">
        <is>
          <t>PLANO</t>
        </is>
      </c>
      <c r="R374" t="inlineStr">
        <is>
          <t>Z09</t>
        </is>
      </c>
      <c r="S374" s="20" t="n">
        <v>46325</v>
      </c>
    </row>
    <row r="375">
      <c r="A375" t="inlineStr">
        <is>
          <t>HSE</t>
        </is>
      </c>
      <c r="B375" t="inlineStr">
        <is>
          <t>438645010</t>
        </is>
      </c>
      <c r="C375" t="n">
        <v>4386450</v>
      </c>
      <c r="D375" t="inlineStr">
        <is>
          <t>ENCERRADA</t>
        </is>
      </c>
      <c r="E375" s="20" t="n">
        <v>46314</v>
      </c>
      <c r="F375" t="n">
        <v>5</v>
      </c>
      <c r="G375" t="n">
        <v>3</v>
      </c>
      <c r="H375" s="20" t="n">
        <v>46314</v>
      </c>
      <c r="I375" t="n">
        <v>4386450</v>
      </c>
      <c r="J375" t="n">
        <v>10</v>
      </c>
      <c r="K375" t="inlineStr">
        <is>
          <t>HSE</t>
        </is>
      </c>
      <c r="L375" t="inlineStr">
        <is>
          <t>INS-2112 INSP HSE CHUVEIRO EMERG</t>
        </is>
      </c>
      <c r="M375" t="inlineStr">
        <is>
          <t>INSP CHUVEIRO EMERG INS-2112 HSE 1M</t>
        </is>
      </c>
      <c r="N375" t="inlineStr">
        <is>
          <t>PERGC-FSSV-EPC-01-04</t>
        </is>
      </c>
      <c r="O375" t="inlineStr">
        <is>
          <t>CJ CHUVEIRO WELL HEAD MEZZANINE DECK</t>
        </is>
      </c>
      <c r="P375" t="n">
        <v>3</v>
      </c>
      <c r="Q375" t="inlineStr">
        <is>
          <t>PLANO</t>
        </is>
      </c>
      <c r="R375" t="inlineStr">
        <is>
          <t>Z09</t>
        </is>
      </c>
      <c r="S375" s="20" t="n">
        <v>46314</v>
      </c>
    </row>
    <row r="376">
      <c r="A376" t="inlineStr">
        <is>
          <t>HSE</t>
        </is>
      </c>
      <c r="B376" t="inlineStr">
        <is>
          <t>438646710</t>
        </is>
      </c>
      <c r="C376" t="n">
        <v>4386467</v>
      </c>
      <c r="D376" t="inlineStr">
        <is>
          <t>ENCERRADA</t>
        </is>
      </c>
      <c r="E376" s="20" t="n">
        <v>46315</v>
      </c>
      <c r="F376" t="n">
        <v>5</v>
      </c>
      <c r="G376" t="n">
        <v>3</v>
      </c>
      <c r="H376" s="20" t="n">
        <v>46315</v>
      </c>
      <c r="I376" t="n">
        <v>4386467</v>
      </c>
      <c r="J376" t="n">
        <v>10</v>
      </c>
      <c r="K376" t="inlineStr">
        <is>
          <t>HSE</t>
        </is>
      </c>
      <c r="L376" t="inlineStr">
        <is>
          <t>INS-2112 INSP HSE CHUVEIRO EMERG</t>
        </is>
      </c>
      <c r="M376" t="inlineStr">
        <is>
          <t>INSP CHUVEIRO EMERG INS-2112 HSE 1M</t>
        </is>
      </c>
      <c r="N376" t="inlineStr">
        <is>
          <t>PERGC-FSSV-EPC-01-10</t>
        </is>
      </c>
      <c r="O376" t="inlineStr">
        <is>
          <t>CJ CHUVEIRO CELLAR DECK</t>
        </is>
      </c>
      <c r="P376" t="n">
        <v>3</v>
      </c>
      <c r="Q376" t="inlineStr">
        <is>
          <t>PLANO</t>
        </is>
      </c>
      <c r="R376" t="inlineStr">
        <is>
          <t>Z09</t>
        </is>
      </c>
      <c r="S376" s="20" t="n">
        <v>46315</v>
      </c>
    </row>
    <row r="377">
      <c r="A377" t="inlineStr">
        <is>
          <t>MAR</t>
        </is>
      </c>
      <c r="B377" t="inlineStr">
        <is>
          <t>438645210</t>
        </is>
      </c>
      <c r="C377" t="n">
        <v>4386452</v>
      </c>
      <c r="D377" t="inlineStr">
        <is>
          <t>ENCERRADA</t>
        </is>
      </c>
      <c r="E377" s="20" t="n">
        <v>46317</v>
      </c>
      <c r="F377" t="n">
        <v>5</v>
      </c>
      <c r="G377" t="n">
        <v>3</v>
      </c>
      <c r="H377" s="20" t="n">
        <v>46317</v>
      </c>
      <c r="I377" t="n">
        <v>4386452</v>
      </c>
      <c r="J377" t="n">
        <v>10</v>
      </c>
      <c r="K377" t="inlineStr">
        <is>
          <t>MAR</t>
        </is>
      </c>
      <c r="L377" t="inlineStr">
        <is>
          <t>INS-1409 INSP MAR COLETE SAVA VIDAS</t>
        </is>
      </c>
      <c r="M377" t="inlineStr">
        <is>
          <t>INSP COLETE SALVA VIDAS INS-1409 MAR 1M</t>
        </is>
      </c>
      <c r="N377" t="inlineStr">
        <is>
          <t>PERGC-FSSV-EPC-04</t>
        </is>
      </c>
      <c r="O377" t="inlineStr">
        <is>
          <t>CJ COLETES SALVA VIDA</t>
        </is>
      </c>
      <c r="P377" t="n">
        <v>16</v>
      </c>
      <c r="Q377" t="inlineStr">
        <is>
          <t>PLANO</t>
        </is>
      </c>
      <c r="R377" t="inlineStr">
        <is>
          <t>Z09</t>
        </is>
      </c>
      <c r="S377" s="20" t="n">
        <v>46314</v>
      </c>
    </row>
    <row r="378">
      <c r="A378" t="inlineStr">
        <is>
          <t>MAR</t>
        </is>
      </c>
      <c r="B378" t="inlineStr">
        <is>
          <t>438660210</t>
        </is>
      </c>
      <c r="C378" t="n">
        <v>4386602</v>
      </c>
      <c r="D378" t="inlineStr">
        <is>
          <t>ABERTA</t>
        </is>
      </c>
      <c r="E378" s="20" t="n">
        <v>46323</v>
      </c>
      <c r="F378" t="n">
        <v>5</v>
      </c>
      <c r="G378" t="n">
        <v>3</v>
      </c>
      <c r="H378" s="20" t="n">
        <v>46323</v>
      </c>
      <c r="I378" t="n">
        <v>4386602</v>
      </c>
      <c r="J378" t="n">
        <v>10</v>
      </c>
      <c r="K378" t="inlineStr">
        <is>
          <t>MAR</t>
        </is>
      </c>
      <c r="L378" t="inlineStr">
        <is>
          <t>INS-1406 INSP MAR BOIA SALVA-VIDA</t>
        </is>
      </c>
      <c r="M378" t="inlineStr">
        <is>
          <t>INSP BOIA SALVA-VIDA INS-1406 MAR 1M</t>
        </is>
      </c>
      <c r="N378" t="inlineStr">
        <is>
          <t>PERGC-FSSV-EPC-07</t>
        </is>
      </c>
      <c r="O378" t="inlineStr">
        <is>
          <t>CJ BOIA SALVA VIDAS</t>
        </is>
      </c>
      <c r="P378" t="n">
        <v>2</v>
      </c>
      <c r="Q378" t="inlineStr">
        <is>
          <t>PLANO</t>
        </is>
      </c>
      <c r="R378" t="inlineStr">
        <is>
          <t>Z09</t>
        </is>
      </c>
      <c r="S378" s="20" t="n">
        <v>46323</v>
      </c>
    </row>
    <row r="379">
      <c r="A379" t="inlineStr">
        <is>
          <t>HSE</t>
        </is>
      </c>
      <c r="B379" t="inlineStr">
        <is>
          <t>438653910</t>
        </is>
      </c>
      <c r="C379" t="n">
        <v>4386539</v>
      </c>
      <c r="D379" t="inlineStr">
        <is>
          <t>ENCERRADA</t>
        </is>
      </c>
      <c r="E379" s="20" t="n">
        <v>46319</v>
      </c>
      <c r="F379" t="n">
        <v>5</v>
      </c>
      <c r="G379" t="n">
        <v>3</v>
      </c>
      <c r="H379" s="20" t="n">
        <v>46319</v>
      </c>
      <c r="I379" t="n">
        <v>4386539</v>
      </c>
      <c r="J379" t="n">
        <v>10</v>
      </c>
      <c r="K379" t="inlineStr">
        <is>
          <t>HSE</t>
        </is>
      </c>
      <c r="L379" t="inlineStr">
        <is>
          <t>INS-2112 INSP HSE CHUVEIRO EMERG</t>
        </is>
      </c>
      <c r="M379" t="inlineStr">
        <is>
          <t>INSP CHUVEIRO EMERG INS-2112 HSE 1M</t>
        </is>
      </c>
      <c r="N379" t="inlineStr">
        <is>
          <t>PERGC-FSSV-EPC-10</t>
        </is>
      </c>
      <c r="O379" t="inlineStr">
        <is>
          <t>CJ CHUVEIRO/LAVA OLHOS</t>
        </is>
      </c>
      <c r="P379" t="n">
        <v>3</v>
      </c>
      <c r="Q379" t="inlineStr">
        <is>
          <t>PLANO</t>
        </is>
      </c>
      <c r="R379" t="inlineStr">
        <is>
          <t>Z09</t>
        </is>
      </c>
      <c r="S379" s="20" t="n">
        <v>46319</v>
      </c>
    </row>
    <row r="380">
      <c r="A380" t="inlineStr">
        <is>
          <t>HSE</t>
        </is>
      </c>
      <c r="B380" t="inlineStr">
        <is>
          <t>438657810</t>
        </is>
      </c>
      <c r="C380" t="n">
        <v>4386578</v>
      </c>
      <c r="D380" t="inlineStr">
        <is>
          <t>ENCERRADA</t>
        </is>
      </c>
      <c r="E380" s="20" t="n">
        <v>46321</v>
      </c>
      <c r="F380" t="n">
        <v>5</v>
      </c>
      <c r="G380" t="n">
        <v>3</v>
      </c>
      <c r="H380" s="20" t="n">
        <v>46321</v>
      </c>
      <c r="I380" t="n">
        <v>4386578</v>
      </c>
      <c r="J380" t="n">
        <v>10</v>
      </c>
      <c r="K380" t="inlineStr">
        <is>
          <t>HSE</t>
        </is>
      </c>
      <c r="L380" t="inlineStr">
        <is>
          <t>INS-2106 INSP HSE EQUIP APROX INCEND</t>
        </is>
      </c>
      <c r="M380" t="inlineStr">
        <is>
          <t>INSP EQUIP APROX INCEND INS-2106 HSE 1M</t>
        </is>
      </c>
      <c r="N380" t="inlineStr">
        <is>
          <t>PERGC-FSSV-EPC-16</t>
        </is>
      </c>
      <c r="O380" t="inlineStr">
        <is>
          <t>CJ ROUPA TRABALHO (WORK VEST)</t>
        </is>
      </c>
      <c r="P380" t="n">
        <v>8</v>
      </c>
      <c r="Q380" t="inlineStr">
        <is>
          <t>PLANO</t>
        </is>
      </c>
      <c r="R380" t="inlineStr">
        <is>
          <t>Z09</t>
        </is>
      </c>
      <c r="S380" s="20" t="n">
        <v>46321</v>
      </c>
    </row>
    <row r="381">
      <c r="A381" t="inlineStr">
        <is>
          <t>HSE</t>
        </is>
      </c>
      <c r="B381" t="inlineStr">
        <is>
          <t>438659610</t>
        </is>
      </c>
      <c r="C381" t="n">
        <v>4386596</v>
      </c>
      <c r="D381" t="inlineStr">
        <is>
          <t>ENCERRADA</t>
        </is>
      </c>
      <c r="E381" s="20" t="n">
        <v>46322</v>
      </c>
      <c r="F381" t="n">
        <v>5</v>
      </c>
      <c r="G381" t="n">
        <v>3</v>
      </c>
      <c r="H381" s="20" t="n">
        <v>46322</v>
      </c>
      <c r="I381" t="n">
        <v>4386596</v>
      </c>
      <c r="J381" t="n">
        <v>10</v>
      </c>
      <c r="K381" t="inlineStr">
        <is>
          <t>HSE</t>
        </is>
      </c>
      <c r="L381" t="inlineStr">
        <is>
          <t>INS-1434 INSP MAR KIT SOPEP</t>
        </is>
      </c>
      <c r="M381" t="inlineStr">
        <is>
          <t>INSP KIT SOPEP INS-1434 HSE 1M</t>
        </is>
      </c>
      <c r="N381" t="inlineStr">
        <is>
          <t>PERGC-FSSV-EPC-37</t>
        </is>
      </c>
      <c r="O381" t="inlineStr">
        <is>
          <t>CJ KIT SOPEP</t>
        </is>
      </c>
      <c r="P381" t="n">
        <v>1</v>
      </c>
      <c r="Q381" t="inlineStr">
        <is>
          <t>PLANO</t>
        </is>
      </c>
      <c r="R381" t="inlineStr">
        <is>
          <t>Z09</t>
        </is>
      </c>
      <c r="S381" s="20" t="n">
        <v>46322</v>
      </c>
    </row>
    <row r="382">
      <c r="A382" t="inlineStr">
        <is>
          <t>HSE</t>
        </is>
      </c>
      <c r="B382" t="inlineStr">
        <is>
          <t>438648210</t>
        </is>
      </c>
      <c r="C382" t="n">
        <v>4386482</v>
      </c>
      <c r="D382" t="inlineStr">
        <is>
          <t>ENCERRADA</t>
        </is>
      </c>
      <c r="E382" s="20" t="n">
        <v>46316</v>
      </c>
      <c r="F382" t="n">
        <v>3</v>
      </c>
      <c r="G382" t="n">
        <v>3</v>
      </c>
      <c r="H382" s="20" t="n">
        <v>46316</v>
      </c>
      <c r="I382" t="n">
        <v>4386482</v>
      </c>
      <c r="J382" t="n">
        <v>10</v>
      </c>
      <c r="K382" t="inlineStr">
        <is>
          <t>ENF</t>
        </is>
      </c>
      <c r="L382" t="inlineStr">
        <is>
          <t>INSP MACAS</t>
        </is>
      </c>
      <c r="M382" t="inlineStr">
        <is>
          <t>INSP MACAS INS-2128 HSE 1M</t>
        </is>
      </c>
      <c r="N382" t="inlineStr">
        <is>
          <t>PERGC-FSSV-EPC-43</t>
        </is>
      </c>
      <c r="O382" t="inlineStr">
        <is>
          <t>CJ MACA</t>
        </is>
      </c>
      <c r="P382" t="n">
        <v>1</v>
      </c>
      <c r="Q382" t="inlineStr">
        <is>
          <t>PLANO</t>
        </is>
      </c>
      <c r="R382" t="inlineStr">
        <is>
          <t>Z09</t>
        </is>
      </c>
      <c r="S382" s="20" t="n">
        <v>46316</v>
      </c>
    </row>
    <row r="383">
      <c r="A383" t="inlineStr">
        <is>
          <t>MEC</t>
        </is>
      </c>
      <c r="B383" t="inlineStr">
        <is>
          <t>438660010</t>
        </is>
      </c>
      <c r="C383" t="n">
        <v>4386600</v>
      </c>
      <c r="D383" t="inlineStr">
        <is>
          <t>ENCERRADA</t>
        </is>
      </c>
      <c r="E383" s="20" t="n">
        <v>46323</v>
      </c>
      <c r="F383" t="n">
        <v>3</v>
      </c>
      <c r="G383" t="n">
        <v>2</v>
      </c>
      <c r="H383" s="20" t="n">
        <v>46323</v>
      </c>
      <c r="I383" t="n">
        <v>4386600</v>
      </c>
      <c r="J383" t="n">
        <v>10</v>
      </c>
      <c r="K383" t="inlineStr">
        <is>
          <t>MEC</t>
        </is>
      </c>
      <c r="L383" t="inlineStr">
        <is>
          <t>PSE-1559 MANUT MEC UNID TRAT DEJETOS</t>
        </is>
      </c>
      <c r="M383" t="inlineStr">
        <is>
          <t>MANUT UNID TRAT DEJETOS PSE-1559 MEC 3M</t>
        </is>
      </c>
      <c r="N383" t="inlineStr">
        <is>
          <t>PERGC-FSTD-TRA-01-01</t>
        </is>
      </c>
      <c r="O383" t="inlineStr">
        <is>
          <t>66XX001 SKID TRATAMENTO SEAWAGE</t>
        </is>
      </c>
      <c r="P383" t="n">
        <v>4</v>
      </c>
      <c r="Q383" t="inlineStr">
        <is>
          <t>PLANO</t>
        </is>
      </c>
      <c r="R383" t="inlineStr">
        <is>
          <t>Z12</t>
        </is>
      </c>
      <c r="S383" s="20" t="n">
        <v>46323</v>
      </c>
    </row>
    <row r="384">
      <c r="A384" t="inlineStr">
        <is>
          <t>ELE</t>
        </is>
      </c>
      <c r="B384" t="inlineStr">
        <is>
          <t>438588410</t>
        </is>
      </c>
      <c r="C384" t="n">
        <v>4385884</v>
      </c>
      <c r="D384" t="inlineStr">
        <is>
          <t>LIBERADA</t>
        </is>
      </c>
      <c r="E384" s="20" t="n">
        <v>46316</v>
      </c>
      <c r="F384" t="n">
        <v>3</v>
      </c>
      <c r="G384" t="n">
        <v>2</v>
      </c>
      <c r="H384" s="20" t="n">
        <v>46316</v>
      </c>
      <c r="I384" t="n">
        <v>4385884</v>
      </c>
      <c r="J384" t="n">
        <v>10</v>
      </c>
      <c r="K384" t="inlineStr">
        <is>
          <t>ELE</t>
        </is>
      </c>
      <c r="L384" t="inlineStr">
        <is>
          <t>INS-1222 INSP ELE TRANSF SECO</t>
        </is>
      </c>
      <c r="M384" t="inlineStr">
        <is>
          <t>INSP TRANSF SECO INS-1222 ELE 6M</t>
        </is>
      </c>
      <c r="N384" t="inlineStr">
        <is>
          <t>PERGC-FSTD-TRA-01-16</t>
        </is>
      </c>
      <c r="O384" t="inlineStr">
        <is>
          <t>66ET001 TRANSFORMADOR</t>
        </is>
      </c>
      <c r="P384" t="n">
        <v>2</v>
      </c>
      <c r="Q384" t="inlineStr">
        <is>
          <t>PLANO</t>
        </is>
      </c>
      <c r="R384" t="inlineStr">
        <is>
          <t>Z09</t>
        </is>
      </c>
      <c r="S384" s="20" t="n">
        <v>46316</v>
      </c>
    </row>
    <row r="385">
      <c r="A385" t="inlineStr">
        <is>
          <t>MEC</t>
        </is>
      </c>
      <c r="B385" t="inlineStr">
        <is>
          <t>438641010</t>
        </is>
      </c>
      <c r="C385" t="n">
        <v>4386410</v>
      </c>
      <c r="D385" t="inlineStr">
        <is>
          <t>ENCERRADA</t>
        </is>
      </c>
      <c r="E385" s="20" t="n">
        <v>46311</v>
      </c>
      <c r="F385" t="n">
        <v>3</v>
      </c>
      <c r="G385" t="n">
        <v>2</v>
      </c>
      <c r="H385" s="20" t="n">
        <v>46311</v>
      </c>
      <c r="I385" t="n">
        <v>4386410</v>
      </c>
      <c r="J385" t="n">
        <v>10</v>
      </c>
      <c r="K385" t="inlineStr">
        <is>
          <t>MEC</t>
        </is>
      </c>
      <c r="L385" t="inlineStr">
        <is>
          <t>INS-1500 INSP OPM VISUAL BOMBA</t>
        </is>
      </c>
      <c r="M385" t="inlineStr">
        <is>
          <t>INSP VISUAL BOMBA INS-1500 MEC 1M</t>
        </is>
      </c>
      <c r="N385" t="inlineStr">
        <is>
          <t>PERGC-FSTD-TRA-01-43-04-01</t>
        </is>
      </c>
      <c r="O385" t="inlineStr">
        <is>
          <t>66PX004 BOMBA DEFOAM</t>
        </is>
      </c>
      <c r="P385" t="n">
        <v>1</v>
      </c>
      <c r="Q385" t="inlineStr">
        <is>
          <t>PLANO</t>
        </is>
      </c>
      <c r="R385" t="inlineStr">
        <is>
          <t>Z09</t>
        </is>
      </c>
      <c r="S385" s="20" t="n">
        <v>46311</v>
      </c>
    </row>
    <row r="386">
      <c r="A386" t="inlineStr">
        <is>
          <t>MEC</t>
        </is>
      </c>
      <c r="B386" t="inlineStr">
        <is>
          <t>438650710</t>
        </is>
      </c>
      <c r="C386" t="n">
        <v>4386507</v>
      </c>
      <c r="D386" t="inlineStr">
        <is>
          <t>ENCERRADA</t>
        </is>
      </c>
      <c r="E386" s="20" t="n">
        <v>46318</v>
      </c>
      <c r="F386" t="n">
        <v>3</v>
      </c>
      <c r="G386" t="n">
        <v>2</v>
      </c>
      <c r="H386" s="20" t="n">
        <v>46318</v>
      </c>
      <c r="I386" t="n">
        <v>4386507</v>
      </c>
      <c r="J386" t="n">
        <v>10</v>
      </c>
      <c r="K386" t="inlineStr">
        <is>
          <t>MEC</t>
        </is>
      </c>
      <c r="L386" t="inlineStr">
        <is>
          <t>INS-1500 INSP OPM VISUAL BOMBA</t>
        </is>
      </c>
      <c r="M386" t="inlineStr">
        <is>
          <t>INSP VISUAL BOMBA INS-1500 MEC 1M</t>
        </is>
      </c>
      <c r="N386" t="inlineStr">
        <is>
          <t>PERGC-FSTD-TRA-01-46-01</t>
        </is>
      </c>
      <c r="O386" t="inlineStr">
        <is>
          <t>66PX005 BOMBA TRANSFERENCIA SOLIDOS</t>
        </is>
      </c>
      <c r="P386" t="n">
        <v>1</v>
      </c>
      <c r="Q386" t="inlineStr">
        <is>
          <t>PLANO</t>
        </is>
      </c>
      <c r="R386" t="inlineStr">
        <is>
          <t>Z09</t>
        </is>
      </c>
      <c r="S386" s="20" t="n">
        <v>46318</v>
      </c>
    </row>
    <row r="387">
      <c r="A387" t="inlineStr">
        <is>
          <t>MEC</t>
        </is>
      </c>
      <c r="B387" t="inlineStr">
        <is>
          <t>438645810</t>
        </is>
      </c>
      <c r="C387" t="n">
        <v>4386458</v>
      </c>
      <c r="D387" t="inlineStr">
        <is>
          <t>ENCERRADA</t>
        </is>
      </c>
      <c r="E387" s="20" t="n">
        <v>46315</v>
      </c>
      <c r="F387" t="n">
        <v>3</v>
      </c>
      <c r="G387" t="n">
        <v>2</v>
      </c>
      <c r="H387" s="20" t="n">
        <v>46315</v>
      </c>
      <c r="I387" t="n">
        <v>4386458</v>
      </c>
      <c r="J387" t="n">
        <v>10</v>
      </c>
      <c r="K387" t="inlineStr">
        <is>
          <t>MEC</t>
        </is>
      </c>
      <c r="L387" t="inlineStr">
        <is>
          <t>INS-1500 INSP OPM VISUAL BOMBA</t>
        </is>
      </c>
      <c r="M387" t="inlineStr">
        <is>
          <t>INSP VISUAL BOMBA INS-1500 MEC 1M</t>
        </is>
      </c>
      <c r="N387" t="inlineStr">
        <is>
          <t>PERGC-FSTD-TRA-01-49-01</t>
        </is>
      </c>
      <c r="O387" t="inlineStr">
        <is>
          <t>66PX003 BOMBA RECIRCULACAO</t>
        </is>
      </c>
      <c r="P387" t="n">
        <v>1</v>
      </c>
      <c r="Q387" t="inlineStr">
        <is>
          <t>PLANO</t>
        </is>
      </c>
      <c r="R387" t="inlineStr">
        <is>
          <t>Z09</t>
        </is>
      </c>
      <c r="S387" s="20" t="n">
        <v>46315</v>
      </c>
    </row>
    <row r="388">
      <c r="A388" t="inlineStr">
        <is>
          <t>MEC</t>
        </is>
      </c>
      <c r="B388" t="inlineStr">
        <is>
          <t>438652810</t>
        </is>
      </c>
      <c r="C388" t="n">
        <v>4386528</v>
      </c>
      <c r="D388" t="inlineStr">
        <is>
          <t>ENCERRADA</t>
        </is>
      </c>
      <c r="E388" s="20" t="n">
        <v>46319</v>
      </c>
      <c r="F388" t="n">
        <v>3</v>
      </c>
      <c r="G388" t="n">
        <v>2</v>
      </c>
      <c r="H388" s="20" t="n">
        <v>46319</v>
      </c>
      <c r="I388" t="n">
        <v>4386528</v>
      </c>
      <c r="J388" t="n">
        <v>10</v>
      </c>
      <c r="K388" t="inlineStr">
        <is>
          <t>MEC</t>
        </is>
      </c>
      <c r="L388" t="inlineStr">
        <is>
          <t>INS-1500 INSP OPM VISUAL BOMBA</t>
        </is>
      </c>
      <c r="M388" t="inlineStr">
        <is>
          <t>INSP VISUAL BOMBA INS-1500 MEC 1M</t>
        </is>
      </c>
      <c r="N388" t="inlineStr">
        <is>
          <t>PERGC-FSTD-TRA-01-49-01</t>
        </is>
      </c>
      <c r="O388" t="inlineStr">
        <is>
          <t>66PX003 BOMBA RECIRCULACAO</t>
        </is>
      </c>
      <c r="P388" t="n">
        <v>1</v>
      </c>
      <c r="Q388" t="inlineStr">
        <is>
          <t>PLANO</t>
        </is>
      </c>
      <c r="R388" t="inlineStr">
        <is>
          <t>Z09</t>
        </is>
      </c>
      <c r="S388" s="20" t="n">
        <v>46319</v>
      </c>
    </row>
    <row r="389">
      <c r="A389" t="inlineStr">
        <is>
          <t>ELE</t>
        </is>
      </c>
      <c r="B389" t="inlineStr">
        <is>
          <t>438588510</t>
        </is>
      </c>
      <c r="C389" t="n">
        <v>4385885</v>
      </c>
      <c r="D389" t="inlineStr">
        <is>
          <t>ENCERRADA</t>
        </is>
      </c>
      <c r="E389" s="20" t="n">
        <v>46316</v>
      </c>
      <c r="F389" t="n">
        <v>3</v>
      </c>
      <c r="G389" t="n">
        <v>2</v>
      </c>
      <c r="H389" s="20" t="n">
        <v>46316</v>
      </c>
      <c r="I389" t="n">
        <v>4385885</v>
      </c>
      <c r="J389" t="n">
        <v>10</v>
      </c>
      <c r="K389" t="inlineStr">
        <is>
          <t>ELE</t>
        </is>
      </c>
      <c r="L389" t="inlineStr">
        <is>
          <t>PSE-1200 MANUT ELE MOTOR BT</t>
        </is>
      </c>
      <c r="M389" t="inlineStr">
        <is>
          <t>MANUT MOTOR BAIXA TENSAO PSE-1200 ELE 1A</t>
        </is>
      </c>
      <c r="N389" t="inlineStr">
        <is>
          <t>PERGC-FSTD-TRA-01-49-04</t>
        </is>
      </c>
      <c r="O389" t="inlineStr">
        <is>
          <t>66PX003-M01 MOTOR ELETRICO</t>
        </is>
      </c>
      <c r="P389" t="n">
        <v>4</v>
      </c>
      <c r="Q389" t="inlineStr">
        <is>
          <t>PLANO</t>
        </is>
      </c>
      <c r="R389" t="inlineStr">
        <is>
          <t>Z12</t>
        </is>
      </c>
      <c r="S389" s="20" t="n">
        <v>46316</v>
      </c>
    </row>
    <row r="390">
      <c r="A390" t="inlineStr">
        <is>
          <t>MEC</t>
        </is>
      </c>
      <c r="B390" t="inlineStr">
        <is>
          <t>438642210</t>
        </is>
      </c>
      <c r="C390" t="n">
        <v>4386422</v>
      </c>
      <c r="D390" t="inlineStr">
        <is>
          <t>ENCERRADA</t>
        </is>
      </c>
      <c r="E390" s="20" t="n">
        <v>46312</v>
      </c>
      <c r="F390" t="n">
        <v>5</v>
      </c>
      <c r="G390" t="n">
        <v>2</v>
      </c>
      <c r="H390" s="20" t="n">
        <v>46312</v>
      </c>
      <c r="I390" t="n">
        <v>4386422</v>
      </c>
      <c r="J390" t="n">
        <v>10</v>
      </c>
      <c r="K390" t="inlineStr">
        <is>
          <t>MEC</t>
        </is>
      </c>
      <c r="L390" t="inlineStr">
        <is>
          <t>INS-1500 INSP OPM VISUAL BOMBA</t>
        </is>
      </c>
      <c r="M390" t="inlineStr">
        <is>
          <t>INSP VISUAL BOMBA INS-1500 MEC 1M</t>
        </is>
      </c>
      <c r="N390" t="inlineStr">
        <is>
          <t>PERGC-FSTD-TRA-01-67-01</t>
        </is>
      </c>
      <c r="O390" t="inlineStr">
        <is>
          <t>66PX006 BOMBA RECIRCULACAO</t>
        </is>
      </c>
      <c r="P390" t="n">
        <v>1</v>
      </c>
      <c r="Q390" t="inlineStr">
        <is>
          <t>PLANO</t>
        </is>
      </c>
      <c r="R390" t="inlineStr">
        <is>
          <t>Z09</t>
        </is>
      </c>
      <c r="S390" s="20" t="n">
        <v>46312</v>
      </c>
    </row>
    <row r="391">
      <c r="A391" t="inlineStr">
        <is>
          <t>MEC</t>
        </is>
      </c>
      <c r="B391" t="inlineStr">
        <is>
          <t>438652310</t>
        </is>
      </c>
      <c r="C391" t="n">
        <v>4386523</v>
      </c>
      <c r="D391" t="inlineStr">
        <is>
          <t>ENCERRADA</t>
        </is>
      </c>
      <c r="E391" s="20" t="n">
        <v>46318</v>
      </c>
      <c r="F391" t="n">
        <v>3</v>
      </c>
      <c r="G391" t="n">
        <v>3</v>
      </c>
      <c r="H391" s="20" t="n">
        <v>46318</v>
      </c>
      <c r="I391" t="n">
        <v>4386523</v>
      </c>
      <c r="J391" t="n">
        <v>10</v>
      </c>
      <c r="K391" t="inlineStr">
        <is>
          <t>MEC</t>
        </is>
      </c>
      <c r="L391" t="inlineStr">
        <is>
          <t>INS-1500 INSP OPM VISUAL BOMBA</t>
        </is>
      </c>
      <c r="M391" t="inlineStr">
        <is>
          <t>INSP VISUAL BOMBA INS-1500 MEC 1M</t>
        </is>
      </c>
      <c r="N391" t="inlineStr">
        <is>
          <t>PERGC-FSTD-TRA-01-70-01</t>
        </is>
      </c>
      <c r="O391" t="inlineStr">
        <is>
          <t>66PX007 BOMBA DRENAGEM</t>
        </is>
      </c>
      <c r="P391" t="n">
        <v>1</v>
      </c>
      <c r="Q391" t="inlineStr">
        <is>
          <t>PLANO</t>
        </is>
      </c>
      <c r="R391" t="inlineStr">
        <is>
          <t>Z09</t>
        </is>
      </c>
      <c r="S391" s="20" t="n">
        <v>46318</v>
      </c>
    </row>
    <row r="392">
      <c r="A392" t="inlineStr">
        <is>
          <t>AUT</t>
        </is>
      </c>
      <c r="B392" t="inlineStr">
        <is>
          <t>438656110</t>
        </is>
      </c>
      <c r="C392" t="n">
        <v>4386561</v>
      </c>
      <c r="D392" t="inlineStr">
        <is>
          <t>ABERTA</t>
        </is>
      </c>
      <c r="E392" s="20" t="n">
        <v>46321</v>
      </c>
      <c r="F392" t="n">
        <v>3</v>
      </c>
      <c r="G392" t="n">
        <v>2</v>
      </c>
      <c r="H392" s="20" t="n">
        <v>46321</v>
      </c>
      <c r="I392" t="n">
        <v>4386561</v>
      </c>
      <c r="J392" t="n">
        <v>10</v>
      </c>
      <c r="K392" t="inlineStr">
        <is>
          <t>AUT</t>
        </is>
      </c>
      <c r="L392" t="inlineStr">
        <is>
          <t>PTF-1000 TEST FUNC AUT GMDSS</t>
        </is>
      </c>
      <c r="M392" t="inlineStr">
        <is>
          <t>TEST FUNC GMDSS PTF-1000 AUT 1M</t>
        </is>
      </c>
      <c r="N392" t="inlineStr">
        <is>
          <t>PERGC-FSTI-GMD-01</t>
        </is>
      </c>
      <c r="O392" t="inlineStr">
        <is>
          <t>86RJX2301 RADIO CONSOLE</t>
        </is>
      </c>
      <c r="P392" t="n">
        <v>2</v>
      </c>
      <c r="Q392" t="inlineStr">
        <is>
          <t>PLANO</t>
        </is>
      </c>
      <c r="R392" t="inlineStr">
        <is>
          <t>Z08</t>
        </is>
      </c>
      <c r="S392" s="20" t="n">
        <v>46321</v>
      </c>
    </row>
    <row r="393">
      <c r="A393" t="inlineStr">
        <is>
          <t>AUT</t>
        </is>
      </c>
      <c r="B393" t="inlineStr">
        <is>
          <t>438659810</t>
        </is>
      </c>
      <c r="C393" t="n">
        <v>4386598</v>
      </c>
      <c r="D393" t="inlineStr">
        <is>
          <t>ABERTA</t>
        </is>
      </c>
      <c r="E393" s="20" t="n">
        <v>46323</v>
      </c>
      <c r="F393" t="n">
        <v>3</v>
      </c>
      <c r="G393" t="n">
        <v>2</v>
      </c>
      <c r="H393" s="20" t="n">
        <v>46323</v>
      </c>
      <c r="I393" t="n">
        <v>4386598</v>
      </c>
      <c r="J393" t="n">
        <v>10</v>
      </c>
      <c r="K393" t="inlineStr">
        <is>
          <t>AUT</t>
        </is>
      </c>
      <c r="L393" t="inlineStr">
        <is>
          <t>INS-1008 INSP AUT SISTEMA DGPS</t>
        </is>
      </c>
      <c r="M393" t="inlineStr">
        <is>
          <t>INSP SISTEMA DGPS INS-1008 AUT 1M</t>
        </is>
      </c>
      <c r="N393" t="inlineStr">
        <is>
          <t>PERGC-FSTI-GMD-01</t>
        </is>
      </c>
      <c r="O393" t="inlineStr">
        <is>
          <t>86RJX2301 RADIO CONSOLE</t>
        </is>
      </c>
      <c r="P393" t="n">
        <v>5</v>
      </c>
      <c r="Q393" t="inlineStr">
        <is>
          <t>PLANO</t>
        </is>
      </c>
      <c r="R393" t="inlineStr">
        <is>
          <t>Z09</t>
        </is>
      </c>
      <c r="S393" s="20" t="n">
        <v>46323</v>
      </c>
    </row>
    <row r="394">
      <c r="A394" t="inlineStr">
        <is>
          <t>AUT</t>
        </is>
      </c>
      <c r="B394" t="inlineStr">
        <is>
          <t>438640910</t>
        </is>
      </c>
      <c r="C394" t="n">
        <v>4386409</v>
      </c>
      <c r="D394" t="inlineStr">
        <is>
          <t>ENCERRADA</t>
        </is>
      </c>
      <c r="E394" s="20" t="n">
        <v>46311</v>
      </c>
      <c r="F394" t="n">
        <v>5</v>
      </c>
      <c r="G394" t="n">
        <v>2</v>
      </c>
      <c r="H394" s="20" t="n">
        <v>46311</v>
      </c>
      <c r="I394" t="n">
        <v>4386409</v>
      </c>
      <c r="J394" t="n">
        <v>10</v>
      </c>
      <c r="K394" t="inlineStr">
        <is>
          <t>AUT</t>
        </is>
      </c>
      <c r="L394" t="inlineStr">
        <is>
          <t>INS-1009 INSP AUT PAINEL IT-LAN</t>
        </is>
      </c>
      <c r="M394" t="inlineStr">
        <is>
          <t>INSP PAINEL IT-LAN INS-1009 AUT 6M</t>
        </is>
      </c>
      <c r="N394" t="inlineStr">
        <is>
          <t>PERGC-FSTI-INT-01-19-04</t>
        </is>
      </c>
      <c r="O394" t="inlineStr">
        <is>
          <t>86RAK5101 PAEAS ACCESS PANEL - INDOOR</t>
        </is>
      </c>
      <c r="P394" t="n">
        <v>4</v>
      </c>
      <c r="Q394" t="inlineStr">
        <is>
          <t>PLANO</t>
        </is>
      </c>
      <c r="R394" t="inlineStr">
        <is>
          <t>Z09</t>
        </is>
      </c>
      <c r="S394" s="20" t="n">
        <v>46311</v>
      </c>
    </row>
    <row r="395">
      <c r="A395" t="inlineStr">
        <is>
          <t>AUT</t>
        </is>
      </c>
      <c r="B395" t="inlineStr">
        <is>
          <t>438655610</t>
        </is>
      </c>
      <c r="C395" t="n">
        <v>4386556</v>
      </c>
      <c r="D395" t="inlineStr">
        <is>
          <t>ABERTA</t>
        </is>
      </c>
      <c r="E395" s="20" t="n">
        <v>46320</v>
      </c>
      <c r="F395" t="n">
        <v>5</v>
      </c>
      <c r="G395" t="n">
        <v>3</v>
      </c>
      <c r="H395" s="20" t="n">
        <v>46320</v>
      </c>
      <c r="I395" t="n">
        <v>4386556</v>
      </c>
      <c r="J395" t="n">
        <v>10</v>
      </c>
      <c r="K395" t="inlineStr">
        <is>
          <t>AUT</t>
        </is>
      </c>
      <c r="L395" t="inlineStr">
        <is>
          <t>PTF-2101 TEST FUNC PRO SISTEMA PAGA</t>
        </is>
      </c>
      <c r="M395" t="inlineStr">
        <is>
          <t>TEST FUNC SISTEMA PAGA PTF-2101 HSE 6M</t>
        </is>
      </c>
      <c r="N395" t="inlineStr">
        <is>
          <t>PERGC-FSTI-INT-07-01</t>
        </is>
      </c>
      <c r="O395" t="inlineStr">
        <is>
          <t>CJ PA/GA (FIELD EQUIP) - GRUPO 1</t>
        </is>
      </c>
      <c r="P395" t="n">
        <v>0.5</v>
      </c>
      <c r="Q395" t="inlineStr">
        <is>
          <t>PLANO</t>
        </is>
      </c>
      <c r="R395" t="inlineStr">
        <is>
          <t>Z08</t>
        </is>
      </c>
      <c r="S395" s="20" t="n">
        <v>46320</v>
      </c>
    </row>
    <row r="396">
      <c r="A396" t="inlineStr">
        <is>
          <t>TER</t>
        </is>
      </c>
      <c r="B396" t="inlineStr">
        <is>
          <t>438648410</t>
        </is>
      </c>
      <c r="C396" t="n">
        <v>4386484</v>
      </c>
      <c r="D396" t="inlineStr">
        <is>
          <t>ABERTA</t>
        </is>
      </c>
      <c r="E396" s="20" t="n">
        <v>46316</v>
      </c>
      <c r="F396" t="n">
        <v>5</v>
      </c>
      <c r="G396" t="n">
        <v>3</v>
      </c>
      <c r="H396" s="20" t="n">
        <v>46316</v>
      </c>
      <c r="I396" t="n">
        <v>4386484</v>
      </c>
      <c r="J396" t="n">
        <v>10</v>
      </c>
      <c r="K396" t="inlineStr">
        <is>
          <t>TER</t>
        </is>
      </c>
      <c r="L396" t="inlineStr">
        <is>
          <t>PSE-1001 MANUT PRV TER SISTEMA PAGA</t>
        </is>
      </c>
      <c r="M396" t="inlineStr">
        <is>
          <t>MANUT PRV SISTEMA PAGA PSE-1001 AUT 1A</t>
        </is>
      </c>
      <c r="N396" t="inlineStr">
        <is>
          <t>PERGC-FSTI-INT-07-04</t>
        </is>
      </c>
      <c r="O396" t="inlineStr">
        <is>
          <t>CJ PA/GA (FIELD EQUIP) - GRUPO 2</t>
        </is>
      </c>
      <c r="P396" t="n">
        <v>16</v>
      </c>
      <c r="Q396" t="inlineStr">
        <is>
          <t>PLANO-VEND</t>
        </is>
      </c>
      <c r="R396" t="inlineStr">
        <is>
          <t>Z12</t>
        </is>
      </c>
      <c r="S396" s="20" t="n">
        <v>46316</v>
      </c>
    </row>
    <row r="397">
      <c r="A397" t="inlineStr">
        <is>
          <t>AUT</t>
        </is>
      </c>
      <c r="B397" t="inlineStr">
        <is>
          <t>438643610</t>
        </is>
      </c>
      <c r="C397" t="n">
        <v>4386436</v>
      </c>
      <c r="D397" t="inlineStr">
        <is>
          <t>ABERTA</t>
        </is>
      </c>
      <c r="E397" s="20" t="n">
        <v>46313</v>
      </c>
      <c r="F397" t="n">
        <v>5</v>
      </c>
      <c r="G397" t="n">
        <v>3</v>
      </c>
      <c r="H397" s="20" t="n">
        <v>46313</v>
      </c>
      <c r="I397" t="n">
        <v>4386436</v>
      </c>
      <c r="J397" t="n">
        <v>10</v>
      </c>
      <c r="K397" t="inlineStr">
        <is>
          <t>AUT</t>
        </is>
      </c>
      <c r="L397" t="inlineStr">
        <is>
          <t>PTF-2101 TEST FUNC PRO SISTEMA PAGA</t>
        </is>
      </c>
      <c r="M397" t="inlineStr">
        <is>
          <t>TEST FUNC SISTEMA PAGA PTF-2101 HSE 6M</t>
        </is>
      </c>
      <c r="N397" t="inlineStr">
        <is>
          <t>PERGC-FSTI-INT-07-07</t>
        </is>
      </c>
      <c r="O397" t="inlineStr">
        <is>
          <t>CJ PA/GA (FIELD EQUIP) - GRUPO 3</t>
        </is>
      </c>
      <c r="P397" t="n">
        <v>0.5</v>
      </c>
      <c r="Q397" t="inlineStr">
        <is>
          <t>PLANO</t>
        </is>
      </c>
      <c r="R397" t="inlineStr">
        <is>
          <t>Z08</t>
        </is>
      </c>
      <c r="S397" s="20" t="n">
        <v>46313</v>
      </c>
    </row>
    <row r="398">
      <c r="A398" t="inlineStr">
        <is>
          <t>AUT</t>
        </is>
      </c>
      <c r="B398" t="inlineStr">
        <is>
          <t>438652210</t>
        </is>
      </c>
      <c r="C398" t="n">
        <v>4386522</v>
      </c>
      <c r="D398" t="inlineStr">
        <is>
          <t>ABERTA</t>
        </is>
      </c>
      <c r="E398" s="20" t="n">
        <v>46318</v>
      </c>
      <c r="F398" t="n">
        <v>5</v>
      </c>
      <c r="G398" t="n">
        <v>3</v>
      </c>
      <c r="H398" s="20" t="n">
        <v>46318</v>
      </c>
      <c r="I398" t="n">
        <v>4386522</v>
      </c>
      <c r="J398" t="n">
        <v>10</v>
      </c>
      <c r="K398" t="inlineStr">
        <is>
          <t>AUT</t>
        </is>
      </c>
      <c r="L398" t="inlineStr">
        <is>
          <t>INS-1016 INSP AUT SISTEMA PAGA</t>
        </is>
      </c>
      <c r="M398" t="inlineStr">
        <is>
          <t>INSP SISTEMA PAGA INS-1016 AUT 6M</t>
        </is>
      </c>
      <c r="N398" t="inlineStr">
        <is>
          <t>PERGC-FSTI-INT-07-07</t>
        </is>
      </c>
      <c r="O398" t="inlineStr">
        <is>
          <t>CJ PA/GA (FIELD EQUIP) - GRUPO 3</t>
        </is>
      </c>
      <c r="P398" t="n">
        <v>2</v>
      </c>
      <c r="Q398" t="inlineStr">
        <is>
          <t>PLANO</t>
        </is>
      </c>
      <c r="R398" t="inlineStr">
        <is>
          <t>Z09</t>
        </is>
      </c>
      <c r="S398" s="20" t="n">
        <v>46318</v>
      </c>
    </row>
    <row r="399">
      <c r="A399" t="inlineStr">
        <is>
          <t>AUT</t>
        </is>
      </c>
      <c r="B399" t="inlineStr">
        <is>
          <t>438589610</t>
        </is>
      </c>
      <c r="C399" t="n">
        <v>4385896</v>
      </c>
      <c r="D399" t="inlineStr">
        <is>
          <t>ABERTA</t>
        </is>
      </c>
      <c r="E399" s="20" t="n">
        <v>46317</v>
      </c>
      <c r="F399" t="n">
        <v>5</v>
      </c>
      <c r="G399" t="n">
        <v>3</v>
      </c>
      <c r="H399" s="20" t="n">
        <v>46317</v>
      </c>
      <c r="I399" t="n">
        <v>4385896</v>
      </c>
      <c r="J399" t="n">
        <v>10</v>
      </c>
      <c r="K399" t="inlineStr">
        <is>
          <t>AUT</t>
        </is>
      </c>
      <c r="L399" t="inlineStr">
        <is>
          <t>INS-1016 INSP AUT SISTEMA PAGA</t>
        </is>
      </c>
      <c r="M399" t="inlineStr">
        <is>
          <t>INSP SISTEMA PAGA INS-1016 AUT 6M</t>
        </is>
      </c>
      <c r="N399" t="inlineStr">
        <is>
          <t>PERGC-FSTI-INT-07-10</t>
        </is>
      </c>
      <c r="O399" t="inlineStr">
        <is>
          <t>CJ PA/GA (FIELD EQUIP) - GRUPO 4</t>
        </is>
      </c>
      <c r="P399" t="n">
        <v>2</v>
      </c>
      <c r="Q399" t="inlineStr">
        <is>
          <t>PLANO</t>
        </is>
      </c>
      <c r="R399" t="inlineStr">
        <is>
          <t>Z09</t>
        </is>
      </c>
      <c r="S399" s="20" t="n">
        <v>46317</v>
      </c>
    </row>
    <row r="400">
      <c r="A400" t="inlineStr">
        <is>
          <t>AUT</t>
        </is>
      </c>
      <c r="B400" t="inlineStr">
        <is>
          <t>438590810</t>
        </is>
      </c>
      <c r="C400" t="n">
        <v>4385908</v>
      </c>
      <c r="D400" t="inlineStr">
        <is>
          <t>ABERTA</t>
        </is>
      </c>
      <c r="E400" s="20" t="n">
        <v>46320</v>
      </c>
      <c r="F400" t="n">
        <v>5</v>
      </c>
      <c r="G400" t="n">
        <v>3</v>
      </c>
      <c r="H400" s="20" t="n">
        <v>46320</v>
      </c>
      <c r="I400" t="n">
        <v>4385908</v>
      </c>
      <c r="J400" t="n">
        <v>10</v>
      </c>
      <c r="K400" t="inlineStr">
        <is>
          <t>AUT</t>
        </is>
      </c>
      <c r="L400" t="inlineStr">
        <is>
          <t>PTF-2101 TEST FUNC PRO SISTEMA PAGA</t>
        </is>
      </c>
      <c r="M400" t="inlineStr">
        <is>
          <t>TEST FUNC SISTEMA PAGA PTF-2101 HSE 6M</t>
        </is>
      </c>
      <c r="N400" t="inlineStr">
        <is>
          <t>PERGC-FSTI-INT-07-10</t>
        </is>
      </c>
      <c r="O400" t="inlineStr">
        <is>
          <t>CJ PA/GA (FIELD EQUIP) - GRUPO 4</t>
        </is>
      </c>
      <c r="P400" t="n">
        <v>0.5</v>
      </c>
      <c r="Q400" t="inlineStr">
        <is>
          <t>PLANO</t>
        </is>
      </c>
      <c r="R400" t="inlineStr">
        <is>
          <t>Z08</t>
        </is>
      </c>
      <c r="S400" s="20" t="n">
        <v>46320</v>
      </c>
    </row>
    <row r="401">
      <c r="A401" t="inlineStr">
        <is>
          <t>ELE</t>
        </is>
      </c>
      <c r="B401" t="inlineStr">
        <is>
          <t>438590310</t>
        </is>
      </c>
      <c r="C401" t="n">
        <v>4385903</v>
      </c>
      <c r="D401" t="inlineStr">
        <is>
          <t>ABERTA</t>
        </is>
      </c>
      <c r="E401" s="20" t="n">
        <v>46320</v>
      </c>
      <c r="F401" t="n">
        <v>3</v>
      </c>
      <c r="G401" t="n">
        <v>3</v>
      </c>
      <c r="H401" s="20" t="n">
        <v>46320</v>
      </c>
      <c r="I401" t="n">
        <v>4385903</v>
      </c>
      <c r="J401" t="n">
        <v>10</v>
      </c>
      <c r="K401" t="inlineStr">
        <is>
          <t>ELE</t>
        </is>
      </c>
      <c r="L401" t="inlineStr">
        <is>
          <t>PTF-1301 TEST FUNC INS BOTOEIRAS</t>
        </is>
      </c>
      <c r="M401" t="inlineStr">
        <is>
          <t>TEST FUNC BOTOEIRAS PTF-1301 INS 6M</t>
        </is>
      </c>
      <c r="N401" t="inlineStr">
        <is>
          <t>PERGC-FSVE-DSC-01-01-04</t>
        </is>
      </c>
      <c r="O401" t="inlineStr">
        <is>
          <t>CJ FIRE DAMPER F&amp;G LQ LEVEL 1</t>
        </is>
      </c>
      <c r="P401" t="n">
        <v>4</v>
      </c>
      <c r="Q401" t="inlineStr">
        <is>
          <t>PLANO</t>
        </is>
      </c>
      <c r="R401" t="inlineStr">
        <is>
          <t>Z08</t>
        </is>
      </c>
      <c r="S401" s="20" t="n">
        <v>46320</v>
      </c>
    </row>
    <row r="402">
      <c r="A402" t="inlineStr">
        <is>
          <t>AUT</t>
        </is>
      </c>
      <c r="B402" t="inlineStr">
        <is>
          <t>438574510</t>
        </is>
      </c>
      <c r="C402" t="n">
        <v>4385745</v>
      </c>
      <c r="D402" t="inlineStr">
        <is>
          <t>ABERTA</t>
        </is>
      </c>
      <c r="E402" s="20" t="n">
        <v>46313</v>
      </c>
      <c r="F402" t="n">
        <v>5</v>
      </c>
      <c r="G402" t="n">
        <v>2</v>
      </c>
      <c r="H402" s="20" t="n">
        <v>46313</v>
      </c>
      <c r="I402" t="n">
        <v>4385745</v>
      </c>
      <c r="J402" t="n">
        <v>10</v>
      </c>
      <c r="K402" t="inlineStr">
        <is>
          <t>AUT</t>
        </is>
      </c>
      <c r="L402" t="inlineStr">
        <is>
          <t>INS-1017 INSP AUT PAINEL CONTROLE</t>
        </is>
      </c>
      <c r="M402" t="inlineStr">
        <is>
          <t>INSP PAINEL CONTROLE INS-1017 AUT 1A</t>
        </is>
      </c>
      <c r="N402" t="inlineStr">
        <is>
          <t>PERGC-FSVE-DSC-04-04-07</t>
        </is>
      </c>
      <c r="O402" t="inlineStr">
        <is>
          <t>77GX034-S01 PAINEL CONTROLE LOCAL</t>
        </is>
      </c>
      <c r="P402" t="n">
        <v>2</v>
      </c>
      <c r="Q402" t="inlineStr">
        <is>
          <t>PLANO</t>
        </is>
      </c>
      <c r="R402" t="inlineStr">
        <is>
          <t>Z09</t>
        </is>
      </c>
      <c r="S402" s="20" t="n">
        <v>46313</v>
      </c>
    </row>
    <row r="403">
      <c r="A403" t="inlineStr">
        <is>
          <t>PRO</t>
        </is>
      </c>
      <c r="B403" t="inlineStr">
        <is>
          <t>438591710</t>
        </is>
      </c>
      <c r="C403" t="n">
        <v>4385917</v>
      </c>
      <c r="D403" t="inlineStr">
        <is>
          <t>ABERTA</t>
        </is>
      </c>
      <c r="E403" s="20" t="n">
        <v>46322</v>
      </c>
      <c r="F403" t="n">
        <v>5</v>
      </c>
      <c r="G403" t="n">
        <v>3</v>
      </c>
      <c r="H403" s="20" t="n">
        <v>46322</v>
      </c>
      <c r="I403" t="n">
        <v>4385917</v>
      </c>
      <c r="J403" t="n">
        <v>10</v>
      </c>
      <c r="K403" t="inlineStr">
        <is>
          <t>PRO</t>
        </is>
      </c>
      <c r="L403" t="inlineStr">
        <is>
          <t>INS-1813 INSP PRO FILTRO</t>
        </is>
      </c>
      <c r="M403" t="inlineStr">
        <is>
          <t>INSP FILTRO INS-1813 OPE 4M</t>
        </is>
      </c>
      <c r="N403" t="inlineStr">
        <is>
          <t>PERGC-PDAC-DRE-01-01-25-01</t>
        </is>
      </c>
      <c r="O403" t="inlineStr">
        <is>
          <t>SI-0063 FILTRO LINHA</t>
        </is>
      </c>
      <c r="P403" t="n">
        <v>3</v>
      </c>
      <c r="Q403" t="inlineStr">
        <is>
          <t>PLANO</t>
        </is>
      </c>
      <c r="R403" t="inlineStr">
        <is>
          <t>Z09</t>
        </is>
      </c>
      <c r="S403" s="20" t="n">
        <v>46322</v>
      </c>
    </row>
    <row r="404">
      <c r="A404" t="inlineStr">
        <is>
          <t>PRO</t>
        </is>
      </c>
      <c r="B404" t="inlineStr">
        <is>
          <t>438589010</t>
        </is>
      </c>
      <c r="C404" t="n">
        <v>4385890</v>
      </c>
      <c r="D404" t="inlineStr">
        <is>
          <t>ENCERRADA</t>
        </is>
      </c>
      <c r="E404" s="20" t="n">
        <v>46316</v>
      </c>
      <c r="F404" t="n">
        <v>5</v>
      </c>
      <c r="G404" t="n">
        <v>3</v>
      </c>
      <c r="H404" s="20" t="n">
        <v>46316</v>
      </c>
      <c r="I404" t="n">
        <v>4385890</v>
      </c>
      <c r="J404" t="n">
        <v>10</v>
      </c>
      <c r="K404" t="inlineStr">
        <is>
          <t>OPM</t>
        </is>
      </c>
      <c r="L404" t="inlineStr">
        <is>
          <t>INS-1500 INSP OPM VISUAL BOMBA</t>
        </is>
      </c>
      <c r="M404" t="inlineStr">
        <is>
          <t>INSP VISUAL BOMBA INS-1500 MEC 3M</t>
        </is>
      </c>
      <c r="N404" t="inlineStr">
        <is>
          <t>PERGC-PDAC-DRE-01-04-01</t>
        </is>
      </c>
      <c r="O404" t="inlineStr">
        <is>
          <t>15PG003 BOMBA DRENAGEM</t>
        </is>
      </c>
      <c r="P404" t="n">
        <v>1</v>
      </c>
      <c r="Q404" t="inlineStr">
        <is>
          <t>PLANO</t>
        </is>
      </c>
      <c r="R404" t="inlineStr">
        <is>
          <t>Z09</t>
        </is>
      </c>
      <c r="S404" s="20" t="n">
        <v>46316</v>
      </c>
    </row>
    <row r="405">
      <c r="A405" t="inlineStr">
        <is>
          <t>PRO</t>
        </is>
      </c>
      <c r="B405" t="inlineStr">
        <is>
          <t>438651710</t>
        </is>
      </c>
      <c r="C405" t="n">
        <v>4386517</v>
      </c>
      <c r="D405" t="inlineStr">
        <is>
          <t>ENCERRADA</t>
        </is>
      </c>
      <c r="E405" s="20" t="n">
        <v>46318</v>
      </c>
      <c r="F405" t="n">
        <v>5</v>
      </c>
      <c r="G405" t="n">
        <v>3</v>
      </c>
      <c r="H405" s="20" t="n">
        <v>46318</v>
      </c>
      <c r="I405" t="n">
        <v>4386517</v>
      </c>
      <c r="J405" t="n">
        <v>10</v>
      </c>
      <c r="K405" t="inlineStr">
        <is>
          <t>OPM</t>
        </is>
      </c>
      <c r="L405" t="inlineStr">
        <is>
          <t>INS-1500 INSP OPM VISUAL BOMBA</t>
        </is>
      </c>
      <c r="M405" t="inlineStr">
        <is>
          <t>INSP VISUAL BOMBA INS-1500 MEC 3M</t>
        </is>
      </c>
      <c r="N405" t="inlineStr">
        <is>
          <t>PERGC-PDAC-DRE-01-16-01</t>
        </is>
      </c>
      <c r="O405" t="inlineStr">
        <is>
          <t>56PA008A BOMBA DRENAGEM</t>
        </is>
      </c>
      <c r="P405" t="n">
        <v>1</v>
      </c>
      <c r="Q405" t="inlineStr">
        <is>
          <t>PLANO</t>
        </is>
      </c>
      <c r="R405" t="inlineStr">
        <is>
          <t>Z09</t>
        </is>
      </c>
      <c r="S405" s="20" t="n">
        <v>46318</v>
      </c>
    </row>
    <row r="406">
      <c r="A406" t="inlineStr">
        <is>
          <t>PRO</t>
        </is>
      </c>
      <c r="B406" t="inlineStr">
        <is>
          <t>438591010</t>
        </is>
      </c>
      <c r="C406" t="n">
        <v>4385910</v>
      </c>
      <c r="D406" t="inlineStr">
        <is>
          <t>ENCERRADA</t>
        </is>
      </c>
      <c r="E406" s="20" t="n">
        <v>46321</v>
      </c>
      <c r="F406" t="n">
        <v>5</v>
      </c>
      <c r="G406" t="n">
        <v>3</v>
      </c>
      <c r="H406" s="20" t="n">
        <v>46321</v>
      </c>
      <c r="I406" t="n">
        <v>4385910</v>
      </c>
      <c r="J406" t="n">
        <v>10</v>
      </c>
      <c r="K406" t="inlineStr">
        <is>
          <t>OPM</t>
        </is>
      </c>
      <c r="L406" t="inlineStr">
        <is>
          <t>INS-1500 INSP OPM VISUAL BOMBA</t>
        </is>
      </c>
      <c r="M406" t="inlineStr">
        <is>
          <t>INSP VISUAL BOMBA INS-1500 MEC 3M</t>
        </is>
      </c>
      <c r="N406" t="inlineStr">
        <is>
          <t>PERGC-PDAC-DRE-01-19-01</t>
        </is>
      </c>
      <c r="O406" t="inlineStr">
        <is>
          <t>56PA008B BOMBA DRENAGEM</t>
        </is>
      </c>
      <c r="P406" t="n">
        <v>1</v>
      </c>
      <c r="Q406" t="inlineStr">
        <is>
          <t>PLANO</t>
        </is>
      </c>
      <c r="R406" t="inlineStr">
        <is>
          <t>Z09</t>
        </is>
      </c>
      <c r="S406" s="20" t="n">
        <v>46321</v>
      </c>
    </row>
    <row r="407">
      <c r="A407" t="inlineStr">
        <is>
          <t>PRO</t>
        </is>
      </c>
      <c r="B407" t="inlineStr">
        <is>
          <t>438589510</t>
        </is>
      </c>
      <c r="C407" t="n">
        <v>4385895</v>
      </c>
      <c r="D407" t="inlineStr">
        <is>
          <t>ENCERRADA</t>
        </is>
      </c>
      <c r="E407" s="20" t="n">
        <v>46317</v>
      </c>
      <c r="F407" t="n">
        <v>5</v>
      </c>
      <c r="G407" t="n">
        <v>3</v>
      </c>
      <c r="H407" s="20" t="n">
        <v>46317</v>
      </c>
      <c r="I407" t="n">
        <v>4385895</v>
      </c>
      <c r="J407" t="n">
        <v>10</v>
      </c>
      <c r="K407" t="inlineStr">
        <is>
          <t>OPM</t>
        </is>
      </c>
      <c r="L407" t="inlineStr">
        <is>
          <t>INS-1500 INSP OPM VISUAL BOMBA</t>
        </is>
      </c>
      <c r="M407" t="inlineStr">
        <is>
          <t>INSP VISUAL BOMBA INS-1500 MEC 3M</t>
        </is>
      </c>
      <c r="N407" t="inlineStr">
        <is>
          <t>PERGC-PDAC-DRE-04-01-10-01</t>
        </is>
      </c>
      <c r="O407" t="inlineStr">
        <is>
          <t>15PH005A BOMBA DRENAGEM</t>
        </is>
      </c>
      <c r="P407" t="n">
        <v>1</v>
      </c>
      <c r="Q407" t="inlineStr">
        <is>
          <t>PLANO</t>
        </is>
      </c>
      <c r="R407" t="inlineStr">
        <is>
          <t>Z09</t>
        </is>
      </c>
      <c r="S407" s="20" t="n">
        <v>46317</v>
      </c>
    </row>
    <row r="408">
      <c r="A408" t="inlineStr">
        <is>
          <t>PRO</t>
        </is>
      </c>
      <c r="B408" t="inlineStr">
        <is>
          <t>438653810</t>
        </is>
      </c>
      <c r="C408" t="n">
        <v>4386538</v>
      </c>
      <c r="D408" t="inlineStr">
        <is>
          <t>ENCERRADA</t>
        </is>
      </c>
      <c r="E408" s="20" t="n">
        <v>46319</v>
      </c>
      <c r="F408" t="n">
        <v>5</v>
      </c>
      <c r="G408" t="n">
        <v>3</v>
      </c>
      <c r="H408" s="20" t="n">
        <v>46319</v>
      </c>
      <c r="I408" t="n">
        <v>4386538</v>
      </c>
      <c r="J408" t="n">
        <v>10</v>
      </c>
      <c r="K408" t="inlineStr">
        <is>
          <t>OPM</t>
        </is>
      </c>
      <c r="L408" t="inlineStr">
        <is>
          <t>INS-1500 INSP OPM VISUAL BOMBA</t>
        </is>
      </c>
      <c r="M408" t="inlineStr">
        <is>
          <t>INSP VISUAL BOMBA INS-1500 MEC 3M</t>
        </is>
      </c>
      <c r="N408" t="inlineStr">
        <is>
          <t>PERGC-PDAC-DRE-04-04-01</t>
        </is>
      </c>
      <c r="O408" t="inlineStr">
        <is>
          <t>15PG002 BOMBA DRENAGEM</t>
        </is>
      </c>
      <c r="P408" t="n">
        <v>1</v>
      </c>
      <c r="Q408" t="inlineStr">
        <is>
          <t>PLANO</t>
        </is>
      </c>
      <c r="R408" t="inlineStr">
        <is>
          <t>Z09</t>
        </is>
      </c>
      <c r="S408" s="20" t="n">
        <v>46319</v>
      </c>
    </row>
    <row r="409">
      <c r="A409" t="inlineStr">
        <is>
          <t>PRO</t>
        </is>
      </c>
      <c r="B409" t="inlineStr">
        <is>
          <t>438589910</t>
        </is>
      </c>
      <c r="C409" t="n">
        <v>4385899</v>
      </c>
      <c r="D409" t="inlineStr">
        <is>
          <t>ENCERRADA</t>
        </is>
      </c>
      <c r="E409" s="20" t="n">
        <v>46318</v>
      </c>
      <c r="F409" t="n">
        <v>5</v>
      </c>
      <c r="G409" t="n">
        <v>3</v>
      </c>
      <c r="H409" s="20" t="n">
        <v>46318</v>
      </c>
      <c r="I409" t="n">
        <v>4385899</v>
      </c>
      <c r="J409" t="n">
        <v>10</v>
      </c>
      <c r="K409" t="inlineStr">
        <is>
          <t>OPM</t>
        </is>
      </c>
      <c r="L409" t="inlineStr">
        <is>
          <t>INS-1500 INSP OPM VISUAL BOMBA</t>
        </is>
      </c>
      <c r="M409" t="inlineStr">
        <is>
          <t>INSP VISUAL BOMBA INS-1500 MEC 3M</t>
        </is>
      </c>
      <c r="N409" t="inlineStr">
        <is>
          <t>PERGC-PDAC-DRE-04-07-01</t>
        </is>
      </c>
      <c r="O409" t="inlineStr">
        <is>
          <t>15PA007A BOMBA DRENAGEM</t>
        </is>
      </c>
      <c r="P409" t="n">
        <v>1</v>
      </c>
      <c r="Q409" t="inlineStr">
        <is>
          <t>PLANO</t>
        </is>
      </c>
      <c r="R409" t="inlineStr">
        <is>
          <t>Z09</t>
        </is>
      </c>
      <c r="S409" s="20" t="n">
        <v>46318</v>
      </c>
    </row>
    <row r="410">
      <c r="A410" t="inlineStr">
        <is>
          <t>PRO</t>
        </is>
      </c>
      <c r="B410" t="inlineStr">
        <is>
          <t>438655510</t>
        </is>
      </c>
      <c r="C410" t="n">
        <v>4386555</v>
      </c>
      <c r="D410" t="inlineStr">
        <is>
          <t>ENCERRADA</t>
        </is>
      </c>
      <c r="E410" s="20" t="n">
        <v>46320</v>
      </c>
      <c r="F410" t="n">
        <v>5</v>
      </c>
      <c r="G410" t="n">
        <v>3</v>
      </c>
      <c r="H410" s="20" t="n">
        <v>46320</v>
      </c>
      <c r="I410" t="n">
        <v>4386555</v>
      </c>
      <c r="J410" t="n">
        <v>10</v>
      </c>
      <c r="K410" t="inlineStr">
        <is>
          <t>OPM</t>
        </is>
      </c>
      <c r="L410" t="inlineStr">
        <is>
          <t>INS-1500 INSP OPM VISUAL BOMBA</t>
        </is>
      </c>
      <c r="M410" t="inlineStr">
        <is>
          <t>INSP VISUAL BOMBA INS-1500 MEC 3M</t>
        </is>
      </c>
      <c r="N410" t="inlineStr">
        <is>
          <t>PERGC-PDAC-DRE-04-19-01</t>
        </is>
      </c>
      <c r="O410" t="inlineStr">
        <is>
          <t>56PA007B BOMBA DRENAGEM</t>
        </is>
      </c>
      <c r="P410" t="n">
        <v>1</v>
      </c>
      <c r="Q410" t="inlineStr">
        <is>
          <t>PLANO</t>
        </is>
      </c>
      <c r="R410" t="inlineStr">
        <is>
          <t>Z09</t>
        </is>
      </c>
      <c r="S410" s="20" t="n">
        <v>46320</v>
      </c>
    </row>
    <row r="411">
      <c r="A411" t="inlineStr">
        <is>
          <t>PRO</t>
        </is>
      </c>
      <c r="B411" t="inlineStr">
        <is>
          <t>438657710</t>
        </is>
      </c>
      <c r="C411" t="n">
        <v>4386577</v>
      </c>
      <c r="D411" t="inlineStr">
        <is>
          <t>ENCERRADA</t>
        </is>
      </c>
      <c r="E411" s="20" t="n">
        <v>46321</v>
      </c>
      <c r="F411" t="n">
        <v>5</v>
      </c>
      <c r="G411" t="n">
        <v>3</v>
      </c>
      <c r="H411" s="20" t="n">
        <v>46321</v>
      </c>
      <c r="I411" t="n">
        <v>4386577</v>
      </c>
      <c r="J411" t="n">
        <v>10</v>
      </c>
      <c r="K411" t="inlineStr">
        <is>
          <t>PRO</t>
        </is>
      </c>
      <c r="L411" t="inlineStr">
        <is>
          <t>INS-1804 INSP PRO DRENAGEM ABERTA</t>
        </is>
      </c>
      <c r="M411" t="inlineStr">
        <is>
          <t>INSP DRENAGEM ABERTA INS-1804 PRO 3M</t>
        </is>
      </c>
      <c r="N411" t="inlineStr">
        <is>
          <t>PERGC-PDAC-DRE-07-10</t>
        </is>
      </c>
      <c r="O411" t="inlineStr">
        <is>
          <t>CJ COLETA WELLHEAD DECK</t>
        </is>
      </c>
      <c r="P411" t="n">
        <v>4</v>
      </c>
      <c r="Q411" t="inlineStr">
        <is>
          <t>PLANO</t>
        </is>
      </c>
      <c r="R411" t="inlineStr">
        <is>
          <t>Z09</t>
        </is>
      </c>
      <c r="S411" s="20" t="n">
        <v>46321</v>
      </c>
    </row>
    <row r="412">
      <c r="A412" t="inlineStr">
        <is>
          <t>PRO</t>
        </is>
      </c>
      <c r="B412" t="inlineStr">
        <is>
          <t>438587910</t>
        </is>
      </c>
      <c r="C412" t="n">
        <v>4385879</v>
      </c>
      <c r="D412" t="inlineStr">
        <is>
          <t>ENCERRADA</t>
        </is>
      </c>
      <c r="E412" s="20" t="n">
        <v>46314</v>
      </c>
      <c r="F412" t="n">
        <v>5</v>
      </c>
      <c r="G412" t="n">
        <v>3</v>
      </c>
      <c r="H412" s="20" t="n">
        <v>46314</v>
      </c>
      <c r="I412" t="n">
        <v>4385879</v>
      </c>
      <c r="J412" t="n">
        <v>10</v>
      </c>
      <c r="K412" t="inlineStr">
        <is>
          <t>PRO</t>
        </is>
      </c>
      <c r="L412" t="inlineStr">
        <is>
          <t>INS-1804 INSP PRO DRENAGEM ABERTA</t>
        </is>
      </c>
      <c r="M412" t="inlineStr">
        <is>
          <t>INSP DRENAGEM ABERTA INS-1804 PRO 3M</t>
        </is>
      </c>
      <c r="N412" t="inlineStr">
        <is>
          <t>PERGC-PDAC-DRE-10-10</t>
        </is>
      </c>
      <c r="O412" t="inlineStr">
        <is>
          <t>CJ COLETA WELLHEAD DECK</t>
        </is>
      </c>
      <c r="P412" t="n">
        <v>4</v>
      </c>
      <c r="Q412" t="inlineStr">
        <is>
          <t>PLANO</t>
        </is>
      </c>
      <c r="R412" t="inlineStr">
        <is>
          <t>Z09</t>
        </is>
      </c>
      <c r="S412" s="20" t="n">
        <v>46314</v>
      </c>
    </row>
    <row r="413">
      <c r="A413" t="inlineStr">
        <is>
          <t>PRO</t>
        </is>
      </c>
      <c r="B413" t="inlineStr">
        <is>
          <t>438644710</t>
        </is>
      </c>
      <c r="C413" t="n">
        <v>4386447</v>
      </c>
      <c r="D413" t="inlineStr">
        <is>
          <t>ENCERRADA</t>
        </is>
      </c>
      <c r="E413" s="20" t="n">
        <v>46314</v>
      </c>
      <c r="F413" t="n">
        <v>5</v>
      </c>
      <c r="G413" t="n">
        <v>3</v>
      </c>
      <c r="H413" s="20" t="n">
        <v>46314</v>
      </c>
      <c r="I413" t="n">
        <v>4386447</v>
      </c>
      <c r="J413" t="n">
        <v>10</v>
      </c>
      <c r="K413" t="inlineStr">
        <is>
          <t>PRO</t>
        </is>
      </c>
      <c r="L413" t="inlineStr">
        <is>
          <t>INS-1804 INSP PRO DRENAGEM ABERTA</t>
        </is>
      </c>
      <c r="M413" t="inlineStr">
        <is>
          <t>INSP DRENAGEM ABERTA INS-1804 PRO 3M</t>
        </is>
      </c>
      <c r="N413" t="inlineStr">
        <is>
          <t>PERGC-PDAC-DRE-10-16</t>
        </is>
      </c>
      <c r="O413" t="inlineStr">
        <is>
          <t>CJ COLETA DRENO ABERTO EL 40640</t>
        </is>
      </c>
      <c r="P413" t="n">
        <v>4</v>
      </c>
      <c r="Q413" t="inlineStr">
        <is>
          <t>PLANO</t>
        </is>
      </c>
      <c r="R413" t="inlineStr">
        <is>
          <t>Z09</t>
        </is>
      </c>
      <c r="S413" s="20" t="n">
        <v>46314</v>
      </c>
    </row>
    <row r="414">
      <c r="A414" t="inlineStr">
        <is>
          <t>PRO</t>
        </is>
      </c>
      <c r="B414" t="inlineStr">
        <is>
          <t>438587110</t>
        </is>
      </c>
      <c r="C414" t="n">
        <v>4385871</v>
      </c>
      <c r="D414" t="inlineStr">
        <is>
          <t>ENCERRADA</t>
        </is>
      </c>
      <c r="E414" s="20" t="n">
        <v>46312</v>
      </c>
      <c r="F414" t="n">
        <v>5</v>
      </c>
      <c r="G414" t="n">
        <v>3</v>
      </c>
      <c r="H414" s="20" t="n">
        <v>46312</v>
      </c>
      <c r="I414" t="n">
        <v>4385871</v>
      </c>
      <c r="J414" t="n">
        <v>10</v>
      </c>
      <c r="K414" t="inlineStr">
        <is>
          <t>PRO</t>
        </is>
      </c>
      <c r="L414" t="inlineStr">
        <is>
          <t>INS-1804 INSP PRO DRENAGEM ABERTA</t>
        </is>
      </c>
      <c r="M414" t="inlineStr">
        <is>
          <t>INSP DRENAGEM ABERTA INS-1804 PRO 3M</t>
        </is>
      </c>
      <c r="N414" t="inlineStr">
        <is>
          <t>PERGC-PDAC-DRE-10-19</t>
        </is>
      </c>
      <c r="O414" t="inlineStr">
        <is>
          <t>CJ COLETA DRENO ABERTO EL 56488</t>
        </is>
      </c>
      <c r="P414" t="n">
        <v>4</v>
      </c>
      <c r="Q414" t="inlineStr">
        <is>
          <t>PLANO</t>
        </is>
      </c>
      <c r="R414" t="inlineStr">
        <is>
          <t>Z09</t>
        </is>
      </c>
      <c r="S414" s="20" t="n">
        <v>46312</v>
      </c>
    </row>
    <row r="415">
      <c r="A415" t="inlineStr">
        <is>
          <t>MEC</t>
        </is>
      </c>
      <c r="B415" t="inlineStr">
        <is>
          <t>438658610</t>
        </is>
      </c>
      <c r="C415" t="n">
        <v>4386586</v>
      </c>
      <c r="D415" t="inlineStr">
        <is>
          <t>ENCERRADA</t>
        </is>
      </c>
      <c r="E415" s="20" t="n">
        <v>46322</v>
      </c>
      <c r="F415" t="n">
        <v>3</v>
      </c>
      <c r="G415" t="n">
        <v>3</v>
      </c>
      <c r="H415" s="20" t="n">
        <v>46322</v>
      </c>
      <c r="I415" t="n">
        <v>4386586</v>
      </c>
      <c r="J415" t="n">
        <v>10</v>
      </c>
      <c r="K415" t="inlineStr">
        <is>
          <t>MEC</t>
        </is>
      </c>
      <c r="L415" t="inlineStr">
        <is>
          <t>INS-1500 INSP OPM VISUAL BOMBA</t>
        </is>
      </c>
      <c r="M415" t="inlineStr">
        <is>
          <t>INSP VISUAL BOMBA INS-1500 MEC 1M</t>
        </is>
      </c>
      <c r="N415" t="inlineStr">
        <is>
          <t>PERGC-PSAI-MBB-01</t>
        </is>
      </c>
      <c r="O415" t="inlineStr">
        <is>
          <t>CJ SKID BOMBA INJECAO AGUA 29PA001A</t>
        </is>
      </c>
      <c r="P415" t="n">
        <v>1</v>
      </c>
      <c r="Q415" t="inlineStr">
        <is>
          <t>PLANO</t>
        </is>
      </c>
      <c r="R415" t="inlineStr">
        <is>
          <t>Z09</t>
        </is>
      </c>
      <c r="S415" s="20" t="n">
        <v>46322</v>
      </c>
    </row>
    <row r="416">
      <c r="A416" t="inlineStr">
        <is>
          <t>ELE</t>
        </is>
      </c>
      <c r="B416" t="inlineStr">
        <is>
          <t>438569310</t>
        </is>
      </c>
      <c r="C416" t="n">
        <v>4385693</v>
      </c>
      <c r="D416" t="inlineStr">
        <is>
          <t>ENCERRADA</t>
        </is>
      </c>
      <c r="E416" s="20" t="n">
        <v>46311</v>
      </c>
      <c r="F416" t="n">
        <v>3</v>
      </c>
      <c r="G416" t="n">
        <v>2</v>
      </c>
      <c r="H416" s="20" t="n">
        <v>46311</v>
      </c>
      <c r="I416" t="n">
        <v>4385693</v>
      </c>
      <c r="J416" t="n">
        <v>10</v>
      </c>
      <c r="K416" t="inlineStr">
        <is>
          <t>ELE</t>
        </is>
      </c>
      <c r="L416" t="inlineStr">
        <is>
          <t>INS-1202 INSP ELE TRANSFORMADOR AT/BT</t>
        </is>
      </c>
      <c r="M416" t="inlineStr">
        <is>
          <t>INSP TRANSFORMADOR AT/BT INS-1202 ELE 6M</t>
        </is>
      </c>
      <c r="N416" t="inlineStr">
        <is>
          <t>PERGC-PSAI-MBB-01-10-01</t>
        </is>
      </c>
      <c r="O416" t="inlineStr">
        <is>
          <t>29ET001A TRANSFORMADOR</t>
        </is>
      </c>
      <c r="P416" t="n">
        <v>2</v>
      </c>
      <c r="Q416" t="inlineStr">
        <is>
          <t>PLANO</t>
        </is>
      </c>
      <c r="R416" t="inlineStr">
        <is>
          <t>Z09</t>
        </is>
      </c>
      <c r="S416" s="20" t="n">
        <v>46311</v>
      </c>
    </row>
    <row r="417">
      <c r="A417" t="inlineStr">
        <is>
          <t>ELE</t>
        </is>
      </c>
      <c r="B417" t="inlineStr">
        <is>
          <t>438569510</t>
        </is>
      </c>
      <c r="C417" t="n">
        <v>4385695</v>
      </c>
      <c r="D417" t="inlineStr">
        <is>
          <t>ENCERRADA</t>
        </is>
      </c>
      <c r="E417" s="20" t="n">
        <v>46315</v>
      </c>
      <c r="F417" t="n">
        <v>5</v>
      </c>
      <c r="G417" t="n">
        <v>2</v>
      </c>
      <c r="H417" s="20" t="n">
        <v>46315</v>
      </c>
      <c r="I417" t="n">
        <v>4385695</v>
      </c>
      <c r="J417" t="n">
        <v>10</v>
      </c>
      <c r="K417" t="inlineStr">
        <is>
          <t>ELE</t>
        </is>
      </c>
      <c r="L417" t="inlineStr">
        <is>
          <t>PSE-1201 MANUT ELE TRANSFORMADOR AT</t>
        </is>
      </c>
      <c r="M417" t="inlineStr">
        <is>
          <t>MANUT TRANSFORMADOR AT PSE-1201 ELE 5A</t>
        </is>
      </c>
      <c r="N417" t="inlineStr">
        <is>
          <t>PERGC-PSAI-MBB-01-10-01</t>
        </is>
      </c>
      <c r="O417" t="inlineStr">
        <is>
          <t>29ET001A TRANSFORMADOR</t>
        </is>
      </c>
      <c r="P417" t="n">
        <v>16</v>
      </c>
      <c r="Q417" t="inlineStr">
        <is>
          <t>PLANO</t>
        </is>
      </c>
      <c r="R417" t="inlineStr">
        <is>
          <t>Z12</t>
        </is>
      </c>
      <c r="S417" s="20" t="n">
        <v>46315</v>
      </c>
    </row>
    <row r="418">
      <c r="A418" t="inlineStr">
        <is>
          <t>ELE</t>
        </is>
      </c>
      <c r="B418" t="inlineStr">
        <is>
          <t>438589810</t>
        </is>
      </c>
      <c r="C418" t="n">
        <v>4385898</v>
      </c>
      <c r="D418" t="inlineStr">
        <is>
          <t>ENCERRADA</t>
        </is>
      </c>
      <c r="E418" s="20" t="n">
        <v>46318</v>
      </c>
      <c r="F418" t="n">
        <v>3</v>
      </c>
      <c r="G418" t="n">
        <v>3</v>
      </c>
      <c r="H418" s="20" t="n">
        <v>46318</v>
      </c>
      <c r="I418" t="n">
        <v>4385898</v>
      </c>
      <c r="J418" t="n">
        <v>10</v>
      </c>
      <c r="K418" t="inlineStr">
        <is>
          <t>ELE</t>
        </is>
      </c>
      <c r="L418" t="inlineStr">
        <is>
          <t>PSE-1812 MANUT PRO CONDE/TROC CALOR</t>
        </is>
      </c>
      <c r="M418" t="inlineStr">
        <is>
          <t>MANUT TROCADOR PSE-1812 PRO 1A</t>
        </is>
      </c>
      <c r="N418" t="inlineStr">
        <is>
          <t>PERGC-PSAI-MBB-04-07-13</t>
        </is>
      </c>
      <c r="O418" t="inlineStr">
        <is>
          <t>29ER001B-H04 VFD A SPACE HEATER NO. 4</t>
        </is>
      </c>
      <c r="P418" t="n">
        <v>1</v>
      </c>
      <c r="Q418" t="inlineStr">
        <is>
          <t>PLANO</t>
        </is>
      </c>
      <c r="R418" t="inlineStr">
        <is>
          <t>Z12</t>
        </is>
      </c>
      <c r="S418" s="20" t="n">
        <v>46318</v>
      </c>
    </row>
    <row r="419">
      <c r="A419" t="inlineStr">
        <is>
          <t>MEC</t>
        </is>
      </c>
      <c r="B419" t="inlineStr">
        <is>
          <t>438656710</t>
        </is>
      </c>
      <c r="C419" t="n">
        <v>4386567</v>
      </c>
      <c r="D419" t="inlineStr">
        <is>
          <t>ENCERRADA</t>
        </is>
      </c>
      <c r="E419" s="20" t="n">
        <v>46321</v>
      </c>
      <c r="F419" t="n">
        <v>5</v>
      </c>
      <c r="G419" t="n">
        <v>3</v>
      </c>
      <c r="H419" s="20" t="n">
        <v>46321</v>
      </c>
      <c r="I419" t="n">
        <v>4386567</v>
      </c>
      <c r="J419" t="n">
        <v>10</v>
      </c>
      <c r="K419" t="inlineStr">
        <is>
          <t>MEC</t>
        </is>
      </c>
      <c r="L419" t="inlineStr">
        <is>
          <t>INS-1500 INSP OPM VISUAL BOMBA</t>
        </is>
      </c>
      <c r="M419" t="inlineStr">
        <is>
          <t>INSP VISUAL BOMBA INS-1500 MEC 1M</t>
        </is>
      </c>
      <c r="N419" t="inlineStr">
        <is>
          <t>PERGC-PSCO-MBB-01-04</t>
        </is>
      </c>
      <c r="O419" t="inlineStr">
        <is>
          <t>CJ SKID BOMBA BOOSTER PRODUCAO 21PX001A</t>
        </is>
      </c>
      <c r="P419" t="n">
        <v>1</v>
      </c>
      <c r="Q419" t="inlineStr">
        <is>
          <t>PLANO</t>
        </is>
      </c>
      <c r="R419" t="inlineStr">
        <is>
          <t>Z09</t>
        </is>
      </c>
      <c r="S419" s="20" t="n">
        <v>46321</v>
      </c>
    </row>
    <row r="420">
      <c r="A420" t="inlineStr">
        <is>
          <t>PRO</t>
        </is>
      </c>
      <c r="B420" t="inlineStr">
        <is>
          <t>438361510</t>
        </is>
      </c>
      <c r="C420" t="n">
        <v>4383615</v>
      </c>
      <c r="D420" t="inlineStr">
        <is>
          <t>ENCERRADA</t>
        </is>
      </c>
      <c r="E420" s="20" t="n">
        <v>46319</v>
      </c>
      <c r="F420" t="n">
        <v>3</v>
      </c>
      <c r="G420" t="n">
        <v>2</v>
      </c>
      <c r="H420" s="20" t="n">
        <v>46319</v>
      </c>
      <c r="I420" t="n">
        <v>4383615</v>
      </c>
      <c r="J420" t="n">
        <v>10</v>
      </c>
      <c r="K420" t="inlineStr">
        <is>
          <t>PRO</t>
        </is>
      </c>
      <c r="L420" t="inlineStr">
        <is>
          <t>INS-1500 INSP PRO VISUAL BOMBA</t>
        </is>
      </c>
      <c r="M420" t="inlineStr">
        <is>
          <t>INSP VISUAL BOMBA INS-1500 MEC 1M</t>
        </is>
      </c>
      <c r="N420" t="inlineStr">
        <is>
          <t>PERGC-PSCO-MBB-01-04-07-01</t>
        </is>
      </c>
      <c r="O420" t="inlineStr">
        <is>
          <t>21PX001A BOMBA BOOSTER PRODUCAO</t>
        </is>
      </c>
      <c r="P420" t="n">
        <v>1</v>
      </c>
      <c r="Q420" t="inlineStr">
        <is>
          <t>PLANO</t>
        </is>
      </c>
      <c r="R420" t="inlineStr">
        <is>
          <t>Z09</t>
        </is>
      </c>
      <c r="S420" s="20" t="n">
        <v>46319</v>
      </c>
    </row>
    <row r="421">
      <c r="A421" t="inlineStr">
        <is>
          <t>ELE</t>
        </is>
      </c>
      <c r="B421" t="inlineStr">
        <is>
          <t>438546510</t>
        </is>
      </c>
      <c r="C421" t="n">
        <v>4385465</v>
      </c>
      <c r="D421" t="inlineStr">
        <is>
          <t>ABERTA</t>
        </is>
      </c>
      <c r="E421" s="20" t="n">
        <v>46313</v>
      </c>
      <c r="F421" t="n">
        <v>5</v>
      </c>
      <c r="G421" t="n">
        <v>2</v>
      </c>
      <c r="H421" s="20" t="n">
        <v>46313</v>
      </c>
      <c r="I421" t="n">
        <v>4385465</v>
      </c>
      <c r="J421" t="n">
        <v>10</v>
      </c>
      <c r="K421" t="inlineStr">
        <is>
          <t>ELE</t>
        </is>
      </c>
      <c r="L421" t="inlineStr">
        <is>
          <t>PSE-1200 MANUT ELE MOTOR BT</t>
        </is>
      </c>
      <c r="M421" t="inlineStr">
        <is>
          <t>MANUT MOTOR BAIXA TENSAO PSE-1200 ELE 1A</t>
        </is>
      </c>
      <c r="N421" t="inlineStr">
        <is>
          <t>PERGC-PSCO-MBB-01-04-19-01-04</t>
        </is>
      </c>
      <c r="O421" t="inlineStr">
        <is>
          <t>21PX003-M01 MOTOR ELETRICO</t>
        </is>
      </c>
      <c r="P421" t="n">
        <v>4</v>
      </c>
      <c r="Q421" t="inlineStr">
        <is>
          <t>PLANO</t>
        </is>
      </c>
      <c r="R421" t="inlineStr">
        <is>
          <t>Z12</t>
        </is>
      </c>
      <c r="S421" s="20" t="n">
        <v>46313</v>
      </c>
    </row>
    <row r="422">
      <c r="A422" t="inlineStr">
        <is>
          <t>MEC</t>
        </is>
      </c>
      <c r="B422" t="inlineStr">
        <is>
          <t>438656910</t>
        </is>
      </c>
      <c r="C422" t="n">
        <v>4386569</v>
      </c>
      <c r="D422" t="inlineStr">
        <is>
          <t>ENCERRADA</t>
        </is>
      </c>
      <c r="E422" s="20" t="n">
        <v>46321</v>
      </c>
      <c r="F422" t="n">
        <v>5</v>
      </c>
      <c r="G422" t="n">
        <v>3</v>
      </c>
      <c r="H422" s="20" t="n">
        <v>46321</v>
      </c>
      <c r="I422" t="n">
        <v>4386569</v>
      </c>
      <c r="J422" t="n">
        <v>10</v>
      </c>
      <c r="K422" t="inlineStr">
        <is>
          <t>MEC</t>
        </is>
      </c>
      <c r="L422" t="inlineStr">
        <is>
          <t>INS-1500 INSP OPM VISUAL BOMBA</t>
        </is>
      </c>
      <c r="M422" t="inlineStr">
        <is>
          <t>INSP VISUAL BOMBA INS-1500 MEC 1M</t>
        </is>
      </c>
      <c r="N422" t="inlineStr">
        <is>
          <t>PERGC-PSCO-MBB-01-07</t>
        </is>
      </c>
      <c r="O422" t="inlineStr">
        <is>
          <t>CJ SKID BOMBA BOOSTER PRODUCAO 21PX001B</t>
        </is>
      </c>
      <c r="P422" t="n">
        <v>1</v>
      </c>
      <c r="Q422" t="inlineStr">
        <is>
          <t>PLANO</t>
        </is>
      </c>
      <c r="R422" t="inlineStr">
        <is>
          <t>Z09</t>
        </is>
      </c>
      <c r="S422" s="20" t="n">
        <v>46321</v>
      </c>
    </row>
    <row r="423">
      <c r="A423" t="inlineStr">
        <is>
          <t>PRO</t>
        </is>
      </c>
      <c r="B423" t="inlineStr">
        <is>
          <t>438361610</t>
        </is>
      </c>
      <c r="C423" t="n">
        <v>4383616</v>
      </c>
      <c r="D423" t="inlineStr">
        <is>
          <t>ENCERRADA</t>
        </is>
      </c>
      <c r="E423" s="20" t="n">
        <v>46319</v>
      </c>
      <c r="F423" t="n">
        <v>3</v>
      </c>
      <c r="G423" t="n">
        <v>2</v>
      </c>
      <c r="H423" s="20" t="n">
        <v>46319</v>
      </c>
      <c r="I423" t="n">
        <v>4383616</v>
      </c>
      <c r="J423" t="n">
        <v>10</v>
      </c>
      <c r="K423" t="inlineStr">
        <is>
          <t>PRO</t>
        </is>
      </c>
      <c r="L423" t="inlineStr">
        <is>
          <t>INS-1500 INSP PRO VISUAL BOMBA</t>
        </is>
      </c>
      <c r="M423" t="inlineStr">
        <is>
          <t>INSP VISUAL BOMBA INS-1500 MEC 1M</t>
        </is>
      </c>
      <c r="N423" t="inlineStr">
        <is>
          <t>PERGC-PSCO-MBB-01-07-07-01</t>
        </is>
      </c>
      <c r="O423" t="inlineStr">
        <is>
          <t>21PX001B BOMBA BOOSTER PRODUCAO</t>
        </is>
      </c>
      <c r="P423" t="n">
        <v>1</v>
      </c>
      <c r="Q423" t="inlineStr">
        <is>
          <t>PLANO</t>
        </is>
      </c>
      <c r="R423" t="inlineStr">
        <is>
          <t>Z09</t>
        </is>
      </c>
      <c r="S423" s="20" t="n">
        <v>46319</v>
      </c>
    </row>
    <row r="424">
      <c r="A424" t="inlineStr">
        <is>
          <t>ELE</t>
        </is>
      </c>
      <c r="B424" t="inlineStr">
        <is>
          <t>438547410</t>
        </is>
      </c>
      <c r="C424" t="n">
        <v>4385474</v>
      </c>
      <c r="D424" t="inlineStr">
        <is>
          <t>ENCERRADA</t>
        </is>
      </c>
      <c r="E424" s="20" t="n">
        <v>46312</v>
      </c>
      <c r="F424" t="n">
        <v>5</v>
      </c>
      <c r="G424" t="n">
        <v>2</v>
      </c>
      <c r="H424" s="20" t="n">
        <v>46312</v>
      </c>
      <c r="I424" t="n">
        <v>4385474</v>
      </c>
      <c r="J424" t="n">
        <v>10</v>
      </c>
      <c r="K424" t="inlineStr">
        <is>
          <t>ELE</t>
        </is>
      </c>
      <c r="L424" t="inlineStr">
        <is>
          <t>PSE-1201 MANUT ELE TRANSFORMADOR AT</t>
        </is>
      </c>
      <c r="M424" t="inlineStr">
        <is>
          <t>MANUT TRANSFORMADOR AT PSE-1201 ELE 5A</t>
        </is>
      </c>
      <c r="N424" t="inlineStr">
        <is>
          <t>PERGC-PSCO-MBB-01-07-13-16-01</t>
        </is>
      </c>
      <c r="O424" t="inlineStr">
        <is>
          <t>21ET001B TRANSFORMADOR ENERGIA</t>
        </is>
      </c>
      <c r="P424" t="n">
        <v>16</v>
      </c>
      <c r="Q424" t="inlineStr">
        <is>
          <t>PLANO</t>
        </is>
      </c>
      <c r="R424" t="inlineStr">
        <is>
          <t>Z12</t>
        </is>
      </c>
      <c r="S424" s="20" t="n">
        <v>46312</v>
      </c>
    </row>
    <row r="425">
      <c r="A425" t="inlineStr">
        <is>
          <t>MEC</t>
        </is>
      </c>
      <c r="B425" t="inlineStr">
        <is>
          <t>438648910</t>
        </is>
      </c>
      <c r="C425" t="n">
        <v>4386489</v>
      </c>
      <c r="D425" t="inlineStr">
        <is>
          <t>ENCERRADA</t>
        </is>
      </c>
      <c r="E425" s="20" t="n">
        <v>46317</v>
      </c>
      <c r="F425" t="n">
        <v>5</v>
      </c>
      <c r="G425" t="n">
        <v>3</v>
      </c>
      <c r="H425" s="20" t="n">
        <v>46317</v>
      </c>
      <c r="I425" t="n">
        <v>4386489</v>
      </c>
      <c r="J425" t="n">
        <v>10</v>
      </c>
      <c r="K425" t="inlineStr">
        <is>
          <t>MEC</t>
        </is>
      </c>
      <c r="L425" t="inlineStr">
        <is>
          <t>INS-1500 INSP OPM VISUAL BOMBA</t>
        </is>
      </c>
      <c r="M425" t="inlineStr">
        <is>
          <t>INSP VISUAL BOMBA INS-1500 MEC 1M</t>
        </is>
      </c>
      <c r="N425" t="inlineStr">
        <is>
          <t>PERGC-PSCO-MBB-01-10</t>
        </is>
      </c>
      <c r="O425" t="inlineStr">
        <is>
          <t>CJ SKID BOMBA BOOSTER PRODUCAO 21PX001C</t>
        </is>
      </c>
      <c r="P425" t="n">
        <v>1</v>
      </c>
      <c r="Q425" t="inlineStr">
        <is>
          <t>PLANO</t>
        </is>
      </c>
      <c r="R425" t="inlineStr">
        <is>
          <t>Z09</t>
        </is>
      </c>
      <c r="S425" s="20" t="n">
        <v>46317</v>
      </c>
    </row>
    <row r="426">
      <c r="A426" t="inlineStr">
        <is>
          <t>PRO</t>
        </is>
      </c>
      <c r="B426" t="inlineStr">
        <is>
          <t>438361710</t>
        </is>
      </c>
      <c r="C426" t="n">
        <v>4383617</v>
      </c>
      <c r="D426" t="inlineStr">
        <is>
          <t>ENCERRADA</t>
        </is>
      </c>
      <c r="E426" s="20" t="n">
        <v>46319</v>
      </c>
      <c r="F426" t="n">
        <v>5</v>
      </c>
      <c r="G426" t="n">
        <v>2</v>
      </c>
      <c r="H426" s="20" t="n">
        <v>46319</v>
      </c>
      <c r="I426" t="n">
        <v>4383617</v>
      </c>
      <c r="J426" t="n">
        <v>10</v>
      </c>
      <c r="K426" t="inlineStr">
        <is>
          <t>PRO</t>
        </is>
      </c>
      <c r="L426" t="inlineStr">
        <is>
          <t>INS-1500 INSP PRO VISUAL BOMBA</t>
        </is>
      </c>
      <c r="M426" t="inlineStr">
        <is>
          <t>INSP VISUAL BOMBA INS-1500 MEC 1M</t>
        </is>
      </c>
      <c r="N426" t="inlineStr">
        <is>
          <t>PERGC-PSCO-MBB-01-10-07-01</t>
        </is>
      </c>
      <c r="O426" t="inlineStr">
        <is>
          <t>21PX001C BOMBA BOOSTER PRODUCAO</t>
        </is>
      </c>
      <c r="P426" t="n">
        <v>1</v>
      </c>
      <c r="Q426" t="inlineStr">
        <is>
          <t>PLANO</t>
        </is>
      </c>
      <c r="R426" t="inlineStr">
        <is>
          <t>Z09</t>
        </is>
      </c>
      <c r="S426" s="20" t="n">
        <v>46319</v>
      </c>
    </row>
    <row r="427">
      <c r="A427" t="inlineStr">
        <is>
          <t>MEC</t>
        </is>
      </c>
      <c r="B427" t="inlineStr">
        <is>
          <t>438647810</t>
        </is>
      </c>
      <c r="C427" t="n">
        <v>4386478</v>
      </c>
      <c r="D427" t="inlineStr">
        <is>
          <t>ENCERRADA</t>
        </is>
      </c>
      <c r="E427" s="20" t="n">
        <v>46316</v>
      </c>
      <c r="F427" t="n">
        <v>5</v>
      </c>
      <c r="G427" t="n">
        <v>3</v>
      </c>
      <c r="H427" s="20" t="n">
        <v>46316</v>
      </c>
      <c r="I427" t="n">
        <v>4386478</v>
      </c>
      <c r="J427" t="n">
        <v>10</v>
      </c>
      <c r="K427" t="inlineStr">
        <is>
          <t>MEC</t>
        </is>
      </c>
      <c r="L427" t="inlineStr">
        <is>
          <t>INS-1500 INSP OPM VISUAL BOMBA</t>
        </is>
      </c>
      <c r="M427" t="inlineStr">
        <is>
          <t>INSP VISUAL BOMBA INS-1500 MEC 1M</t>
        </is>
      </c>
      <c r="N427" t="inlineStr">
        <is>
          <t>PERGC-PSCP-PNN-01-55-01</t>
        </is>
      </c>
      <c r="O427" t="inlineStr">
        <is>
          <t>65JC001-PA1 BOMBA PRIMARIA</t>
        </is>
      </c>
      <c r="P427" t="n">
        <v>1</v>
      </c>
      <c r="Q427" t="inlineStr">
        <is>
          <t>PLANO</t>
        </is>
      </c>
      <c r="R427" t="inlineStr">
        <is>
          <t>Z09</t>
        </is>
      </c>
      <c r="S427" s="20" t="n">
        <v>46316</v>
      </c>
    </row>
    <row r="428">
      <c r="A428" t="inlineStr">
        <is>
          <t>MEC</t>
        </is>
      </c>
      <c r="B428" t="inlineStr">
        <is>
          <t>438650010</t>
        </is>
      </c>
      <c r="C428" t="n">
        <v>4386500</v>
      </c>
      <c r="D428" t="inlineStr">
        <is>
          <t>ENCERRADA</t>
        </is>
      </c>
      <c r="E428" s="20" t="n">
        <v>46317</v>
      </c>
      <c r="F428" t="n">
        <v>5</v>
      </c>
      <c r="G428" t="n">
        <v>3</v>
      </c>
      <c r="H428" s="20" t="n">
        <v>46317</v>
      </c>
      <c r="I428" t="n">
        <v>4386500</v>
      </c>
      <c r="J428" t="n">
        <v>10</v>
      </c>
      <c r="K428" t="inlineStr">
        <is>
          <t>MEC</t>
        </is>
      </c>
      <c r="L428" t="inlineStr">
        <is>
          <t>INS-1500 INSP OPM VISUAL BOMBA</t>
        </is>
      </c>
      <c r="M428" t="inlineStr">
        <is>
          <t>INSP VISUAL BOMBA INS-1500 MEC 1M</t>
        </is>
      </c>
      <c r="N428" t="inlineStr">
        <is>
          <t>PERGC-PSCP-PNN-01-58-01</t>
        </is>
      </c>
      <c r="O428" t="inlineStr">
        <is>
          <t>65JC001-PA2 BOMBA SECUNDARIA</t>
        </is>
      </c>
      <c r="P428" t="n">
        <v>1</v>
      </c>
      <c r="Q428" t="inlineStr">
        <is>
          <t>PLANO</t>
        </is>
      </c>
      <c r="R428" t="inlineStr">
        <is>
          <t>Z09</t>
        </is>
      </c>
      <c r="S428" s="20" t="n">
        <v>46317</v>
      </c>
    </row>
    <row r="429">
      <c r="A429" t="inlineStr">
        <is>
          <t>MEC</t>
        </is>
      </c>
      <c r="B429" t="inlineStr">
        <is>
          <t>438651510</t>
        </is>
      </c>
      <c r="C429" t="n">
        <v>4386515</v>
      </c>
      <c r="D429" t="inlineStr">
        <is>
          <t>ENCERRADA</t>
        </is>
      </c>
      <c r="E429" s="20" t="n">
        <v>46318</v>
      </c>
      <c r="F429" t="n">
        <v>5</v>
      </c>
      <c r="G429" t="n">
        <v>3</v>
      </c>
      <c r="H429" s="20" t="n">
        <v>46318</v>
      </c>
      <c r="I429" t="n">
        <v>4386515</v>
      </c>
      <c r="J429" t="n">
        <v>10</v>
      </c>
      <c r="K429" t="inlineStr">
        <is>
          <t>MEC</t>
        </is>
      </c>
      <c r="L429" t="inlineStr">
        <is>
          <t>INS-1500 INSP OPM VISUAL BOMBA</t>
        </is>
      </c>
      <c r="M429" t="inlineStr">
        <is>
          <t>INSP VISUAL BOMBA INS-1500 MEC 1M</t>
        </is>
      </c>
      <c r="N429" t="inlineStr">
        <is>
          <t>PERGC-PSCP-PNN-01-61-01</t>
        </is>
      </c>
      <c r="O429" t="inlineStr">
        <is>
          <t>65JC001-PB1 BOMBA MANUAL</t>
        </is>
      </c>
      <c r="P429" t="n">
        <v>1</v>
      </c>
      <c r="Q429" t="inlineStr">
        <is>
          <t>PLANO</t>
        </is>
      </c>
      <c r="R429" t="inlineStr">
        <is>
          <t>Z09</t>
        </is>
      </c>
      <c r="S429" s="20" t="n">
        <v>46318</v>
      </c>
    </row>
    <row r="430">
      <c r="A430" t="inlineStr">
        <is>
          <t>MEC</t>
        </is>
      </c>
      <c r="B430" t="inlineStr">
        <is>
          <t>438653510</t>
        </is>
      </c>
      <c r="C430" t="n">
        <v>4386535</v>
      </c>
      <c r="D430" t="inlineStr">
        <is>
          <t>ENCERRADA</t>
        </is>
      </c>
      <c r="E430" s="20" t="n">
        <v>46319</v>
      </c>
      <c r="F430" t="n">
        <v>5</v>
      </c>
      <c r="G430" t="n">
        <v>3</v>
      </c>
      <c r="H430" s="20" t="n">
        <v>46319</v>
      </c>
      <c r="I430" t="n">
        <v>4386535</v>
      </c>
      <c r="J430" t="n">
        <v>10</v>
      </c>
      <c r="K430" t="inlineStr">
        <is>
          <t>MEC</t>
        </is>
      </c>
      <c r="L430" t="inlineStr">
        <is>
          <t>INS-1500 INSP OPM VISUAL BOMBA</t>
        </is>
      </c>
      <c r="M430" t="inlineStr">
        <is>
          <t>INSP VISUAL BOMBA INS-1500 MEC 1M</t>
        </is>
      </c>
      <c r="N430" t="inlineStr">
        <is>
          <t>PERGC-PSCP-PNN-04-40-01</t>
        </is>
      </c>
      <c r="O430" t="inlineStr">
        <is>
          <t>65JC002-PA1 BOMBA PRIMARIA</t>
        </is>
      </c>
      <c r="P430" t="n">
        <v>1</v>
      </c>
      <c r="Q430" t="inlineStr">
        <is>
          <t>PLANO</t>
        </is>
      </c>
      <c r="R430" t="inlineStr">
        <is>
          <t>Z09</t>
        </is>
      </c>
      <c r="S430" s="20" t="n">
        <v>46319</v>
      </c>
    </row>
    <row r="431">
      <c r="A431" t="inlineStr">
        <is>
          <t>MEC</t>
        </is>
      </c>
      <c r="B431" t="inlineStr">
        <is>
          <t>438655310</t>
        </is>
      </c>
      <c r="C431" t="n">
        <v>4386553</v>
      </c>
      <c r="D431" t="inlineStr">
        <is>
          <t>ENCERRADA</t>
        </is>
      </c>
      <c r="E431" s="20" t="n">
        <v>46320</v>
      </c>
      <c r="F431" t="n">
        <v>5</v>
      </c>
      <c r="G431" t="n">
        <v>3</v>
      </c>
      <c r="H431" s="20" t="n">
        <v>46320</v>
      </c>
      <c r="I431" t="n">
        <v>4386553</v>
      </c>
      <c r="J431" t="n">
        <v>10</v>
      </c>
      <c r="K431" t="inlineStr">
        <is>
          <t>MEC</t>
        </is>
      </c>
      <c r="L431" t="inlineStr">
        <is>
          <t>INS-1500 INSP OPM VISUAL BOMBA</t>
        </is>
      </c>
      <c r="M431" t="inlineStr">
        <is>
          <t>INSP VISUAL BOMBA INS-1500 MEC 1M</t>
        </is>
      </c>
      <c r="N431" t="inlineStr">
        <is>
          <t>PERGC-PSCP-PNN-04-43-01</t>
        </is>
      </c>
      <c r="O431" t="inlineStr">
        <is>
          <t>65JC002-PA2 BOMBA SECUNDARIA</t>
        </is>
      </c>
      <c r="P431" t="n">
        <v>1</v>
      </c>
      <c r="Q431" t="inlineStr">
        <is>
          <t>PLANO</t>
        </is>
      </c>
      <c r="R431" t="inlineStr">
        <is>
          <t>Z09</t>
        </is>
      </c>
      <c r="S431" s="20" t="n">
        <v>46320</v>
      </c>
    </row>
    <row r="432">
      <c r="A432" t="inlineStr">
        <is>
          <t>MEC</t>
        </is>
      </c>
      <c r="B432" t="inlineStr">
        <is>
          <t>438657410</t>
        </is>
      </c>
      <c r="C432" t="n">
        <v>4386574</v>
      </c>
      <c r="D432" t="inlineStr">
        <is>
          <t>ENCERRADA</t>
        </is>
      </c>
      <c r="E432" s="20" t="n">
        <v>46321</v>
      </c>
      <c r="F432" t="n">
        <v>3</v>
      </c>
      <c r="G432" t="n">
        <v>3</v>
      </c>
      <c r="H432" s="20" t="n">
        <v>46321</v>
      </c>
      <c r="I432" t="n">
        <v>4386574</v>
      </c>
      <c r="J432" t="n">
        <v>10</v>
      </c>
      <c r="K432" t="inlineStr">
        <is>
          <t>MEC</t>
        </is>
      </c>
      <c r="L432" t="inlineStr">
        <is>
          <t>INS-1500 INSP OPM VISUAL BOMBA</t>
        </is>
      </c>
      <c r="M432" t="inlineStr">
        <is>
          <t>INSP VISUAL BOMBA INS-1500 MEC 1M</t>
        </is>
      </c>
      <c r="N432" t="inlineStr">
        <is>
          <t>PERGC-PSCP-PNN-04-46-01</t>
        </is>
      </c>
      <c r="O432" t="inlineStr">
        <is>
          <t>65JC002-PB1 BOMBA MANUAL</t>
        </is>
      </c>
      <c r="P432" t="n">
        <v>1</v>
      </c>
      <c r="Q432" t="inlineStr">
        <is>
          <t>PLANO</t>
        </is>
      </c>
      <c r="R432" t="inlineStr">
        <is>
          <t>Z09</t>
        </is>
      </c>
      <c r="S432" s="20" t="n">
        <v>46321</v>
      </c>
    </row>
    <row r="433">
      <c r="A433" t="inlineStr">
        <is>
          <t>ELE</t>
        </is>
      </c>
      <c r="B433" t="inlineStr">
        <is>
          <t>438676210</t>
        </is>
      </c>
      <c r="C433" t="n">
        <v>4386762</v>
      </c>
      <c r="D433" t="inlineStr">
        <is>
          <t>ABERTA</t>
        </is>
      </c>
      <c r="E433" s="20" t="n">
        <v>46323</v>
      </c>
      <c r="F433" t="n">
        <v>5</v>
      </c>
      <c r="G433" t="n">
        <v>2</v>
      </c>
      <c r="H433" s="20" t="n">
        <v>46323</v>
      </c>
      <c r="I433" t="n">
        <v>4386762</v>
      </c>
      <c r="J433" t="n">
        <v>10</v>
      </c>
      <c r="K433" t="inlineStr">
        <is>
          <t>ELE</t>
        </is>
      </c>
      <c r="L433" t="inlineStr">
        <is>
          <t>INS-1224 INSP INS SCR/VFD/SOFT START</t>
        </is>
      </c>
      <c r="M433" t="inlineStr">
        <is>
          <t>INSP SCR/VFD/SOFT START INS-1224 ELE 1M</t>
        </is>
      </c>
      <c r="N433" t="inlineStr">
        <is>
          <t>PERGC-PSCP-POC-04-13-01</t>
        </is>
      </c>
      <c r="O433" t="inlineStr">
        <is>
          <t>13ER011 VFD MOTOR BOMBA SUBMERSA</t>
        </is>
      </c>
      <c r="P433" t="n">
        <v>2</v>
      </c>
      <c r="Q433" t="inlineStr">
        <is>
          <t>PLANO</t>
        </is>
      </c>
      <c r="R433" t="inlineStr">
        <is>
          <t>Z09</t>
        </is>
      </c>
      <c r="S433" s="20" t="n">
        <v>46323</v>
      </c>
    </row>
    <row r="434">
      <c r="A434" t="inlineStr">
        <is>
          <t>TER</t>
        </is>
      </c>
      <c r="B434" t="inlineStr">
        <is>
          <t>438659410</t>
        </is>
      </c>
      <c r="C434" t="n">
        <v>4386594</v>
      </c>
      <c r="D434" t="inlineStr">
        <is>
          <t>ABERTA</t>
        </is>
      </c>
      <c r="E434" s="20" t="n">
        <v>46322</v>
      </c>
      <c r="F434" t="n">
        <v>5</v>
      </c>
      <c r="G434" t="n">
        <v>3</v>
      </c>
      <c r="H434" s="20" t="n">
        <v>46322</v>
      </c>
      <c r="I434" t="n">
        <v>4386594</v>
      </c>
      <c r="J434" t="n">
        <v>10</v>
      </c>
      <c r="K434" t="inlineStr">
        <is>
          <t>TER</t>
        </is>
      </c>
      <c r="L434" t="inlineStr">
        <is>
          <t>PSE-1224 MANUT TER CONTROL/INVERS</t>
        </is>
      </c>
      <c r="M434" t="inlineStr">
        <is>
          <t>MANUT CONTROL/INVERS PSE-1224 ELE 3A</t>
        </is>
      </c>
      <c r="N434" t="inlineStr">
        <is>
          <t>PERGC-PSCP-POC-19-13-01</t>
        </is>
      </c>
      <c r="O434" t="inlineStr">
        <is>
          <t>13ER0701 VFD MOTOR BOMBA SUBMERSA</t>
        </is>
      </c>
      <c r="P434" t="n">
        <v>4</v>
      </c>
      <c r="Q434" t="inlineStr">
        <is>
          <t>PLANO-VEND</t>
        </is>
      </c>
      <c r="R434" t="inlineStr">
        <is>
          <t>Z12</t>
        </is>
      </c>
      <c r="S434" s="20" t="n">
        <v>46322</v>
      </c>
    </row>
    <row r="435">
      <c r="A435" t="inlineStr">
        <is>
          <t>TER</t>
        </is>
      </c>
      <c r="B435" t="inlineStr">
        <is>
          <t>438588710</t>
        </is>
      </c>
      <c r="C435" t="n">
        <v>4385887</v>
      </c>
      <c r="D435" t="inlineStr">
        <is>
          <t>ABERTA</t>
        </is>
      </c>
      <c r="E435" s="20" t="n">
        <v>46316</v>
      </c>
      <c r="F435" t="n">
        <v>3</v>
      </c>
      <c r="G435" t="n">
        <v>3</v>
      </c>
      <c r="H435" s="20" t="n">
        <v>46316</v>
      </c>
      <c r="I435" t="n">
        <v>4385887</v>
      </c>
      <c r="J435" t="n">
        <v>10</v>
      </c>
      <c r="K435" t="inlineStr">
        <is>
          <t>TER</t>
        </is>
      </c>
      <c r="L435" t="inlineStr">
        <is>
          <t>PSE-1224 MANUT TER CONTROL/INVERS</t>
        </is>
      </c>
      <c r="M435" t="inlineStr">
        <is>
          <t>MANUT CONTROL/INVERS PSE-1224 ELE 3A</t>
        </is>
      </c>
      <c r="N435" t="inlineStr">
        <is>
          <t>PERGC-PSCP-POC-55-13-01</t>
        </is>
      </c>
      <c r="O435" t="inlineStr">
        <is>
          <t>13ER019 VFD MOTOR BOMBA SUBMERSA</t>
        </is>
      </c>
      <c r="P435" t="n">
        <v>4</v>
      </c>
      <c r="Q435" t="inlineStr">
        <is>
          <t>PLANO-VEND</t>
        </is>
      </c>
      <c r="R435" t="inlineStr">
        <is>
          <t>Z12</t>
        </is>
      </c>
      <c r="S435" s="20" t="n">
        <v>46316</v>
      </c>
    </row>
    <row r="436">
      <c r="A436" t="inlineStr">
        <is>
          <t>ELE</t>
        </is>
      </c>
      <c r="B436" t="inlineStr">
        <is>
          <t>438640210</t>
        </is>
      </c>
      <c r="C436" t="n">
        <v>4386402</v>
      </c>
      <c r="D436" t="inlineStr">
        <is>
          <t>ENCERRADA</t>
        </is>
      </c>
      <c r="E436" s="20" t="n">
        <v>46311</v>
      </c>
      <c r="F436" t="n">
        <v>3</v>
      </c>
      <c r="G436" t="n">
        <v>2</v>
      </c>
      <c r="H436" s="20" t="n">
        <v>46311</v>
      </c>
      <c r="I436" t="n">
        <v>4386402</v>
      </c>
      <c r="J436" t="n">
        <v>10</v>
      </c>
      <c r="K436" t="inlineStr">
        <is>
          <t>ELE</t>
        </is>
      </c>
      <c r="L436" t="inlineStr">
        <is>
          <t>INS-1224 INSP INS SCR/VFD/SOFT START</t>
        </is>
      </c>
      <c r="M436" t="inlineStr">
        <is>
          <t>INSP SCR/VFD/SOFT START INS-1224 ELE 1M</t>
        </is>
      </c>
      <c r="N436" t="inlineStr">
        <is>
          <t>PERGC-PSCP-POC-64-13-01</t>
        </is>
      </c>
      <c r="O436" t="inlineStr">
        <is>
          <t>13ER021 VFD MOTOR BOMBA SUBMERSA</t>
        </is>
      </c>
      <c r="P436" t="n">
        <v>2</v>
      </c>
      <c r="Q436" t="inlineStr">
        <is>
          <t>PLANO</t>
        </is>
      </c>
      <c r="R436" t="inlineStr">
        <is>
          <t>Z09</t>
        </is>
      </c>
      <c r="S436" s="20" t="n">
        <v>46311</v>
      </c>
    </row>
    <row r="437">
      <c r="A437" t="inlineStr">
        <is>
          <t>ELE</t>
        </is>
      </c>
      <c r="B437" t="inlineStr">
        <is>
          <t>438643210</t>
        </is>
      </c>
      <c r="C437" t="n">
        <v>4386432</v>
      </c>
      <c r="D437" t="inlineStr">
        <is>
          <t>ENCERRADA</t>
        </is>
      </c>
      <c r="E437" s="20" t="n">
        <v>46313</v>
      </c>
      <c r="F437" t="n">
        <v>3</v>
      </c>
      <c r="G437" t="n">
        <v>2</v>
      </c>
      <c r="H437" s="20" t="n">
        <v>46313</v>
      </c>
      <c r="I437" t="n">
        <v>4386432</v>
      </c>
      <c r="J437" t="n">
        <v>10</v>
      </c>
      <c r="K437" t="inlineStr">
        <is>
          <t>ELE</t>
        </is>
      </c>
      <c r="L437" t="inlineStr">
        <is>
          <t>INS-1224 INSP INS SCR/VFD/SOFT START</t>
        </is>
      </c>
      <c r="M437" t="inlineStr">
        <is>
          <t>INSP SCR/VFD/SOFT START INS-1224 ELE 1M</t>
        </is>
      </c>
      <c r="N437" t="inlineStr">
        <is>
          <t>PERGC-PSCP-POC-70-13-01</t>
        </is>
      </c>
      <c r="O437" t="inlineStr">
        <is>
          <t>13ER030 VFD MOTOR BOMBA SUBMERSA</t>
        </is>
      </c>
      <c r="P437" t="n">
        <v>2</v>
      </c>
      <c r="Q437" t="inlineStr">
        <is>
          <t>PLANO</t>
        </is>
      </c>
      <c r="R437" t="inlineStr">
        <is>
          <t>Z09</t>
        </is>
      </c>
      <c r="S437" s="20" t="n">
        <v>46313</v>
      </c>
    </row>
    <row r="438">
      <c r="A438" t="inlineStr">
        <is>
          <t>ELE</t>
        </is>
      </c>
      <c r="B438" t="inlineStr">
        <is>
          <t>438640410</t>
        </is>
      </c>
      <c r="C438" t="n">
        <v>4386404</v>
      </c>
      <c r="D438" t="inlineStr">
        <is>
          <t>ENCERRADA</t>
        </is>
      </c>
      <c r="E438" s="20" t="n">
        <v>46311</v>
      </c>
      <c r="F438" t="n">
        <v>3</v>
      </c>
      <c r="G438" t="n">
        <v>2</v>
      </c>
      <c r="H438" s="20" t="n">
        <v>46311</v>
      </c>
      <c r="I438" t="n">
        <v>4386404</v>
      </c>
      <c r="J438" t="n">
        <v>10</v>
      </c>
      <c r="K438" t="inlineStr">
        <is>
          <t>ELE</t>
        </is>
      </c>
      <c r="L438" t="inlineStr">
        <is>
          <t>INS-1224 INSP INS SCR/VFD/SOFT START</t>
        </is>
      </c>
      <c r="M438" t="inlineStr">
        <is>
          <t>INSP SCR/VFD/SOFT START INS-1224 ELE 1M</t>
        </is>
      </c>
      <c r="N438" t="inlineStr">
        <is>
          <t>PERGC-PSCP-POC-76-13-01</t>
        </is>
      </c>
      <c r="O438" t="inlineStr">
        <is>
          <t>13ER026 VFD MOTOR BOMBA SUBMERSA</t>
        </is>
      </c>
      <c r="P438" t="n">
        <v>2</v>
      </c>
      <c r="Q438" t="inlineStr">
        <is>
          <t>PLANO</t>
        </is>
      </c>
      <c r="R438" t="inlineStr">
        <is>
          <t>Z09</t>
        </is>
      </c>
      <c r="S438" s="20" t="n">
        <v>46311</v>
      </c>
    </row>
    <row r="439">
      <c r="A439" t="inlineStr">
        <is>
          <t>INS</t>
        </is>
      </c>
      <c r="B439" t="inlineStr">
        <is>
          <t>439091010</t>
        </is>
      </c>
      <c r="C439" t="n">
        <v>4390910</v>
      </c>
      <c r="D439" t="inlineStr">
        <is>
          <t>ENCERRADA</t>
        </is>
      </c>
      <c r="E439" s="20" t="n">
        <v>46326</v>
      </c>
      <c r="F439" t="n">
        <v>3</v>
      </c>
      <c r="G439" t="n">
        <v>2</v>
      </c>
      <c r="H439" s="20" t="n">
        <v>46325</v>
      </c>
      <c r="I439" t="n">
        <v>4390910</v>
      </c>
      <c r="J439" t="n">
        <v>10</v>
      </c>
      <c r="K439" t="inlineStr">
        <is>
          <t>POMMET</t>
        </is>
      </c>
      <c r="L439" t="inlineStr">
        <is>
          <t>03M TEMP TRANSMITTER - CALIBRATION</t>
        </is>
      </c>
      <c r="M439" t="inlineStr">
        <is>
          <t>STOP-U 43TIT0001 TEMP TRANS FLARE CALIB</t>
        </is>
      </c>
      <c r="N439" t="inlineStr">
        <is>
          <t>PERGC-PSFL-FLR-04-04-01</t>
        </is>
      </c>
      <c r="O439" t="inlineStr">
        <is>
          <t>43TIT0001 TRANSMISSOR IND TEMPERATURA</t>
        </is>
      </c>
      <c r="P439" t="n">
        <v>1</v>
      </c>
      <c r="Q439" t="inlineStr">
        <is>
          <t>PLANO</t>
        </is>
      </c>
      <c r="R439" t="inlineStr">
        <is>
          <t>Z12</t>
        </is>
      </c>
      <c r="S439" s="20" t="n">
        <v>46325</v>
      </c>
    </row>
    <row r="440">
      <c r="A440" t="inlineStr">
        <is>
          <t>AUT</t>
        </is>
      </c>
      <c r="B440" t="inlineStr">
        <is>
          <t>439091020</t>
        </is>
      </c>
      <c r="C440" t="n">
        <v>4390910</v>
      </c>
      <c r="D440" t="inlineStr">
        <is>
          <t>ENCERRADA</t>
        </is>
      </c>
      <c r="E440" s="20" t="n">
        <v>46326</v>
      </c>
      <c r="F440" t="n">
        <v>3</v>
      </c>
      <c r="G440" t="n">
        <v>2</v>
      </c>
      <c r="H440" s="20" t="n">
        <v>46325</v>
      </c>
      <c r="I440" t="n">
        <v>4390910</v>
      </c>
      <c r="J440" t="n">
        <v>20</v>
      </c>
      <c r="K440" t="inlineStr">
        <is>
          <t>E38AUT</t>
        </is>
      </c>
      <c r="L440" t="inlineStr">
        <is>
          <t>03M TEMP TRANSMITTER - CALIBRATION SUPP</t>
        </is>
      </c>
      <c r="M440" t="inlineStr">
        <is>
          <t>STOP-U 43TIT0001 TEMP TRANS FLARE CALIB</t>
        </is>
      </c>
      <c r="N440" t="inlineStr">
        <is>
          <t>PERGC-PSFL-FLR-04-04-01</t>
        </is>
      </c>
      <c r="O440" t="inlineStr">
        <is>
          <t>43TIT0001 TRANSMISSOR IND TEMPERATURA</t>
        </is>
      </c>
      <c r="P440" t="n">
        <v>3</v>
      </c>
      <c r="Q440" t="inlineStr">
        <is>
          <t>PLANO</t>
        </is>
      </c>
      <c r="R440" t="inlineStr">
        <is>
          <t>Z12</t>
        </is>
      </c>
      <c r="S440" s="20" t="n">
        <v>46325</v>
      </c>
    </row>
    <row r="441">
      <c r="A441" t="inlineStr">
        <is>
          <t>INS</t>
        </is>
      </c>
      <c r="B441" t="inlineStr">
        <is>
          <t>439091030</t>
        </is>
      </c>
      <c r="C441" t="n">
        <v>4390910</v>
      </c>
      <c r="D441" t="inlineStr">
        <is>
          <t>ENCERRADA</t>
        </is>
      </c>
      <c r="E441" s="20" t="n">
        <v>46326</v>
      </c>
      <c r="F441" t="n">
        <v>3</v>
      </c>
      <c r="G441" t="n">
        <v>2</v>
      </c>
      <c r="H441" s="20" t="n">
        <v>46325</v>
      </c>
      <c r="I441" t="n">
        <v>4390910</v>
      </c>
      <c r="J441" t="n">
        <v>30</v>
      </c>
      <c r="K441" t="inlineStr">
        <is>
          <t>POMMET</t>
        </is>
      </c>
      <c r="L441" t="inlineStr">
        <is>
          <t>03M COMPUTER FLOW CALIBRATION</t>
        </is>
      </c>
      <c r="M441" t="inlineStr">
        <is>
          <t>STOP-U 43TIT0001 TEMP TRANS FLARE CALIB</t>
        </is>
      </c>
      <c r="N441" t="inlineStr">
        <is>
          <t>PERGC-PSFL-FLR-04-04-01</t>
        </is>
      </c>
      <c r="O441" t="inlineStr">
        <is>
          <t>43TIT0001 TRANSMISSOR IND TEMPERATURA</t>
        </is>
      </c>
      <c r="P441" t="n">
        <v>0.5</v>
      </c>
      <c r="Q441" t="inlineStr">
        <is>
          <t>PLANO</t>
        </is>
      </c>
      <c r="R441" t="inlineStr">
        <is>
          <t>Z12</t>
        </is>
      </c>
      <c r="S441" s="20" t="n">
        <v>46325</v>
      </c>
    </row>
    <row r="442">
      <c r="A442" t="inlineStr">
        <is>
          <t>MEC</t>
        </is>
      </c>
      <c r="B442" t="inlineStr">
        <is>
          <t>438672910</t>
        </is>
      </c>
      <c r="C442" t="n">
        <v>4386729</v>
      </c>
      <c r="D442" t="inlineStr">
        <is>
          <t>ENCERRADA</t>
        </is>
      </c>
      <c r="E442" s="20" t="n">
        <v>46316</v>
      </c>
      <c r="F442" t="n">
        <v>3</v>
      </c>
      <c r="G442" t="n">
        <v>2</v>
      </c>
      <c r="H442" s="20" t="n">
        <v>46316</v>
      </c>
      <c r="I442" t="n">
        <v>4386729</v>
      </c>
      <c r="J442" t="n">
        <v>10</v>
      </c>
      <c r="K442" t="inlineStr">
        <is>
          <t>MEC</t>
        </is>
      </c>
      <c r="L442" t="inlineStr">
        <is>
          <t>INS-1500 INSP OPM VISUAL BOMBA</t>
        </is>
      </c>
      <c r="M442" t="inlineStr">
        <is>
          <t>INSP VISUAL BOMBA INS-1500 MEC 1M</t>
        </is>
      </c>
      <c r="N442" t="inlineStr">
        <is>
          <t>PERGC-PSFL-VAS-07-01</t>
        </is>
      </c>
      <c r="O442" t="inlineStr">
        <is>
          <t>43PG001B BOMBA DREANGEM</t>
        </is>
      </c>
      <c r="P442" t="n">
        <v>1</v>
      </c>
      <c r="Q442" t="inlineStr">
        <is>
          <t>PLANO</t>
        </is>
      </c>
      <c r="R442" t="inlineStr">
        <is>
          <t>Z09</t>
        </is>
      </c>
      <c r="S442" s="20" t="n">
        <v>46316</v>
      </c>
    </row>
    <row r="443">
      <c r="A443" t="inlineStr">
        <is>
          <t>PRO</t>
        </is>
      </c>
      <c r="B443" t="inlineStr">
        <is>
          <t>438567110</t>
        </is>
      </c>
      <c r="C443" t="n">
        <v>4385671</v>
      </c>
      <c r="D443" t="inlineStr">
        <is>
          <t>ABERTA</t>
        </is>
      </c>
      <c r="E443" s="20" t="n">
        <v>46323</v>
      </c>
      <c r="F443" t="n">
        <v>3</v>
      </c>
      <c r="G443" t="n">
        <v>2</v>
      </c>
      <c r="H443" s="20" t="n">
        <v>46323</v>
      </c>
      <c r="I443" t="n">
        <v>4385671</v>
      </c>
      <c r="J443" t="n">
        <v>10</v>
      </c>
      <c r="K443" t="inlineStr">
        <is>
          <t>PRO</t>
        </is>
      </c>
      <c r="L443" t="inlineStr">
        <is>
          <t>INS-1813 INSP PRO FILTRO</t>
        </is>
      </c>
      <c r="M443" t="inlineStr">
        <is>
          <t>INSP FILTRO INS-1813 PRO 4M</t>
        </is>
      </c>
      <c r="N443" t="inlineStr">
        <is>
          <t>PERGC-PSFL-VAS-07-31-01</t>
        </is>
      </c>
      <c r="O443" t="inlineStr">
        <is>
          <t>SI-0011 FILTRO LINHA</t>
        </is>
      </c>
      <c r="P443" t="n">
        <v>3</v>
      </c>
      <c r="Q443" t="inlineStr">
        <is>
          <t>PLANO</t>
        </is>
      </c>
      <c r="R443" t="inlineStr">
        <is>
          <t>Z09</t>
        </is>
      </c>
      <c r="S443" s="20" t="n">
        <v>46323</v>
      </c>
    </row>
    <row r="444">
      <c r="A444" t="inlineStr">
        <is>
          <t>INS</t>
        </is>
      </c>
      <c r="B444" t="inlineStr">
        <is>
          <t>439090610</t>
        </is>
      </c>
      <c r="C444" t="n">
        <v>4390906</v>
      </c>
      <c r="D444" t="inlineStr">
        <is>
          <t>ENCERRADA</t>
        </is>
      </c>
      <c r="E444" s="20" t="n">
        <v>46326</v>
      </c>
      <c r="F444" t="n">
        <v>3</v>
      </c>
      <c r="G444" t="n">
        <v>2</v>
      </c>
      <c r="H444" s="20" t="n">
        <v>46325</v>
      </c>
      <c r="I444" t="n">
        <v>4390906</v>
      </c>
      <c r="J444" t="n">
        <v>10</v>
      </c>
      <c r="K444" t="inlineStr">
        <is>
          <t>POMMET</t>
        </is>
      </c>
      <c r="L444" t="inlineStr">
        <is>
          <t>03M PRESSURE LOOP - CALIBRATION</t>
        </is>
      </c>
      <c r="M444" t="inlineStr">
        <is>
          <t>STOP-U 45PIT0050 TRANSMITTER CALIBRATION</t>
        </is>
      </c>
      <c r="N444" t="inlineStr">
        <is>
          <t>PERGC-PSGC-GIM-01-13-01-10-01</t>
        </is>
      </c>
      <c r="O444" t="inlineStr">
        <is>
          <t>45PIT0050 TRANSMISSOR IND PRESSAO</t>
        </is>
      </c>
      <c r="P444" t="n">
        <v>1</v>
      </c>
      <c r="Q444" t="inlineStr">
        <is>
          <t>PLANO</t>
        </is>
      </c>
      <c r="R444" t="inlineStr">
        <is>
          <t>Z12</t>
        </is>
      </c>
      <c r="S444" s="20" t="n">
        <v>46325</v>
      </c>
    </row>
    <row r="445">
      <c r="A445" t="inlineStr">
        <is>
          <t>AUT</t>
        </is>
      </c>
      <c r="B445" t="inlineStr">
        <is>
          <t>439090620</t>
        </is>
      </c>
      <c r="C445" t="n">
        <v>4390906</v>
      </c>
      <c r="D445" t="inlineStr">
        <is>
          <t>ENCERRADA</t>
        </is>
      </c>
      <c r="E445" s="20" t="n">
        <v>46326</v>
      </c>
      <c r="F445" t="n">
        <v>3</v>
      </c>
      <c r="G445" t="n">
        <v>2</v>
      </c>
      <c r="H445" s="20" t="n">
        <v>46325</v>
      </c>
      <c r="I445" t="n">
        <v>4390906</v>
      </c>
      <c r="J445" t="n">
        <v>20</v>
      </c>
      <c r="K445" t="inlineStr">
        <is>
          <t>E38AUT</t>
        </is>
      </c>
      <c r="L445" t="inlineStr">
        <is>
          <t>03M PRESSURE LOOP - CALIBRATION SUPPORT</t>
        </is>
      </c>
      <c r="M445" t="inlineStr">
        <is>
          <t>STOP-U 45PIT0050 TRANSMITTER CALIBRATION</t>
        </is>
      </c>
      <c r="N445" t="inlineStr">
        <is>
          <t>PERGC-PSGC-GIM-01-13-01-10-01</t>
        </is>
      </c>
      <c r="O445" t="inlineStr">
        <is>
          <t>45PIT0050 TRANSMISSOR IND PRESSAO</t>
        </is>
      </c>
      <c r="P445" t="n">
        <v>3</v>
      </c>
      <c r="Q445" t="inlineStr">
        <is>
          <t>PLANO</t>
        </is>
      </c>
      <c r="R445" t="inlineStr">
        <is>
          <t>Z12</t>
        </is>
      </c>
      <c r="S445" s="20" t="n">
        <v>46325</v>
      </c>
    </row>
    <row r="446">
      <c r="A446" t="inlineStr">
        <is>
          <t>INS</t>
        </is>
      </c>
      <c r="B446" t="inlineStr">
        <is>
          <t>439090630</t>
        </is>
      </c>
      <c r="C446" t="n">
        <v>4390906</v>
      </c>
      <c r="D446" t="inlineStr">
        <is>
          <t>ENCERRADA</t>
        </is>
      </c>
      <c r="E446" s="20" t="n">
        <v>46326</v>
      </c>
      <c r="F446" t="n">
        <v>3</v>
      </c>
      <c r="G446" t="n">
        <v>2</v>
      </c>
      <c r="H446" s="20" t="n">
        <v>46325</v>
      </c>
      <c r="I446" t="n">
        <v>4390906</v>
      </c>
      <c r="J446" t="n">
        <v>30</v>
      </c>
      <c r="K446" t="inlineStr">
        <is>
          <t>POMMET</t>
        </is>
      </c>
      <c r="L446" t="inlineStr">
        <is>
          <t>03M COMPUTER FLOW CALIBRATION</t>
        </is>
      </c>
      <c r="M446" t="inlineStr">
        <is>
          <t>STOP-U 45PIT0050 TRANSMITTER CALIBRATION</t>
        </is>
      </c>
      <c r="N446" t="inlineStr">
        <is>
          <t>PERGC-PSGC-GIM-01-13-01-10-01</t>
        </is>
      </c>
      <c r="O446" t="inlineStr">
        <is>
          <t>45PIT0050 TRANSMISSOR IND PRESSAO</t>
        </is>
      </c>
      <c r="P446" t="n">
        <v>0.5</v>
      </c>
      <c r="Q446" t="inlineStr">
        <is>
          <t>PLANO</t>
        </is>
      </c>
      <c r="R446" t="inlineStr">
        <is>
          <t>Z12</t>
        </is>
      </c>
      <c r="S446" s="20" t="n">
        <v>46325</v>
      </c>
    </row>
    <row r="447">
      <c r="A447" t="inlineStr">
        <is>
          <t>INS</t>
        </is>
      </c>
      <c r="B447" t="inlineStr">
        <is>
          <t>439091110</t>
        </is>
      </c>
      <c r="C447" t="n">
        <v>4390911</v>
      </c>
      <c r="D447" t="inlineStr">
        <is>
          <t>ENCERRADA</t>
        </is>
      </c>
      <c r="E447" s="20" t="n">
        <v>46326</v>
      </c>
      <c r="F447" t="n">
        <v>3</v>
      </c>
      <c r="G447" t="n">
        <v>2</v>
      </c>
      <c r="H447" s="20" t="n">
        <v>46325</v>
      </c>
      <c r="I447" t="n">
        <v>4390911</v>
      </c>
      <c r="J447" t="n">
        <v>10</v>
      </c>
      <c r="K447" t="inlineStr">
        <is>
          <t>POMMET</t>
        </is>
      </c>
      <c r="L447" t="inlineStr">
        <is>
          <t>03M TEMP TRANSMITTER - CALIBRATION</t>
        </is>
      </c>
      <c r="M447" t="inlineStr">
        <is>
          <t>STOP-U 45TIT0050 STR1_IMP GAS TT CALIB</t>
        </is>
      </c>
      <c r="N447" t="inlineStr">
        <is>
          <t>PERGC-PSGC-GIM-01-13-01-13-01</t>
        </is>
      </c>
      <c r="O447" t="inlineStr">
        <is>
          <t>45TIT0050 TRANSMISSOR IND TEMPERATURA</t>
        </is>
      </c>
      <c r="P447" t="n">
        <v>1</v>
      </c>
      <c r="Q447" t="inlineStr">
        <is>
          <t>PLANO</t>
        </is>
      </c>
      <c r="R447" t="inlineStr">
        <is>
          <t>Z12</t>
        </is>
      </c>
      <c r="S447" s="20" t="n">
        <v>46325</v>
      </c>
    </row>
    <row r="448">
      <c r="A448" t="inlineStr">
        <is>
          <t>AUT</t>
        </is>
      </c>
      <c r="B448" t="inlineStr">
        <is>
          <t>439091120</t>
        </is>
      </c>
      <c r="C448" t="n">
        <v>4390911</v>
      </c>
      <c r="D448" t="inlineStr">
        <is>
          <t>ENCERRADA</t>
        </is>
      </c>
      <c r="E448" s="20" t="n">
        <v>46326</v>
      </c>
      <c r="F448" t="n">
        <v>3</v>
      </c>
      <c r="G448" t="n">
        <v>2</v>
      </c>
      <c r="H448" s="20" t="n">
        <v>46325</v>
      </c>
      <c r="I448" t="n">
        <v>4390911</v>
      </c>
      <c r="J448" t="n">
        <v>20</v>
      </c>
      <c r="K448" t="inlineStr">
        <is>
          <t>E38AUT</t>
        </is>
      </c>
      <c r="L448" t="inlineStr">
        <is>
          <t>03M TEMP TRANSMITTER - CALIBRATION SUPP</t>
        </is>
      </c>
      <c r="M448" t="inlineStr">
        <is>
          <t>STOP-U 45TIT0050 STR1_IMP GAS TT CALIB</t>
        </is>
      </c>
      <c r="N448" t="inlineStr">
        <is>
          <t>PERGC-PSGC-GIM-01-13-01-13-01</t>
        </is>
      </c>
      <c r="O448" t="inlineStr">
        <is>
          <t>45TIT0050 TRANSMISSOR IND TEMPERATURA</t>
        </is>
      </c>
      <c r="P448" t="n">
        <v>3</v>
      </c>
      <c r="Q448" t="inlineStr">
        <is>
          <t>PLANO</t>
        </is>
      </c>
      <c r="R448" t="inlineStr">
        <is>
          <t>Z12</t>
        </is>
      </c>
      <c r="S448" s="20" t="n">
        <v>46325</v>
      </c>
    </row>
    <row r="449">
      <c r="A449" t="inlineStr">
        <is>
          <t>INS</t>
        </is>
      </c>
      <c r="B449" t="inlineStr">
        <is>
          <t>439091130</t>
        </is>
      </c>
      <c r="C449" t="n">
        <v>4390911</v>
      </c>
      <c r="D449" t="inlineStr">
        <is>
          <t>ENCERRADA</t>
        </is>
      </c>
      <c r="E449" s="20" t="n">
        <v>46326</v>
      </c>
      <c r="F449" t="n">
        <v>3</v>
      </c>
      <c r="G449" t="n">
        <v>2</v>
      </c>
      <c r="H449" s="20" t="n">
        <v>46325</v>
      </c>
      <c r="I449" t="n">
        <v>4390911</v>
      </c>
      <c r="J449" t="n">
        <v>30</v>
      </c>
      <c r="K449" t="inlineStr">
        <is>
          <t>POMMET</t>
        </is>
      </c>
      <c r="L449" t="inlineStr">
        <is>
          <t>03M COMPUTER FLOW CALIBRATION</t>
        </is>
      </c>
      <c r="M449" t="inlineStr">
        <is>
          <t>STOP-U 45TIT0050 STR1_IMP GAS TT CALIB</t>
        </is>
      </c>
      <c r="N449" t="inlineStr">
        <is>
          <t>PERGC-PSGC-GIM-01-13-01-13-01</t>
        </is>
      </c>
      <c r="O449" t="inlineStr">
        <is>
          <t>45TIT0050 TRANSMISSOR IND TEMPERATURA</t>
        </is>
      </c>
      <c r="P449" t="n">
        <v>0.5</v>
      </c>
      <c r="Q449" t="inlineStr">
        <is>
          <t>PLANO</t>
        </is>
      </c>
      <c r="R449" t="inlineStr">
        <is>
          <t>Z12</t>
        </is>
      </c>
      <c r="S449" s="20" t="n">
        <v>46325</v>
      </c>
    </row>
    <row r="450">
      <c r="A450" t="inlineStr">
        <is>
          <t>INS</t>
        </is>
      </c>
      <c r="B450" t="inlineStr">
        <is>
          <t>439090410</t>
        </is>
      </c>
      <c r="C450" t="n">
        <v>4390904</v>
      </c>
      <c r="D450" t="inlineStr">
        <is>
          <t>ENCERRADA</t>
        </is>
      </c>
      <c r="E450" s="20" t="n">
        <v>46326</v>
      </c>
      <c r="F450" t="n">
        <v>3</v>
      </c>
      <c r="G450" t="n">
        <v>2</v>
      </c>
      <c r="H450" s="20" t="n">
        <v>46325</v>
      </c>
      <c r="I450" t="n">
        <v>4390904</v>
      </c>
      <c r="J450" t="n">
        <v>10</v>
      </c>
      <c r="K450" t="inlineStr">
        <is>
          <t>POMMET</t>
        </is>
      </c>
      <c r="L450" t="inlineStr">
        <is>
          <t>03M DIF PRESS TRANSM - CALIBRATION</t>
        </is>
      </c>
      <c r="M450" t="inlineStr">
        <is>
          <t>STOP-U 45FIT0050 TRANSMITTER CALIBRATION</t>
        </is>
      </c>
      <c r="N450" t="inlineStr">
        <is>
          <t>PERGC-PSGC-GIM-01-13-01-16-01</t>
        </is>
      </c>
      <c r="O450" t="inlineStr">
        <is>
          <t>45FIT0050 TRANSMISSOR IND VAZAO</t>
        </is>
      </c>
      <c r="P450" t="n">
        <v>1</v>
      </c>
      <c r="Q450" t="inlineStr">
        <is>
          <t>PLANO</t>
        </is>
      </c>
      <c r="R450" t="inlineStr">
        <is>
          <t>Z12</t>
        </is>
      </c>
      <c r="S450" s="20" t="n">
        <v>46325</v>
      </c>
    </row>
    <row r="451">
      <c r="A451" t="inlineStr">
        <is>
          <t>AUT</t>
        </is>
      </c>
      <c r="B451" t="inlineStr">
        <is>
          <t>439090420</t>
        </is>
      </c>
      <c r="C451" t="n">
        <v>4390904</v>
      </c>
      <c r="D451" t="inlineStr">
        <is>
          <t>ENCERRADA</t>
        </is>
      </c>
      <c r="E451" s="20" t="n">
        <v>46326</v>
      </c>
      <c r="F451" t="n">
        <v>3</v>
      </c>
      <c r="G451" t="n">
        <v>2</v>
      </c>
      <c r="H451" s="20" t="n">
        <v>46325</v>
      </c>
      <c r="I451" t="n">
        <v>4390904</v>
      </c>
      <c r="J451" t="n">
        <v>20</v>
      </c>
      <c r="K451" t="inlineStr">
        <is>
          <t>E38AUT</t>
        </is>
      </c>
      <c r="L451" t="inlineStr">
        <is>
          <t>03M DIF PRESS TRANSM - CALIBRATION SUPP</t>
        </is>
      </c>
      <c r="M451" t="inlineStr">
        <is>
          <t>STOP-U 45FIT0050 TRANSMITTER CALIBRATION</t>
        </is>
      </c>
      <c r="N451" t="inlineStr">
        <is>
          <t>PERGC-PSGC-GIM-01-13-01-16-01</t>
        </is>
      </c>
      <c r="O451" t="inlineStr">
        <is>
          <t>45FIT0050 TRANSMISSOR IND VAZAO</t>
        </is>
      </c>
      <c r="P451" t="n">
        <v>3</v>
      </c>
      <c r="Q451" t="inlineStr">
        <is>
          <t>PLANO</t>
        </is>
      </c>
      <c r="R451" t="inlineStr">
        <is>
          <t>Z12</t>
        </is>
      </c>
      <c r="S451" s="20" t="n">
        <v>46325</v>
      </c>
    </row>
    <row r="452">
      <c r="A452" t="inlineStr">
        <is>
          <t>INS</t>
        </is>
      </c>
      <c r="B452" t="inlineStr">
        <is>
          <t>439090430</t>
        </is>
      </c>
      <c r="C452" t="n">
        <v>4390904</v>
      </c>
      <c r="D452" t="inlineStr">
        <is>
          <t>ENCERRADA</t>
        </is>
      </c>
      <c r="E452" s="20" t="n">
        <v>46326</v>
      </c>
      <c r="F452" t="n">
        <v>3</v>
      </c>
      <c r="G452" t="n">
        <v>2</v>
      </c>
      <c r="H452" s="20" t="n">
        <v>46325</v>
      </c>
      <c r="I452" t="n">
        <v>4390904</v>
      </c>
      <c r="J452" t="n">
        <v>30</v>
      </c>
      <c r="K452" t="inlineStr">
        <is>
          <t>POMMET</t>
        </is>
      </c>
      <c r="L452" t="inlineStr">
        <is>
          <t>03M COMPUTER FLOW CALIBRATION</t>
        </is>
      </c>
      <c r="M452" t="inlineStr">
        <is>
          <t>STOP-U 45FIT0050 TRANSMITTER CALIBRATION</t>
        </is>
      </c>
      <c r="N452" t="inlineStr">
        <is>
          <t>PERGC-PSGC-GIM-01-13-01-16-01</t>
        </is>
      </c>
      <c r="O452" t="inlineStr">
        <is>
          <t>45FIT0050 TRANSMISSOR IND VAZAO</t>
        </is>
      </c>
      <c r="P452" t="n">
        <v>0.5</v>
      </c>
      <c r="Q452" t="inlineStr">
        <is>
          <t>PLANO</t>
        </is>
      </c>
      <c r="R452" t="inlineStr">
        <is>
          <t>Z12</t>
        </is>
      </c>
      <c r="S452" s="20" t="n">
        <v>46325</v>
      </c>
    </row>
    <row r="453">
      <c r="A453" t="inlineStr">
        <is>
          <t>INS</t>
        </is>
      </c>
      <c r="B453" t="inlineStr">
        <is>
          <t>439090710</t>
        </is>
      </c>
      <c r="C453" t="n">
        <v>4390907</v>
      </c>
      <c r="D453" t="inlineStr">
        <is>
          <t>ENCERRADA</t>
        </is>
      </c>
      <c r="E453" s="20" t="n">
        <v>46326</v>
      </c>
      <c r="F453" t="n">
        <v>3</v>
      </c>
      <c r="G453" t="n">
        <v>2</v>
      </c>
      <c r="H453" s="20" t="n">
        <v>46325</v>
      </c>
      <c r="I453" t="n">
        <v>4390907</v>
      </c>
      <c r="J453" t="n">
        <v>10</v>
      </c>
      <c r="K453" t="inlineStr">
        <is>
          <t>POMMET</t>
        </is>
      </c>
      <c r="L453" t="inlineStr">
        <is>
          <t>03M PRESSURE LOOP - CALIBRATION</t>
        </is>
      </c>
      <c r="M453" t="inlineStr">
        <is>
          <t>STOP-U 45PIT0051 TRANSMITTER CALIBRATION</t>
        </is>
      </c>
      <c r="N453" t="inlineStr">
        <is>
          <t>PERGC-PSGC-GIM-01-13-04-10-01</t>
        </is>
      </c>
      <c r="O453" t="inlineStr">
        <is>
          <t>45PIT0051 TRANSMISSOR IND PRESSAO</t>
        </is>
      </c>
      <c r="P453" t="n">
        <v>1</v>
      </c>
      <c r="Q453" t="inlineStr">
        <is>
          <t>PLANO</t>
        </is>
      </c>
      <c r="R453" t="inlineStr">
        <is>
          <t>Z12</t>
        </is>
      </c>
      <c r="S453" s="20" t="n">
        <v>46325</v>
      </c>
    </row>
    <row r="454">
      <c r="A454" t="inlineStr">
        <is>
          <t>AUT</t>
        </is>
      </c>
      <c r="B454" t="inlineStr">
        <is>
          <t>439090720</t>
        </is>
      </c>
      <c r="C454" t="n">
        <v>4390907</v>
      </c>
      <c r="D454" t="inlineStr">
        <is>
          <t>ENCERRADA</t>
        </is>
      </c>
      <c r="E454" s="20" t="n">
        <v>46326</v>
      </c>
      <c r="F454" t="n">
        <v>3</v>
      </c>
      <c r="G454" t="n">
        <v>2</v>
      </c>
      <c r="H454" s="20" t="n">
        <v>46325</v>
      </c>
      <c r="I454" t="n">
        <v>4390907</v>
      </c>
      <c r="J454" t="n">
        <v>20</v>
      </c>
      <c r="K454" t="inlineStr">
        <is>
          <t>E38AUT</t>
        </is>
      </c>
      <c r="L454" t="inlineStr">
        <is>
          <t>03M PRESSURE LOOP - CALIBRATION SUPPORT</t>
        </is>
      </c>
      <c r="M454" t="inlineStr">
        <is>
          <t>STOP-U 45PIT0051 TRANSMITTER CALIBRATION</t>
        </is>
      </c>
      <c r="N454" t="inlineStr">
        <is>
          <t>PERGC-PSGC-GIM-01-13-04-10-01</t>
        </is>
      </c>
      <c r="O454" t="inlineStr">
        <is>
          <t>45PIT0051 TRANSMISSOR IND PRESSAO</t>
        </is>
      </c>
      <c r="P454" t="n">
        <v>3</v>
      </c>
      <c r="Q454" t="inlineStr">
        <is>
          <t>PLANO</t>
        </is>
      </c>
      <c r="R454" t="inlineStr">
        <is>
          <t>Z12</t>
        </is>
      </c>
      <c r="S454" s="20" t="n">
        <v>46325</v>
      </c>
    </row>
    <row r="455">
      <c r="A455" t="inlineStr">
        <is>
          <t>INS</t>
        </is>
      </c>
      <c r="B455" t="inlineStr">
        <is>
          <t>439090730</t>
        </is>
      </c>
      <c r="C455" t="n">
        <v>4390907</v>
      </c>
      <c r="D455" t="inlineStr">
        <is>
          <t>ENCERRADA</t>
        </is>
      </c>
      <c r="E455" s="20" t="n">
        <v>46326</v>
      </c>
      <c r="F455" t="n">
        <v>3</v>
      </c>
      <c r="G455" t="n">
        <v>2</v>
      </c>
      <c r="H455" s="20" t="n">
        <v>46325</v>
      </c>
      <c r="I455" t="n">
        <v>4390907</v>
      </c>
      <c r="J455" t="n">
        <v>30</v>
      </c>
      <c r="K455" t="inlineStr">
        <is>
          <t>POMMET</t>
        </is>
      </c>
      <c r="L455" t="inlineStr">
        <is>
          <t>03M COMPUTER FLOW CALIBRATION</t>
        </is>
      </c>
      <c r="M455" t="inlineStr">
        <is>
          <t>STOP-U 45PIT0051 TRANSMITTER CALIBRATION</t>
        </is>
      </c>
      <c r="N455" t="inlineStr">
        <is>
          <t>PERGC-PSGC-GIM-01-13-04-10-01</t>
        </is>
      </c>
      <c r="O455" t="inlineStr">
        <is>
          <t>45PIT0051 TRANSMISSOR IND PRESSAO</t>
        </is>
      </c>
      <c r="P455" t="n">
        <v>0.5</v>
      </c>
      <c r="Q455" t="inlineStr">
        <is>
          <t>PLANO</t>
        </is>
      </c>
      <c r="R455" t="inlineStr">
        <is>
          <t>Z12</t>
        </is>
      </c>
      <c r="S455" s="20" t="n">
        <v>46325</v>
      </c>
    </row>
    <row r="456">
      <c r="A456" t="inlineStr">
        <is>
          <t>INS</t>
        </is>
      </c>
      <c r="B456" t="inlineStr">
        <is>
          <t>439091410</t>
        </is>
      </c>
      <c r="C456" t="n">
        <v>4390914</v>
      </c>
      <c r="D456" t="inlineStr">
        <is>
          <t>ENCERRADA</t>
        </is>
      </c>
      <c r="E456" s="20" t="n">
        <v>46325</v>
      </c>
      <c r="F456" t="n">
        <v>3</v>
      </c>
      <c r="G456" t="n">
        <v>2</v>
      </c>
      <c r="H456" s="20" t="n">
        <v>46325</v>
      </c>
      <c r="I456" t="n">
        <v>4390914</v>
      </c>
      <c r="J456" t="n">
        <v>10</v>
      </c>
      <c r="K456" t="inlineStr">
        <is>
          <t>POMMET</t>
        </is>
      </c>
      <c r="L456" t="inlineStr">
        <is>
          <t>03M TEMP TRANSMITTER - CALIBRATION</t>
        </is>
      </c>
      <c r="M456" t="inlineStr">
        <is>
          <t>STOP-U 45TIT0051 STR2_IMP GAS TT CALIB</t>
        </is>
      </c>
      <c r="N456" t="inlineStr">
        <is>
          <t>PERGC-PSGC-GIM-01-13-04-13-01</t>
        </is>
      </c>
      <c r="O456" t="inlineStr">
        <is>
          <t>45TIT0051 TRANSMISSOR IND TEMPERATURA</t>
        </is>
      </c>
      <c r="P456" t="n">
        <v>1</v>
      </c>
      <c r="Q456" t="inlineStr">
        <is>
          <t>PLANO</t>
        </is>
      </c>
      <c r="R456" t="inlineStr">
        <is>
          <t>Z12</t>
        </is>
      </c>
      <c r="S456" s="20" t="n">
        <v>46325</v>
      </c>
    </row>
    <row r="457">
      <c r="A457" t="inlineStr">
        <is>
          <t>AUT</t>
        </is>
      </c>
      <c r="B457" t="inlineStr">
        <is>
          <t>439091420</t>
        </is>
      </c>
      <c r="C457" t="n">
        <v>4390914</v>
      </c>
      <c r="D457" t="inlineStr">
        <is>
          <t>ENCERRADA</t>
        </is>
      </c>
      <c r="E457" s="20" t="n">
        <v>46325</v>
      </c>
      <c r="F457" t="n">
        <v>3</v>
      </c>
      <c r="G457" t="n">
        <v>2</v>
      </c>
      <c r="H457" s="20" t="n">
        <v>46325</v>
      </c>
      <c r="I457" t="n">
        <v>4390914</v>
      </c>
      <c r="J457" t="n">
        <v>20</v>
      </c>
      <c r="K457" t="inlineStr">
        <is>
          <t>E38AUT</t>
        </is>
      </c>
      <c r="L457" t="inlineStr">
        <is>
          <t>03M TEMP TRANSMITTER - CALIBRATION SUPP</t>
        </is>
      </c>
      <c r="M457" t="inlineStr">
        <is>
          <t>STOP-U 45TIT0051 STR2_IMP GAS TT CALIB</t>
        </is>
      </c>
      <c r="N457" t="inlineStr">
        <is>
          <t>PERGC-PSGC-GIM-01-13-04-13-01</t>
        </is>
      </c>
      <c r="O457" t="inlineStr">
        <is>
          <t>45TIT0051 TRANSMISSOR IND TEMPERATURA</t>
        </is>
      </c>
      <c r="P457" t="n">
        <v>3</v>
      </c>
      <c r="Q457" t="inlineStr">
        <is>
          <t>PLANO</t>
        </is>
      </c>
      <c r="R457" t="inlineStr">
        <is>
          <t>Z12</t>
        </is>
      </c>
      <c r="S457" s="20" t="n">
        <v>46325</v>
      </c>
    </row>
    <row r="458">
      <c r="A458" t="inlineStr">
        <is>
          <t>INS</t>
        </is>
      </c>
      <c r="B458" t="inlineStr">
        <is>
          <t>439091430</t>
        </is>
      </c>
      <c r="C458" t="n">
        <v>4390914</v>
      </c>
      <c r="D458" t="inlineStr">
        <is>
          <t>ENCERRADA</t>
        </is>
      </c>
      <c r="E458" s="20" t="n">
        <v>46325</v>
      </c>
      <c r="F458" t="n">
        <v>3</v>
      </c>
      <c r="G458" t="n">
        <v>2</v>
      </c>
      <c r="H458" s="20" t="n">
        <v>46325</v>
      </c>
      <c r="I458" t="n">
        <v>4390914</v>
      </c>
      <c r="J458" t="n">
        <v>30</v>
      </c>
      <c r="K458" t="inlineStr">
        <is>
          <t>POMMET</t>
        </is>
      </c>
      <c r="L458" t="inlineStr">
        <is>
          <t>03M COMPUTER FLOW CALIBRATION</t>
        </is>
      </c>
      <c r="M458" t="inlineStr">
        <is>
          <t>STOP-U 45TIT0051 STR2_IMP GAS TT CALIB</t>
        </is>
      </c>
      <c r="N458" t="inlineStr">
        <is>
          <t>PERGC-PSGC-GIM-01-13-04-13-01</t>
        </is>
      </c>
      <c r="O458" t="inlineStr">
        <is>
          <t>45TIT0051 TRANSMISSOR IND TEMPERATURA</t>
        </is>
      </c>
      <c r="P458" t="n">
        <v>0.5</v>
      </c>
      <c r="Q458" t="inlineStr">
        <is>
          <t>PLANO</t>
        </is>
      </c>
      <c r="R458" t="inlineStr">
        <is>
          <t>Z12</t>
        </is>
      </c>
      <c r="S458" s="20" t="n">
        <v>46325</v>
      </c>
    </row>
    <row r="459">
      <c r="A459" t="inlineStr">
        <is>
          <t>INS</t>
        </is>
      </c>
      <c r="B459" t="inlineStr">
        <is>
          <t>439090510</t>
        </is>
      </c>
      <c r="C459" t="n">
        <v>4390905</v>
      </c>
      <c r="D459" t="inlineStr">
        <is>
          <t>ENCERRADA</t>
        </is>
      </c>
      <c r="E459" s="20" t="n">
        <v>46325</v>
      </c>
      <c r="F459" t="n">
        <v>3</v>
      </c>
      <c r="G459" t="n">
        <v>2</v>
      </c>
      <c r="H459" s="20" t="n">
        <v>46325</v>
      </c>
      <c r="I459" t="n">
        <v>4390905</v>
      </c>
      <c r="J459" t="n">
        <v>10</v>
      </c>
      <c r="K459" t="inlineStr">
        <is>
          <t>POMMET</t>
        </is>
      </c>
      <c r="L459" t="inlineStr">
        <is>
          <t>03M DIF PRESS TRANSM - CALIBRATION</t>
        </is>
      </c>
      <c r="M459" t="inlineStr">
        <is>
          <t>STOP-U 45FIT0051 IMP GAS METER STREAM 2</t>
        </is>
      </c>
      <c r="N459" t="inlineStr">
        <is>
          <t>PERGC-PSGC-GIM-01-13-04-16-01</t>
        </is>
      </c>
      <c r="O459" t="inlineStr">
        <is>
          <t>45FIT0051 TRANSMISSOR IND VAZAO</t>
        </is>
      </c>
      <c r="P459" t="n">
        <v>1</v>
      </c>
      <c r="Q459" t="inlineStr">
        <is>
          <t>PLANO</t>
        </is>
      </c>
      <c r="R459" t="inlineStr">
        <is>
          <t>Z12</t>
        </is>
      </c>
      <c r="S459" s="20" t="n">
        <v>46325</v>
      </c>
    </row>
    <row r="460">
      <c r="A460" t="inlineStr">
        <is>
          <t>AUT</t>
        </is>
      </c>
      <c r="B460" t="inlineStr">
        <is>
          <t>439090520</t>
        </is>
      </c>
      <c r="C460" t="n">
        <v>4390905</v>
      </c>
      <c r="D460" t="inlineStr">
        <is>
          <t>ENCERRADA</t>
        </is>
      </c>
      <c r="E460" s="20" t="n">
        <v>46325</v>
      </c>
      <c r="F460" t="n">
        <v>3</v>
      </c>
      <c r="G460" t="n">
        <v>2</v>
      </c>
      <c r="H460" s="20" t="n">
        <v>46325</v>
      </c>
      <c r="I460" t="n">
        <v>4390905</v>
      </c>
      <c r="J460" t="n">
        <v>20</v>
      </c>
      <c r="K460" t="inlineStr">
        <is>
          <t>E38AUT</t>
        </is>
      </c>
      <c r="L460" t="inlineStr">
        <is>
          <t>03M DIF PRESS TRANSM - CALIBRATION SUPP</t>
        </is>
      </c>
      <c r="M460" t="inlineStr">
        <is>
          <t>STOP-U 45FIT0051 IMP GAS METER STREAM 2</t>
        </is>
      </c>
      <c r="N460" t="inlineStr">
        <is>
          <t>PERGC-PSGC-GIM-01-13-04-16-01</t>
        </is>
      </c>
      <c r="O460" t="inlineStr">
        <is>
          <t>45FIT0051 TRANSMISSOR IND VAZAO</t>
        </is>
      </c>
      <c r="P460" t="n">
        <v>3</v>
      </c>
      <c r="Q460" t="inlineStr">
        <is>
          <t>PLANO</t>
        </is>
      </c>
      <c r="R460" t="inlineStr">
        <is>
          <t>Z12</t>
        </is>
      </c>
      <c r="S460" s="20" t="n">
        <v>46325</v>
      </c>
    </row>
    <row r="461">
      <c r="A461" t="inlineStr">
        <is>
          <t>INS</t>
        </is>
      </c>
      <c r="B461" t="inlineStr">
        <is>
          <t>439090530</t>
        </is>
      </c>
      <c r="C461" t="n">
        <v>4390905</v>
      </c>
      <c r="D461" t="inlineStr">
        <is>
          <t>ENCERRADA</t>
        </is>
      </c>
      <c r="E461" s="20" t="n">
        <v>46325</v>
      </c>
      <c r="F461" t="n">
        <v>3</v>
      </c>
      <c r="G461" t="n">
        <v>2</v>
      </c>
      <c r="H461" s="20" t="n">
        <v>46325</v>
      </c>
      <c r="I461" t="n">
        <v>4390905</v>
      </c>
      <c r="J461" t="n">
        <v>30</v>
      </c>
      <c r="K461" t="inlineStr">
        <is>
          <t>POMMET</t>
        </is>
      </c>
      <c r="L461" t="inlineStr">
        <is>
          <t>03M COMPUTER FLOW CALIBRATION</t>
        </is>
      </c>
      <c r="M461" t="inlineStr">
        <is>
          <t>STOP-U 45FIT0051 IMP GAS METER STREAM 2</t>
        </is>
      </c>
      <c r="N461" t="inlineStr">
        <is>
          <t>PERGC-PSGC-GIM-01-13-04-16-01</t>
        </is>
      </c>
      <c r="O461" t="inlineStr">
        <is>
          <t>45FIT0051 TRANSMISSOR IND VAZAO</t>
        </is>
      </c>
      <c r="P461" t="n">
        <v>0.5</v>
      </c>
      <c r="Q461" t="inlineStr">
        <is>
          <t>PLANO</t>
        </is>
      </c>
      <c r="R461" t="inlineStr">
        <is>
          <t>Z12</t>
        </is>
      </c>
      <c r="S461" s="20" t="n">
        <v>46325</v>
      </c>
    </row>
    <row r="462">
      <c r="A462" t="inlineStr">
        <is>
          <t>PRO</t>
        </is>
      </c>
      <c r="B462" t="inlineStr">
        <is>
          <t>438589710</t>
        </is>
      </c>
      <c r="C462" t="n">
        <v>4385897</v>
      </c>
      <c r="D462" t="inlineStr">
        <is>
          <t>ABERTA</t>
        </is>
      </c>
      <c r="E462" s="20" t="n">
        <v>46318</v>
      </c>
      <c r="F462" t="n">
        <v>3</v>
      </c>
      <c r="G462" t="n">
        <v>2</v>
      </c>
      <c r="H462" s="20" t="n">
        <v>46318</v>
      </c>
      <c r="I462" t="n">
        <v>4385897</v>
      </c>
      <c r="J462" t="n">
        <v>10</v>
      </c>
      <c r="K462" t="inlineStr">
        <is>
          <t>LAB</t>
        </is>
      </c>
      <c r="L462" t="inlineStr">
        <is>
          <t>PTF-1322 TEST FUNC LAB ANALIS UMIDADE</t>
        </is>
      </c>
      <c r="M462" t="inlineStr">
        <is>
          <t>TEST FUNC ANALIS UMIDADE PTF-1322 INS 6M</t>
        </is>
      </c>
      <c r="N462" t="inlineStr">
        <is>
          <t>PERGC-PSGC-GIM-01-13-07-04-01</t>
        </is>
      </c>
      <c r="O462" t="inlineStr">
        <is>
          <t>45AT0052 ANALISADOR % AGUA</t>
        </is>
      </c>
      <c r="P462" t="n">
        <v>3</v>
      </c>
      <c r="Q462" t="inlineStr">
        <is>
          <t>PLANO</t>
        </is>
      </c>
      <c r="R462" t="inlineStr">
        <is>
          <t>Z08</t>
        </is>
      </c>
      <c r="S462" s="20" t="n">
        <v>46318</v>
      </c>
    </row>
    <row r="463">
      <c r="A463" t="inlineStr">
        <is>
          <t>INS</t>
        </is>
      </c>
      <c r="B463" t="inlineStr">
        <is>
          <t>438589720</t>
        </is>
      </c>
      <c r="C463" t="n">
        <v>4385897</v>
      </c>
      <c r="D463" t="inlineStr">
        <is>
          <t>ABERTA</t>
        </is>
      </c>
      <c r="E463" s="20" t="n">
        <v>46318</v>
      </c>
      <c r="F463" t="n">
        <v>3</v>
      </c>
      <c r="G463" t="n">
        <v>2</v>
      </c>
      <c r="H463" s="20" t="n">
        <v>46318</v>
      </c>
      <c r="I463" t="n">
        <v>4385897</v>
      </c>
      <c r="J463" t="n">
        <v>20</v>
      </c>
      <c r="K463" t="inlineStr">
        <is>
          <t>INS</t>
        </is>
      </c>
      <c r="L463" t="inlineStr">
        <is>
          <t>PTF-1322 TEST FUNC INS ANALIS UMIDADE</t>
        </is>
      </c>
      <c r="M463" t="inlineStr">
        <is>
          <t>TEST FUNC ANALIS UMIDADE PTF-1322 INS 6M</t>
        </is>
      </c>
      <c r="N463" t="inlineStr">
        <is>
          <t>PERGC-PSGC-GIM-01-13-07-04-01</t>
        </is>
      </c>
      <c r="O463" t="inlineStr">
        <is>
          <t>45AT0052 ANALISADOR % AGUA</t>
        </is>
      </c>
      <c r="P463" t="n">
        <v>3</v>
      </c>
      <c r="Q463" t="inlineStr">
        <is>
          <t>PLANO</t>
        </is>
      </c>
      <c r="R463" t="inlineStr">
        <is>
          <t>Z08</t>
        </is>
      </c>
      <c r="S463" s="20" t="n">
        <v>46318</v>
      </c>
    </row>
    <row r="464">
      <c r="A464" t="inlineStr">
        <is>
          <t>AUT</t>
        </is>
      </c>
      <c r="B464" t="inlineStr">
        <is>
          <t>438589730</t>
        </is>
      </c>
      <c r="C464" t="n">
        <v>4385897</v>
      </c>
      <c r="D464" t="inlineStr">
        <is>
          <t>ABERTA</t>
        </is>
      </c>
      <c r="E464" s="20" t="n">
        <v>46318</v>
      </c>
      <c r="F464" t="n">
        <v>3</v>
      </c>
      <c r="G464" t="n">
        <v>2</v>
      </c>
      <c r="H464" s="20" t="n">
        <v>46318</v>
      </c>
      <c r="I464" t="n">
        <v>4385897</v>
      </c>
      <c r="J464" t="n">
        <v>30</v>
      </c>
      <c r="K464" t="inlineStr">
        <is>
          <t>AUT</t>
        </is>
      </c>
      <c r="L464" t="inlineStr">
        <is>
          <t>PTF-1322 TEST FUNC AUT ANALIS UMIDADE</t>
        </is>
      </c>
      <c r="M464" t="inlineStr">
        <is>
          <t>TEST FUNC ANALIS UMIDADE PTF-1322 INS 6M</t>
        </is>
      </c>
      <c r="N464" t="inlineStr">
        <is>
          <t>PERGC-PSGC-GIM-01-13-07-04-01</t>
        </is>
      </c>
      <c r="O464" t="inlineStr">
        <is>
          <t>45AT0052 ANALISADOR % AGUA</t>
        </is>
      </c>
      <c r="P464" t="n">
        <v>3</v>
      </c>
      <c r="Q464" t="inlineStr">
        <is>
          <t>PLANO</t>
        </is>
      </c>
      <c r="R464" t="inlineStr">
        <is>
          <t>Z08</t>
        </is>
      </c>
      <c r="S464" s="20" t="n">
        <v>46318</v>
      </c>
    </row>
    <row r="465">
      <c r="A465" t="inlineStr">
        <is>
          <t>INS</t>
        </is>
      </c>
      <c r="B465" t="inlineStr">
        <is>
          <t>439090810</t>
        </is>
      </c>
      <c r="C465" t="n">
        <v>4390908</v>
      </c>
      <c r="D465" t="inlineStr">
        <is>
          <t>ENCERRADA</t>
        </is>
      </c>
      <c r="E465" s="20" t="n">
        <v>46325</v>
      </c>
      <c r="F465" t="n">
        <v>3</v>
      </c>
      <c r="G465" t="n">
        <v>2</v>
      </c>
      <c r="H465" s="20" t="n">
        <v>46325</v>
      </c>
      <c r="I465" t="n">
        <v>4390908</v>
      </c>
      <c r="J465" t="n">
        <v>10</v>
      </c>
      <c r="K465" t="inlineStr">
        <is>
          <t>POMMET</t>
        </is>
      </c>
      <c r="L465" t="inlineStr">
        <is>
          <t>03M PRESSURE LOOP - CALIBRATION</t>
        </is>
      </c>
      <c r="M465" t="inlineStr">
        <is>
          <t>STOP-U 45PIT0052 TRANSMITTER CALIBRATION</t>
        </is>
      </c>
      <c r="N465" t="inlineStr">
        <is>
          <t>PERGC-PSGC-GIM-01-13-07-07-01</t>
        </is>
      </c>
      <c r="O465" t="inlineStr">
        <is>
          <t>45PIT0052 TRANSMISSOR IND PRESSAO</t>
        </is>
      </c>
      <c r="P465" t="n">
        <v>1</v>
      </c>
      <c r="Q465" t="inlineStr">
        <is>
          <t>PLANO</t>
        </is>
      </c>
      <c r="R465" t="inlineStr">
        <is>
          <t>Z12</t>
        </is>
      </c>
      <c r="S465" s="20" t="n">
        <v>46325</v>
      </c>
    </row>
    <row r="466">
      <c r="A466" t="inlineStr">
        <is>
          <t>AUT</t>
        </is>
      </c>
      <c r="B466" t="inlineStr">
        <is>
          <t>439090820</t>
        </is>
      </c>
      <c r="C466" t="n">
        <v>4390908</v>
      </c>
      <c r="D466" t="inlineStr">
        <is>
          <t>ENCERRADA</t>
        </is>
      </c>
      <c r="E466" s="20" t="n">
        <v>46325</v>
      </c>
      <c r="F466" t="n">
        <v>3</v>
      </c>
      <c r="G466" t="n">
        <v>2</v>
      </c>
      <c r="H466" s="20" t="n">
        <v>46325</v>
      </c>
      <c r="I466" t="n">
        <v>4390908</v>
      </c>
      <c r="J466" t="n">
        <v>20</v>
      </c>
      <c r="K466" t="inlineStr">
        <is>
          <t>E38AUT</t>
        </is>
      </c>
      <c r="L466" t="inlineStr">
        <is>
          <t>03M PRESSURE LOOP - CALIBRATION SUPPORT</t>
        </is>
      </c>
      <c r="M466" t="inlineStr">
        <is>
          <t>STOP-U 45PIT0052 TRANSMITTER CALIBRATION</t>
        </is>
      </c>
      <c r="N466" t="inlineStr">
        <is>
          <t>PERGC-PSGC-GIM-01-13-07-07-01</t>
        </is>
      </c>
      <c r="O466" t="inlineStr">
        <is>
          <t>45PIT0052 TRANSMISSOR IND PRESSAO</t>
        </is>
      </c>
      <c r="P466" t="n">
        <v>3</v>
      </c>
      <c r="Q466" t="inlineStr">
        <is>
          <t>PLANO</t>
        </is>
      </c>
      <c r="R466" t="inlineStr">
        <is>
          <t>Z12</t>
        </is>
      </c>
      <c r="S466" s="20" t="n">
        <v>46325</v>
      </c>
    </row>
    <row r="467">
      <c r="A467" t="inlineStr">
        <is>
          <t>INS</t>
        </is>
      </c>
      <c r="B467" t="inlineStr">
        <is>
          <t>439090830</t>
        </is>
      </c>
      <c r="C467" t="n">
        <v>4390908</v>
      </c>
      <c r="D467" t="inlineStr">
        <is>
          <t>ENCERRADA</t>
        </is>
      </c>
      <c r="E467" s="20" t="n">
        <v>46325</v>
      </c>
      <c r="F467" t="n">
        <v>3</v>
      </c>
      <c r="G467" t="n">
        <v>2</v>
      </c>
      <c r="H467" s="20" t="n">
        <v>46325</v>
      </c>
      <c r="I467" t="n">
        <v>4390908</v>
      </c>
      <c r="J467" t="n">
        <v>30</v>
      </c>
      <c r="K467" t="inlineStr">
        <is>
          <t>POMMET</t>
        </is>
      </c>
      <c r="L467" t="inlineStr">
        <is>
          <t>03M COMPUTER FLOW CALIBRATION</t>
        </is>
      </c>
      <c r="M467" t="inlineStr">
        <is>
          <t>STOP-U 45PIT0052 TRANSMITTER CALIBRATION</t>
        </is>
      </c>
      <c r="N467" t="inlineStr">
        <is>
          <t>PERGC-PSGC-GIM-01-13-07-07-01</t>
        </is>
      </c>
      <c r="O467" t="inlineStr">
        <is>
          <t>45PIT0052 TRANSMISSOR IND PRESSAO</t>
        </is>
      </c>
      <c r="P467" t="n">
        <v>0.5</v>
      </c>
      <c r="Q467" t="inlineStr">
        <is>
          <t>PLANO</t>
        </is>
      </c>
      <c r="R467" t="inlineStr">
        <is>
          <t>Z12</t>
        </is>
      </c>
      <c r="S467" s="20" t="n">
        <v>46325</v>
      </c>
    </row>
    <row r="468">
      <c r="A468" t="inlineStr">
        <is>
          <t>INS</t>
        </is>
      </c>
      <c r="B468" t="inlineStr">
        <is>
          <t>439091210</t>
        </is>
      </c>
      <c r="C468" t="n">
        <v>4390912</v>
      </c>
      <c r="D468" t="inlineStr">
        <is>
          <t>ENCERRADA</t>
        </is>
      </c>
      <c r="E468" s="20" t="n">
        <v>46325</v>
      </c>
      <c r="F468" t="n">
        <v>3</v>
      </c>
      <c r="G468" t="n">
        <v>2</v>
      </c>
      <c r="H468" s="20" t="n">
        <v>46325</v>
      </c>
      <c r="I468" t="n">
        <v>4390912</v>
      </c>
      <c r="J468" t="n">
        <v>10</v>
      </c>
      <c r="K468" t="inlineStr">
        <is>
          <t>POMMET</t>
        </is>
      </c>
      <c r="L468" t="inlineStr">
        <is>
          <t>03M TEMP TRANSMITTER - CALIBRATION</t>
        </is>
      </c>
      <c r="M468" t="inlineStr">
        <is>
          <t>STOP-U 45TIT0052 IMP GAS CONDEN TT CALIB</t>
        </is>
      </c>
      <c r="N468" t="inlineStr">
        <is>
          <t>PERGC-PSGC-GIM-01-13-07-10-01</t>
        </is>
      </c>
      <c r="O468" t="inlineStr">
        <is>
          <t>45TIT0052 TRANSMISSOR IND TEMPERATURA</t>
        </is>
      </c>
      <c r="P468" t="n">
        <v>1</v>
      </c>
      <c r="Q468" t="inlineStr">
        <is>
          <t>PLANO</t>
        </is>
      </c>
      <c r="R468" t="inlineStr">
        <is>
          <t>Z12</t>
        </is>
      </c>
      <c r="S468" s="20" t="n">
        <v>46325</v>
      </c>
    </row>
    <row r="469">
      <c r="A469" t="inlineStr">
        <is>
          <t>AUT</t>
        </is>
      </c>
      <c r="B469" t="inlineStr">
        <is>
          <t>439091220</t>
        </is>
      </c>
      <c r="C469" t="n">
        <v>4390912</v>
      </c>
      <c r="D469" t="inlineStr">
        <is>
          <t>ENCERRADA</t>
        </is>
      </c>
      <c r="E469" s="20" t="n">
        <v>46325</v>
      </c>
      <c r="F469" t="n">
        <v>3</v>
      </c>
      <c r="G469" t="n">
        <v>2</v>
      </c>
      <c r="H469" s="20" t="n">
        <v>46325</v>
      </c>
      <c r="I469" t="n">
        <v>4390912</v>
      </c>
      <c r="J469" t="n">
        <v>20</v>
      </c>
      <c r="K469" t="inlineStr">
        <is>
          <t>E38AUT</t>
        </is>
      </c>
      <c r="L469" t="inlineStr">
        <is>
          <t>03M TEMP TRANSMITTER - CALIBRATION SUPP</t>
        </is>
      </c>
      <c r="M469" t="inlineStr">
        <is>
          <t>STOP-U 45TIT0052 IMP GAS CONDEN TT CALIB</t>
        </is>
      </c>
      <c r="N469" t="inlineStr">
        <is>
          <t>PERGC-PSGC-GIM-01-13-07-10-01</t>
        </is>
      </c>
      <c r="O469" t="inlineStr">
        <is>
          <t>45TIT0052 TRANSMISSOR IND TEMPERATURA</t>
        </is>
      </c>
      <c r="P469" t="n">
        <v>3</v>
      </c>
      <c r="Q469" t="inlineStr">
        <is>
          <t>PLANO</t>
        </is>
      </c>
      <c r="R469" t="inlineStr">
        <is>
          <t>Z12</t>
        </is>
      </c>
      <c r="S469" s="20" t="n">
        <v>46325</v>
      </c>
    </row>
    <row r="470">
      <c r="A470" t="inlineStr">
        <is>
          <t>INS</t>
        </is>
      </c>
      <c r="B470" t="inlineStr">
        <is>
          <t>439091230</t>
        </is>
      </c>
      <c r="C470" t="n">
        <v>4390912</v>
      </c>
      <c r="D470" t="inlineStr">
        <is>
          <t>ENCERRADA</t>
        </is>
      </c>
      <c r="E470" s="20" t="n">
        <v>46325</v>
      </c>
      <c r="F470" t="n">
        <v>3</v>
      </c>
      <c r="G470" t="n">
        <v>2</v>
      </c>
      <c r="H470" s="20" t="n">
        <v>46325</v>
      </c>
      <c r="I470" t="n">
        <v>4390912</v>
      </c>
      <c r="J470" t="n">
        <v>30</v>
      </c>
      <c r="K470" t="inlineStr">
        <is>
          <t>POMMET</t>
        </is>
      </c>
      <c r="L470" t="inlineStr">
        <is>
          <t>03M COMPUTER FLOW CALIBRATION</t>
        </is>
      </c>
      <c r="M470" t="inlineStr">
        <is>
          <t>STOP-U 45TIT0052 IMP GAS CONDEN TT CALIB</t>
        </is>
      </c>
      <c r="N470" t="inlineStr">
        <is>
          <t>PERGC-PSGC-GIM-01-13-07-10-01</t>
        </is>
      </c>
      <c r="O470" t="inlineStr">
        <is>
          <t>45TIT0052 TRANSMISSOR IND TEMPERATURA</t>
        </is>
      </c>
      <c r="P470" t="n">
        <v>0.5</v>
      </c>
      <c r="Q470" t="inlineStr">
        <is>
          <t>PLANO</t>
        </is>
      </c>
      <c r="R470" t="inlineStr">
        <is>
          <t>Z12</t>
        </is>
      </c>
      <c r="S470" s="20" t="n">
        <v>46325</v>
      </c>
    </row>
    <row r="471">
      <c r="A471" t="inlineStr">
        <is>
          <t>ELE</t>
        </is>
      </c>
      <c r="B471" t="inlineStr">
        <is>
          <t>438655910</t>
        </is>
      </c>
      <c r="C471" t="n">
        <v>4386559</v>
      </c>
      <c r="D471" t="inlineStr">
        <is>
          <t>ABERTA</t>
        </is>
      </c>
      <c r="E471" s="20" t="n">
        <v>46321</v>
      </c>
      <c r="F471" t="n">
        <v>5</v>
      </c>
      <c r="G471" t="n">
        <v>2</v>
      </c>
      <c r="H471" s="20" t="n">
        <v>46321</v>
      </c>
      <c r="I471" t="n">
        <v>4386559</v>
      </c>
      <c r="J471" t="n">
        <v>10</v>
      </c>
      <c r="K471" t="inlineStr">
        <is>
          <t>ELE</t>
        </is>
      </c>
      <c r="L471" t="inlineStr">
        <is>
          <t>PSE-1200 MANUT ELE MOTOR BT</t>
        </is>
      </c>
      <c r="M471" t="inlineStr">
        <is>
          <t>MANUT MOTOR BAIXA TENSAO PSE-1200 ELE 1A</t>
        </is>
      </c>
      <c r="N471" t="inlineStr">
        <is>
          <t>PERGC-PSGC-GIM-01-13-13-04-04</t>
        </is>
      </c>
      <c r="O471" t="inlineStr">
        <is>
          <t>45EC004-A01 MOTOR STARTER</t>
        </is>
      </c>
      <c r="P471" t="n">
        <v>4</v>
      </c>
      <c r="Q471" t="inlineStr">
        <is>
          <t>PLANO</t>
        </is>
      </c>
      <c r="R471" t="inlineStr">
        <is>
          <t>Z12</t>
        </is>
      </c>
      <c r="S471" s="20" t="n">
        <v>46321</v>
      </c>
    </row>
    <row r="472">
      <c r="A472" t="inlineStr">
        <is>
          <t>MEC</t>
        </is>
      </c>
      <c r="B472" t="inlineStr">
        <is>
          <t>438644810</t>
        </is>
      </c>
      <c r="C472" t="n">
        <v>4386448</v>
      </c>
      <c r="D472" t="inlineStr">
        <is>
          <t>ENCERRADA</t>
        </is>
      </c>
      <c r="E472" s="20" t="n">
        <v>46314</v>
      </c>
      <c r="F472" t="n">
        <v>5</v>
      </c>
      <c r="G472" t="n">
        <v>3</v>
      </c>
      <c r="H472" s="20" t="n">
        <v>46314</v>
      </c>
      <c r="I472" t="n">
        <v>4386448</v>
      </c>
      <c r="J472" t="n">
        <v>10</v>
      </c>
      <c r="K472" t="inlineStr">
        <is>
          <t>MEC</t>
        </is>
      </c>
      <c r="L472" t="inlineStr">
        <is>
          <t>INSP CILINDRO N2/H2O INS-1550 MEC 1M</t>
        </is>
      </c>
      <c r="M472" t="inlineStr">
        <is>
          <t>INSP CILINDRO N2/H2O INS-1550 MEC 1M</t>
        </is>
      </c>
      <c r="N472" t="inlineStr">
        <is>
          <t>PERGC-PSGC-GIM-01-13-13-07</t>
        </is>
      </c>
      <c r="O472" t="inlineStr">
        <is>
          <t>CJ CONTROLE HIDRAULICO PROVER 45CX001</t>
        </is>
      </c>
      <c r="P472" t="n">
        <v>1</v>
      </c>
      <c r="Q472" t="inlineStr">
        <is>
          <t>PLANO</t>
        </is>
      </c>
      <c r="R472" t="inlineStr">
        <is>
          <t>Z09</t>
        </is>
      </c>
      <c r="S472" s="20" t="n">
        <v>46314</v>
      </c>
    </row>
    <row r="473">
      <c r="A473" t="inlineStr">
        <is>
          <t>MEC</t>
        </is>
      </c>
      <c r="B473" t="inlineStr">
        <is>
          <t>438651810</t>
        </is>
      </c>
      <c r="C473" t="n">
        <v>4386518</v>
      </c>
      <c r="D473" t="inlineStr">
        <is>
          <t>ENCERRADA</t>
        </is>
      </c>
      <c r="E473" s="20" t="n">
        <v>46318</v>
      </c>
      <c r="F473" t="n">
        <v>3</v>
      </c>
      <c r="G473" t="n">
        <v>3</v>
      </c>
      <c r="H473" s="20" t="n">
        <v>46318</v>
      </c>
      <c r="I473" t="n">
        <v>4386518</v>
      </c>
      <c r="J473" t="n">
        <v>10</v>
      </c>
      <c r="K473" t="inlineStr">
        <is>
          <t>MEC</t>
        </is>
      </c>
      <c r="L473" t="inlineStr">
        <is>
          <t>INSP CILINDRO N2/H2O INS-1550 MEC 1M</t>
        </is>
      </c>
      <c r="M473" t="inlineStr">
        <is>
          <t>INSP CILINDRO N2/H2O INS-1550 MEC 1M</t>
        </is>
      </c>
      <c r="N473" t="inlineStr">
        <is>
          <t>PERGC-PSGC-GIM-01-13-13-07</t>
        </is>
      </c>
      <c r="O473" t="inlineStr">
        <is>
          <t>CJ CONTROLE HIDRAULICO PROVER 45CX001</t>
        </is>
      </c>
      <c r="P473" t="n">
        <v>1</v>
      </c>
      <c r="Q473" t="inlineStr">
        <is>
          <t>PLANO</t>
        </is>
      </c>
      <c r="R473" t="inlineStr">
        <is>
          <t>Z09</t>
        </is>
      </c>
      <c r="S473" s="20" t="n">
        <v>46318</v>
      </c>
    </row>
    <row r="474">
      <c r="A474" t="inlineStr">
        <is>
          <t>INS</t>
        </is>
      </c>
      <c r="B474" t="inlineStr">
        <is>
          <t>439090910</t>
        </is>
      </c>
      <c r="C474" t="n">
        <v>4390909</v>
      </c>
      <c r="D474" t="inlineStr">
        <is>
          <t>ENCERRADA</t>
        </is>
      </c>
      <c r="E474" s="20" t="n">
        <v>46325</v>
      </c>
      <c r="F474" t="n">
        <v>3</v>
      </c>
      <c r="G474" t="n">
        <v>2</v>
      </c>
      <c r="H474" s="20" t="n">
        <v>46325</v>
      </c>
      <c r="I474" t="n">
        <v>4390909</v>
      </c>
      <c r="J474" t="n">
        <v>10</v>
      </c>
      <c r="K474" t="inlineStr">
        <is>
          <t>POMMET</t>
        </is>
      </c>
      <c r="L474" t="inlineStr">
        <is>
          <t>03M PRESSURE LOOP - CALIBRATION</t>
        </is>
      </c>
      <c r="M474" t="inlineStr">
        <is>
          <t>STOP-U 45PIT0089 TRANSMITTER CALIBRATION</t>
        </is>
      </c>
      <c r="N474" t="inlineStr">
        <is>
          <t>PERGC-PSGC-GIM-01-13-13-13-01</t>
        </is>
      </c>
      <c r="O474" t="inlineStr">
        <is>
          <t>45PIT0089 TRANSMISSOR IND PRESSAO</t>
        </is>
      </c>
      <c r="P474" t="n">
        <v>1</v>
      </c>
      <c r="Q474" t="inlineStr">
        <is>
          <t>PLANO</t>
        </is>
      </c>
      <c r="R474" t="inlineStr">
        <is>
          <t>Z12</t>
        </is>
      </c>
      <c r="S474" s="20" t="n">
        <v>46325</v>
      </c>
    </row>
    <row r="475">
      <c r="A475" t="inlineStr">
        <is>
          <t>AUT</t>
        </is>
      </c>
      <c r="B475" t="inlineStr">
        <is>
          <t>439090920</t>
        </is>
      </c>
      <c r="C475" t="n">
        <v>4390909</v>
      </c>
      <c r="D475" t="inlineStr">
        <is>
          <t>ENCERRADA</t>
        </is>
      </c>
      <c r="E475" s="20" t="n">
        <v>46325</v>
      </c>
      <c r="F475" t="n">
        <v>3</v>
      </c>
      <c r="G475" t="n">
        <v>2</v>
      </c>
      <c r="H475" s="20" t="n">
        <v>46325</v>
      </c>
      <c r="I475" t="n">
        <v>4390909</v>
      </c>
      <c r="J475" t="n">
        <v>20</v>
      </c>
      <c r="K475" t="inlineStr">
        <is>
          <t>E38AUT</t>
        </is>
      </c>
      <c r="L475" t="inlineStr">
        <is>
          <t>03M PRESSURE LOOP - CALIBRATION SUPPORT</t>
        </is>
      </c>
      <c r="M475" t="inlineStr">
        <is>
          <t>STOP-U 45PIT0089 TRANSMITTER CALIBRATION</t>
        </is>
      </c>
      <c r="N475" t="inlineStr">
        <is>
          <t>PERGC-PSGC-GIM-01-13-13-13-01</t>
        </is>
      </c>
      <c r="O475" t="inlineStr">
        <is>
          <t>45PIT0089 TRANSMISSOR IND PRESSAO</t>
        </is>
      </c>
      <c r="P475" t="n">
        <v>3</v>
      </c>
      <c r="Q475" t="inlineStr">
        <is>
          <t>PLANO</t>
        </is>
      </c>
      <c r="R475" t="inlineStr">
        <is>
          <t>Z12</t>
        </is>
      </c>
      <c r="S475" s="20" t="n">
        <v>46325</v>
      </c>
    </row>
    <row r="476">
      <c r="A476" t="inlineStr">
        <is>
          <t>INS</t>
        </is>
      </c>
      <c r="B476" t="inlineStr">
        <is>
          <t>439090930</t>
        </is>
      </c>
      <c r="C476" t="n">
        <v>4390909</v>
      </c>
      <c r="D476" t="inlineStr">
        <is>
          <t>ENCERRADA</t>
        </is>
      </c>
      <c r="E476" s="20" t="n">
        <v>46325</v>
      </c>
      <c r="F476" t="n">
        <v>3</v>
      </c>
      <c r="G476" t="n">
        <v>2</v>
      </c>
      <c r="H476" s="20" t="n">
        <v>46325</v>
      </c>
      <c r="I476" t="n">
        <v>4390909</v>
      </c>
      <c r="J476" t="n">
        <v>30</v>
      </c>
      <c r="K476" t="inlineStr">
        <is>
          <t>POMMET</t>
        </is>
      </c>
      <c r="L476" t="inlineStr">
        <is>
          <t>03M COMPUTER FLOW CALIBRATION</t>
        </is>
      </c>
      <c r="M476" t="inlineStr">
        <is>
          <t>STOP-U 45PIT0089 TRANSMITTER CALIBRATION</t>
        </is>
      </c>
      <c r="N476" t="inlineStr">
        <is>
          <t>PERGC-PSGC-GIM-01-13-13-13-01</t>
        </is>
      </c>
      <c r="O476" t="inlineStr">
        <is>
          <t>45PIT0089 TRANSMISSOR IND PRESSAO</t>
        </is>
      </c>
      <c r="P476" t="n">
        <v>0.5</v>
      </c>
      <c r="Q476" t="inlineStr">
        <is>
          <t>PLANO</t>
        </is>
      </c>
      <c r="R476" t="inlineStr">
        <is>
          <t>Z12</t>
        </is>
      </c>
      <c r="S476" s="20" t="n">
        <v>46325</v>
      </c>
    </row>
    <row r="477">
      <c r="A477" t="inlineStr">
        <is>
          <t>INS</t>
        </is>
      </c>
      <c r="B477" t="inlineStr">
        <is>
          <t>439091310</t>
        </is>
      </c>
      <c r="C477" t="n">
        <v>4390913</v>
      </c>
      <c r="D477" t="inlineStr">
        <is>
          <t>ENCERRADA</t>
        </is>
      </c>
      <c r="E477" s="20" t="n">
        <v>46325</v>
      </c>
      <c r="F477" t="n">
        <v>3</v>
      </c>
      <c r="G477" t="n">
        <v>2</v>
      </c>
      <c r="H477" s="20" t="n">
        <v>46325</v>
      </c>
      <c r="I477" t="n">
        <v>4390913</v>
      </c>
      <c r="J477" t="n">
        <v>10</v>
      </c>
      <c r="K477" t="inlineStr">
        <is>
          <t>POMMET</t>
        </is>
      </c>
      <c r="L477" t="inlineStr">
        <is>
          <t>03M TEMP TRANSMITTER - CALIBRATION</t>
        </is>
      </c>
      <c r="M477" t="inlineStr">
        <is>
          <t>STOP-U 45TIT0088 PROVER TT CALIBRATION</t>
        </is>
      </c>
      <c r="N477" t="inlineStr">
        <is>
          <t>PERGC-PSGC-GIM-01-13-13-16-01</t>
        </is>
      </c>
      <c r="O477" t="inlineStr">
        <is>
          <t>45TIT0088 TRANSMISSOR IND TEMPERATURA</t>
        </is>
      </c>
      <c r="P477" t="n">
        <v>1</v>
      </c>
      <c r="Q477" t="inlineStr">
        <is>
          <t>PLANO</t>
        </is>
      </c>
      <c r="R477" t="inlineStr">
        <is>
          <t>Z12</t>
        </is>
      </c>
      <c r="S477" s="20" t="n">
        <v>46325</v>
      </c>
    </row>
    <row r="478">
      <c r="A478" t="inlineStr">
        <is>
          <t>AUT</t>
        </is>
      </c>
      <c r="B478" t="inlineStr">
        <is>
          <t>439091320</t>
        </is>
      </c>
      <c r="C478" t="n">
        <v>4390913</v>
      </c>
      <c r="D478" t="inlineStr">
        <is>
          <t>ENCERRADA</t>
        </is>
      </c>
      <c r="E478" s="20" t="n">
        <v>46325</v>
      </c>
      <c r="F478" t="n">
        <v>3</v>
      </c>
      <c r="G478" t="n">
        <v>2</v>
      </c>
      <c r="H478" s="20" t="n">
        <v>46325</v>
      </c>
      <c r="I478" t="n">
        <v>4390913</v>
      </c>
      <c r="J478" t="n">
        <v>20</v>
      </c>
      <c r="K478" t="inlineStr">
        <is>
          <t>E38AUT</t>
        </is>
      </c>
      <c r="L478" t="inlineStr">
        <is>
          <t>03M TEMP TRANSMITTER - CALIBRATION SUPP</t>
        </is>
      </c>
      <c r="M478" t="inlineStr">
        <is>
          <t>STOP-U 45TIT0088 PROVER TT CALIBRATION</t>
        </is>
      </c>
      <c r="N478" t="inlineStr">
        <is>
          <t>PERGC-PSGC-GIM-01-13-13-16-01</t>
        </is>
      </c>
      <c r="O478" t="inlineStr">
        <is>
          <t>45TIT0088 TRANSMISSOR IND TEMPERATURA</t>
        </is>
      </c>
      <c r="P478" t="n">
        <v>3</v>
      </c>
      <c r="Q478" t="inlineStr">
        <is>
          <t>PLANO</t>
        </is>
      </c>
      <c r="R478" t="inlineStr">
        <is>
          <t>Z12</t>
        </is>
      </c>
      <c r="S478" s="20" t="n">
        <v>46325</v>
      </c>
    </row>
    <row r="479">
      <c r="A479" t="inlineStr">
        <is>
          <t>INS</t>
        </is>
      </c>
      <c r="B479" t="inlineStr">
        <is>
          <t>439091330</t>
        </is>
      </c>
      <c r="C479" t="n">
        <v>4390913</v>
      </c>
      <c r="D479" t="inlineStr">
        <is>
          <t>ENCERRADA</t>
        </is>
      </c>
      <c r="E479" s="20" t="n">
        <v>46325</v>
      </c>
      <c r="F479" t="n">
        <v>3</v>
      </c>
      <c r="G479" t="n">
        <v>2</v>
      </c>
      <c r="H479" s="20" t="n">
        <v>46325</v>
      </c>
      <c r="I479" t="n">
        <v>4390913</v>
      </c>
      <c r="J479" t="n">
        <v>30</v>
      </c>
      <c r="K479" t="inlineStr">
        <is>
          <t>POMMET</t>
        </is>
      </c>
      <c r="L479" t="inlineStr">
        <is>
          <t>03M COMPUTER FLOW CALIBRATION</t>
        </is>
      </c>
      <c r="M479" t="inlineStr">
        <is>
          <t>STOP-U 45TIT0088 PROVER TT CALIBRATION</t>
        </is>
      </c>
      <c r="N479" t="inlineStr">
        <is>
          <t>PERGC-PSGC-GIM-01-13-13-16-01</t>
        </is>
      </c>
      <c r="O479" t="inlineStr">
        <is>
          <t>45TIT0088 TRANSMISSOR IND TEMPERATURA</t>
        </is>
      </c>
      <c r="P479" t="n">
        <v>0.5</v>
      </c>
      <c r="Q479" t="inlineStr">
        <is>
          <t>PLANO</t>
        </is>
      </c>
      <c r="R479" t="inlineStr">
        <is>
          <t>Z12</t>
        </is>
      </c>
      <c r="S479" s="20" t="n">
        <v>46325</v>
      </c>
    </row>
    <row r="480">
      <c r="A480" t="inlineStr">
        <is>
          <t>PRO</t>
        </is>
      </c>
      <c r="B480" t="inlineStr">
        <is>
          <t>438656010</t>
        </is>
      </c>
      <c r="C480" t="n">
        <v>4386560</v>
      </c>
      <c r="D480" t="inlineStr">
        <is>
          <t>LIBERADA</t>
        </is>
      </c>
      <c r="E480" s="20" t="n">
        <v>46321</v>
      </c>
      <c r="F480" t="n">
        <v>5</v>
      </c>
      <c r="G480" t="n">
        <v>2</v>
      </c>
      <c r="H480" s="20" t="n">
        <v>46321</v>
      </c>
      <c r="I480" t="n">
        <v>4386560</v>
      </c>
      <c r="J480" t="n">
        <v>10</v>
      </c>
      <c r="K480" t="inlineStr">
        <is>
          <t>PRO</t>
        </is>
      </c>
      <c r="L480" t="inlineStr">
        <is>
          <t>INS-1813 INSP PRO FILTRO</t>
        </is>
      </c>
      <c r="M480" t="inlineStr">
        <is>
          <t>INSP FILTRO INS-1813 OPE 4M</t>
        </is>
      </c>
      <c r="N480" t="inlineStr">
        <is>
          <t>PERGC-PSGC-GIM-01-28-16-28</t>
        </is>
      </c>
      <c r="O480" t="inlineStr">
        <is>
          <t>45CB001 FILTRO BYPASS</t>
        </is>
      </c>
      <c r="P480" t="n">
        <v>3</v>
      </c>
      <c r="Q480" t="inlineStr">
        <is>
          <t>PLANO</t>
        </is>
      </c>
      <c r="R480" t="inlineStr">
        <is>
          <t>Z09</t>
        </is>
      </c>
      <c r="S480" s="20" t="n">
        <v>46321</v>
      </c>
    </row>
    <row r="481">
      <c r="A481" t="inlineStr">
        <is>
          <t>INS</t>
        </is>
      </c>
      <c r="B481" t="inlineStr">
        <is>
          <t>437061810</t>
        </is>
      </c>
      <c r="C481" t="n">
        <v>4370618</v>
      </c>
      <c r="D481" t="inlineStr">
        <is>
          <t>ABERTA</t>
        </is>
      </c>
      <c r="E481" s="20" t="n">
        <v>46326</v>
      </c>
      <c r="F481" t="n">
        <v>5</v>
      </c>
      <c r="G481" t="n">
        <v>3</v>
      </c>
      <c r="H481" s="20" t="n">
        <v>46326</v>
      </c>
      <c r="I481" t="n">
        <v>4370618</v>
      </c>
      <c r="J481" t="n">
        <v>10</v>
      </c>
      <c r="K481" t="inlineStr">
        <is>
          <t>POMMET</t>
        </is>
      </c>
      <c r="L481" t="inlineStr">
        <is>
          <t>04W PREPARATION OF ACTIVITY</t>
        </is>
      </c>
      <c r="M481" t="inlineStr">
        <is>
          <t>SAMPLING OF CONDENSATE 45JX002</t>
        </is>
      </c>
      <c r="N481" t="inlineStr">
        <is>
          <t>PERGC-PSGC-GIM-01-46-01</t>
        </is>
      </c>
      <c r="O481" t="inlineStr">
        <is>
          <t>45JX002 ESTACAO AMOSTRAGEM SC-1</t>
        </is>
      </c>
      <c r="P481" t="n">
        <v>0.1</v>
      </c>
      <c r="Q481" t="inlineStr">
        <is>
          <t>PLANO</t>
        </is>
      </c>
      <c r="R481" t="inlineStr">
        <is>
          <t>Z12</t>
        </is>
      </c>
      <c r="S481" s="20" t="n">
        <v>46326</v>
      </c>
    </row>
    <row r="482">
      <c r="A482" t="inlineStr">
        <is>
          <t>AUT</t>
        </is>
      </c>
      <c r="B482" t="inlineStr">
        <is>
          <t>437061820</t>
        </is>
      </c>
      <c r="C482" t="n">
        <v>4370618</v>
      </c>
      <c r="D482" t="inlineStr">
        <is>
          <t>ABERTA</t>
        </is>
      </c>
      <c r="E482" s="20" t="n">
        <v>46326</v>
      </c>
      <c r="F482" t="n">
        <v>5</v>
      </c>
      <c r="G482" t="n">
        <v>3</v>
      </c>
      <c r="H482" s="20" t="n">
        <v>46326</v>
      </c>
      <c r="I482" t="n">
        <v>4370618</v>
      </c>
      <c r="J482" t="n">
        <v>20</v>
      </c>
      <c r="K482" t="inlineStr">
        <is>
          <t>E14AUT</t>
        </is>
      </c>
      <c r="L482" t="inlineStr">
        <is>
          <t>04W TAKE SAMPLE</t>
        </is>
      </c>
      <c r="M482" t="inlineStr">
        <is>
          <t>SAMPLING OF CONDENSATE 45JX002</t>
        </is>
      </c>
      <c r="N482" t="inlineStr">
        <is>
          <t>PERGC-PSGC-GIM-01-46-01</t>
        </is>
      </c>
      <c r="O482" t="inlineStr">
        <is>
          <t>45JX002 ESTACAO AMOSTRAGEM SC-1</t>
        </is>
      </c>
      <c r="P482" t="n">
        <v>0.5</v>
      </c>
      <c r="Q482" t="inlineStr">
        <is>
          <t>PLANO</t>
        </is>
      </c>
      <c r="R482" t="inlineStr">
        <is>
          <t>Z12</t>
        </is>
      </c>
      <c r="S482" s="20" t="n">
        <v>46326</v>
      </c>
    </row>
    <row r="483">
      <c r="A483" t="inlineStr">
        <is>
          <t>INS</t>
        </is>
      </c>
      <c r="B483" t="inlineStr">
        <is>
          <t>437061830</t>
        </is>
      </c>
      <c r="C483" t="n">
        <v>4370618</v>
      </c>
      <c r="D483" t="inlineStr">
        <is>
          <t>ABERTA</t>
        </is>
      </c>
      <c r="E483" s="20" t="n">
        <v>46326</v>
      </c>
      <c r="F483" t="n">
        <v>5</v>
      </c>
      <c r="G483" t="n">
        <v>3</v>
      </c>
      <c r="H483" s="20" t="n">
        <v>46326</v>
      </c>
      <c r="I483" t="n">
        <v>4370618</v>
      </c>
      <c r="J483" t="n">
        <v>30</v>
      </c>
      <c r="K483" t="inlineStr">
        <is>
          <t>POMMET</t>
        </is>
      </c>
      <c r="L483" t="inlineStr">
        <is>
          <t>04W PREPARE SAMPLE FOR DISEMBARK</t>
        </is>
      </c>
      <c r="M483" t="inlineStr">
        <is>
          <t>SAMPLING OF CONDENSATE 45JX002</t>
        </is>
      </c>
      <c r="N483" t="inlineStr">
        <is>
          <t>PERGC-PSGC-GIM-01-46-01</t>
        </is>
      </c>
      <c r="O483" t="inlineStr">
        <is>
          <t>45JX002 ESTACAO AMOSTRAGEM SC-1</t>
        </is>
      </c>
      <c r="P483" t="n">
        <v>0.5</v>
      </c>
      <c r="Q483" t="inlineStr">
        <is>
          <t>PLANO</t>
        </is>
      </c>
      <c r="R483" t="inlineStr">
        <is>
          <t>Z12</t>
        </is>
      </c>
      <c r="S483" s="20" t="n">
        <v>46326</v>
      </c>
    </row>
    <row r="484">
      <c r="A484" t="inlineStr">
        <is>
          <t>INS</t>
        </is>
      </c>
      <c r="B484" t="inlineStr">
        <is>
          <t>437061840</t>
        </is>
      </c>
      <c r="C484" t="n">
        <v>4370618</v>
      </c>
      <c r="D484" t="inlineStr">
        <is>
          <t>ABERTA</t>
        </is>
      </c>
      <c r="E484" s="20" t="n">
        <v>46326</v>
      </c>
      <c r="F484" t="n">
        <v>3</v>
      </c>
      <c r="G484" t="n">
        <v>3</v>
      </c>
      <c r="H484" s="20" t="n">
        <v>46326</v>
      </c>
      <c r="I484" t="n">
        <v>4370618</v>
      </c>
      <c r="J484" t="n">
        <v>40</v>
      </c>
      <c r="K484" t="inlineStr">
        <is>
          <t>POMMET</t>
        </is>
      </c>
      <c r="L484" t="inlineStr">
        <is>
          <t>04W RECEIVE IMPLEMENT AND STORE</t>
        </is>
      </c>
      <c r="M484" t="inlineStr">
        <is>
          <t>SAMPLING OF CONDENSATE 45JX002</t>
        </is>
      </c>
      <c r="N484" t="inlineStr">
        <is>
          <t>PERGC-PSGC-GIM-01-46-01</t>
        </is>
      </c>
      <c r="O484" t="inlineStr">
        <is>
          <t>45JX002 ESTACAO AMOSTRAGEM SC-1</t>
        </is>
      </c>
      <c r="P484" t="n">
        <v>0.5</v>
      </c>
      <c r="Q484" t="inlineStr">
        <is>
          <t>PLANO</t>
        </is>
      </c>
      <c r="R484" t="inlineStr">
        <is>
          <t>Z12</t>
        </is>
      </c>
      <c r="S484" s="20" t="n">
        <v>46326</v>
      </c>
    </row>
    <row r="485">
      <c r="A485" t="inlineStr">
        <is>
          <t>MEC</t>
        </is>
      </c>
      <c r="B485" t="inlineStr">
        <is>
          <t>438643810</t>
        </is>
      </c>
      <c r="C485" t="n">
        <v>4386438</v>
      </c>
      <c r="D485" t="inlineStr">
        <is>
          <t>ENCERRADA</t>
        </is>
      </c>
      <c r="E485" s="20" t="n">
        <v>46314</v>
      </c>
      <c r="F485" t="n">
        <v>3</v>
      </c>
      <c r="G485" t="n">
        <v>2</v>
      </c>
      <c r="H485" s="20" t="n">
        <v>46314</v>
      </c>
      <c r="I485" t="n">
        <v>4386438</v>
      </c>
      <c r="J485" t="n">
        <v>10</v>
      </c>
      <c r="K485" t="inlineStr">
        <is>
          <t>MEC</t>
        </is>
      </c>
      <c r="L485" t="inlineStr">
        <is>
          <t>INS-1500 INSP OPM VISUAL BOMBA</t>
        </is>
      </c>
      <c r="M485" t="inlineStr">
        <is>
          <t>INSP VISUAL BOMBA INS-1500 MEC 1M</t>
        </is>
      </c>
      <c r="N485" t="inlineStr">
        <is>
          <t>PERGC-PSGC-GIM-07-13-01</t>
        </is>
      </c>
      <c r="O485" t="inlineStr">
        <is>
          <t>32PX001A BOMBA SUPPLY</t>
        </is>
      </c>
      <c r="P485" t="n">
        <v>1</v>
      </c>
      <c r="Q485" t="inlineStr">
        <is>
          <t>PLANO</t>
        </is>
      </c>
      <c r="R485" t="inlineStr">
        <is>
          <t>Z09</t>
        </is>
      </c>
      <c r="S485" s="20" t="n">
        <v>46314</v>
      </c>
    </row>
    <row r="486">
      <c r="A486" t="inlineStr">
        <is>
          <t>PRO</t>
        </is>
      </c>
      <c r="B486" t="inlineStr">
        <is>
          <t>438589310</t>
        </is>
      </c>
      <c r="C486" t="n">
        <v>4385893</v>
      </c>
      <c r="D486" t="inlineStr">
        <is>
          <t>ENCERRADA</t>
        </is>
      </c>
      <c r="E486" s="20" t="n">
        <v>46317</v>
      </c>
      <c r="F486" t="n">
        <v>3</v>
      </c>
      <c r="G486" t="n">
        <v>2</v>
      </c>
      <c r="H486" s="20" t="n">
        <v>46317</v>
      </c>
      <c r="I486" t="n">
        <v>4385893</v>
      </c>
      <c r="J486" t="n">
        <v>10</v>
      </c>
      <c r="K486" t="inlineStr">
        <is>
          <t>PRO</t>
        </is>
      </c>
      <c r="L486" t="inlineStr">
        <is>
          <t>INS-1813 INSP PRO FILTRO</t>
        </is>
      </c>
      <c r="M486" t="inlineStr">
        <is>
          <t>INSP FILTRO INS-1813 OPE 4M</t>
        </is>
      </c>
      <c r="N486" t="inlineStr">
        <is>
          <t>PERGC-PSGC-GIM-07-13-13</t>
        </is>
      </c>
      <c r="O486" t="inlineStr">
        <is>
          <t>32CB001A FILTRO STRAINER 1"</t>
        </is>
      </c>
      <c r="P486" t="n">
        <v>3</v>
      </c>
      <c r="Q486" t="inlineStr">
        <is>
          <t>PLANO</t>
        </is>
      </c>
      <c r="R486" t="inlineStr">
        <is>
          <t>Z09</t>
        </is>
      </c>
      <c r="S486" s="20" t="n">
        <v>46317</v>
      </c>
    </row>
    <row r="487">
      <c r="A487" t="inlineStr">
        <is>
          <t>MEC</t>
        </is>
      </c>
      <c r="B487" t="inlineStr">
        <is>
          <t>438650510</t>
        </is>
      </c>
      <c r="C487" t="n">
        <v>4386505</v>
      </c>
      <c r="D487" t="inlineStr">
        <is>
          <t>ENCERRADA</t>
        </is>
      </c>
      <c r="E487" s="20" t="n">
        <v>46318</v>
      </c>
      <c r="F487" t="n">
        <v>3</v>
      </c>
      <c r="G487" t="n">
        <v>2</v>
      </c>
      <c r="H487" s="20" t="n">
        <v>46318</v>
      </c>
      <c r="I487" t="n">
        <v>4386505</v>
      </c>
      <c r="J487" t="n">
        <v>10</v>
      </c>
      <c r="K487" t="inlineStr">
        <is>
          <t>MEC</t>
        </is>
      </c>
      <c r="L487" t="inlineStr">
        <is>
          <t>INS-1500 INSP OPM VISUAL BOMBA</t>
        </is>
      </c>
      <c r="M487" t="inlineStr">
        <is>
          <t>INSP VISUAL BOMBA INS-1500 MEC 1M</t>
        </is>
      </c>
      <c r="N487" t="inlineStr">
        <is>
          <t>PERGC-PSGC-GIM-07-16-01</t>
        </is>
      </c>
      <c r="O487" t="inlineStr">
        <is>
          <t>32PX001B BOMBA SUPPLY</t>
        </is>
      </c>
      <c r="P487" t="n">
        <v>1</v>
      </c>
      <c r="Q487" t="inlineStr">
        <is>
          <t>PLANO</t>
        </is>
      </c>
      <c r="R487" t="inlineStr">
        <is>
          <t>Z09</t>
        </is>
      </c>
      <c r="S487" s="20" t="n">
        <v>46318</v>
      </c>
    </row>
    <row r="488">
      <c r="A488" t="inlineStr">
        <is>
          <t>PRO</t>
        </is>
      </c>
      <c r="B488" t="inlineStr">
        <is>
          <t>438647010</t>
        </is>
      </c>
      <c r="C488" t="n">
        <v>4386470</v>
      </c>
      <c r="D488" t="inlineStr">
        <is>
          <t>ENCERRADA</t>
        </is>
      </c>
      <c r="E488" s="20" t="n">
        <v>46316</v>
      </c>
      <c r="F488" t="n">
        <v>3</v>
      </c>
      <c r="G488" t="n">
        <v>2</v>
      </c>
      <c r="H488" s="20" t="n">
        <v>46316</v>
      </c>
      <c r="I488" t="n">
        <v>4386470</v>
      </c>
      <c r="J488" t="n">
        <v>10</v>
      </c>
      <c r="K488" t="inlineStr">
        <is>
          <t>PRO</t>
        </is>
      </c>
      <c r="L488" t="inlineStr">
        <is>
          <t>INS-1813 INSP PRO FILTRO</t>
        </is>
      </c>
      <c r="M488" t="inlineStr">
        <is>
          <t>INSP FILTRO INS-1813 OPE 4M</t>
        </is>
      </c>
      <c r="N488" t="inlineStr">
        <is>
          <t>PERGC-PSGI-GNI-01-10-01</t>
        </is>
      </c>
      <c r="O488" t="inlineStr">
        <is>
          <t>64CA001 PRE FILTRO</t>
        </is>
      </c>
      <c r="P488" t="n">
        <v>3</v>
      </c>
      <c r="Q488" t="inlineStr">
        <is>
          <t>PLANO</t>
        </is>
      </c>
      <c r="R488" t="inlineStr">
        <is>
          <t>Z09</t>
        </is>
      </c>
      <c r="S488" s="20" t="n">
        <v>46316</v>
      </c>
    </row>
    <row r="489">
      <c r="A489" t="inlineStr">
        <is>
          <t>MEC</t>
        </is>
      </c>
      <c r="B489" t="inlineStr">
        <is>
          <t>438640610</t>
        </is>
      </c>
      <c r="C489" t="n">
        <v>4386406</v>
      </c>
      <c r="D489" t="inlineStr">
        <is>
          <t>ENCERRADA</t>
        </is>
      </c>
      <c r="E489" s="20" t="n">
        <v>46311</v>
      </c>
      <c r="F489" t="n">
        <v>3</v>
      </c>
      <c r="G489" t="n">
        <v>2</v>
      </c>
      <c r="H489" s="20" t="n">
        <v>46311</v>
      </c>
      <c r="I489" t="n">
        <v>4386406</v>
      </c>
      <c r="J489" t="n">
        <v>10</v>
      </c>
      <c r="K489" t="inlineStr">
        <is>
          <t>MEC</t>
        </is>
      </c>
      <c r="L489" t="inlineStr">
        <is>
          <t>INSP CILINDRO N2/H2O INS-1550 MEC 1M</t>
        </is>
      </c>
      <c r="M489" t="inlineStr">
        <is>
          <t>INSP CILINDRO N2/H2O INS-1550 MEC 1M</t>
        </is>
      </c>
      <c r="N489" t="inlineStr">
        <is>
          <t>PERGC-PSGI-GNI-01-28-01</t>
        </is>
      </c>
      <c r="O489" t="inlineStr">
        <is>
          <t>64XX001 RACK ARMAZ CILINDRO N2</t>
        </is>
      </c>
      <c r="P489" t="n">
        <v>1</v>
      </c>
      <c r="Q489" t="inlineStr">
        <is>
          <t>PLANO</t>
        </is>
      </c>
      <c r="R489" t="inlineStr">
        <is>
          <t>Z09</t>
        </is>
      </c>
      <c r="S489" s="20" t="n">
        <v>46311</v>
      </c>
    </row>
    <row r="490">
      <c r="A490" t="inlineStr">
        <is>
          <t>MEC</t>
        </is>
      </c>
      <c r="B490" t="inlineStr">
        <is>
          <t>438647110</t>
        </is>
      </c>
      <c r="C490" t="n">
        <v>4386471</v>
      </c>
      <c r="D490" t="inlineStr">
        <is>
          <t>ENCERRADA</t>
        </is>
      </c>
      <c r="E490" s="20" t="n">
        <v>46316</v>
      </c>
      <c r="F490" t="n">
        <v>3</v>
      </c>
      <c r="G490" t="n">
        <v>2</v>
      </c>
      <c r="H490" s="20" t="n">
        <v>46316</v>
      </c>
      <c r="I490" t="n">
        <v>4386471</v>
      </c>
      <c r="J490" t="n">
        <v>10</v>
      </c>
      <c r="K490" t="inlineStr">
        <is>
          <t>MEC</t>
        </is>
      </c>
      <c r="L490" t="inlineStr">
        <is>
          <t>INSP CILINDRO N2/H2O INS-1550 MEC 1M</t>
        </is>
      </c>
      <c r="M490" t="inlineStr">
        <is>
          <t>INSP CILINDRO N2/H2O INS-1550 MEC 1M</t>
        </is>
      </c>
      <c r="N490" t="inlineStr">
        <is>
          <t>PERGC-PSGI-GNI-01-28-07</t>
        </is>
      </c>
      <c r="O490" t="inlineStr">
        <is>
          <t>64XX001-02 CILINDRO N2</t>
        </is>
      </c>
      <c r="P490" t="n">
        <v>1</v>
      </c>
      <c r="Q490" t="inlineStr">
        <is>
          <t>PLANO</t>
        </is>
      </c>
      <c r="R490" t="inlineStr">
        <is>
          <t>Z09</t>
        </is>
      </c>
      <c r="S490" s="20" t="n">
        <v>46316</v>
      </c>
    </row>
    <row r="491">
      <c r="A491" t="inlineStr">
        <is>
          <t>MEC</t>
        </is>
      </c>
      <c r="B491" t="inlineStr">
        <is>
          <t>438644010</t>
        </is>
      </c>
      <c r="C491" t="n">
        <v>4386440</v>
      </c>
      <c r="D491" t="inlineStr">
        <is>
          <t>ENCERRADA</t>
        </is>
      </c>
      <c r="E491" s="20" t="n">
        <v>46314</v>
      </c>
      <c r="F491" t="n">
        <v>3</v>
      </c>
      <c r="G491" t="n">
        <v>2</v>
      </c>
      <c r="H491" s="20" t="n">
        <v>46314</v>
      </c>
      <c r="I491" t="n">
        <v>4386440</v>
      </c>
      <c r="J491" t="n">
        <v>10</v>
      </c>
      <c r="K491" t="inlineStr">
        <is>
          <t>MEC</t>
        </is>
      </c>
      <c r="L491" t="inlineStr">
        <is>
          <t>INSP CILINDRO N2/H2O INS-1550 MEC 1M</t>
        </is>
      </c>
      <c r="M491" t="inlineStr">
        <is>
          <t>INSP CILINDRO N2/H2O INS-1550 MEC 1M</t>
        </is>
      </c>
      <c r="N491" t="inlineStr">
        <is>
          <t>PERGC-PSGI-GNI-01-28-10</t>
        </is>
      </c>
      <c r="O491" t="inlineStr">
        <is>
          <t>64XX001-03 CILINDRO N2</t>
        </is>
      </c>
      <c r="P491" t="n">
        <v>1</v>
      </c>
      <c r="Q491" t="inlineStr">
        <is>
          <t>PLANO</t>
        </is>
      </c>
      <c r="R491" t="inlineStr">
        <is>
          <t>Z09</t>
        </is>
      </c>
      <c r="S491" s="20" t="n">
        <v>46314</v>
      </c>
    </row>
    <row r="492">
      <c r="A492" t="inlineStr">
        <is>
          <t>MEC</t>
        </is>
      </c>
      <c r="B492" t="inlineStr">
        <is>
          <t>438645610</t>
        </is>
      </c>
      <c r="C492" t="n">
        <v>4386456</v>
      </c>
      <c r="D492" t="inlineStr">
        <is>
          <t>ENCERRADA</t>
        </is>
      </c>
      <c r="E492" s="20" t="n">
        <v>46315</v>
      </c>
      <c r="F492" t="n">
        <v>5</v>
      </c>
      <c r="G492" t="n">
        <v>2</v>
      </c>
      <c r="H492" s="20" t="n">
        <v>46315</v>
      </c>
      <c r="I492" t="n">
        <v>4386456</v>
      </c>
      <c r="J492" t="n">
        <v>10</v>
      </c>
      <c r="K492" t="inlineStr">
        <is>
          <t>MEC</t>
        </is>
      </c>
      <c r="L492" t="inlineStr">
        <is>
          <t>INSP CILINDRO N2/H2O INS-1550 MEC 1M</t>
        </is>
      </c>
      <c r="M492" t="inlineStr">
        <is>
          <t>INSP CILINDRO N2/H2O INS-1550 MEC 1M</t>
        </is>
      </c>
      <c r="N492" t="inlineStr">
        <is>
          <t>PERGC-PSGI-GNI-01-28-13</t>
        </is>
      </c>
      <c r="O492" t="inlineStr">
        <is>
          <t>64XX001-04 CILINDRO N2</t>
        </is>
      </c>
      <c r="P492" t="n">
        <v>1</v>
      </c>
      <c r="Q492" t="inlineStr">
        <is>
          <t>PLANO</t>
        </is>
      </c>
      <c r="R492" t="inlineStr">
        <is>
          <t>Z09</t>
        </is>
      </c>
      <c r="S492" s="20" t="n">
        <v>46315</v>
      </c>
    </row>
    <row r="493">
      <c r="A493" t="inlineStr">
        <is>
          <t>PRO</t>
        </is>
      </c>
      <c r="B493" t="inlineStr">
        <is>
          <t>438588610</t>
        </is>
      </c>
      <c r="C493" t="n">
        <v>4385886</v>
      </c>
      <c r="D493" t="inlineStr">
        <is>
          <t>ENCERRADA</t>
        </is>
      </c>
      <c r="E493" s="20" t="n">
        <v>46316</v>
      </c>
      <c r="F493" t="n">
        <v>5</v>
      </c>
      <c r="G493" t="n">
        <v>3</v>
      </c>
      <c r="H493" s="20" t="n">
        <v>46316</v>
      </c>
      <c r="I493" t="n">
        <v>4385886</v>
      </c>
      <c r="J493" t="n">
        <v>10</v>
      </c>
      <c r="K493" t="inlineStr">
        <is>
          <t>PRO</t>
        </is>
      </c>
      <c r="L493" t="inlineStr">
        <is>
          <t>INS-1813 INSP PRO FILTRO</t>
        </is>
      </c>
      <c r="M493" t="inlineStr">
        <is>
          <t>INSP FILTRO INS-1813 PRO 4M</t>
        </is>
      </c>
      <c r="N493" t="inlineStr">
        <is>
          <t>PERGC-PSIQ-UJQ-01-07</t>
        </is>
      </c>
      <c r="O493" t="inlineStr">
        <is>
          <t>CJ INJECAO QUIM DESEMULSIFICANTE TOPSIDE</t>
        </is>
      </c>
      <c r="P493" t="n">
        <v>3</v>
      </c>
      <c r="Q493" t="inlineStr">
        <is>
          <t>PLANO</t>
        </is>
      </c>
      <c r="R493" t="inlineStr">
        <is>
          <t>Z09</t>
        </is>
      </c>
      <c r="S493" s="20" t="n">
        <v>46316</v>
      </c>
    </row>
    <row r="494">
      <c r="A494" t="inlineStr">
        <is>
          <t>PRO</t>
        </is>
      </c>
      <c r="B494" t="inlineStr">
        <is>
          <t>438651010</t>
        </is>
      </c>
      <c r="C494" t="n">
        <v>4386510</v>
      </c>
      <c r="D494" t="inlineStr">
        <is>
          <t>ENCERRADA</t>
        </is>
      </c>
      <c r="E494" s="20" t="n">
        <v>46318</v>
      </c>
      <c r="F494" t="n">
        <v>5</v>
      </c>
      <c r="G494" t="n">
        <v>3</v>
      </c>
      <c r="H494" s="20" t="n">
        <v>46318</v>
      </c>
      <c r="I494" t="n">
        <v>4386510</v>
      </c>
      <c r="J494" t="n">
        <v>10</v>
      </c>
      <c r="K494" t="inlineStr">
        <is>
          <t>PRO</t>
        </is>
      </c>
      <c r="L494" t="inlineStr">
        <is>
          <t>INS-1813 INSP PRO FILTRO</t>
        </is>
      </c>
      <c r="M494" t="inlineStr">
        <is>
          <t>INSP FILTRO INS-1813 PRO 4M</t>
        </is>
      </c>
      <c r="N494" t="inlineStr">
        <is>
          <t>PERGC-PSIQ-UJQ-01-13</t>
        </is>
      </c>
      <c r="O494" t="inlineStr">
        <is>
          <t>CJ INJECAO QUIMICA INIBIDOR CORROSAO</t>
        </is>
      </c>
      <c r="P494" t="n">
        <v>3</v>
      </c>
      <c r="Q494" t="inlineStr">
        <is>
          <t>PLANO</t>
        </is>
      </c>
      <c r="R494" t="inlineStr">
        <is>
          <t>Z09</t>
        </is>
      </c>
      <c r="S494" s="20" t="n">
        <v>46318</v>
      </c>
    </row>
    <row r="495">
      <c r="A495" t="inlineStr">
        <is>
          <t>ELE</t>
        </is>
      </c>
      <c r="B495" t="inlineStr">
        <is>
          <t>438591510</t>
        </is>
      </c>
      <c r="C495" t="n">
        <v>4385915</v>
      </c>
      <c r="D495" t="inlineStr">
        <is>
          <t>ABERTA</t>
        </is>
      </c>
      <c r="E495" s="20" t="n">
        <v>46322</v>
      </c>
      <c r="F495" t="n">
        <v>5</v>
      </c>
      <c r="G495" t="n">
        <v>3</v>
      </c>
      <c r="H495" s="20" t="n">
        <v>46322</v>
      </c>
      <c r="I495" t="n">
        <v>4385915</v>
      </c>
      <c r="J495" t="n">
        <v>10</v>
      </c>
      <c r="K495" t="inlineStr">
        <is>
          <t>ELE</t>
        </is>
      </c>
      <c r="L495" t="inlineStr">
        <is>
          <t>PSE-1200 MANUT ELE MOTOR BT</t>
        </is>
      </c>
      <c r="M495" t="inlineStr">
        <is>
          <t>MANUT MOTOR BAIXA TENSAO PSE-1200 ELE 1A</t>
        </is>
      </c>
      <c r="N495" t="inlineStr">
        <is>
          <t>PERGC-PSIQ-UJQ-01-16</t>
        </is>
      </c>
      <c r="O495" t="inlineStr">
        <is>
          <t>CJ INJECAO QUIM SURFACTANT/BIOCIDA</t>
        </is>
      </c>
      <c r="P495" t="n">
        <v>4</v>
      </c>
      <c r="Q495" t="inlineStr">
        <is>
          <t>PLANO</t>
        </is>
      </c>
      <c r="R495" t="inlineStr">
        <is>
          <t>Z12</t>
        </is>
      </c>
      <c r="S495" s="20" t="n">
        <v>46322</v>
      </c>
    </row>
    <row r="496">
      <c r="A496" t="inlineStr">
        <is>
          <t>MEC</t>
        </is>
      </c>
      <c r="B496" t="inlineStr">
        <is>
          <t>438653010</t>
        </is>
      </c>
      <c r="C496" t="n">
        <v>4386530</v>
      </c>
      <c r="D496" t="inlineStr">
        <is>
          <t>ENCERRADA</t>
        </is>
      </c>
      <c r="E496" s="20" t="n">
        <v>46319</v>
      </c>
      <c r="F496" t="n">
        <v>5</v>
      </c>
      <c r="G496" t="n">
        <v>3</v>
      </c>
      <c r="H496" s="20" t="n">
        <v>46319</v>
      </c>
      <c r="I496" t="n">
        <v>4386530</v>
      </c>
      <c r="J496" t="n">
        <v>10</v>
      </c>
      <c r="K496" t="inlineStr">
        <is>
          <t>MEC</t>
        </is>
      </c>
      <c r="L496" t="inlineStr">
        <is>
          <t>INS-1500 INSP OPM VISUAL BOMBA</t>
        </is>
      </c>
      <c r="M496" t="inlineStr">
        <is>
          <t>INSP VISUAL BOMBA INS-1500 MEC 1M</t>
        </is>
      </c>
      <c r="N496" t="inlineStr">
        <is>
          <t>PERGC-PSIQ-UJQ-01-16-04-01</t>
        </is>
      </c>
      <c r="O496" t="inlineStr">
        <is>
          <t>42PD331A BOMBA INJ SURFACTANT/BIOCIDA</t>
        </is>
      </c>
      <c r="P496" t="n">
        <v>1</v>
      </c>
      <c r="Q496" t="inlineStr">
        <is>
          <t>PLANO</t>
        </is>
      </c>
      <c r="R496" t="inlineStr">
        <is>
          <t>Z09</t>
        </is>
      </c>
      <c r="S496" s="20" t="n">
        <v>46319</v>
      </c>
    </row>
    <row r="497">
      <c r="A497" t="inlineStr">
        <is>
          <t>MEC</t>
        </is>
      </c>
      <c r="B497" t="inlineStr">
        <is>
          <t>438644210</t>
        </is>
      </c>
      <c r="C497" t="n">
        <v>4386442</v>
      </c>
      <c r="D497" t="inlineStr">
        <is>
          <t>ENCERRADA</t>
        </is>
      </c>
      <c r="E497" s="20" t="n">
        <v>46314</v>
      </c>
      <c r="F497" t="n">
        <v>5</v>
      </c>
      <c r="G497" t="n">
        <v>3</v>
      </c>
      <c r="H497" s="20" t="n">
        <v>46314</v>
      </c>
      <c r="I497" t="n">
        <v>4386442</v>
      </c>
      <c r="J497" t="n">
        <v>10</v>
      </c>
      <c r="K497" t="inlineStr">
        <is>
          <t>MEC</t>
        </is>
      </c>
      <c r="L497" t="inlineStr">
        <is>
          <t>INS-1500 INSP OPM VISUAL BOMBA</t>
        </is>
      </c>
      <c r="M497" t="inlineStr">
        <is>
          <t>INSP VISUAL BOMBA INS-1500 MEC 1M</t>
        </is>
      </c>
      <c r="N497" t="inlineStr">
        <is>
          <t>PERGC-PSIQ-UJQ-01-16-07-01</t>
        </is>
      </c>
      <c r="O497" t="inlineStr">
        <is>
          <t>42PD331B BOMBA INJ SURFACTANT/BIOCIDA</t>
        </is>
      </c>
      <c r="P497" t="n">
        <v>1</v>
      </c>
      <c r="Q497" t="inlineStr">
        <is>
          <t>PLANO</t>
        </is>
      </c>
      <c r="R497" t="inlineStr">
        <is>
          <t>Z09</t>
        </is>
      </c>
      <c r="S497" s="20" t="n">
        <v>46314</v>
      </c>
    </row>
    <row r="498">
      <c r="A498" t="inlineStr">
        <is>
          <t>PRO</t>
        </is>
      </c>
      <c r="B498" t="inlineStr">
        <is>
          <t>438590210</t>
        </is>
      </c>
      <c r="C498" t="n">
        <v>4385902</v>
      </c>
      <c r="D498" t="inlineStr">
        <is>
          <t>ENCERRADA</t>
        </is>
      </c>
      <c r="E498" s="20" t="n">
        <v>46320</v>
      </c>
      <c r="F498" t="n">
        <v>3</v>
      </c>
      <c r="G498" t="n">
        <v>3</v>
      </c>
      <c r="H498" s="20" t="n">
        <v>46320</v>
      </c>
      <c r="I498" t="n">
        <v>4385902</v>
      </c>
      <c r="J498" t="n">
        <v>10</v>
      </c>
      <c r="K498" t="inlineStr">
        <is>
          <t>PRO</t>
        </is>
      </c>
      <c r="L498" t="inlineStr">
        <is>
          <t>INS-1813 INSP PRO FILTRO</t>
        </is>
      </c>
      <c r="M498" t="inlineStr">
        <is>
          <t>INSP FILTRO INS-1813 PRO 4M</t>
        </is>
      </c>
      <c r="N498" t="inlineStr">
        <is>
          <t>PERGC-PSIQ-UJQ-01-19-31</t>
        </is>
      </c>
      <c r="O498" t="inlineStr">
        <is>
          <t>CJ TUBULACAO INJ BIOCIDA DIESEL TOPSIDE</t>
        </is>
      </c>
      <c r="P498" t="n">
        <v>3</v>
      </c>
      <c r="Q498" t="inlineStr">
        <is>
          <t>PLANO</t>
        </is>
      </c>
      <c r="R498" t="inlineStr">
        <is>
          <t>Z09</t>
        </is>
      </c>
      <c r="S498" s="20" t="n">
        <v>46320</v>
      </c>
    </row>
    <row r="499">
      <c r="A499" t="inlineStr">
        <is>
          <t>INS</t>
        </is>
      </c>
      <c r="B499" t="inlineStr">
        <is>
          <t>439547410</t>
        </is>
      </c>
      <c r="C499" t="n">
        <v>4395474</v>
      </c>
      <c r="D499" t="inlineStr">
        <is>
          <t>ABERTA</t>
        </is>
      </c>
      <c r="E499" s="20" t="n">
        <v>46316</v>
      </c>
      <c r="F499" t="n">
        <v>3</v>
      </c>
      <c r="G499" t="n">
        <v>2</v>
      </c>
      <c r="H499" s="20" t="n">
        <v>46316</v>
      </c>
      <c r="I499" t="n">
        <v>4395474</v>
      </c>
      <c r="J499" t="n">
        <v>10</v>
      </c>
      <c r="K499" t="inlineStr">
        <is>
          <t>POMMET</t>
        </is>
      </c>
      <c r="L499" t="inlineStr">
        <is>
          <t>01M CALIB RELOGIOS COMPUTADOR VAZAO</t>
        </is>
      </c>
      <c r="M499" t="inlineStr">
        <is>
          <t>87JS045 FLOW COMPUTER</t>
        </is>
      </c>
      <c r="N499" t="inlineStr">
        <is>
          <t>PERGC-PSSC-PAC-07-16</t>
        </is>
      </c>
      <c r="O499" t="inlineStr">
        <is>
          <t>87JS045 SERVER</t>
        </is>
      </c>
      <c r="P499" t="n">
        <v>2</v>
      </c>
      <c r="Q499" t="inlineStr">
        <is>
          <t>PLANO</t>
        </is>
      </c>
      <c r="R499" t="inlineStr">
        <is>
          <t>Z12</t>
        </is>
      </c>
      <c r="S499" s="20" t="n">
        <v>46316</v>
      </c>
    </row>
    <row r="500">
      <c r="A500" t="inlineStr">
        <is>
          <t>INS</t>
        </is>
      </c>
      <c r="B500" t="inlineStr">
        <is>
          <t>439547430</t>
        </is>
      </c>
      <c r="C500" t="n">
        <v>4395474</v>
      </c>
      <c r="D500" t="inlineStr">
        <is>
          <t>ABERTA</t>
        </is>
      </c>
      <c r="E500" s="20" t="n">
        <v>46316</v>
      </c>
      <c r="F500" t="n">
        <v>3</v>
      </c>
      <c r="G500" t="n">
        <v>2</v>
      </c>
      <c r="H500" s="20" t="n">
        <v>46316</v>
      </c>
      <c r="I500" t="n">
        <v>4395474</v>
      </c>
      <c r="J500" t="n">
        <v>30</v>
      </c>
      <c r="K500" t="inlineStr">
        <is>
          <t>POMMET</t>
        </is>
      </c>
      <c r="L500" t="inlineStr">
        <is>
          <t>03M COMPUTER FLOW - FULL BACKUP</t>
        </is>
      </c>
      <c r="M500" t="inlineStr">
        <is>
          <t>87JS045 FLOW COMPUTER</t>
        </is>
      </c>
      <c r="N500" t="inlineStr">
        <is>
          <t>PERGC-PSSC-PAC-07-16</t>
        </is>
      </c>
      <c r="O500" t="inlineStr">
        <is>
          <t>87JS045 SERVER</t>
        </is>
      </c>
      <c r="P500" t="n">
        <v>2</v>
      </c>
      <c r="Q500" t="inlineStr">
        <is>
          <t>PLANO</t>
        </is>
      </c>
      <c r="R500" t="inlineStr">
        <is>
          <t>Z12</t>
        </is>
      </c>
      <c r="S500" s="20" t="n">
        <v>46316</v>
      </c>
    </row>
    <row r="501">
      <c r="A501" t="inlineStr">
        <is>
          <t>AUT</t>
        </is>
      </c>
      <c r="B501" t="inlineStr">
        <is>
          <t>438575310</t>
        </is>
      </c>
      <c r="C501" t="n">
        <v>4385753</v>
      </c>
      <c r="D501" t="inlineStr">
        <is>
          <t>LIBERADA</t>
        </is>
      </c>
      <c r="E501" s="20" t="n">
        <v>46312</v>
      </c>
      <c r="F501" t="n">
        <v>5</v>
      </c>
      <c r="G501" t="n">
        <v>2</v>
      </c>
      <c r="H501" s="20" t="n">
        <v>46312</v>
      </c>
      <c r="I501" t="n">
        <v>4385753</v>
      </c>
      <c r="J501" t="n">
        <v>10</v>
      </c>
      <c r="K501" t="inlineStr">
        <is>
          <t>AUT</t>
        </is>
      </c>
      <c r="L501" t="inlineStr">
        <is>
          <t>INS-1017 INSP AUT PAINEL CONTROLE</t>
        </is>
      </c>
      <c r="M501" t="inlineStr">
        <is>
          <t>INSP PAINEL CONTROLE INS-1017 AUT 1A</t>
        </is>
      </c>
      <c r="N501" t="inlineStr">
        <is>
          <t>PERGC-PSSC-PNR-07-07-13-01</t>
        </is>
      </c>
      <c r="O501" t="inlineStr">
        <is>
          <t>87JF250 PCS C29 RIO 1</t>
        </is>
      </c>
      <c r="P501" t="n">
        <v>2</v>
      </c>
      <c r="Q501" t="inlineStr">
        <is>
          <t>PLANO</t>
        </is>
      </c>
      <c r="R501" t="inlineStr">
        <is>
          <t>Z09</t>
        </is>
      </c>
      <c r="S501" s="20" t="n">
        <v>46312</v>
      </c>
    </row>
    <row r="502">
      <c r="A502" t="inlineStr">
        <is>
          <t>MEC</t>
        </is>
      </c>
      <c r="B502" t="inlineStr">
        <is>
          <t>438587310</t>
        </is>
      </c>
      <c r="C502" t="n">
        <v>4385873</v>
      </c>
      <c r="D502" t="inlineStr">
        <is>
          <t>ABERTA</t>
        </is>
      </c>
      <c r="E502" s="20" t="n">
        <v>46313</v>
      </c>
      <c r="F502" t="n">
        <v>5</v>
      </c>
      <c r="G502" t="n">
        <v>3</v>
      </c>
      <c r="H502" s="20" t="n">
        <v>46313</v>
      </c>
      <c r="I502" t="n">
        <v>4385873</v>
      </c>
      <c r="J502" t="n">
        <v>10</v>
      </c>
      <c r="K502" t="inlineStr">
        <is>
          <t>MEC</t>
        </is>
      </c>
      <c r="L502" t="inlineStr">
        <is>
          <t>INS-1462 INSP MAR SUSPIROS VENTILACAO</t>
        </is>
      </c>
      <c r="M502" t="inlineStr">
        <is>
          <t>INSP SUSPIROS VENTILACAO INS-1462 MAR 6M</t>
        </is>
      </c>
      <c r="N502" t="inlineStr">
        <is>
          <t>PERGC-PSVA-VNT</t>
        </is>
      </c>
      <c r="O502" t="inlineStr">
        <is>
          <t>VENT</t>
        </is>
      </c>
      <c r="P502" t="n">
        <v>1</v>
      </c>
      <c r="Q502" t="inlineStr">
        <is>
          <t>PLANO</t>
        </is>
      </c>
      <c r="R502" t="inlineStr">
        <is>
          <t>Z09</t>
        </is>
      </c>
      <c r="S502" s="20" t="n">
        <v>46313</v>
      </c>
    </row>
    <row r="503">
      <c r="A503" t="inlineStr">
        <is>
          <t>AUT</t>
        </is>
      </c>
      <c r="B503" t="inlineStr">
        <is>
          <t>438591610</t>
        </is>
      </c>
      <c r="C503" t="n">
        <v>4385916</v>
      </c>
      <c r="D503" t="inlineStr">
        <is>
          <t>ABERTA</t>
        </is>
      </c>
      <c r="E503" s="20" t="n">
        <v>46322</v>
      </c>
      <c r="F503" t="n">
        <v>5</v>
      </c>
      <c r="G503" t="n">
        <v>3</v>
      </c>
      <c r="H503" s="20" t="n">
        <v>46322</v>
      </c>
      <c r="I503" t="n">
        <v>4385916</v>
      </c>
      <c r="J503" t="n">
        <v>10</v>
      </c>
      <c r="K503" t="inlineStr">
        <is>
          <t>AUT</t>
        </is>
      </c>
      <c r="L503" t="inlineStr">
        <is>
          <t>INS-1012 INSP AUT INSTRUMENTOS EMMS</t>
        </is>
      </c>
      <c r="M503" t="inlineStr">
        <is>
          <t>INSP INSTRUMENTOS EMMS INS-1012 AUT 3M</t>
        </is>
      </c>
      <c r="N503" t="inlineStr">
        <is>
          <t>PERGC-SDMT-PNN-01-07</t>
        </is>
      </c>
      <c r="O503" t="inlineStr">
        <is>
          <t>CJ SENSORES METEOROLOGICOS</t>
        </is>
      </c>
      <c r="P503" t="n">
        <v>2</v>
      </c>
      <c r="Q503" t="inlineStr">
        <is>
          <t>PLANO</t>
        </is>
      </c>
      <c r="R503" t="inlineStr">
        <is>
          <t>Z09</t>
        </is>
      </c>
      <c r="S503" s="20" t="n">
        <v>46322</v>
      </c>
    </row>
    <row r="504">
      <c r="A504" t="inlineStr">
        <is>
          <t>HSE</t>
        </is>
      </c>
      <c r="B504" t="inlineStr">
        <is>
          <t>438651110</t>
        </is>
      </c>
      <c r="C504" t="n">
        <v>4386511</v>
      </c>
      <c r="D504" t="inlineStr">
        <is>
          <t>LIBERADA</t>
        </is>
      </c>
      <c r="E504" s="20" t="n">
        <v>46318</v>
      </c>
      <c r="F504" t="n">
        <v>5</v>
      </c>
      <c r="G504" t="n">
        <v>3</v>
      </c>
      <c r="H504" s="20" t="n">
        <v>46318</v>
      </c>
      <c r="I504" t="n">
        <v>4386511</v>
      </c>
      <c r="J504" t="n">
        <v>10</v>
      </c>
      <c r="K504" t="inlineStr">
        <is>
          <t>HSE</t>
        </is>
      </c>
      <c r="L504" t="inlineStr">
        <is>
          <t>INS-2101 INSP HSE MASCARA FUGA</t>
        </is>
      </c>
      <c r="M504" t="inlineStr">
        <is>
          <t>INSP MASCARA FUGA SCBA INS-2101 HSE 1M</t>
        </is>
      </c>
      <c r="N504" t="inlineStr">
        <is>
          <t>PERGC-SSEG-CJA-04</t>
        </is>
      </c>
      <c r="O504" t="inlineStr">
        <is>
          <t>CJ MASCARA SCBA</t>
        </is>
      </c>
      <c r="P504" t="n">
        <v>12</v>
      </c>
      <c r="Q504" t="inlineStr">
        <is>
          <t>PLANO</t>
        </is>
      </c>
      <c r="R504" t="inlineStr">
        <is>
          <t>Z09</t>
        </is>
      </c>
      <c r="S504" s="20" t="n">
        <v>46318</v>
      </c>
    </row>
    <row r="505">
      <c r="A505" t="inlineStr">
        <is>
          <t>HSE</t>
        </is>
      </c>
      <c r="B505" t="inlineStr">
        <is>
          <t>438642510</t>
        </is>
      </c>
      <c r="C505" t="n">
        <v>4386425</v>
      </c>
      <c r="D505" t="inlineStr">
        <is>
          <t>ENCERRADA</t>
        </is>
      </c>
      <c r="E505" s="20" t="n">
        <v>46312</v>
      </c>
      <c r="F505" t="n">
        <v>5</v>
      </c>
      <c r="G505" t="n">
        <v>3</v>
      </c>
      <c r="H505" s="20" t="n">
        <v>46312</v>
      </c>
      <c r="I505" t="n">
        <v>4386425</v>
      </c>
      <c r="J505" t="n">
        <v>10</v>
      </c>
      <c r="K505" t="inlineStr">
        <is>
          <t>HSE</t>
        </is>
      </c>
      <c r="L505" t="inlineStr">
        <is>
          <t>INS-2100 INSP HSE MASCARA FUGA</t>
        </is>
      </c>
      <c r="M505" t="inlineStr">
        <is>
          <t>INSP MASCARA FUGA EEBD INS-2100 HSE 1M</t>
        </is>
      </c>
      <c r="N505" t="inlineStr">
        <is>
          <t>PERGC-SSEG-CJA-07</t>
        </is>
      </c>
      <c r="O505" t="inlineStr">
        <is>
          <t>CJ MASCARA EEBD</t>
        </is>
      </c>
      <c r="P505" t="n">
        <v>9</v>
      </c>
      <c r="Q505" t="inlineStr">
        <is>
          <t>PLANO</t>
        </is>
      </c>
      <c r="R505" t="inlineStr">
        <is>
          <t>Z09</t>
        </is>
      </c>
      <c r="S505" s="20" t="n">
        <v>46312</v>
      </c>
    </row>
    <row r="506">
      <c r="A506" t="inlineStr">
        <is>
          <t>HSE</t>
        </is>
      </c>
      <c r="B506" t="inlineStr">
        <is>
          <t>438649310</t>
        </is>
      </c>
      <c r="C506" t="n">
        <v>4386493</v>
      </c>
      <c r="D506" t="inlineStr">
        <is>
          <t>ENCERRADA</t>
        </is>
      </c>
      <c r="E506" s="20" t="n">
        <v>46317</v>
      </c>
      <c r="F506" t="n">
        <v>5</v>
      </c>
      <c r="G506" t="n">
        <v>3</v>
      </c>
      <c r="H506" s="20" t="n">
        <v>46317</v>
      </c>
      <c r="I506" t="n">
        <v>4386493</v>
      </c>
      <c r="J506" t="n">
        <v>10</v>
      </c>
      <c r="K506" t="inlineStr">
        <is>
          <t>HSE</t>
        </is>
      </c>
      <c r="L506" t="inlineStr">
        <is>
          <t>INS-2109 INSP HSE DETECTOR PORTATIL</t>
        </is>
      </c>
      <c r="M506" t="inlineStr">
        <is>
          <t>INSP DETECTOR PORTATIL INS-2109 HSE 1M</t>
        </is>
      </c>
      <c r="N506" t="inlineStr">
        <is>
          <t>PERGC-SSEG-EPC-04</t>
        </is>
      </c>
      <c r="O506" t="inlineStr">
        <is>
          <t>CJ DETECTORES GAS PORTAIES</t>
        </is>
      </c>
      <c r="P506" t="n">
        <v>4</v>
      </c>
      <c r="Q506" t="inlineStr">
        <is>
          <t>PLANO</t>
        </is>
      </c>
      <c r="R506" t="inlineStr">
        <is>
          <t>Z09</t>
        </is>
      </c>
      <c r="S506" s="20" t="n">
        <v>46317</v>
      </c>
    </row>
    <row r="507">
      <c r="A507" t="inlineStr">
        <is>
          <t>ELE</t>
        </is>
      </c>
      <c r="B507" t="inlineStr">
        <is>
          <t>435065910</t>
        </is>
      </c>
      <c r="C507" t="n">
        <v>4350659</v>
      </c>
      <c r="D507" t="inlineStr">
        <is>
          <t>LIBERADA</t>
        </is>
      </c>
      <c r="E507" s="20" t="n">
        <v>46321</v>
      </c>
      <c r="F507" t="n">
        <v>6</v>
      </c>
      <c r="G507" t="n">
        <v>3</v>
      </c>
      <c r="I507" t="n">
        <v>4350659</v>
      </c>
      <c r="J507" t="n">
        <v>10</v>
      </c>
      <c r="K507" t="inlineStr">
        <is>
          <t>ELE</t>
        </is>
      </c>
      <c r="L507" t="inlineStr">
        <is>
          <t>Trocar luminária 82EL104-229</t>
        </is>
      </c>
      <c r="M507" t="inlineStr">
        <is>
          <t>Luminaria do teto do coffee shop apagada</t>
        </is>
      </c>
      <c r="N507" t="inlineStr">
        <is>
          <t>PERGC-FEDN-PNN-16-18</t>
        </is>
      </c>
      <c r="O507" t="inlineStr">
        <is>
          <t>82EL104-229 REST/BREAK LTG</t>
        </is>
      </c>
      <c r="P507" t="n">
        <v>6</v>
      </c>
      <c r="Q507" t="inlineStr">
        <is>
          <t>DPRO</t>
        </is>
      </c>
      <c r="R507" t="inlineStr">
        <is>
          <t>Z12</t>
        </is>
      </c>
      <c r="S507" s="20" t="n">
        <v>46312</v>
      </c>
    </row>
    <row r="508">
      <c r="A508" t="inlineStr">
        <is>
          <t>CON</t>
        </is>
      </c>
      <c r="B508" t="inlineStr">
        <is>
          <t>435065920</t>
        </is>
      </c>
      <c r="C508" t="n">
        <v>4350659</v>
      </c>
      <c r="D508" t="inlineStr">
        <is>
          <t>ENCERRADA</t>
        </is>
      </c>
      <c r="E508" s="20" t="n">
        <v>46321</v>
      </c>
      <c r="F508" t="n">
        <v>6</v>
      </c>
      <c r="G508" t="n">
        <v>3</v>
      </c>
      <c r="I508" t="n">
        <v>4350659</v>
      </c>
      <c r="J508" t="n">
        <v>20</v>
      </c>
      <c r="K508" t="inlineStr">
        <is>
          <t>CON</t>
        </is>
      </c>
      <c r="L508" t="inlineStr">
        <is>
          <t>Apoio do IRATA</t>
        </is>
      </c>
      <c r="M508" t="inlineStr">
        <is>
          <t>Luminaria do teto do coffee shop apagada</t>
        </is>
      </c>
      <c r="N508" t="inlineStr">
        <is>
          <t>PERGC-FEDN-PNN-16-18</t>
        </is>
      </c>
      <c r="O508" t="inlineStr">
        <is>
          <t>82EL104-229 REST/BREAK LTG</t>
        </is>
      </c>
      <c r="P508" t="n">
        <v>18</v>
      </c>
      <c r="Q508" t="inlineStr">
        <is>
          <t>DPRO</t>
        </is>
      </c>
      <c r="R508" t="inlineStr">
        <is>
          <t>Z12</t>
        </is>
      </c>
      <c r="S508" s="20" t="n">
        <v>46312</v>
      </c>
    </row>
    <row r="509">
      <c r="A509" t="inlineStr">
        <is>
          <t>ELE</t>
        </is>
      </c>
      <c r="B509" t="inlineStr">
        <is>
          <t>434149710</t>
        </is>
      </c>
      <c r="C509" t="n">
        <v>4341497</v>
      </c>
      <c r="D509" t="inlineStr">
        <is>
          <t>ABERTA</t>
        </is>
      </c>
      <c r="E509" s="20" t="n">
        <v>46323</v>
      </c>
      <c r="F509" t="n">
        <v>6</v>
      </c>
      <c r="G509" t="n">
        <v>3</v>
      </c>
      <c r="I509" t="n">
        <v>4341497</v>
      </c>
      <c r="J509" t="n">
        <v>10</v>
      </c>
      <c r="K509" t="inlineStr">
        <is>
          <t>ELE</t>
        </is>
      </c>
      <c r="L509" t="inlineStr">
        <is>
          <t>Trocar refletor 82EL101-@Jq09-E03</t>
        </is>
      </c>
      <c r="M509" t="inlineStr">
        <is>
          <t>Refletor de 4leds com um 1led apagado.</t>
        </is>
      </c>
      <c r="N509" t="inlineStr">
        <is>
          <t>PERGC-FEIN-LUM-01-07-13-43</t>
        </is>
      </c>
      <c r="O509" t="inlineStr">
        <is>
          <t>82EL101B-2JQ09-E03 FLOODLIGHT ZONE 1</t>
        </is>
      </c>
      <c r="P509" t="n">
        <v>0</v>
      </c>
      <c r="Q509" t="inlineStr">
        <is>
          <t>AMAT</t>
        </is>
      </c>
      <c r="R509" t="inlineStr">
        <is>
          <t>Z12</t>
        </is>
      </c>
      <c r="S509" s="20" t="n">
        <v>46314</v>
      </c>
    </row>
    <row r="510">
      <c r="A510" t="inlineStr">
        <is>
          <t>CON</t>
        </is>
      </c>
      <c r="B510" t="inlineStr">
        <is>
          <t>434149720</t>
        </is>
      </c>
      <c r="C510" t="n">
        <v>4341497</v>
      </c>
      <c r="D510" t="inlineStr">
        <is>
          <t>ABERTA</t>
        </is>
      </c>
      <c r="E510" s="20" t="n">
        <v>46323</v>
      </c>
      <c r="F510" t="n">
        <v>6</v>
      </c>
      <c r="G510" t="n">
        <v>3</v>
      </c>
      <c r="I510" t="n">
        <v>4341497</v>
      </c>
      <c r="J510" t="n">
        <v>20</v>
      </c>
      <c r="K510" t="inlineStr">
        <is>
          <t>CON</t>
        </is>
      </c>
      <c r="L510" t="inlineStr">
        <is>
          <t>Trocar refletor IRATA 82EL101-@Jq09-E03</t>
        </is>
      </c>
      <c r="M510" t="inlineStr">
        <is>
          <t>Refletor de 4leds com um 1led apagado.</t>
        </is>
      </c>
      <c r="N510" t="inlineStr">
        <is>
          <t>PERGC-FEIN-LUM-01-07-13-43</t>
        </is>
      </c>
      <c r="O510" t="inlineStr">
        <is>
          <t>82EL101B-2JQ09-E03 FLOODLIGHT ZONE 1</t>
        </is>
      </c>
      <c r="P510" t="n">
        <v>0</v>
      </c>
      <c r="Q510" t="inlineStr">
        <is>
          <t>AMAT</t>
        </is>
      </c>
      <c r="R510" t="inlineStr">
        <is>
          <t>Z12</t>
        </is>
      </c>
      <c r="S510" s="20" t="n">
        <v>46314</v>
      </c>
    </row>
    <row r="511">
      <c r="A511" t="inlineStr">
        <is>
          <t>ELE</t>
        </is>
      </c>
      <c r="B511" t="inlineStr">
        <is>
          <t>435065610</t>
        </is>
      </c>
      <c r="C511" t="n">
        <v>4350656</v>
      </c>
      <c r="D511" t="inlineStr">
        <is>
          <t>LIBERADA</t>
        </is>
      </c>
      <c r="E511" s="20" t="n">
        <v>46311</v>
      </c>
      <c r="F511" t="n">
        <v>6</v>
      </c>
      <c r="G511" t="n">
        <v>3</v>
      </c>
      <c r="I511" t="n">
        <v>4350656</v>
      </c>
      <c r="J511" t="n">
        <v>10</v>
      </c>
      <c r="K511" t="inlineStr">
        <is>
          <t>ELE</t>
        </is>
      </c>
      <c r="L511" t="inlineStr">
        <is>
          <t>Trocar Luminária 82EL101B-2LQ05-E05</t>
        </is>
      </c>
      <c r="M511" t="inlineStr">
        <is>
          <t>Luminária com 75% de led  em operação</t>
        </is>
      </c>
      <c r="N511" t="inlineStr">
        <is>
          <t>PERGC-FEIN-LUM-01-07-13-59</t>
        </is>
      </c>
      <c r="O511" t="inlineStr">
        <is>
          <t>82EL101B-2KQ02-E04 LUMINARIA</t>
        </is>
      </c>
      <c r="P511" t="n">
        <v>6</v>
      </c>
      <c r="Q511" t="inlineStr">
        <is>
          <t>DPRO</t>
        </is>
      </c>
      <c r="R511" t="inlineStr">
        <is>
          <t>Z12</t>
        </is>
      </c>
      <c r="S511" s="20" t="n">
        <v>46311</v>
      </c>
    </row>
    <row r="512">
      <c r="A512" t="inlineStr">
        <is>
          <t>ELE</t>
        </is>
      </c>
      <c r="B512" t="inlineStr">
        <is>
          <t>435065620</t>
        </is>
      </c>
      <c r="C512" t="n">
        <v>4350656</v>
      </c>
      <c r="D512" t="inlineStr">
        <is>
          <t>LIBERADA</t>
        </is>
      </c>
      <c r="E512" s="20" t="n">
        <v>46312</v>
      </c>
      <c r="F512" t="n">
        <v>6</v>
      </c>
      <c r="G512" t="n">
        <v>3</v>
      </c>
      <c r="I512" t="n">
        <v>4350656</v>
      </c>
      <c r="J512" t="n">
        <v>20</v>
      </c>
      <c r="K512" t="inlineStr">
        <is>
          <t>ELE</t>
        </is>
      </c>
      <c r="L512" t="inlineStr">
        <is>
          <t>Trocar Luminária 82EL101B-2LQ06-E04</t>
        </is>
      </c>
      <c r="M512" t="inlineStr">
        <is>
          <t>Luminária com 75% de led  em operação</t>
        </is>
      </c>
      <c r="N512" t="inlineStr">
        <is>
          <t>PERGC-FEIN-LUM-01-07-13-59</t>
        </is>
      </c>
      <c r="O512" t="inlineStr">
        <is>
          <t>82EL101B-2KQ02-E04 LUMINARIA</t>
        </is>
      </c>
      <c r="P512" t="n">
        <v>6</v>
      </c>
      <c r="Q512" t="inlineStr">
        <is>
          <t>DPRO</t>
        </is>
      </c>
      <c r="R512" t="inlineStr">
        <is>
          <t>Z12</t>
        </is>
      </c>
      <c r="S512" s="20" t="n">
        <v>46311</v>
      </c>
    </row>
    <row r="513">
      <c r="A513" t="inlineStr">
        <is>
          <t>ELE</t>
        </is>
      </c>
      <c r="B513" t="inlineStr">
        <is>
          <t>435065630</t>
        </is>
      </c>
      <c r="C513" t="n">
        <v>4350656</v>
      </c>
      <c r="D513" t="inlineStr">
        <is>
          <t>LIBERADA</t>
        </is>
      </c>
      <c r="E513" s="20" t="n">
        <v>46313</v>
      </c>
      <c r="F513" t="n">
        <v>6</v>
      </c>
      <c r="G513" t="n">
        <v>3</v>
      </c>
      <c r="I513" t="n">
        <v>4350656</v>
      </c>
      <c r="J513" t="n">
        <v>30</v>
      </c>
      <c r="K513" t="inlineStr">
        <is>
          <t>ELE</t>
        </is>
      </c>
      <c r="L513" t="inlineStr">
        <is>
          <t>Trocar Luminária 82EL101B-2JQ04-E02</t>
        </is>
      </c>
      <c r="M513" t="inlineStr">
        <is>
          <t>Luminária com 75% de led  em operação</t>
        </is>
      </c>
      <c r="N513" t="inlineStr">
        <is>
          <t>PERGC-FEIN-LUM-01-07-13-59</t>
        </is>
      </c>
      <c r="O513" t="inlineStr">
        <is>
          <t>82EL101B-2KQ02-E04 LUMINARIA</t>
        </is>
      </c>
      <c r="P513" t="n">
        <v>6</v>
      </c>
      <c r="Q513" t="inlineStr">
        <is>
          <t>DPRO</t>
        </is>
      </c>
      <c r="R513" t="inlineStr">
        <is>
          <t>Z12</t>
        </is>
      </c>
      <c r="S513" s="20" t="n">
        <v>46311</v>
      </c>
    </row>
    <row r="514">
      <c r="A514" t="inlineStr">
        <is>
          <t>ELE</t>
        </is>
      </c>
      <c r="B514" t="inlineStr">
        <is>
          <t>435065640</t>
        </is>
      </c>
      <c r="C514" t="n">
        <v>4350656</v>
      </c>
      <c r="D514" t="inlineStr">
        <is>
          <t>ENCERRADA</t>
        </is>
      </c>
      <c r="E514" s="20" t="n">
        <v>46314</v>
      </c>
      <c r="F514" t="n">
        <v>6</v>
      </c>
      <c r="G514" t="n">
        <v>3</v>
      </c>
      <c r="I514" t="n">
        <v>4350656</v>
      </c>
      <c r="J514" t="n">
        <v>40</v>
      </c>
      <c r="K514" t="inlineStr">
        <is>
          <t>ELE</t>
        </is>
      </c>
      <c r="L514" t="inlineStr">
        <is>
          <t>Trocar Luminária 82EL101B-2JQ06-E02</t>
        </is>
      </c>
      <c r="M514" t="inlineStr">
        <is>
          <t>Luminária com 75% de led  em operação</t>
        </is>
      </c>
      <c r="N514" t="inlineStr">
        <is>
          <t>PERGC-FEIN-LUM-01-07-13-59</t>
        </is>
      </c>
      <c r="O514" t="inlineStr">
        <is>
          <t>82EL101B-2KQ02-E04 LUMINARIA</t>
        </is>
      </c>
      <c r="P514" t="n">
        <v>6</v>
      </c>
      <c r="Q514" t="inlineStr">
        <is>
          <t>DPRO</t>
        </is>
      </c>
      <c r="R514" t="inlineStr">
        <is>
          <t>Z12</t>
        </is>
      </c>
      <c r="S514" s="20" t="n">
        <v>46311</v>
      </c>
    </row>
    <row r="515">
      <c r="A515" t="inlineStr">
        <is>
          <t>ELE</t>
        </is>
      </c>
      <c r="B515" t="inlineStr">
        <is>
          <t>435065650</t>
        </is>
      </c>
      <c r="C515" t="n">
        <v>4350656</v>
      </c>
      <c r="D515" t="inlineStr">
        <is>
          <t>ENCERRADA</t>
        </is>
      </c>
      <c r="E515" s="20" t="n">
        <v>46315</v>
      </c>
      <c r="F515" t="n">
        <v>6</v>
      </c>
      <c r="G515" t="n">
        <v>3</v>
      </c>
      <c r="I515" t="n">
        <v>4350656</v>
      </c>
      <c r="J515" t="n">
        <v>50</v>
      </c>
      <c r="K515" t="inlineStr">
        <is>
          <t>ELE</t>
        </is>
      </c>
      <c r="L515" t="inlineStr">
        <is>
          <t>Trocar Luminária 82EL101B-2JQ06-E04</t>
        </is>
      </c>
      <c r="M515" t="inlineStr">
        <is>
          <t>Luminária com 75% de led  em operação</t>
        </is>
      </c>
      <c r="N515" t="inlineStr">
        <is>
          <t>PERGC-FEIN-LUM-01-07-13-59</t>
        </is>
      </c>
      <c r="O515" t="inlineStr">
        <is>
          <t>82EL101B-2KQ02-E04 LUMINARIA</t>
        </is>
      </c>
      <c r="P515" t="n">
        <v>6</v>
      </c>
      <c r="Q515" t="inlineStr">
        <is>
          <t>DPRO</t>
        </is>
      </c>
      <c r="R515" t="inlineStr">
        <is>
          <t>Z12</t>
        </is>
      </c>
      <c r="S515" s="20" t="n">
        <v>46311</v>
      </c>
    </row>
    <row r="516">
      <c r="A516" t="inlineStr">
        <is>
          <t>ELE</t>
        </is>
      </c>
      <c r="B516" t="inlineStr">
        <is>
          <t>435065660</t>
        </is>
      </c>
      <c r="C516" t="n">
        <v>4350656</v>
      </c>
      <c r="D516" t="inlineStr">
        <is>
          <t>LIBERADA</t>
        </is>
      </c>
      <c r="E516" s="20" t="n">
        <v>46316</v>
      </c>
      <c r="F516" t="n">
        <v>6</v>
      </c>
      <c r="G516" t="n">
        <v>3</v>
      </c>
      <c r="I516" t="n">
        <v>4350656</v>
      </c>
      <c r="J516" t="n">
        <v>60</v>
      </c>
      <c r="K516" t="inlineStr">
        <is>
          <t>ELE</t>
        </is>
      </c>
      <c r="L516" t="inlineStr">
        <is>
          <t>Trocar Luminária 82EL101B-2JQ07-E01</t>
        </is>
      </c>
      <c r="M516" t="inlineStr">
        <is>
          <t>Luminária com 75% de led  em operação</t>
        </is>
      </c>
      <c r="N516" t="inlineStr">
        <is>
          <t>PERGC-FEIN-LUM-01-07-13-59</t>
        </is>
      </c>
      <c r="O516" t="inlineStr">
        <is>
          <t>82EL101B-2KQ02-E04 LUMINARIA</t>
        </is>
      </c>
      <c r="P516" t="n">
        <v>6</v>
      </c>
      <c r="Q516" t="inlineStr">
        <is>
          <t>DPRO</t>
        </is>
      </c>
      <c r="R516" t="inlineStr">
        <is>
          <t>Z12</t>
        </is>
      </c>
      <c r="S516" s="20" t="n">
        <v>46311</v>
      </c>
    </row>
    <row r="517">
      <c r="A517" t="inlineStr">
        <is>
          <t>ELE</t>
        </is>
      </c>
      <c r="B517" t="inlineStr">
        <is>
          <t>435065670</t>
        </is>
      </c>
      <c r="C517" t="n">
        <v>4350656</v>
      </c>
      <c r="D517" t="inlineStr">
        <is>
          <t>LIBERADA</t>
        </is>
      </c>
      <c r="E517" s="20" t="n">
        <v>46317</v>
      </c>
      <c r="F517" t="n">
        <v>6</v>
      </c>
      <c r="G517" t="n">
        <v>3</v>
      </c>
      <c r="I517" t="n">
        <v>4350656</v>
      </c>
      <c r="J517" t="n">
        <v>70</v>
      </c>
      <c r="K517" t="inlineStr">
        <is>
          <t>ELE</t>
        </is>
      </c>
      <c r="L517" t="inlineStr">
        <is>
          <t>Trocar Luminária 82EL101B-2JQ07-E05</t>
        </is>
      </c>
      <c r="M517" t="inlineStr">
        <is>
          <t>Luminária com 75% de led  em operação</t>
        </is>
      </c>
      <c r="N517" t="inlineStr">
        <is>
          <t>PERGC-FEIN-LUM-01-07-13-59</t>
        </is>
      </c>
      <c r="O517" t="inlineStr">
        <is>
          <t>82EL101B-2KQ02-E04 LUMINARIA</t>
        </is>
      </c>
      <c r="P517" t="n">
        <v>6</v>
      </c>
      <c r="Q517" t="inlineStr">
        <is>
          <t>DPRO</t>
        </is>
      </c>
      <c r="R517" t="inlineStr">
        <is>
          <t>Z12</t>
        </is>
      </c>
      <c r="S517" s="20" t="n">
        <v>46311</v>
      </c>
    </row>
    <row r="518">
      <c r="A518" t="inlineStr">
        <is>
          <t>ELE</t>
        </is>
      </c>
      <c r="B518" t="inlineStr">
        <is>
          <t>435065680</t>
        </is>
      </c>
      <c r="C518" t="n">
        <v>4350656</v>
      </c>
      <c r="D518" t="inlineStr">
        <is>
          <t>LIBERADA</t>
        </is>
      </c>
      <c r="E518" s="20" t="n">
        <v>46318</v>
      </c>
      <c r="F518" t="n">
        <v>6</v>
      </c>
      <c r="G518" t="n">
        <v>3</v>
      </c>
      <c r="I518" t="n">
        <v>4350656</v>
      </c>
      <c r="J518" t="n">
        <v>80</v>
      </c>
      <c r="K518" t="inlineStr">
        <is>
          <t>ELE</t>
        </is>
      </c>
      <c r="L518" t="inlineStr">
        <is>
          <t>Trocar Luminária 82EL101B-2JQ06-E03</t>
        </is>
      </c>
      <c r="M518" t="inlineStr">
        <is>
          <t>Luminária com 75% de led  em operação</t>
        </is>
      </c>
      <c r="N518" t="inlineStr">
        <is>
          <t>PERGC-FEIN-LUM-01-07-13-59</t>
        </is>
      </c>
      <c r="O518" t="inlineStr">
        <is>
          <t>82EL101B-2KQ02-E04 LUMINARIA</t>
        </is>
      </c>
      <c r="P518" t="n">
        <v>6</v>
      </c>
      <c r="Q518" t="inlineStr">
        <is>
          <t>DPRO</t>
        </is>
      </c>
      <c r="R518" t="inlineStr">
        <is>
          <t>Z12</t>
        </is>
      </c>
      <c r="S518" s="20" t="n">
        <v>46311</v>
      </c>
    </row>
    <row r="519">
      <c r="A519" t="inlineStr">
        <is>
          <t>ELE</t>
        </is>
      </c>
      <c r="B519" t="inlineStr">
        <is>
          <t>435065690</t>
        </is>
      </c>
      <c r="C519" t="n">
        <v>4350656</v>
      </c>
      <c r="D519" t="inlineStr">
        <is>
          <t>ENCERRADA</t>
        </is>
      </c>
      <c r="E519" s="20" t="n">
        <v>46319</v>
      </c>
      <c r="F519" t="n">
        <v>6</v>
      </c>
      <c r="G519" t="n">
        <v>3</v>
      </c>
      <c r="I519" t="n">
        <v>4350656</v>
      </c>
      <c r="J519" t="n">
        <v>90</v>
      </c>
      <c r="K519" t="inlineStr">
        <is>
          <t>ELE</t>
        </is>
      </c>
      <c r="L519" t="inlineStr">
        <is>
          <t>Trocar Luminária 82EL101-2JQ07-E09</t>
        </is>
      </c>
      <c r="M519" t="inlineStr">
        <is>
          <t>Luminária com 75% de led  em operação</t>
        </is>
      </c>
      <c r="N519" t="inlineStr">
        <is>
          <t>PERGC-FEIN-LUM-01-07-13-59</t>
        </is>
      </c>
      <c r="O519" t="inlineStr">
        <is>
          <t>82EL101B-2KQ02-E04 LUMINARIA</t>
        </is>
      </c>
      <c r="P519" t="n">
        <v>6</v>
      </c>
      <c r="Q519" t="inlineStr">
        <is>
          <t>DPRO</t>
        </is>
      </c>
      <c r="R519" t="inlineStr">
        <is>
          <t>Z12</t>
        </is>
      </c>
      <c r="S519" s="20" t="n">
        <v>46311</v>
      </c>
    </row>
    <row r="520">
      <c r="A520" t="inlineStr">
        <is>
          <t>ELE</t>
        </is>
      </c>
      <c r="B520" t="inlineStr">
        <is>
          <t>4350656100</t>
        </is>
      </c>
      <c r="C520" t="n">
        <v>4350656</v>
      </c>
      <c r="D520" t="inlineStr">
        <is>
          <t>LIBERADA</t>
        </is>
      </c>
      <c r="E520" s="20" t="n">
        <v>46320</v>
      </c>
      <c r="F520" t="n">
        <v>6</v>
      </c>
      <c r="G520" t="n">
        <v>3</v>
      </c>
      <c r="I520" t="n">
        <v>4350656</v>
      </c>
      <c r="J520" t="n">
        <v>100</v>
      </c>
      <c r="K520" t="inlineStr">
        <is>
          <t>ELE</t>
        </is>
      </c>
      <c r="L520" t="inlineStr">
        <is>
          <t>Trocar Luminária 82EL101B-2KQ02-E04</t>
        </is>
      </c>
      <c r="M520" t="inlineStr">
        <is>
          <t>Luminária com 75% de led  em operação</t>
        </is>
      </c>
      <c r="N520" t="inlineStr">
        <is>
          <t>PERGC-FEIN-LUM-01-07-13-59</t>
        </is>
      </c>
      <c r="O520" t="inlineStr">
        <is>
          <t>82EL101B-2KQ02-E04 LUMINARIA</t>
        </is>
      </c>
      <c r="P520" t="n">
        <v>6</v>
      </c>
      <c r="Q520" t="inlineStr">
        <is>
          <t>DPRO</t>
        </is>
      </c>
      <c r="R520" t="inlineStr">
        <is>
          <t>Z12</t>
        </is>
      </c>
      <c r="S520" s="20" t="n">
        <v>46311</v>
      </c>
    </row>
    <row r="521">
      <c r="A521" t="inlineStr">
        <is>
          <t>CON</t>
        </is>
      </c>
      <c r="B521" t="inlineStr">
        <is>
          <t>4350656110</t>
        </is>
      </c>
      <c r="C521" t="n">
        <v>4350656</v>
      </c>
      <c r="D521" t="inlineStr">
        <is>
          <t>ENCERRADA</t>
        </is>
      </c>
      <c r="E521" s="20" t="n">
        <v>46311</v>
      </c>
      <c r="F521" t="n">
        <v>6</v>
      </c>
      <c r="G521" t="n">
        <v>3</v>
      </c>
      <c r="I521" t="n">
        <v>4350656</v>
      </c>
      <c r="J521" t="n">
        <v>110</v>
      </c>
      <c r="K521" t="inlineStr">
        <is>
          <t>CON</t>
        </is>
      </c>
      <c r="L521" t="inlineStr">
        <is>
          <t>IRATA - 82EL101B-2LQ05-E05</t>
        </is>
      </c>
      <c r="M521" t="inlineStr">
        <is>
          <t>Luminária com 75% de led  em operação</t>
        </is>
      </c>
      <c r="N521" t="inlineStr">
        <is>
          <t>PERGC-FEIN-LUM-01-07-13-59</t>
        </is>
      </c>
      <c r="O521" t="inlineStr">
        <is>
          <t>82EL101B-2KQ02-E04 LUMINARIA</t>
        </is>
      </c>
      <c r="P521" t="n">
        <v>18</v>
      </c>
      <c r="Q521" t="inlineStr">
        <is>
          <t>DPRO</t>
        </is>
      </c>
      <c r="R521" t="inlineStr">
        <is>
          <t>Z12</t>
        </is>
      </c>
      <c r="S521" s="20" t="n">
        <v>46311</v>
      </c>
    </row>
    <row r="522">
      <c r="A522" t="inlineStr">
        <is>
          <t>CON</t>
        </is>
      </c>
      <c r="B522" t="inlineStr">
        <is>
          <t>4350656120</t>
        </is>
      </c>
      <c r="C522" t="n">
        <v>4350656</v>
      </c>
      <c r="D522" t="inlineStr">
        <is>
          <t>ENCERRADA</t>
        </is>
      </c>
      <c r="E522" s="20" t="n">
        <v>46312</v>
      </c>
      <c r="F522" t="n">
        <v>6</v>
      </c>
      <c r="G522" t="n">
        <v>3</v>
      </c>
      <c r="I522" t="n">
        <v>4350656</v>
      </c>
      <c r="J522" t="n">
        <v>120</v>
      </c>
      <c r="K522" t="inlineStr">
        <is>
          <t>CON</t>
        </is>
      </c>
      <c r="L522" t="inlineStr">
        <is>
          <t>IRATA - 82EL101B-2LQ06-E04</t>
        </is>
      </c>
      <c r="M522" t="inlineStr">
        <is>
          <t>Luminária com 75% de led  em operação</t>
        </is>
      </c>
      <c r="N522" t="inlineStr">
        <is>
          <t>PERGC-FEIN-LUM-01-07-13-59</t>
        </is>
      </c>
      <c r="O522" t="inlineStr">
        <is>
          <t>82EL101B-2KQ02-E04 LUMINARIA</t>
        </is>
      </c>
      <c r="P522" t="n">
        <v>18</v>
      </c>
      <c r="Q522" t="inlineStr">
        <is>
          <t>DPRO</t>
        </is>
      </c>
      <c r="R522" t="inlineStr">
        <is>
          <t>Z12</t>
        </is>
      </c>
      <c r="S522" s="20" t="n">
        <v>46311</v>
      </c>
    </row>
    <row r="523">
      <c r="A523" t="inlineStr">
        <is>
          <t>CON</t>
        </is>
      </c>
      <c r="B523" t="inlineStr">
        <is>
          <t>4350656130</t>
        </is>
      </c>
      <c r="C523" t="n">
        <v>4350656</v>
      </c>
      <c r="D523" t="inlineStr">
        <is>
          <t>ENCERRADA</t>
        </is>
      </c>
      <c r="E523" s="20" t="n">
        <v>46313</v>
      </c>
      <c r="F523" t="n">
        <v>6</v>
      </c>
      <c r="G523" t="n">
        <v>3</v>
      </c>
      <c r="I523" t="n">
        <v>4350656</v>
      </c>
      <c r="J523" t="n">
        <v>130</v>
      </c>
      <c r="K523" t="inlineStr">
        <is>
          <t>CON</t>
        </is>
      </c>
      <c r="L523" t="inlineStr">
        <is>
          <t>IRATA - 82EL101B-2JQ04-E02</t>
        </is>
      </c>
      <c r="M523" t="inlineStr">
        <is>
          <t>Luminária com 75% de led  em operação</t>
        </is>
      </c>
      <c r="N523" t="inlineStr">
        <is>
          <t>PERGC-FEIN-LUM-01-07-13-59</t>
        </is>
      </c>
      <c r="O523" t="inlineStr">
        <is>
          <t>82EL101B-2KQ02-E04 LUMINARIA</t>
        </is>
      </c>
      <c r="P523" t="n">
        <v>18</v>
      </c>
      <c r="Q523" t="inlineStr">
        <is>
          <t>DPRO</t>
        </is>
      </c>
      <c r="R523" t="inlineStr">
        <is>
          <t>Z12</t>
        </is>
      </c>
      <c r="S523" s="20" t="n">
        <v>46311</v>
      </c>
    </row>
    <row r="524">
      <c r="A524" t="inlineStr">
        <is>
          <t>CON</t>
        </is>
      </c>
      <c r="B524" t="inlineStr">
        <is>
          <t>4350656140</t>
        </is>
      </c>
      <c r="C524" t="n">
        <v>4350656</v>
      </c>
      <c r="D524" t="inlineStr">
        <is>
          <t>LIBERADA</t>
        </is>
      </c>
      <c r="E524" s="20" t="n">
        <v>46314</v>
      </c>
      <c r="F524" t="n">
        <v>6</v>
      </c>
      <c r="G524" t="n">
        <v>3</v>
      </c>
      <c r="I524" t="n">
        <v>4350656</v>
      </c>
      <c r="J524" t="n">
        <v>140</v>
      </c>
      <c r="K524" t="inlineStr">
        <is>
          <t>CON</t>
        </is>
      </c>
      <c r="L524" t="inlineStr">
        <is>
          <t>IRATA - 82EL101B-2JQ06-E02</t>
        </is>
      </c>
      <c r="M524" t="inlineStr">
        <is>
          <t>Luminária com 75% de led  em operação</t>
        </is>
      </c>
      <c r="N524" t="inlineStr">
        <is>
          <t>PERGC-FEIN-LUM-01-07-13-59</t>
        </is>
      </c>
      <c r="O524" t="inlineStr">
        <is>
          <t>82EL101B-2KQ02-E04 LUMINARIA</t>
        </is>
      </c>
      <c r="P524" t="n">
        <v>18</v>
      </c>
      <c r="Q524" t="inlineStr">
        <is>
          <t>DPRO</t>
        </is>
      </c>
      <c r="R524" t="inlineStr">
        <is>
          <t>Z12</t>
        </is>
      </c>
      <c r="S524" s="20" t="n">
        <v>46311</v>
      </c>
    </row>
    <row r="525">
      <c r="A525" t="inlineStr">
        <is>
          <t>CON</t>
        </is>
      </c>
      <c r="B525" t="inlineStr">
        <is>
          <t>4350656150</t>
        </is>
      </c>
      <c r="C525" t="n">
        <v>4350656</v>
      </c>
      <c r="D525" t="inlineStr">
        <is>
          <t>LIBERADA</t>
        </is>
      </c>
      <c r="E525" s="20" t="n">
        <v>46315</v>
      </c>
      <c r="F525" t="n">
        <v>6</v>
      </c>
      <c r="G525" t="n">
        <v>3</v>
      </c>
      <c r="I525" t="n">
        <v>4350656</v>
      </c>
      <c r="J525" t="n">
        <v>150</v>
      </c>
      <c r="K525" t="inlineStr">
        <is>
          <t>CON</t>
        </is>
      </c>
      <c r="L525" t="inlineStr">
        <is>
          <t>IRATA - 82EL101B-2JQ06-E04</t>
        </is>
      </c>
      <c r="M525" t="inlineStr">
        <is>
          <t>Luminária com 75% de led  em operação</t>
        </is>
      </c>
      <c r="N525" t="inlineStr">
        <is>
          <t>PERGC-FEIN-LUM-01-07-13-59</t>
        </is>
      </c>
      <c r="O525" t="inlineStr">
        <is>
          <t>82EL101B-2KQ02-E04 LUMINARIA</t>
        </is>
      </c>
      <c r="P525" t="n">
        <v>18</v>
      </c>
      <c r="Q525" t="inlineStr">
        <is>
          <t>DPRO</t>
        </is>
      </c>
      <c r="R525" t="inlineStr">
        <is>
          <t>Z12</t>
        </is>
      </c>
      <c r="S525" s="20" t="n">
        <v>46311</v>
      </c>
    </row>
    <row r="526">
      <c r="A526" t="inlineStr">
        <is>
          <t>CON</t>
        </is>
      </c>
      <c r="B526" t="inlineStr">
        <is>
          <t>4350656160</t>
        </is>
      </c>
      <c r="C526" t="n">
        <v>4350656</v>
      </c>
      <c r="D526" t="inlineStr">
        <is>
          <t>LIBERADA</t>
        </is>
      </c>
      <c r="E526" s="20" t="n">
        <v>46316</v>
      </c>
      <c r="F526" t="n">
        <v>6</v>
      </c>
      <c r="G526" t="n">
        <v>3</v>
      </c>
      <c r="I526" t="n">
        <v>4350656</v>
      </c>
      <c r="J526" t="n">
        <v>160</v>
      </c>
      <c r="K526" t="inlineStr">
        <is>
          <t>CON</t>
        </is>
      </c>
      <c r="L526" t="inlineStr">
        <is>
          <t>IRATA - 82EL101B-2JQ07-E01</t>
        </is>
      </c>
      <c r="M526" t="inlineStr">
        <is>
          <t>Luminária com 75% de led  em operação</t>
        </is>
      </c>
      <c r="N526" t="inlineStr">
        <is>
          <t>PERGC-FEIN-LUM-01-07-13-59</t>
        </is>
      </c>
      <c r="O526" t="inlineStr">
        <is>
          <t>82EL101B-2KQ02-E04 LUMINARIA</t>
        </is>
      </c>
      <c r="P526" t="n">
        <v>18</v>
      </c>
      <c r="Q526" t="inlineStr">
        <is>
          <t>DPRO</t>
        </is>
      </c>
      <c r="R526" t="inlineStr">
        <is>
          <t>Z12</t>
        </is>
      </c>
      <c r="S526" s="20" t="n">
        <v>46311</v>
      </c>
    </row>
    <row r="527">
      <c r="A527" t="inlineStr">
        <is>
          <t>CON</t>
        </is>
      </c>
      <c r="B527" t="inlineStr">
        <is>
          <t>4350656170</t>
        </is>
      </c>
      <c r="C527" t="n">
        <v>4350656</v>
      </c>
      <c r="D527" t="inlineStr">
        <is>
          <t>LIBERADA</t>
        </is>
      </c>
      <c r="E527" s="20" t="n">
        <v>46317</v>
      </c>
      <c r="F527" t="n">
        <v>6</v>
      </c>
      <c r="G527" t="n">
        <v>3</v>
      </c>
      <c r="I527" t="n">
        <v>4350656</v>
      </c>
      <c r="J527" t="n">
        <v>170</v>
      </c>
      <c r="K527" t="inlineStr">
        <is>
          <t>CON</t>
        </is>
      </c>
      <c r="L527" t="inlineStr">
        <is>
          <t>IRATA - 82EL101B-2JQ07-E05</t>
        </is>
      </c>
      <c r="M527" t="inlineStr">
        <is>
          <t>Luminária com 75% de led  em operação</t>
        </is>
      </c>
      <c r="N527" t="inlineStr">
        <is>
          <t>PERGC-FEIN-LUM-01-07-13-59</t>
        </is>
      </c>
      <c r="O527" t="inlineStr">
        <is>
          <t>82EL101B-2KQ02-E04 LUMINARIA</t>
        </is>
      </c>
      <c r="P527" t="n">
        <v>18</v>
      </c>
      <c r="Q527" t="inlineStr">
        <is>
          <t>DPRO</t>
        </is>
      </c>
      <c r="R527" t="inlineStr">
        <is>
          <t>Z12</t>
        </is>
      </c>
      <c r="S527" s="20" t="n">
        <v>46311</v>
      </c>
    </row>
    <row r="528">
      <c r="A528" t="inlineStr">
        <is>
          <t>CON</t>
        </is>
      </c>
      <c r="B528" t="inlineStr">
        <is>
          <t>4350656180</t>
        </is>
      </c>
      <c r="C528" t="n">
        <v>4350656</v>
      </c>
      <c r="D528" t="inlineStr">
        <is>
          <t>LIBERADA</t>
        </is>
      </c>
      <c r="E528" s="20" t="n">
        <v>46318</v>
      </c>
      <c r="F528" t="n">
        <v>6</v>
      </c>
      <c r="G528" t="n">
        <v>3</v>
      </c>
      <c r="I528" t="n">
        <v>4350656</v>
      </c>
      <c r="J528" t="n">
        <v>180</v>
      </c>
      <c r="K528" t="inlineStr">
        <is>
          <t>CON</t>
        </is>
      </c>
      <c r="L528" t="inlineStr">
        <is>
          <t>IRATA - 82EL101B-2JQ06-E03</t>
        </is>
      </c>
      <c r="M528" t="inlineStr">
        <is>
          <t>Luminária com 75% de led  em operação</t>
        </is>
      </c>
      <c r="N528" t="inlineStr">
        <is>
          <t>PERGC-FEIN-LUM-01-07-13-59</t>
        </is>
      </c>
      <c r="O528" t="inlineStr">
        <is>
          <t>82EL101B-2KQ02-E04 LUMINARIA</t>
        </is>
      </c>
      <c r="P528" t="n">
        <v>18</v>
      </c>
      <c r="Q528" t="inlineStr">
        <is>
          <t>DPRO</t>
        </is>
      </c>
      <c r="R528" t="inlineStr">
        <is>
          <t>Z12</t>
        </is>
      </c>
      <c r="S528" s="20" t="n">
        <v>46311</v>
      </c>
    </row>
    <row r="529">
      <c r="A529" t="inlineStr">
        <is>
          <t>CON</t>
        </is>
      </c>
      <c r="B529" t="inlineStr">
        <is>
          <t>4350656190</t>
        </is>
      </c>
      <c r="C529" t="n">
        <v>4350656</v>
      </c>
      <c r="D529" t="inlineStr">
        <is>
          <t>ENCERRADA</t>
        </is>
      </c>
      <c r="E529" s="20" t="n">
        <v>46319</v>
      </c>
      <c r="F529" t="n">
        <v>6</v>
      </c>
      <c r="G529" t="n">
        <v>3</v>
      </c>
      <c r="I529" t="n">
        <v>4350656</v>
      </c>
      <c r="J529" t="n">
        <v>190</v>
      </c>
      <c r="K529" t="inlineStr">
        <is>
          <t>CON</t>
        </is>
      </c>
      <c r="L529" t="inlineStr">
        <is>
          <t>IRATA - 82EL101-2JQ07-E09</t>
        </is>
      </c>
      <c r="M529" t="inlineStr">
        <is>
          <t>Luminária com 75% de led  em operação</t>
        </is>
      </c>
      <c r="N529" t="inlineStr">
        <is>
          <t>PERGC-FEIN-LUM-01-07-13-59</t>
        </is>
      </c>
      <c r="O529" t="inlineStr">
        <is>
          <t>82EL101B-2KQ02-E04 LUMINARIA</t>
        </is>
      </c>
      <c r="P529" t="n">
        <v>18</v>
      </c>
      <c r="Q529" t="inlineStr">
        <is>
          <t>DPRO</t>
        </is>
      </c>
      <c r="R529" t="inlineStr">
        <is>
          <t>Z12</t>
        </is>
      </c>
      <c r="S529" s="20" t="n">
        <v>46311</v>
      </c>
    </row>
    <row r="530">
      <c r="A530" t="inlineStr">
        <is>
          <t>CON</t>
        </is>
      </c>
      <c r="B530" t="inlineStr">
        <is>
          <t>4350656200</t>
        </is>
      </c>
      <c r="C530" t="n">
        <v>4350656</v>
      </c>
      <c r="D530" t="inlineStr">
        <is>
          <t>LIBERADA</t>
        </is>
      </c>
      <c r="E530" s="20" t="n">
        <v>46320</v>
      </c>
      <c r="F530" t="n">
        <v>6</v>
      </c>
      <c r="G530" t="n">
        <v>3</v>
      </c>
      <c r="I530" t="n">
        <v>4350656</v>
      </c>
      <c r="J530" t="n">
        <v>200</v>
      </c>
      <c r="K530" t="inlineStr">
        <is>
          <t>CON</t>
        </is>
      </c>
      <c r="L530" t="inlineStr">
        <is>
          <t>IRATA - 82EL101B-2KQ02-E04</t>
        </is>
      </c>
      <c r="M530" t="inlineStr">
        <is>
          <t>Luminária com 75% de led  em operação</t>
        </is>
      </c>
      <c r="N530" t="inlineStr">
        <is>
          <t>PERGC-FEIN-LUM-01-07-13-59</t>
        </is>
      </c>
      <c r="O530" t="inlineStr">
        <is>
          <t>82EL101B-2KQ02-E04 LUMINARIA</t>
        </is>
      </c>
      <c r="P530" t="n">
        <v>18</v>
      </c>
      <c r="Q530" t="inlineStr">
        <is>
          <t>DPRO</t>
        </is>
      </c>
      <c r="R530" t="inlineStr">
        <is>
          <t>Z12</t>
        </is>
      </c>
      <c r="S530" s="20" t="n">
        <v>46311</v>
      </c>
    </row>
    <row r="531">
      <c r="A531" t="inlineStr">
        <is>
          <t>ELE</t>
        </is>
      </c>
      <c r="B531" t="inlineStr">
        <is>
          <t>434148810</t>
        </is>
      </c>
      <c r="C531" t="n">
        <v>4341488</v>
      </c>
      <c r="D531" t="inlineStr">
        <is>
          <t>ABERTA</t>
        </is>
      </c>
      <c r="E531" s="20" t="n">
        <v>46322</v>
      </c>
      <c r="F531" t="n">
        <v>6</v>
      </c>
      <c r="G531" t="n">
        <v>3</v>
      </c>
      <c r="I531" t="n">
        <v>4341488</v>
      </c>
      <c r="J531" t="n">
        <v>10</v>
      </c>
      <c r="K531" t="inlineStr">
        <is>
          <t>ELE</t>
        </is>
      </c>
      <c r="L531" t="inlineStr">
        <is>
          <t>Trocar refletor 82EL101B-2KQ05-E05</t>
        </is>
      </c>
      <c r="M531" t="inlineStr">
        <is>
          <t>Refletor de 4leds com um 1led apagado.</t>
        </is>
      </c>
      <c r="N531" t="inlineStr">
        <is>
          <t>PERGC-FEIN-LUM-01-07-13-88</t>
        </is>
      </c>
      <c r="O531" t="inlineStr">
        <is>
          <t>82EL101B-2KQ05-E08 FLOODLIGHT ZONE 1</t>
        </is>
      </c>
      <c r="P531" t="n">
        <v>0</v>
      </c>
      <c r="Q531" t="inlineStr">
        <is>
          <t>AMAT</t>
        </is>
      </c>
      <c r="R531" t="inlineStr">
        <is>
          <t>Z12</t>
        </is>
      </c>
      <c r="S531" s="20" t="n">
        <v>46316</v>
      </c>
    </row>
    <row r="532">
      <c r="A532" t="inlineStr">
        <is>
          <t>ELE</t>
        </is>
      </c>
      <c r="B532" t="inlineStr">
        <is>
          <t>434148820</t>
        </is>
      </c>
      <c r="C532" t="n">
        <v>4341488</v>
      </c>
      <c r="D532" t="inlineStr">
        <is>
          <t>ABERTA</t>
        </is>
      </c>
      <c r="E532" s="20" t="n">
        <v>46322</v>
      </c>
      <c r="F532" t="n">
        <v>6</v>
      </c>
      <c r="G532" t="n">
        <v>3</v>
      </c>
      <c r="I532" t="n">
        <v>4341488</v>
      </c>
      <c r="J532" t="n">
        <v>20</v>
      </c>
      <c r="K532" t="inlineStr">
        <is>
          <t>ELE</t>
        </is>
      </c>
      <c r="L532" t="inlineStr">
        <is>
          <t>Trocar refletor 82EL101B-2KQ05-E08</t>
        </is>
      </c>
      <c r="M532" t="inlineStr">
        <is>
          <t>Refletor de 4leds com um 1led apagado.</t>
        </is>
      </c>
      <c r="N532" t="inlineStr">
        <is>
          <t>PERGC-FEIN-LUM-01-07-13-88</t>
        </is>
      </c>
      <c r="O532" t="inlineStr">
        <is>
          <t>82EL101B-2KQ05-E08 FLOODLIGHT ZONE 1</t>
        </is>
      </c>
      <c r="P532" t="n">
        <v>0</v>
      </c>
      <c r="Q532" t="inlineStr">
        <is>
          <t>AMAT</t>
        </is>
      </c>
      <c r="R532" t="inlineStr">
        <is>
          <t>Z12</t>
        </is>
      </c>
      <c r="S532" s="20" t="n">
        <v>46316</v>
      </c>
    </row>
    <row r="533">
      <c r="A533" t="inlineStr">
        <is>
          <t>CON</t>
        </is>
      </c>
      <c r="B533" t="inlineStr">
        <is>
          <t>434148830</t>
        </is>
      </c>
      <c r="C533" t="n">
        <v>4341488</v>
      </c>
      <c r="D533" t="inlineStr">
        <is>
          <t>ABERTA</t>
        </is>
      </c>
      <c r="E533" s="20" t="n">
        <v>46322</v>
      </c>
      <c r="F533" t="n">
        <v>6</v>
      </c>
      <c r="G533" t="n">
        <v>3</v>
      </c>
      <c r="I533" t="n">
        <v>4341488</v>
      </c>
      <c r="J533" t="n">
        <v>30</v>
      </c>
      <c r="K533" t="inlineStr">
        <is>
          <t>CON</t>
        </is>
      </c>
      <c r="L533" t="inlineStr">
        <is>
          <t>Trocar refletor IRATA</t>
        </is>
      </c>
      <c r="M533" t="inlineStr">
        <is>
          <t>Refletor de 4leds com um 1led apagado.</t>
        </is>
      </c>
      <c r="N533" t="inlineStr">
        <is>
          <t>PERGC-FEIN-LUM-01-07-13-88</t>
        </is>
      </c>
      <c r="O533" t="inlineStr">
        <is>
          <t>82EL101B-2KQ05-E08 FLOODLIGHT ZONE 1</t>
        </is>
      </c>
      <c r="P533" t="n">
        <v>0</v>
      </c>
      <c r="Q533" t="inlineStr">
        <is>
          <t>AMAT</t>
        </is>
      </c>
      <c r="R533" t="inlineStr">
        <is>
          <t>Z12</t>
        </is>
      </c>
      <c r="S533" s="20" t="n">
        <v>46316</v>
      </c>
    </row>
    <row r="534">
      <c r="A534" t="inlineStr">
        <is>
          <t>AUT</t>
        </is>
      </c>
      <c r="B534" t="inlineStr">
        <is>
          <t>428816410</t>
        </is>
      </c>
      <c r="C534" t="n">
        <v>4288164</v>
      </c>
      <c r="D534" t="inlineStr">
        <is>
          <t>ENCERRADA</t>
        </is>
      </c>
      <c r="E534" s="20" t="n">
        <v>46311</v>
      </c>
      <c r="F534" t="n">
        <v>6</v>
      </c>
      <c r="G534" t="n">
        <v>3</v>
      </c>
      <c r="I534" t="n">
        <v>4288164</v>
      </c>
      <c r="J534" t="n">
        <v>10</v>
      </c>
      <c r="K534" t="inlineStr">
        <is>
          <t>AUT</t>
        </is>
      </c>
      <c r="L534" t="inlineStr">
        <is>
          <t>Inspeção no equipamento.</t>
        </is>
      </c>
      <c r="M534" t="inlineStr">
        <is>
          <t>77FY5514 Pressure Ctrl Damper C/ avaria</t>
        </is>
      </c>
      <c r="N534" t="inlineStr">
        <is>
          <t>PERGC-FSAR</t>
        </is>
      </c>
      <c r="O534" t="inlineStr">
        <is>
          <t>SISTEMA CONDICIONAMENTO AR</t>
        </is>
      </c>
      <c r="P534" t="n">
        <v>4</v>
      </c>
      <c r="Q534" t="inlineStr">
        <is>
          <t>DPRO</t>
        </is>
      </c>
      <c r="R534" t="inlineStr">
        <is>
          <t>Z12</t>
        </is>
      </c>
      <c r="S534" s="20" t="n">
        <v>46323</v>
      </c>
    </row>
    <row r="535">
      <c r="A535" t="inlineStr">
        <is>
          <t>MEC</t>
        </is>
      </c>
      <c r="B535" t="inlineStr">
        <is>
          <t>439338510</t>
        </is>
      </c>
      <c r="C535" t="n">
        <v>4393385</v>
      </c>
      <c r="D535" t="inlineStr">
        <is>
          <t>ENCERRADA</t>
        </is>
      </c>
      <c r="E535" s="20" t="n">
        <v>46312</v>
      </c>
      <c r="F535" t="n">
        <v>6</v>
      </c>
      <c r="G535" t="n">
        <v>2</v>
      </c>
      <c r="I535" t="n">
        <v>4393385</v>
      </c>
      <c r="J535" t="n">
        <v>10</v>
      </c>
      <c r="K535" t="inlineStr">
        <is>
          <t>MEC</t>
        </is>
      </c>
      <c r="L535" t="inlineStr">
        <is>
          <t>Revisão do motor 50PS001B-M01 SWLP</t>
        </is>
      </c>
      <c r="M535" t="inlineStr">
        <is>
          <t>PRED_VIB - ROLAMENTO - SET26 SWLP</t>
        </is>
      </c>
      <c r="N535" t="inlineStr">
        <is>
          <t>PERGC-FSCA-MBB-10-04</t>
        </is>
      </c>
      <c r="O535" t="inlineStr">
        <is>
          <t>50PS001B-M01 MOTOR ELETRICO</t>
        </is>
      </c>
      <c r="P535" t="n">
        <v>12</v>
      </c>
      <c r="Q535" t="inlineStr">
        <is>
          <t>DPRO</t>
        </is>
      </c>
      <c r="R535" t="inlineStr">
        <is>
          <t>Z12</t>
        </is>
      </c>
      <c r="S535" s="20" t="n">
        <v>46319</v>
      </c>
    </row>
    <row r="536">
      <c r="A536" t="inlineStr">
        <is>
          <t>MEC</t>
        </is>
      </c>
      <c r="B536" t="inlineStr">
        <is>
          <t>435089310</t>
        </is>
      </c>
      <c r="C536" t="n">
        <v>4350893</v>
      </c>
      <c r="D536" t="inlineStr">
        <is>
          <t>ABERTA</t>
        </is>
      </c>
      <c r="E536" s="20" t="n">
        <v>46313</v>
      </c>
      <c r="F536" t="n">
        <v>4</v>
      </c>
      <c r="G536" t="n">
        <v>2</v>
      </c>
      <c r="I536" t="n">
        <v>4350893</v>
      </c>
      <c r="J536" t="n">
        <v>10</v>
      </c>
      <c r="K536" t="inlineStr">
        <is>
          <t>MEC</t>
        </is>
      </c>
      <c r="L536" t="inlineStr">
        <is>
          <t>Trocar óleo 71PI001A-X01</t>
        </is>
      </c>
      <c r="M536" t="inlineStr">
        <is>
          <t>PRED_OLEO - 2600031117 - Crítico</t>
        </is>
      </c>
      <c r="N536" t="inlineStr">
        <is>
          <t>PERGC-FSCI-MBB-01-13-01</t>
        </is>
      </c>
      <c r="O536" t="inlineStr">
        <is>
          <t>71PI001A-X01 GEARBOX</t>
        </is>
      </c>
      <c r="P536" t="n">
        <v>6</v>
      </c>
      <c r="Q536" t="inlineStr">
        <is>
          <t>DPRO</t>
        </is>
      </c>
      <c r="R536" t="inlineStr">
        <is>
          <t>Z10</t>
        </is>
      </c>
      <c r="S536" s="20" t="n">
        <v>46174</v>
      </c>
    </row>
    <row r="537">
      <c r="A537" t="inlineStr">
        <is>
          <t>MEC</t>
        </is>
      </c>
      <c r="B537" t="inlineStr">
        <is>
          <t>435134310</t>
        </is>
      </c>
      <c r="C537" t="n">
        <v>4351343</v>
      </c>
      <c r="D537" t="inlineStr">
        <is>
          <t>ABERTA</t>
        </is>
      </c>
      <c r="E537" s="20" t="n">
        <v>46314</v>
      </c>
      <c r="F537" t="n">
        <v>4</v>
      </c>
      <c r="G537" t="n">
        <v>2</v>
      </c>
      <c r="I537" t="n">
        <v>4351343</v>
      </c>
      <c r="J537" t="n">
        <v>10</v>
      </c>
      <c r="K537" t="inlineStr">
        <is>
          <t>MEC</t>
        </is>
      </c>
      <c r="L537" t="inlineStr">
        <is>
          <t>Inspecionar radiador 71PI001A-X01</t>
        </is>
      </c>
      <c r="M537" t="inlineStr">
        <is>
          <t>PRED_OLEO - 2600031035 - Anormal</t>
        </is>
      </c>
      <c r="N537" t="inlineStr">
        <is>
          <t>PERGC-FSCI-MBB-01-13-01</t>
        </is>
      </c>
      <c r="O537" t="inlineStr">
        <is>
          <t>71PI001A-X01 GEARBOX</t>
        </is>
      </c>
      <c r="P537" t="n">
        <v>6</v>
      </c>
      <c r="Q537" t="inlineStr">
        <is>
          <t>DPRO</t>
        </is>
      </c>
      <c r="R537" t="inlineStr">
        <is>
          <t>Z10</t>
        </is>
      </c>
      <c r="S537" s="20" t="n">
        <v>46174</v>
      </c>
    </row>
    <row r="538">
      <c r="A538" t="inlineStr">
        <is>
          <t>MEC</t>
        </is>
      </c>
      <c r="B538" t="inlineStr">
        <is>
          <t>435134610</t>
        </is>
      </c>
      <c r="C538" t="n">
        <v>4351346</v>
      </c>
      <c r="D538" t="inlineStr">
        <is>
          <t>ABERTA</t>
        </is>
      </c>
      <c r="E538" s="20" t="n">
        <v>46317</v>
      </c>
      <c r="F538" t="n">
        <v>4</v>
      </c>
      <c r="G538" t="n">
        <v>2</v>
      </c>
      <c r="I538" t="n">
        <v>4351346</v>
      </c>
      <c r="J538" t="n">
        <v>10</v>
      </c>
      <c r="K538" t="inlineStr">
        <is>
          <t>MEC</t>
        </is>
      </c>
      <c r="L538" t="inlineStr">
        <is>
          <t>Inspecionar trocador de calor 71PI001A-X</t>
        </is>
      </c>
      <c r="M538" t="inlineStr">
        <is>
          <t>PRED_OLEO - 2600031106 - Crítico</t>
        </is>
      </c>
      <c r="N538" t="inlineStr">
        <is>
          <t>PERGC-FSCI-MBB-01-13-01</t>
        </is>
      </c>
      <c r="O538" t="inlineStr">
        <is>
          <t>71PI001A-X01 GEARBOX</t>
        </is>
      </c>
      <c r="P538" t="n">
        <v>6</v>
      </c>
      <c r="Q538" t="inlineStr">
        <is>
          <t>DPRO</t>
        </is>
      </c>
      <c r="R538" t="inlineStr">
        <is>
          <t>Z10</t>
        </is>
      </c>
      <c r="S538" s="20" t="n">
        <v>46174</v>
      </c>
    </row>
    <row r="539">
      <c r="A539" t="inlineStr">
        <is>
          <t>MEC</t>
        </is>
      </c>
      <c r="B539" t="inlineStr">
        <is>
          <t>435134510</t>
        </is>
      </c>
      <c r="C539" t="n">
        <v>4351345</v>
      </c>
      <c r="D539" t="inlineStr">
        <is>
          <t>ABERTA</t>
        </is>
      </c>
      <c r="E539" s="20" t="n">
        <v>46317</v>
      </c>
      <c r="F539" t="n">
        <v>4</v>
      </c>
      <c r="G539" t="n">
        <v>2</v>
      </c>
      <c r="I539" t="n">
        <v>4351345</v>
      </c>
      <c r="J539" t="n">
        <v>10</v>
      </c>
      <c r="K539" t="inlineStr">
        <is>
          <t>MEC</t>
        </is>
      </c>
      <c r="L539" t="inlineStr">
        <is>
          <t>Inspecionar radiador 84EG001-D01</t>
        </is>
      </c>
      <c r="M539" t="inlineStr">
        <is>
          <t>PRED_OLEO - 2600031126 - Anormal</t>
        </is>
      </c>
      <c r="N539" t="inlineStr">
        <is>
          <t>PERGC-FSGE-MGE-01-07-01</t>
        </is>
      </c>
      <c r="O539" t="inlineStr">
        <is>
          <t>84EG001-D01 MOTOR DIESEL</t>
        </is>
      </c>
      <c r="P539" t="n">
        <v>6</v>
      </c>
      <c r="Q539" t="inlineStr">
        <is>
          <t>DPRO</t>
        </is>
      </c>
      <c r="R539" t="inlineStr">
        <is>
          <t>Z10</t>
        </is>
      </c>
      <c r="S539" s="20" t="n">
        <v>46174</v>
      </c>
    </row>
    <row r="540">
      <c r="A540" t="inlineStr">
        <is>
          <t>MEC</t>
        </is>
      </c>
      <c r="B540" t="inlineStr">
        <is>
          <t>428199610</t>
        </is>
      </c>
      <c r="C540" t="n">
        <v>4281996</v>
      </c>
      <c r="D540" t="inlineStr">
        <is>
          <t>ABERTA</t>
        </is>
      </c>
      <c r="E540" s="20" t="n">
        <v>46321</v>
      </c>
      <c r="F540" t="n">
        <v>4</v>
      </c>
      <c r="G540" t="n">
        <v>2</v>
      </c>
      <c r="I540" t="n">
        <v>4281996</v>
      </c>
      <c r="J540" t="n">
        <v>10</v>
      </c>
      <c r="K540" t="inlineStr">
        <is>
          <t>POMMEC</t>
        </is>
      </c>
      <c r="L540" t="inlineStr">
        <is>
          <t>Troca pendente guincho guind Leste</t>
        </is>
      </c>
      <c r="M540" t="inlineStr">
        <is>
          <t>Troca pendente guincho guind Leste</t>
        </is>
      </c>
      <c r="N540" t="inlineStr">
        <is>
          <t>PERGC-FSMC-GUI-01-01</t>
        </is>
      </c>
      <c r="O540" t="inlineStr">
        <is>
          <t>73MA001 GUINDASTE (CRANE) - EAST</t>
        </is>
      </c>
      <c r="P540" t="n">
        <v>0</v>
      </c>
      <c r="Q540" t="inlineStr">
        <is>
          <t>AMAT</t>
        </is>
      </c>
      <c r="R540" t="inlineStr">
        <is>
          <t>Z12</t>
        </is>
      </c>
      <c r="S540" s="20" t="n">
        <v>46243</v>
      </c>
    </row>
    <row r="541">
      <c r="A541" t="inlineStr">
        <is>
          <t>AUT</t>
        </is>
      </c>
      <c r="B541" t="inlineStr">
        <is>
          <t>435007110</t>
        </is>
      </c>
      <c r="C541" t="n">
        <v>4350071</v>
      </c>
      <c r="D541" t="inlineStr">
        <is>
          <t>ABERTA</t>
        </is>
      </c>
      <c r="E541" s="20" t="n">
        <v>46319</v>
      </c>
      <c r="F541" t="n">
        <v>4</v>
      </c>
      <c r="G541" t="n">
        <v>2</v>
      </c>
      <c r="I541" t="n">
        <v>4350071</v>
      </c>
      <c r="J541" t="n">
        <v>10</v>
      </c>
      <c r="K541" t="inlineStr">
        <is>
          <t>AUT</t>
        </is>
      </c>
      <c r="L541" t="inlineStr">
        <is>
          <t>Inspeção na câmera danificada</t>
        </is>
      </c>
      <c r="M541" t="inlineStr">
        <is>
          <t>Camera Visible/Thermal com avaria</t>
        </is>
      </c>
      <c r="N541" t="inlineStr">
        <is>
          <t>PERGC-FSTI-CTV-07-07</t>
        </is>
      </c>
      <c r="O541" t="inlineStr">
        <is>
          <t>86RCN1004 CAM ST Z1 VIS/THER PTZ</t>
        </is>
      </c>
      <c r="P541" t="n">
        <v>5</v>
      </c>
      <c r="Q541" t="inlineStr">
        <is>
          <t>DPRO</t>
        </is>
      </c>
      <c r="R541" t="inlineStr">
        <is>
          <t>Z07</t>
        </is>
      </c>
      <c r="S541" s="20" t="n">
        <v>46319</v>
      </c>
    </row>
    <row r="542">
      <c r="A542" t="inlineStr">
        <is>
          <t>INS</t>
        </is>
      </c>
      <c r="B542" t="inlineStr">
        <is>
          <t>436081110</t>
        </is>
      </c>
      <c r="C542" t="n">
        <v>4360811</v>
      </c>
      <c r="D542" t="inlineStr">
        <is>
          <t>ENCERRADA</t>
        </is>
      </c>
      <c r="E542" s="20" t="n">
        <v>46319</v>
      </c>
      <c r="F542" t="n">
        <v>4</v>
      </c>
      <c r="G542" t="n">
        <v>1</v>
      </c>
      <c r="I542" t="n">
        <v>4360811</v>
      </c>
      <c r="J542" t="n">
        <v>10</v>
      </c>
      <c r="K542" t="inlineStr">
        <is>
          <t>INS</t>
        </is>
      </c>
      <c r="L542" t="inlineStr">
        <is>
          <t>Troubleshooting 85FSL0001</t>
        </is>
      </c>
      <c r="M542" t="inlineStr">
        <is>
          <t>Troubleshooting 85FSL0001</t>
        </is>
      </c>
      <c r="N542" t="inlineStr">
        <is>
          <t>PERGC-FSVE-VEN-01-01-07-19-01</t>
        </is>
      </c>
      <c r="O542" t="inlineStr">
        <is>
          <t>85FSL0001 CHAVE VAZAO BAIXA</t>
        </is>
      </c>
      <c r="P542" t="n">
        <v>6</v>
      </c>
      <c r="Q542" t="inlineStr">
        <is>
          <t>DPRO</t>
        </is>
      </c>
      <c r="R542" t="inlineStr">
        <is>
          <t>Z12</t>
        </is>
      </c>
      <c r="S542" s="20" t="n">
        <v>46318</v>
      </c>
    </row>
    <row r="543">
      <c r="A543" t="inlineStr">
        <is>
          <t>PRO</t>
        </is>
      </c>
      <c r="B543" t="inlineStr">
        <is>
          <t>429149420</t>
        </is>
      </c>
      <c r="C543" t="n">
        <v>4291494</v>
      </c>
      <c r="D543" t="inlineStr">
        <is>
          <t>ABERTA</t>
        </is>
      </c>
      <c r="E543" s="20" t="n">
        <v>46312</v>
      </c>
      <c r="F543" t="n">
        <v>6</v>
      </c>
      <c r="G543" t="n">
        <v>3</v>
      </c>
      <c r="I543" t="n">
        <v>4291494</v>
      </c>
      <c r="J543" t="n">
        <v>20</v>
      </c>
      <c r="K543" t="inlineStr">
        <is>
          <t>POMPRO</t>
        </is>
      </c>
      <c r="L543" t="inlineStr">
        <is>
          <t>Troca do selo 15PH005B</t>
        </is>
      </c>
      <c r="M543" t="inlineStr">
        <is>
          <t>Troca do selo 15PH005B</t>
        </is>
      </c>
      <c r="N543" t="inlineStr">
        <is>
          <t>PERGC-PDAC-DRE-04-01-13-01</t>
        </is>
      </c>
      <c r="O543" t="inlineStr">
        <is>
          <t>15PH005B BOMBA DRENAGEM</t>
        </is>
      </c>
      <c r="P543" t="n">
        <v>9</v>
      </c>
      <c r="Q543" t="inlineStr">
        <is>
          <t>DPRO</t>
        </is>
      </c>
      <c r="R543" t="inlineStr">
        <is>
          <t>Z12</t>
        </is>
      </c>
      <c r="S543" s="20" t="n">
        <v>46327</v>
      </c>
    </row>
    <row r="544">
      <c r="A544" t="inlineStr">
        <is>
          <t>AUT</t>
        </is>
      </c>
      <c r="B544" t="inlineStr">
        <is>
          <t>428479910</t>
        </is>
      </c>
      <c r="C544" t="n">
        <v>4284799</v>
      </c>
      <c r="D544" t="inlineStr">
        <is>
          <t>LIBERADA</t>
        </is>
      </c>
      <c r="E544" s="20" t="n">
        <v>46313</v>
      </c>
      <c r="F544" t="n">
        <v>6</v>
      </c>
      <c r="G544" t="n">
        <v>3</v>
      </c>
      <c r="I544" t="n">
        <v>4284799</v>
      </c>
      <c r="J544" t="n">
        <v>10</v>
      </c>
      <c r="K544" t="inlineStr">
        <is>
          <t>AUT</t>
        </is>
      </c>
      <c r="L544" t="inlineStr">
        <is>
          <t>Realização do troubleshooting 87JX003/04</t>
        </is>
      </c>
      <c r="M544" t="inlineStr">
        <is>
          <t>Troubleshooting nos paineis 87JX003 e 87</t>
        </is>
      </c>
      <c r="N544" t="inlineStr">
        <is>
          <t>PERGC-PSSC</t>
        </is>
      </c>
      <c r="O544" t="inlineStr">
        <is>
          <t>SISTEMA AUTOMACAO INDUSTRIAL</t>
        </is>
      </c>
      <c r="P544" t="n">
        <v>8</v>
      </c>
      <c r="Q544" t="inlineStr">
        <is>
          <t>VEND</t>
        </is>
      </c>
      <c r="R544" t="inlineStr">
        <is>
          <t>Z12</t>
        </is>
      </c>
      <c r="S544" s="20" t="n">
        <v>46315</v>
      </c>
    </row>
    <row r="545">
      <c r="A545" t="inlineStr">
        <is>
          <t>MEC</t>
        </is>
      </c>
      <c r="B545" t="inlineStr">
        <is>
          <t>438639410</t>
        </is>
      </c>
      <c r="C545" t="n">
        <v>4386394</v>
      </c>
      <c r="D545" t="inlineStr">
        <is>
          <t>ABERTA</t>
        </is>
      </c>
      <c r="E545" s="20" t="n">
        <v>46311</v>
      </c>
      <c r="F545" t="n">
        <v>5</v>
      </c>
      <c r="G545" t="n">
        <v>3</v>
      </c>
      <c r="H545" s="20" t="n">
        <v>46310</v>
      </c>
      <c r="I545" t="n">
        <v>4386394</v>
      </c>
      <c r="J545" t="n">
        <v>10</v>
      </c>
      <c r="K545" t="inlineStr">
        <is>
          <t>MEC</t>
        </is>
      </c>
      <c r="L545" t="inlineStr">
        <is>
          <t>LUBR MOTOR COMPR REFRIG PSE-1550 OPM 6M</t>
        </is>
      </c>
      <c r="M545" t="inlineStr">
        <is>
          <t>PSE-1550 LUBR MEC MOTOR COMPR REFRIG</t>
        </is>
      </c>
      <c r="N545" t="inlineStr">
        <is>
          <t>PERGC-FSAL-COZ-01-01</t>
        </is>
      </c>
      <c r="O545" t="inlineStr">
        <is>
          <t>COZINHA</t>
        </is>
      </c>
      <c r="P545" t="n">
        <v>2</v>
      </c>
      <c r="Q545" t="inlineStr">
        <is>
          <t>PLANO</t>
        </is>
      </c>
      <c r="R545" t="inlineStr">
        <is>
          <t>Z10</t>
        </is>
      </c>
      <c r="S545" s="20" t="n">
        <v>46310</v>
      </c>
    </row>
    <row r="546">
      <c r="A546" t="inlineStr">
        <is>
          <t>CON</t>
        </is>
      </c>
      <c r="B546" t="inlineStr">
        <is>
          <t>439452110</t>
        </is>
      </c>
      <c r="C546" t="n">
        <v>4394521</v>
      </c>
      <c r="D546" t="inlineStr">
        <is>
          <t>ENCERRADA</t>
        </is>
      </c>
      <c r="E546" s="20" t="n">
        <v>46313</v>
      </c>
      <c r="F546" t="n">
        <v>5</v>
      </c>
      <c r="G546" t="n">
        <v>3</v>
      </c>
      <c r="I546" t="n">
        <v>4394521</v>
      </c>
      <c r="J546" t="n">
        <v>10</v>
      </c>
      <c r="K546" t="inlineStr">
        <is>
          <t>PIN</t>
        </is>
      </c>
      <c r="L546" t="inlineStr">
        <is>
          <t>CORROSÃO FLANGE 13PIT0508 WH DECK</t>
        </is>
      </c>
      <c r="M546" t="inlineStr">
        <is>
          <t>CORROSÃO FLANGE 13PIT0508 WH DECK</t>
        </is>
      </c>
      <c r="N546" t="inlineStr">
        <is>
          <t>PERGC</t>
        </is>
      </c>
      <c r="P546" t="n">
        <v>12</v>
      </c>
      <c r="Q546" t="inlineStr">
        <is>
          <t>PROG</t>
        </is>
      </c>
      <c r="R546" t="inlineStr">
        <is>
          <t>Z13</t>
        </is>
      </c>
      <c r="S546" s="20" t="n">
        <v>46539</v>
      </c>
    </row>
    <row r="547">
      <c r="A547" t="inlineStr">
        <is>
          <t>CON</t>
        </is>
      </c>
      <c r="B547" t="inlineStr">
        <is>
          <t>439451910</t>
        </is>
      </c>
      <c r="C547" t="n">
        <v>4394519</v>
      </c>
      <c r="D547" t="inlineStr">
        <is>
          <t>ENCERRADA</t>
        </is>
      </c>
      <c r="E547" s="20" t="n">
        <v>46314</v>
      </c>
      <c r="F547" t="n">
        <v>5</v>
      </c>
      <c r="G547" t="n">
        <v>3</v>
      </c>
      <c r="I547" t="n">
        <v>4394519</v>
      </c>
      <c r="J547" t="n">
        <v>10</v>
      </c>
      <c r="K547" t="inlineStr">
        <is>
          <t>PIN</t>
        </is>
      </c>
      <c r="L547" t="inlineStr">
        <is>
          <t>CORROSÃO VÁLV.AR L600 RECEPÇÃO</t>
        </is>
      </c>
      <c r="M547" t="inlineStr">
        <is>
          <t>CORROSÃO VÁLV.AR L600 RECEPÇÃO</t>
        </is>
      </c>
      <c r="N547" t="inlineStr">
        <is>
          <t>PERGC-FSAC-VAL</t>
        </is>
      </c>
      <c r="P547" t="n">
        <v>12</v>
      </c>
      <c r="Q547" t="inlineStr">
        <is>
          <t>PROG</t>
        </is>
      </c>
      <c r="R547" t="inlineStr">
        <is>
          <t>Z13</t>
        </is>
      </c>
      <c r="S547" s="20" t="n">
        <v>46539</v>
      </c>
    </row>
    <row r="548">
      <c r="A548" t="inlineStr">
        <is>
          <t>MEC</t>
        </is>
      </c>
      <c r="B548" t="inlineStr">
        <is>
          <t>439554510</t>
        </is>
      </c>
      <c r="C548" t="n">
        <v>4395545</v>
      </c>
      <c r="D548" t="inlineStr">
        <is>
          <t>ABERTA</t>
        </is>
      </c>
      <c r="E548" s="20" t="n">
        <v>46322</v>
      </c>
      <c r="F548" t="n">
        <v>5</v>
      </c>
      <c r="G548" t="n">
        <v>3</v>
      </c>
      <c r="H548" s="20" t="n">
        <v>46301</v>
      </c>
      <c r="I548" t="n">
        <v>4395545</v>
      </c>
      <c r="J548" t="n">
        <v>10</v>
      </c>
      <c r="K548" t="inlineStr">
        <is>
          <t>MEC</t>
        </is>
      </c>
      <c r="L548" t="inlineStr">
        <is>
          <t>PSE-1527 MANUT PRV MEC AR COND</t>
        </is>
      </c>
      <c r="M548" t="inlineStr">
        <is>
          <t>MANUT PRV AR COND PSE-1527 MEC 1M</t>
        </is>
      </c>
      <c r="N548" t="inlineStr">
        <is>
          <t>PERGC-FSAR-ARC-01-01-01-01</t>
        </is>
      </c>
      <c r="P548" t="n">
        <v>6</v>
      </c>
      <c r="Q548" t="inlineStr">
        <is>
          <t>PROG</t>
        </is>
      </c>
      <c r="R548" t="inlineStr">
        <is>
          <t>Z12</t>
        </is>
      </c>
      <c r="S548" s="20" t="n">
        <v>46301</v>
      </c>
    </row>
    <row r="549">
      <c r="A549" t="inlineStr">
        <is>
          <t>MEC</t>
        </is>
      </c>
      <c r="B549" t="inlineStr">
        <is>
          <t>439803110</t>
        </is>
      </c>
      <c r="C549" t="n">
        <v>4398031</v>
      </c>
      <c r="D549" t="inlineStr">
        <is>
          <t>ABERTA</t>
        </is>
      </c>
      <c r="E549" s="20" t="n">
        <v>46322</v>
      </c>
      <c r="F549" t="n">
        <v>5</v>
      </c>
      <c r="G549" t="n">
        <v>3</v>
      </c>
      <c r="H549" s="20" t="n">
        <v>46322</v>
      </c>
      <c r="I549" t="n">
        <v>4398031</v>
      </c>
      <c r="J549" t="n">
        <v>10</v>
      </c>
      <c r="K549" t="inlineStr">
        <is>
          <t>MEC</t>
        </is>
      </c>
      <c r="L549" t="inlineStr">
        <is>
          <t>PSE-1527 MANUT PRV MEC AR COND</t>
        </is>
      </c>
      <c r="M549" t="inlineStr">
        <is>
          <t>MANUT PRV AR COND PSE-1527 MEC 1M</t>
        </is>
      </c>
      <c r="N549" t="inlineStr">
        <is>
          <t>PERGC-FSAR-ARC-16-04-01</t>
        </is>
      </c>
      <c r="P549" t="n">
        <v>6</v>
      </c>
      <c r="Q549" t="inlineStr">
        <is>
          <t>PROG</t>
        </is>
      </c>
      <c r="R549" t="inlineStr">
        <is>
          <t>Z12</t>
        </is>
      </c>
      <c r="S549" s="20" t="n">
        <v>46322</v>
      </c>
    </row>
    <row r="550">
      <c r="A550" t="inlineStr">
        <is>
          <t>CON</t>
        </is>
      </c>
      <c r="B550" t="inlineStr">
        <is>
          <t>439452510</t>
        </is>
      </c>
      <c r="C550" t="n">
        <v>4394525</v>
      </c>
      <c r="D550" t="inlineStr">
        <is>
          <t>PARCIAL</t>
        </is>
      </c>
      <c r="E550" s="20" t="n">
        <v>46315</v>
      </c>
      <c r="F550" t="n">
        <v>5</v>
      </c>
      <c r="G550" t="n">
        <v>3</v>
      </c>
      <c r="I550" t="n">
        <v>4394525</v>
      </c>
      <c r="J550" t="n">
        <v>10</v>
      </c>
      <c r="K550" t="inlineStr">
        <is>
          <t>PIN</t>
        </is>
      </c>
      <c r="L550" t="inlineStr">
        <is>
          <t>CORROSÃO CONT.CILINDROS GER.EMERG</t>
        </is>
      </c>
      <c r="M550" t="inlineStr">
        <is>
          <t>CORROSÃO CONT.CILINDROS GER.EMERG</t>
        </is>
      </c>
      <c r="N550" t="inlineStr">
        <is>
          <t>PERGC-FSGE-MGE</t>
        </is>
      </c>
      <c r="P550" t="n">
        <v>26</v>
      </c>
      <c r="Q550" t="inlineStr">
        <is>
          <t>PROG</t>
        </is>
      </c>
      <c r="R550" t="inlineStr">
        <is>
          <t>Z13</t>
        </is>
      </c>
      <c r="S550" s="20" t="n">
        <v>46539</v>
      </c>
    </row>
    <row r="551">
      <c r="A551" t="inlineStr">
        <is>
          <t>MEC</t>
        </is>
      </c>
      <c r="B551" t="inlineStr">
        <is>
          <t>439754810</t>
        </is>
      </c>
      <c r="C551" t="n">
        <v>4397548</v>
      </c>
      <c r="D551" t="inlineStr">
        <is>
          <t>ABERTA</t>
        </is>
      </c>
      <c r="E551" s="20" t="n">
        <v>46312</v>
      </c>
      <c r="F551" t="n">
        <v>5</v>
      </c>
      <c r="G551" t="n">
        <v>3</v>
      </c>
      <c r="H551" s="20" t="n">
        <v>46302</v>
      </c>
      <c r="I551" t="n">
        <v>4397548</v>
      </c>
      <c r="J551" t="n">
        <v>10</v>
      </c>
      <c r="K551" t="inlineStr">
        <is>
          <t>MEC</t>
        </is>
      </c>
      <c r="L551" t="inlineStr">
        <is>
          <t>INS-1519 INSP MEC MOTOR DIESEL</t>
        </is>
      </c>
      <c r="M551" t="inlineStr">
        <is>
          <t>INSP MOTOR DIESEL INS-1519 EMN 1M</t>
        </is>
      </c>
      <c r="N551" t="inlineStr">
        <is>
          <t>PERGC-FSGE-MGE-01-07-01</t>
        </is>
      </c>
      <c r="P551" t="n">
        <v>2</v>
      </c>
      <c r="Q551" t="inlineStr">
        <is>
          <t>PLANO</t>
        </is>
      </c>
      <c r="R551" t="inlineStr">
        <is>
          <t>Z09</t>
        </is>
      </c>
      <c r="S551" s="20" t="n">
        <v>46302</v>
      </c>
    </row>
    <row r="552">
      <c r="A552" t="inlineStr">
        <is>
          <t>MEC</t>
        </is>
      </c>
      <c r="B552" t="inlineStr">
        <is>
          <t>439754910</t>
        </is>
      </c>
      <c r="C552" t="n">
        <v>4397549</v>
      </c>
      <c r="D552" t="inlineStr">
        <is>
          <t>ABERTA</t>
        </is>
      </c>
      <c r="E552" s="20" t="n">
        <v>46312</v>
      </c>
      <c r="F552" t="n">
        <v>5</v>
      </c>
      <c r="G552" t="n">
        <v>3</v>
      </c>
      <c r="H552" s="20" t="n">
        <v>46302</v>
      </c>
      <c r="I552" t="n">
        <v>4397549</v>
      </c>
      <c r="J552" t="n">
        <v>10</v>
      </c>
      <c r="K552" t="inlineStr">
        <is>
          <t>MEC</t>
        </is>
      </c>
      <c r="L552" t="inlineStr">
        <is>
          <t>PSE-1524 MANUT MEC MOTOR DIESEL</t>
        </is>
      </c>
      <c r="M552" t="inlineStr">
        <is>
          <t>MANUT MOTOR DIESEL PSE-1524 MEC 6M</t>
        </is>
      </c>
      <c r="N552" t="inlineStr">
        <is>
          <t>PERGC-FSGE-MGE-01-07-01</t>
        </is>
      </c>
      <c r="P552" t="n">
        <v>36</v>
      </c>
      <c r="Q552" t="inlineStr">
        <is>
          <t>PLANO</t>
        </is>
      </c>
      <c r="R552" t="inlineStr">
        <is>
          <t>Z12</t>
        </is>
      </c>
      <c r="S552" s="20" t="n">
        <v>46303</v>
      </c>
    </row>
    <row r="553">
      <c r="A553" t="inlineStr">
        <is>
          <t>ELE</t>
        </is>
      </c>
      <c r="B553" t="inlineStr">
        <is>
          <t>439803010</t>
        </is>
      </c>
      <c r="C553" t="n">
        <v>4398030</v>
      </c>
      <c r="D553" t="inlineStr">
        <is>
          <t>ENCERRADA</t>
        </is>
      </c>
      <c r="E553" s="20" t="n">
        <v>46312</v>
      </c>
      <c r="F553" t="n">
        <v>5</v>
      </c>
      <c r="G553" t="n">
        <v>3</v>
      </c>
      <c r="H553" s="20" t="n">
        <v>46319</v>
      </c>
      <c r="I553" t="n">
        <v>4398030</v>
      </c>
      <c r="J553" t="n">
        <v>10</v>
      </c>
      <c r="K553" t="inlineStr">
        <is>
          <t>ELE</t>
        </is>
      </c>
      <c r="L553" t="inlineStr">
        <is>
          <t>INS-1200 INSP ELE MOTOR ALTA TENSAO</t>
        </is>
      </c>
      <c r="M553" t="inlineStr">
        <is>
          <t>INSP MOTOR ALTA TENSAO INS-1200 ELE 6M</t>
        </is>
      </c>
      <c r="N553" t="inlineStr">
        <is>
          <t>PERGC-FSGP-GTG-04-07-01</t>
        </is>
      </c>
      <c r="P553" t="n">
        <v>8</v>
      </c>
      <c r="Q553" t="inlineStr">
        <is>
          <t>PLANO</t>
        </is>
      </c>
      <c r="R553" t="inlineStr">
        <is>
          <t>Z09</t>
        </is>
      </c>
      <c r="S553" s="20" t="n">
        <v>46319</v>
      </c>
    </row>
    <row r="554">
      <c r="A554" t="inlineStr">
        <is>
          <t>CON</t>
        </is>
      </c>
      <c r="B554" t="inlineStr">
        <is>
          <t>438953110</t>
        </is>
      </c>
      <c r="C554" t="n">
        <v>4389531</v>
      </c>
      <c r="D554" t="inlineStr">
        <is>
          <t>ABERTA</t>
        </is>
      </c>
      <c r="E554" s="20" t="n">
        <v>46318</v>
      </c>
      <c r="F554" t="n">
        <v>5</v>
      </c>
      <c r="G554" t="n">
        <v>3</v>
      </c>
      <c r="I554" t="n">
        <v>4389531</v>
      </c>
      <c r="J554" t="n">
        <v>10</v>
      </c>
      <c r="K554" t="inlineStr">
        <is>
          <t>PIN</t>
        </is>
      </c>
      <c r="L554" t="inlineStr">
        <is>
          <t>PC RI:0005 REL:0185/26 31/03/2026</t>
        </is>
      </c>
      <c r="M554" t="inlineStr">
        <is>
          <t>PC RI:0005 REL:0185/26 31/03/2026</t>
        </is>
      </c>
      <c r="N554" t="inlineStr">
        <is>
          <t>DRILC-SSSP-RIS</t>
        </is>
      </c>
      <c r="P554" t="n">
        <v>24</v>
      </c>
      <c r="Q554" t="inlineStr">
        <is>
          <t>PROG</t>
        </is>
      </c>
      <c r="R554" t="inlineStr">
        <is>
          <t>Z01</t>
        </is>
      </c>
      <c r="S554" s="20" t="n">
        <v>46843</v>
      </c>
    </row>
    <row r="555">
      <c r="A555" t="inlineStr">
        <is>
          <t>INS</t>
        </is>
      </c>
      <c r="B555" t="inlineStr">
        <is>
          <t>435267140</t>
        </is>
      </c>
      <c r="C555" t="n">
        <v>4352671</v>
      </c>
      <c r="D555" t="inlineStr">
        <is>
          <t>LIBERADA</t>
        </is>
      </c>
      <c r="E555" s="20" t="n">
        <v>46326</v>
      </c>
      <c r="F555" t="n">
        <v>5</v>
      </c>
      <c r="G555" t="n">
        <v>3</v>
      </c>
      <c r="H555" s="20" t="n">
        <v>46302</v>
      </c>
      <c r="I555" t="n">
        <v>4352671</v>
      </c>
      <c r="J555" t="n">
        <v>40</v>
      </c>
      <c r="K555" t="inlineStr">
        <is>
          <t>POMMET</t>
        </is>
      </c>
      <c r="L555" t="inlineStr">
        <is>
          <t>04W RECEIVE IMPLEMENT AND STORE</t>
        </is>
      </c>
      <c r="M555" t="inlineStr">
        <is>
          <t>FLARE GC ANALYZE</t>
        </is>
      </c>
      <c r="N555" t="inlineStr">
        <is>
          <t>1349-SI-0289</t>
        </is>
      </c>
      <c r="P555" t="n">
        <v>1</v>
      </c>
      <c r="Q555" t="inlineStr">
        <is>
          <t>PLANO</t>
        </is>
      </c>
      <c r="R555" t="inlineStr">
        <is>
          <t>Z12</t>
        </is>
      </c>
      <c r="S555" s="20" t="n">
        <v>46302</v>
      </c>
    </row>
    <row r="556">
      <c r="A556" t="inlineStr">
        <is>
          <t>MEC</t>
        </is>
      </c>
      <c r="B556" t="inlineStr">
        <is>
          <t>439831710</t>
        </is>
      </c>
      <c r="C556" t="n">
        <v>4398317</v>
      </c>
      <c r="D556" t="inlineStr">
        <is>
          <t>ENCERRADA</t>
        </is>
      </c>
      <c r="E556" s="20" t="n">
        <v>46315</v>
      </c>
      <c r="F556" t="n">
        <v>5</v>
      </c>
      <c r="G556" t="n">
        <v>3</v>
      </c>
      <c r="I556" t="n">
        <v>4398317</v>
      </c>
      <c r="J556" t="n">
        <v>10</v>
      </c>
      <c r="K556" t="inlineStr">
        <is>
          <t>MEC</t>
        </is>
      </c>
      <c r="L556" t="inlineStr">
        <is>
          <t>TROCAR  DA BOMBA VERTICAL 15PH004B</t>
        </is>
      </c>
      <c r="M556" t="inlineStr">
        <is>
          <t>TROCAR  DA BOMBA VERTICAL 15PH004B</t>
        </is>
      </c>
      <c r="N556" t="inlineStr">
        <is>
          <t>PERGC-PDAC-DRE-01-01-13-01</t>
        </is>
      </c>
      <c r="P556" t="n">
        <v>12</v>
      </c>
      <c r="Q556" t="inlineStr">
        <is>
          <t>DPRO</t>
        </is>
      </c>
      <c r="R556" t="inlineStr">
        <is>
          <t>Z12</t>
        </is>
      </c>
      <c r="S556" s="20" t="n">
        <v>46430</v>
      </c>
    </row>
    <row r="557">
      <c r="A557" t="inlineStr">
        <is>
          <t>MEC</t>
        </is>
      </c>
      <c r="B557" t="inlineStr">
        <is>
          <t>439324910</t>
        </is>
      </c>
      <c r="C557" t="n">
        <v>4398318</v>
      </c>
      <c r="D557" t="inlineStr">
        <is>
          <t>ENCERRADA</t>
        </is>
      </c>
      <c r="E557" s="20" t="n">
        <v>46317</v>
      </c>
      <c r="F557" t="n">
        <v>4</v>
      </c>
      <c r="G557" t="n">
        <v>2</v>
      </c>
      <c r="I557" t="n">
        <v>4393249</v>
      </c>
      <c r="J557" t="n">
        <v>10</v>
      </c>
      <c r="K557" t="inlineStr">
        <is>
          <t>MEC</t>
        </is>
      </c>
      <c r="L557" t="inlineStr">
        <is>
          <t>Substituit as 2 shutoff do sys gás</t>
        </is>
      </c>
      <c r="M557" t="inlineStr">
        <is>
          <t>Vazamento de gás pelo vent de Instrument</t>
        </is>
      </c>
      <c r="N557" t="inlineStr">
        <is>
          <t>PERGC-FSGP-GTG-04-01</t>
        </is>
      </c>
      <c r="P557" t="n">
        <v>30</v>
      </c>
      <c r="Q557" t="inlineStr">
        <is>
          <t>DPRO</t>
        </is>
      </c>
      <c r="R557" t="inlineStr">
        <is>
          <t>Z12</t>
        </is>
      </c>
      <c r="S557" s="20" t="n">
        <v>46402</v>
      </c>
    </row>
    <row r="558">
      <c r="A558" t="inlineStr">
        <is>
          <t>INS</t>
        </is>
      </c>
      <c r="B558" t="inlineStr">
        <is>
          <t>439324920</t>
        </is>
      </c>
      <c r="C558" t="n">
        <v>4398319</v>
      </c>
      <c r="D558" t="inlineStr">
        <is>
          <t>LIBERADA</t>
        </is>
      </c>
      <c r="E558" s="20" t="n">
        <v>46317</v>
      </c>
      <c r="F558" t="n">
        <v>4</v>
      </c>
      <c r="G558" t="n">
        <v>2</v>
      </c>
      <c r="I558" t="n">
        <v>4393249</v>
      </c>
      <c r="J558" t="n">
        <v>20</v>
      </c>
      <c r="K558" t="inlineStr">
        <is>
          <t>INS</t>
        </is>
      </c>
      <c r="L558" t="inlineStr">
        <is>
          <t>Suporte do time de instrumentação</t>
        </is>
      </c>
      <c r="M558" t="inlineStr">
        <is>
          <t>Vazamento de gás pelo vent de Instrument</t>
        </is>
      </c>
      <c r="N558" t="inlineStr">
        <is>
          <t>PERGC-FSGP-GTG-04-01</t>
        </is>
      </c>
      <c r="P558" t="n">
        <v>6</v>
      </c>
      <c r="Q558" t="inlineStr">
        <is>
          <t>DPRO</t>
        </is>
      </c>
      <c r="R558" t="inlineStr">
        <is>
          <t>Z12</t>
        </is>
      </c>
      <c r="S558" s="20" t="n">
        <v>46402</v>
      </c>
    </row>
  </sheetData>
  <autoFilter ref="A1:T5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 do dia?</t>
        </is>
      </c>
      <c r="B1" t="inlineStr">
        <is>
          <t>seq.</t>
        </is>
      </c>
      <c r="C1" t="inlineStr">
        <is>
          <t>total →</t>
        </is>
      </c>
      <c r="D1">
        <f>SUM(A2:A3001)</f>
        <v/>
      </c>
      <c r="E1" t="inlineStr">
        <is>
          <t>col. Reprogramado →</t>
        </is>
      </c>
      <c r="F1">
        <f>IFERROR(MATCH("Reprogramado",BASELINE!$A$1:$ZZ$1,0),0)</f>
        <v/>
      </c>
    </row>
    <row r="2">
      <c r="A2">
        <f>IFERROR(IF(AND(BASELINE!I2&lt;&gt;"",INT(IF(CALC!$F$1&gt;0,IF(N(INDEX(BASELINE!$A2:$ZZ2,CALC!$F$1))&gt;0,N(INDEX(BASELINE!$A2:$ZZ2,CALC!$F$1)),N(BASELINE!E2)),N(BASELINE!E2)))=INT(SIMOPS!$D$3),IFERROR(UPPER(TRIM(BASELINE!D2&amp;"")),"")&lt;&gt;"ENCERRADA"),1,0),0)</f>
        <v/>
      </c>
      <c r="B2">
        <f>A2</f>
        <v/>
      </c>
    </row>
    <row r="3">
      <c r="A3">
        <f>IFERROR(IF(AND(BASELINE!I3&lt;&gt;"",INT(IF(CALC!$F$1&gt;0,IF(N(INDEX(BASELINE!$A3:$ZZ3,CALC!$F$1))&gt;0,N(INDEX(BASELINE!$A3:$ZZ3,CALC!$F$1)),N(BASELINE!E3)),N(BASELINE!E3)))=INT(SIMOPS!$D$3),IFERROR(UPPER(TRIM(BASELINE!D3&amp;"")),"")&lt;&gt;"ENCERRADA"),1,0),0)</f>
        <v/>
      </c>
      <c r="B3">
        <f>B2+A3</f>
        <v/>
      </c>
    </row>
    <row r="4">
      <c r="A4">
        <f>IFERROR(IF(AND(BASELINE!I4&lt;&gt;"",INT(IF(CALC!$F$1&gt;0,IF(N(INDEX(BASELINE!$A4:$ZZ4,CALC!$F$1))&gt;0,N(INDEX(BASELINE!$A4:$ZZ4,CALC!$F$1)),N(BASELINE!E4)),N(BASELINE!E4)))=INT(SIMOPS!$D$3),IFERROR(UPPER(TRIM(BASELINE!D4&amp;"")),"")&lt;&gt;"ENCERRADA"),1,0),0)</f>
        <v/>
      </c>
      <c r="B4">
        <f>B3+A4</f>
        <v/>
      </c>
    </row>
    <row r="5">
      <c r="A5">
        <f>IFERROR(IF(AND(BASELINE!I5&lt;&gt;"",INT(IF(CALC!$F$1&gt;0,IF(N(INDEX(BASELINE!$A5:$ZZ5,CALC!$F$1))&gt;0,N(INDEX(BASELINE!$A5:$ZZ5,CALC!$F$1)),N(BASELINE!E5)),N(BASELINE!E5)))=INT(SIMOPS!$D$3),IFERROR(UPPER(TRIM(BASELINE!D5&amp;"")),"")&lt;&gt;"ENCERRADA"),1,0),0)</f>
        <v/>
      </c>
      <c r="B5">
        <f>B4+A5</f>
        <v/>
      </c>
    </row>
    <row r="6">
      <c r="A6">
        <f>IFERROR(IF(AND(BASELINE!I6&lt;&gt;"",INT(IF(CALC!$F$1&gt;0,IF(N(INDEX(BASELINE!$A6:$ZZ6,CALC!$F$1))&gt;0,N(INDEX(BASELINE!$A6:$ZZ6,CALC!$F$1)),N(BASELINE!E6)),N(BASELINE!E6)))=INT(SIMOPS!$D$3),IFERROR(UPPER(TRIM(BASELINE!D6&amp;"")),"")&lt;&gt;"ENCERRADA"),1,0),0)</f>
        <v/>
      </c>
      <c r="B6">
        <f>B5+A6</f>
        <v/>
      </c>
    </row>
    <row r="7">
      <c r="A7">
        <f>IFERROR(IF(AND(BASELINE!I7&lt;&gt;"",INT(IF(CALC!$F$1&gt;0,IF(N(INDEX(BASELINE!$A7:$ZZ7,CALC!$F$1))&gt;0,N(INDEX(BASELINE!$A7:$ZZ7,CALC!$F$1)),N(BASELINE!E7)),N(BASELINE!E7)))=INT(SIMOPS!$D$3),IFERROR(UPPER(TRIM(BASELINE!D7&amp;"")),"")&lt;&gt;"ENCERRADA"),1,0),0)</f>
        <v/>
      </c>
      <c r="B7">
        <f>B6+A7</f>
        <v/>
      </c>
    </row>
    <row r="8">
      <c r="A8">
        <f>IFERROR(IF(AND(BASELINE!I8&lt;&gt;"",INT(IF(CALC!$F$1&gt;0,IF(N(INDEX(BASELINE!$A8:$ZZ8,CALC!$F$1))&gt;0,N(INDEX(BASELINE!$A8:$ZZ8,CALC!$F$1)),N(BASELINE!E8)),N(BASELINE!E8)))=INT(SIMOPS!$D$3),IFERROR(UPPER(TRIM(BASELINE!D8&amp;"")),"")&lt;&gt;"ENCERRADA"),1,0),0)</f>
        <v/>
      </c>
      <c r="B8">
        <f>B7+A8</f>
        <v/>
      </c>
    </row>
    <row r="9">
      <c r="A9">
        <f>IFERROR(IF(AND(BASELINE!I9&lt;&gt;"",INT(IF(CALC!$F$1&gt;0,IF(N(INDEX(BASELINE!$A9:$ZZ9,CALC!$F$1))&gt;0,N(INDEX(BASELINE!$A9:$ZZ9,CALC!$F$1)),N(BASELINE!E9)),N(BASELINE!E9)))=INT(SIMOPS!$D$3),IFERROR(UPPER(TRIM(BASELINE!D9&amp;"")),"")&lt;&gt;"ENCERRADA"),1,0),0)</f>
        <v/>
      </c>
      <c r="B9">
        <f>B8+A9</f>
        <v/>
      </c>
    </row>
    <row r="10">
      <c r="A10">
        <f>IFERROR(IF(AND(BASELINE!I10&lt;&gt;"",INT(IF(CALC!$F$1&gt;0,IF(N(INDEX(BASELINE!$A10:$ZZ10,CALC!$F$1))&gt;0,N(INDEX(BASELINE!$A10:$ZZ10,CALC!$F$1)),N(BASELINE!E10)),N(BASELINE!E10)))=INT(SIMOPS!$D$3),IFERROR(UPPER(TRIM(BASELINE!D10&amp;"")),"")&lt;&gt;"ENCERRADA"),1,0),0)</f>
        <v/>
      </c>
      <c r="B10">
        <f>B9+A10</f>
        <v/>
      </c>
    </row>
    <row r="11">
      <c r="A11">
        <f>IFERROR(IF(AND(BASELINE!I11&lt;&gt;"",INT(IF(CALC!$F$1&gt;0,IF(N(INDEX(BASELINE!$A11:$ZZ11,CALC!$F$1))&gt;0,N(INDEX(BASELINE!$A11:$ZZ11,CALC!$F$1)),N(BASELINE!E11)),N(BASELINE!E11)))=INT(SIMOPS!$D$3),IFERROR(UPPER(TRIM(BASELINE!D11&amp;"")),"")&lt;&gt;"ENCERRADA"),1,0),0)</f>
        <v/>
      </c>
      <c r="B11">
        <f>B10+A11</f>
        <v/>
      </c>
    </row>
    <row r="12">
      <c r="A12">
        <f>IFERROR(IF(AND(BASELINE!I12&lt;&gt;"",INT(IF(CALC!$F$1&gt;0,IF(N(INDEX(BASELINE!$A12:$ZZ12,CALC!$F$1))&gt;0,N(INDEX(BASELINE!$A12:$ZZ12,CALC!$F$1)),N(BASELINE!E12)),N(BASELINE!E12)))=INT(SIMOPS!$D$3),IFERROR(UPPER(TRIM(BASELINE!D12&amp;"")),"")&lt;&gt;"ENCERRADA"),1,0),0)</f>
        <v/>
      </c>
      <c r="B12">
        <f>B11+A12</f>
        <v/>
      </c>
    </row>
    <row r="13">
      <c r="A13">
        <f>IFERROR(IF(AND(BASELINE!I13&lt;&gt;"",INT(IF(CALC!$F$1&gt;0,IF(N(INDEX(BASELINE!$A13:$ZZ13,CALC!$F$1))&gt;0,N(INDEX(BASELINE!$A13:$ZZ13,CALC!$F$1)),N(BASELINE!E13)),N(BASELINE!E13)))=INT(SIMOPS!$D$3),IFERROR(UPPER(TRIM(BASELINE!D13&amp;"")),"")&lt;&gt;"ENCERRADA"),1,0),0)</f>
        <v/>
      </c>
      <c r="B13">
        <f>B12+A13</f>
        <v/>
      </c>
    </row>
    <row r="14">
      <c r="A14">
        <f>IFERROR(IF(AND(BASELINE!I14&lt;&gt;"",INT(IF(CALC!$F$1&gt;0,IF(N(INDEX(BASELINE!$A14:$ZZ14,CALC!$F$1))&gt;0,N(INDEX(BASELINE!$A14:$ZZ14,CALC!$F$1)),N(BASELINE!E14)),N(BASELINE!E14)))=INT(SIMOPS!$D$3),IFERROR(UPPER(TRIM(BASELINE!D14&amp;"")),"")&lt;&gt;"ENCERRADA"),1,0),0)</f>
        <v/>
      </c>
      <c r="B14">
        <f>B13+A14</f>
        <v/>
      </c>
    </row>
    <row r="15">
      <c r="A15">
        <f>IFERROR(IF(AND(BASELINE!I15&lt;&gt;"",INT(IF(CALC!$F$1&gt;0,IF(N(INDEX(BASELINE!$A15:$ZZ15,CALC!$F$1))&gt;0,N(INDEX(BASELINE!$A15:$ZZ15,CALC!$F$1)),N(BASELINE!E15)),N(BASELINE!E15)))=INT(SIMOPS!$D$3),IFERROR(UPPER(TRIM(BASELINE!D15&amp;"")),"")&lt;&gt;"ENCERRADA"),1,0),0)</f>
        <v/>
      </c>
      <c r="B15">
        <f>B14+A15</f>
        <v/>
      </c>
    </row>
    <row r="16">
      <c r="A16">
        <f>IFERROR(IF(AND(BASELINE!I16&lt;&gt;"",INT(IF(CALC!$F$1&gt;0,IF(N(INDEX(BASELINE!$A16:$ZZ16,CALC!$F$1))&gt;0,N(INDEX(BASELINE!$A16:$ZZ16,CALC!$F$1)),N(BASELINE!E16)),N(BASELINE!E16)))=INT(SIMOPS!$D$3),IFERROR(UPPER(TRIM(BASELINE!D16&amp;"")),"")&lt;&gt;"ENCERRADA"),1,0),0)</f>
        <v/>
      </c>
      <c r="B16">
        <f>B15+A16</f>
        <v/>
      </c>
    </row>
    <row r="17">
      <c r="A17">
        <f>IFERROR(IF(AND(BASELINE!I17&lt;&gt;"",INT(IF(CALC!$F$1&gt;0,IF(N(INDEX(BASELINE!$A17:$ZZ17,CALC!$F$1))&gt;0,N(INDEX(BASELINE!$A17:$ZZ17,CALC!$F$1)),N(BASELINE!E17)),N(BASELINE!E17)))=INT(SIMOPS!$D$3),IFERROR(UPPER(TRIM(BASELINE!D17&amp;"")),"")&lt;&gt;"ENCERRADA"),1,0),0)</f>
        <v/>
      </c>
      <c r="B17">
        <f>B16+A17</f>
        <v/>
      </c>
    </row>
    <row r="18">
      <c r="A18">
        <f>IFERROR(IF(AND(BASELINE!I18&lt;&gt;"",INT(IF(CALC!$F$1&gt;0,IF(N(INDEX(BASELINE!$A18:$ZZ18,CALC!$F$1))&gt;0,N(INDEX(BASELINE!$A18:$ZZ18,CALC!$F$1)),N(BASELINE!E18)),N(BASELINE!E18)))=INT(SIMOPS!$D$3),IFERROR(UPPER(TRIM(BASELINE!D18&amp;"")),"")&lt;&gt;"ENCERRADA"),1,0),0)</f>
        <v/>
      </c>
      <c r="B18">
        <f>B17+A18</f>
        <v/>
      </c>
    </row>
    <row r="19">
      <c r="A19">
        <f>IFERROR(IF(AND(BASELINE!I19&lt;&gt;"",INT(IF(CALC!$F$1&gt;0,IF(N(INDEX(BASELINE!$A19:$ZZ19,CALC!$F$1))&gt;0,N(INDEX(BASELINE!$A19:$ZZ19,CALC!$F$1)),N(BASELINE!E19)),N(BASELINE!E19)))=INT(SIMOPS!$D$3),IFERROR(UPPER(TRIM(BASELINE!D19&amp;"")),"")&lt;&gt;"ENCERRADA"),1,0),0)</f>
        <v/>
      </c>
      <c r="B19">
        <f>B18+A19</f>
        <v/>
      </c>
    </row>
    <row r="20">
      <c r="A20">
        <f>IFERROR(IF(AND(BASELINE!I20&lt;&gt;"",INT(IF(CALC!$F$1&gt;0,IF(N(INDEX(BASELINE!$A20:$ZZ20,CALC!$F$1))&gt;0,N(INDEX(BASELINE!$A20:$ZZ20,CALC!$F$1)),N(BASELINE!E20)),N(BASELINE!E20)))=INT(SIMOPS!$D$3),IFERROR(UPPER(TRIM(BASELINE!D20&amp;"")),"")&lt;&gt;"ENCERRADA"),1,0),0)</f>
        <v/>
      </c>
      <c r="B20">
        <f>B19+A20</f>
        <v/>
      </c>
    </row>
    <row r="21">
      <c r="A21">
        <f>IFERROR(IF(AND(BASELINE!I21&lt;&gt;"",INT(IF(CALC!$F$1&gt;0,IF(N(INDEX(BASELINE!$A21:$ZZ21,CALC!$F$1))&gt;0,N(INDEX(BASELINE!$A21:$ZZ21,CALC!$F$1)),N(BASELINE!E21)),N(BASELINE!E21)))=INT(SIMOPS!$D$3),IFERROR(UPPER(TRIM(BASELINE!D21&amp;"")),"")&lt;&gt;"ENCERRADA"),1,0),0)</f>
        <v/>
      </c>
      <c r="B21">
        <f>B20+A21</f>
        <v/>
      </c>
    </row>
    <row r="22">
      <c r="A22">
        <f>IFERROR(IF(AND(BASELINE!I22&lt;&gt;"",INT(IF(CALC!$F$1&gt;0,IF(N(INDEX(BASELINE!$A22:$ZZ22,CALC!$F$1))&gt;0,N(INDEX(BASELINE!$A22:$ZZ22,CALC!$F$1)),N(BASELINE!E22)),N(BASELINE!E22)))=INT(SIMOPS!$D$3),IFERROR(UPPER(TRIM(BASELINE!D22&amp;"")),"")&lt;&gt;"ENCERRADA"),1,0),0)</f>
        <v/>
      </c>
      <c r="B22">
        <f>B21+A22</f>
        <v/>
      </c>
    </row>
    <row r="23">
      <c r="A23">
        <f>IFERROR(IF(AND(BASELINE!I23&lt;&gt;"",INT(IF(CALC!$F$1&gt;0,IF(N(INDEX(BASELINE!$A23:$ZZ23,CALC!$F$1))&gt;0,N(INDEX(BASELINE!$A23:$ZZ23,CALC!$F$1)),N(BASELINE!E23)),N(BASELINE!E23)))=INT(SIMOPS!$D$3),IFERROR(UPPER(TRIM(BASELINE!D23&amp;"")),"")&lt;&gt;"ENCERRADA"),1,0),0)</f>
        <v/>
      </c>
      <c r="B23">
        <f>B22+A23</f>
        <v/>
      </c>
    </row>
    <row r="24">
      <c r="A24">
        <f>IFERROR(IF(AND(BASELINE!I24&lt;&gt;"",INT(IF(CALC!$F$1&gt;0,IF(N(INDEX(BASELINE!$A24:$ZZ24,CALC!$F$1))&gt;0,N(INDEX(BASELINE!$A24:$ZZ24,CALC!$F$1)),N(BASELINE!E24)),N(BASELINE!E24)))=INT(SIMOPS!$D$3),IFERROR(UPPER(TRIM(BASELINE!D24&amp;"")),"")&lt;&gt;"ENCERRADA"),1,0),0)</f>
        <v/>
      </c>
      <c r="B24">
        <f>B23+A24</f>
        <v/>
      </c>
    </row>
    <row r="25">
      <c r="A25">
        <f>IFERROR(IF(AND(BASELINE!I25&lt;&gt;"",INT(IF(CALC!$F$1&gt;0,IF(N(INDEX(BASELINE!$A25:$ZZ25,CALC!$F$1))&gt;0,N(INDEX(BASELINE!$A25:$ZZ25,CALC!$F$1)),N(BASELINE!E25)),N(BASELINE!E25)))=INT(SIMOPS!$D$3),IFERROR(UPPER(TRIM(BASELINE!D25&amp;"")),"")&lt;&gt;"ENCERRADA"),1,0),0)</f>
        <v/>
      </c>
      <c r="B25">
        <f>B24+A25</f>
        <v/>
      </c>
    </row>
    <row r="26">
      <c r="A26">
        <f>IFERROR(IF(AND(BASELINE!I26&lt;&gt;"",INT(IF(CALC!$F$1&gt;0,IF(N(INDEX(BASELINE!$A26:$ZZ26,CALC!$F$1))&gt;0,N(INDEX(BASELINE!$A26:$ZZ26,CALC!$F$1)),N(BASELINE!E26)),N(BASELINE!E26)))=INT(SIMOPS!$D$3),IFERROR(UPPER(TRIM(BASELINE!D26&amp;"")),"")&lt;&gt;"ENCERRADA"),1,0),0)</f>
        <v/>
      </c>
      <c r="B26">
        <f>B25+A26</f>
        <v/>
      </c>
    </row>
    <row r="27">
      <c r="A27">
        <f>IFERROR(IF(AND(BASELINE!I27&lt;&gt;"",INT(IF(CALC!$F$1&gt;0,IF(N(INDEX(BASELINE!$A27:$ZZ27,CALC!$F$1))&gt;0,N(INDEX(BASELINE!$A27:$ZZ27,CALC!$F$1)),N(BASELINE!E27)),N(BASELINE!E27)))=INT(SIMOPS!$D$3),IFERROR(UPPER(TRIM(BASELINE!D27&amp;"")),"")&lt;&gt;"ENCERRADA"),1,0),0)</f>
        <v/>
      </c>
      <c r="B27">
        <f>B26+A27</f>
        <v/>
      </c>
    </row>
    <row r="28">
      <c r="A28">
        <f>IFERROR(IF(AND(BASELINE!I28&lt;&gt;"",INT(IF(CALC!$F$1&gt;0,IF(N(INDEX(BASELINE!$A28:$ZZ28,CALC!$F$1))&gt;0,N(INDEX(BASELINE!$A28:$ZZ28,CALC!$F$1)),N(BASELINE!E28)),N(BASELINE!E28)))=INT(SIMOPS!$D$3),IFERROR(UPPER(TRIM(BASELINE!D28&amp;"")),"")&lt;&gt;"ENCERRADA"),1,0),0)</f>
        <v/>
      </c>
      <c r="B28">
        <f>B27+A28</f>
        <v/>
      </c>
    </row>
    <row r="29">
      <c r="A29">
        <f>IFERROR(IF(AND(BASELINE!I29&lt;&gt;"",INT(IF(CALC!$F$1&gt;0,IF(N(INDEX(BASELINE!$A29:$ZZ29,CALC!$F$1))&gt;0,N(INDEX(BASELINE!$A29:$ZZ29,CALC!$F$1)),N(BASELINE!E29)),N(BASELINE!E29)))=INT(SIMOPS!$D$3),IFERROR(UPPER(TRIM(BASELINE!D29&amp;"")),"")&lt;&gt;"ENCERRADA"),1,0),0)</f>
        <v/>
      </c>
      <c r="B29">
        <f>B28+A29</f>
        <v/>
      </c>
    </row>
    <row r="30">
      <c r="A30">
        <f>IFERROR(IF(AND(BASELINE!I30&lt;&gt;"",INT(IF(CALC!$F$1&gt;0,IF(N(INDEX(BASELINE!$A30:$ZZ30,CALC!$F$1))&gt;0,N(INDEX(BASELINE!$A30:$ZZ30,CALC!$F$1)),N(BASELINE!E30)),N(BASELINE!E30)))=INT(SIMOPS!$D$3),IFERROR(UPPER(TRIM(BASELINE!D30&amp;"")),"")&lt;&gt;"ENCERRADA"),1,0),0)</f>
        <v/>
      </c>
      <c r="B30">
        <f>B29+A30</f>
        <v/>
      </c>
    </row>
    <row r="31">
      <c r="A31">
        <f>IFERROR(IF(AND(BASELINE!I31&lt;&gt;"",INT(IF(CALC!$F$1&gt;0,IF(N(INDEX(BASELINE!$A31:$ZZ31,CALC!$F$1))&gt;0,N(INDEX(BASELINE!$A31:$ZZ31,CALC!$F$1)),N(BASELINE!E31)),N(BASELINE!E31)))=INT(SIMOPS!$D$3),IFERROR(UPPER(TRIM(BASELINE!D31&amp;"")),"")&lt;&gt;"ENCERRADA"),1,0),0)</f>
        <v/>
      </c>
      <c r="B31">
        <f>B30+A31</f>
        <v/>
      </c>
    </row>
    <row r="32">
      <c r="A32">
        <f>IFERROR(IF(AND(BASELINE!I32&lt;&gt;"",INT(IF(CALC!$F$1&gt;0,IF(N(INDEX(BASELINE!$A32:$ZZ32,CALC!$F$1))&gt;0,N(INDEX(BASELINE!$A32:$ZZ32,CALC!$F$1)),N(BASELINE!E32)),N(BASELINE!E32)))=INT(SIMOPS!$D$3),IFERROR(UPPER(TRIM(BASELINE!D32&amp;"")),"")&lt;&gt;"ENCERRADA"),1,0),0)</f>
        <v/>
      </c>
      <c r="B32">
        <f>B31+A32</f>
        <v/>
      </c>
    </row>
    <row r="33">
      <c r="A33">
        <f>IFERROR(IF(AND(BASELINE!I33&lt;&gt;"",INT(IF(CALC!$F$1&gt;0,IF(N(INDEX(BASELINE!$A33:$ZZ33,CALC!$F$1))&gt;0,N(INDEX(BASELINE!$A33:$ZZ33,CALC!$F$1)),N(BASELINE!E33)),N(BASELINE!E33)))=INT(SIMOPS!$D$3),IFERROR(UPPER(TRIM(BASELINE!D33&amp;"")),"")&lt;&gt;"ENCERRADA"),1,0),0)</f>
        <v/>
      </c>
      <c r="B33">
        <f>B32+A33</f>
        <v/>
      </c>
    </row>
    <row r="34">
      <c r="A34">
        <f>IFERROR(IF(AND(BASELINE!I34&lt;&gt;"",INT(IF(CALC!$F$1&gt;0,IF(N(INDEX(BASELINE!$A34:$ZZ34,CALC!$F$1))&gt;0,N(INDEX(BASELINE!$A34:$ZZ34,CALC!$F$1)),N(BASELINE!E34)),N(BASELINE!E34)))=INT(SIMOPS!$D$3),IFERROR(UPPER(TRIM(BASELINE!D34&amp;"")),"")&lt;&gt;"ENCERRADA"),1,0),0)</f>
        <v/>
      </c>
      <c r="B34">
        <f>B33+A34</f>
        <v/>
      </c>
    </row>
    <row r="35">
      <c r="A35">
        <f>IFERROR(IF(AND(BASELINE!I35&lt;&gt;"",INT(IF(CALC!$F$1&gt;0,IF(N(INDEX(BASELINE!$A35:$ZZ35,CALC!$F$1))&gt;0,N(INDEX(BASELINE!$A35:$ZZ35,CALC!$F$1)),N(BASELINE!E35)),N(BASELINE!E35)))=INT(SIMOPS!$D$3),IFERROR(UPPER(TRIM(BASELINE!D35&amp;"")),"")&lt;&gt;"ENCERRADA"),1,0),0)</f>
        <v/>
      </c>
      <c r="B35">
        <f>B34+A35</f>
        <v/>
      </c>
    </row>
    <row r="36">
      <c r="A36">
        <f>IFERROR(IF(AND(BASELINE!I36&lt;&gt;"",INT(IF(CALC!$F$1&gt;0,IF(N(INDEX(BASELINE!$A36:$ZZ36,CALC!$F$1))&gt;0,N(INDEX(BASELINE!$A36:$ZZ36,CALC!$F$1)),N(BASELINE!E36)),N(BASELINE!E36)))=INT(SIMOPS!$D$3),IFERROR(UPPER(TRIM(BASELINE!D36&amp;"")),"")&lt;&gt;"ENCERRADA"),1,0),0)</f>
        <v/>
      </c>
      <c r="B36">
        <f>B35+A36</f>
        <v/>
      </c>
    </row>
    <row r="37">
      <c r="A37">
        <f>IFERROR(IF(AND(BASELINE!I37&lt;&gt;"",INT(IF(CALC!$F$1&gt;0,IF(N(INDEX(BASELINE!$A37:$ZZ37,CALC!$F$1))&gt;0,N(INDEX(BASELINE!$A37:$ZZ37,CALC!$F$1)),N(BASELINE!E37)),N(BASELINE!E37)))=INT(SIMOPS!$D$3),IFERROR(UPPER(TRIM(BASELINE!D37&amp;"")),"")&lt;&gt;"ENCERRADA"),1,0),0)</f>
        <v/>
      </c>
      <c r="B37">
        <f>B36+A37</f>
        <v/>
      </c>
    </row>
    <row r="38">
      <c r="A38">
        <f>IFERROR(IF(AND(BASELINE!I38&lt;&gt;"",INT(IF(CALC!$F$1&gt;0,IF(N(INDEX(BASELINE!$A38:$ZZ38,CALC!$F$1))&gt;0,N(INDEX(BASELINE!$A38:$ZZ38,CALC!$F$1)),N(BASELINE!E38)),N(BASELINE!E38)))=INT(SIMOPS!$D$3),IFERROR(UPPER(TRIM(BASELINE!D38&amp;"")),"")&lt;&gt;"ENCERRADA"),1,0),0)</f>
        <v/>
      </c>
      <c r="B38">
        <f>B37+A38</f>
        <v/>
      </c>
    </row>
    <row r="39">
      <c r="A39">
        <f>IFERROR(IF(AND(BASELINE!I39&lt;&gt;"",INT(IF(CALC!$F$1&gt;0,IF(N(INDEX(BASELINE!$A39:$ZZ39,CALC!$F$1))&gt;0,N(INDEX(BASELINE!$A39:$ZZ39,CALC!$F$1)),N(BASELINE!E39)),N(BASELINE!E39)))=INT(SIMOPS!$D$3),IFERROR(UPPER(TRIM(BASELINE!D39&amp;"")),"")&lt;&gt;"ENCERRADA"),1,0),0)</f>
        <v/>
      </c>
      <c r="B39">
        <f>B38+A39</f>
        <v/>
      </c>
    </row>
    <row r="40">
      <c r="A40">
        <f>IFERROR(IF(AND(BASELINE!I40&lt;&gt;"",INT(IF(CALC!$F$1&gt;0,IF(N(INDEX(BASELINE!$A40:$ZZ40,CALC!$F$1))&gt;0,N(INDEX(BASELINE!$A40:$ZZ40,CALC!$F$1)),N(BASELINE!E40)),N(BASELINE!E40)))=INT(SIMOPS!$D$3),IFERROR(UPPER(TRIM(BASELINE!D40&amp;"")),"")&lt;&gt;"ENCERRADA"),1,0),0)</f>
        <v/>
      </c>
      <c r="B40">
        <f>B39+A40</f>
        <v/>
      </c>
    </row>
    <row r="41">
      <c r="A41">
        <f>IFERROR(IF(AND(BASELINE!I41&lt;&gt;"",INT(IF(CALC!$F$1&gt;0,IF(N(INDEX(BASELINE!$A41:$ZZ41,CALC!$F$1))&gt;0,N(INDEX(BASELINE!$A41:$ZZ41,CALC!$F$1)),N(BASELINE!E41)),N(BASELINE!E41)))=INT(SIMOPS!$D$3),IFERROR(UPPER(TRIM(BASELINE!D41&amp;"")),"")&lt;&gt;"ENCERRADA"),1,0),0)</f>
        <v/>
      </c>
      <c r="B41">
        <f>B40+A41</f>
        <v/>
      </c>
    </row>
    <row r="42">
      <c r="A42">
        <f>IFERROR(IF(AND(BASELINE!I42&lt;&gt;"",INT(IF(CALC!$F$1&gt;0,IF(N(INDEX(BASELINE!$A42:$ZZ42,CALC!$F$1))&gt;0,N(INDEX(BASELINE!$A42:$ZZ42,CALC!$F$1)),N(BASELINE!E42)),N(BASELINE!E42)))=INT(SIMOPS!$D$3),IFERROR(UPPER(TRIM(BASELINE!D42&amp;"")),"")&lt;&gt;"ENCERRADA"),1,0),0)</f>
        <v/>
      </c>
      <c r="B42">
        <f>B41+A42</f>
        <v/>
      </c>
    </row>
    <row r="43">
      <c r="A43">
        <f>IFERROR(IF(AND(BASELINE!I43&lt;&gt;"",INT(IF(CALC!$F$1&gt;0,IF(N(INDEX(BASELINE!$A43:$ZZ43,CALC!$F$1))&gt;0,N(INDEX(BASELINE!$A43:$ZZ43,CALC!$F$1)),N(BASELINE!E43)),N(BASELINE!E43)))=INT(SIMOPS!$D$3),IFERROR(UPPER(TRIM(BASELINE!D43&amp;"")),"")&lt;&gt;"ENCERRADA"),1,0),0)</f>
        <v/>
      </c>
      <c r="B43">
        <f>B42+A43</f>
        <v/>
      </c>
    </row>
    <row r="44">
      <c r="A44">
        <f>IFERROR(IF(AND(BASELINE!I44&lt;&gt;"",INT(IF(CALC!$F$1&gt;0,IF(N(INDEX(BASELINE!$A44:$ZZ44,CALC!$F$1))&gt;0,N(INDEX(BASELINE!$A44:$ZZ44,CALC!$F$1)),N(BASELINE!E44)),N(BASELINE!E44)))=INT(SIMOPS!$D$3),IFERROR(UPPER(TRIM(BASELINE!D44&amp;"")),"")&lt;&gt;"ENCERRADA"),1,0),0)</f>
        <v/>
      </c>
      <c r="B44">
        <f>B43+A44</f>
        <v/>
      </c>
    </row>
    <row r="45">
      <c r="A45">
        <f>IFERROR(IF(AND(BASELINE!I45&lt;&gt;"",INT(IF(CALC!$F$1&gt;0,IF(N(INDEX(BASELINE!$A45:$ZZ45,CALC!$F$1))&gt;0,N(INDEX(BASELINE!$A45:$ZZ45,CALC!$F$1)),N(BASELINE!E45)),N(BASELINE!E45)))=INT(SIMOPS!$D$3),IFERROR(UPPER(TRIM(BASELINE!D45&amp;"")),"")&lt;&gt;"ENCERRADA"),1,0),0)</f>
        <v/>
      </c>
      <c r="B45">
        <f>B44+A45</f>
        <v/>
      </c>
    </row>
    <row r="46">
      <c r="A46">
        <f>IFERROR(IF(AND(BASELINE!I46&lt;&gt;"",INT(IF(CALC!$F$1&gt;0,IF(N(INDEX(BASELINE!$A46:$ZZ46,CALC!$F$1))&gt;0,N(INDEX(BASELINE!$A46:$ZZ46,CALC!$F$1)),N(BASELINE!E46)),N(BASELINE!E46)))=INT(SIMOPS!$D$3),IFERROR(UPPER(TRIM(BASELINE!D46&amp;"")),"")&lt;&gt;"ENCERRADA"),1,0),0)</f>
        <v/>
      </c>
      <c r="B46">
        <f>B45+A46</f>
        <v/>
      </c>
    </row>
    <row r="47">
      <c r="A47">
        <f>IFERROR(IF(AND(BASELINE!I47&lt;&gt;"",INT(IF(CALC!$F$1&gt;0,IF(N(INDEX(BASELINE!$A47:$ZZ47,CALC!$F$1))&gt;0,N(INDEX(BASELINE!$A47:$ZZ47,CALC!$F$1)),N(BASELINE!E47)),N(BASELINE!E47)))=INT(SIMOPS!$D$3),IFERROR(UPPER(TRIM(BASELINE!D47&amp;"")),"")&lt;&gt;"ENCERRADA"),1,0),0)</f>
        <v/>
      </c>
      <c r="B47">
        <f>B46+A47</f>
        <v/>
      </c>
    </row>
    <row r="48">
      <c r="A48">
        <f>IFERROR(IF(AND(BASELINE!I48&lt;&gt;"",INT(IF(CALC!$F$1&gt;0,IF(N(INDEX(BASELINE!$A48:$ZZ48,CALC!$F$1))&gt;0,N(INDEX(BASELINE!$A48:$ZZ48,CALC!$F$1)),N(BASELINE!E48)),N(BASELINE!E48)))=INT(SIMOPS!$D$3),IFERROR(UPPER(TRIM(BASELINE!D48&amp;"")),"")&lt;&gt;"ENCERRADA"),1,0),0)</f>
        <v/>
      </c>
      <c r="B48">
        <f>B47+A48</f>
        <v/>
      </c>
    </row>
    <row r="49">
      <c r="A49">
        <f>IFERROR(IF(AND(BASELINE!I49&lt;&gt;"",INT(IF(CALC!$F$1&gt;0,IF(N(INDEX(BASELINE!$A49:$ZZ49,CALC!$F$1))&gt;0,N(INDEX(BASELINE!$A49:$ZZ49,CALC!$F$1)),N(BASELINE!E49)),N(BASELINE!E49)))=INT(SIMOPS!$D$3),IFERROR(UPPER(TRIM(BASELINE!D49&amp;"")),"")&lt;&gt;"ENCERRADA"),1,0),0)</f>
        <v/>
      </c>
      <c r="B49">
        <f>B48+A49</f>
        <v/>
      </c>
    </row>
    <row r="50">
      <c r="A50">
        <f>IFERROR(IF(AND(BASELINE!I50&lt;&gt;"",INT(IF(CALC!$F$1&gt;0,IF(N(INDEX(BASELINE!$A50:$ZZ50,CALC!$F$1))&gt;0,N(INDEX(BASELINE!$A50:$ZZ50,CALC!$F$1)),N(BASELINE!E50)),N(BASELINE!E50)))=INT(SIMOPS!$D$3),IFERROR(UPPER(TRIM(BASELINE!D50&amp;"")),"")&lt;&gt;"ENCERRADA"),1,0),0)</f>
        <v/>
      </c>
      <c r="B50">
        <f>B49+A50</f>
        <v/>
      </c>
    </row>
    <row r="51">
      <c r="A51">
        <f>IFERROR(IF(AND(BASELINE!I51&lt;&gt;"",INT(IF(CALC!$F$1&gt;0,IF(N(INDEX(BASELINE!$A51:$ZZ51,CALC!$F$1))&gt;0,N(INDEX(BASELINE!$A51:$ZZ51,CALC!$F$1)),N(BASELINE!E51)),N(BASELINE!E51)))=INT(SIMOPS!$D$3),IFERROR(UPPER(TRIM(BASELINE!D51&amp;"")),"")&lt;&gt;"ENCERRADA"),1,0),0)</f>
        <v/>
      </c>
      <c r="B51">
        <f>B50+A51</f>
        <v/>
      </c>
    </row>
    <row r="52">
      <c r="A52">
        <f>IFERROR(IF(AND(BASELINE!I52&lt;&gt;"",INT(IF(CALC!$F$1&gt;0,IF(N(INDEX(BASELINE!$A52:$ZZ52,CALC!$F$1))&gt;0,N(INDEX(BASELINE!$A52:$ZZ52,CALC!$F$1)),N(BASELINE!E52)),N(BASELINE!E52)))=INT(SIMOPS!$D$3),IFERROR(UPPER(TRIM(BASELINE!D52&amp;"")),"")&lt;&gt;"ENCERRADA"),1,0),0)</f>
        <v/>
      </c>
      <c r="B52">
        <f>B51+A52</f>
        <v/>
      </c>
    </row>
    <row r="53">
      <c r="A53">
        <f>IFERROR(IF(AND(BASELINE!I53&lt;&gt;"",INT(IF(CALC!$F$1&gt;0,IF(N(INDEX(BASELINE!$A53:$ZZ53,CALC!$F$1))&gt;0,N(INDEX(BASELINE!$A53:$ZZ53,CALC!$F$1)),N(BASELINE!E53)),N(BASELINE!E53)))=INT(SIMOPS!$D$3),IFERROR(UPPER(TRIM(BASELINE!D53&amp;"")),"")&lt;&gt;"ENCERRADA"),1,0),0)</f>
        <v/>
      </c>
      <c r="B53">
        <f>B52+A53</f>
        <v/>
      </c>
    </row>
    <row r="54">
      <c r="A54">
        <f>IFERROR(IF(AND(BASELINE!I54&lt;&gt;"",INT(IF(CALC!$F$1&gt;0,IF(N(INDEX(BASELINE!$A54:$ZZ54,CALC!$F$1))&gt;0,N(INDEX(BASELINE!$A54:$ZZ54,CALC!$F$1)),N(BASELINE!E54)),N(BASELINE!E54)))=INT(SIMOPS!$D$3),IFERROR(UPPER(TRIM(BASELINE!D54&amp;"")),"")&lt;&gt;"ENCERRADA"),1,0),0)</f>
        <v/>
      </c>
      <c r="B54">
        <f>B53+A54</f>
        <v/>
      </c>
    </row>
    <row r="55">
      <c r="A55">
        <f>IFERROR(IF(AND(BASELINE!I55&lt;&gt;"",INT(IF(CALC!$F$1&gt;0,IF(N(INDEX(BASELINE!$A55:$ZZ55,CALC!$F$1))&gt;0,N(INDEX(BASELINE!$A55:$ZZ55,CALC!$F$1)),N(BASELINE!E55)),N(BASELINE!E55)))=INT(SIMOPS!$D$3),IFERROR(UPPER(TRIM(BASELINE!D55&amp;"")),"")&lt;&gt;"ENCERRADA"),1,0),0)</f>
        <v/>
      </c>
      <c r="B55">
        <f>B54+A55</f>
        <v/>
      </c>
    </row>
    <row r="56">
      <c r="A56">
        <f>IFERROR(IF(AND(BASELINE!I56&lt;&gt;"",INT(IF(CALC!$F$1&gt;0,IF(N(INDEX(BASELINE!$A56:$ZZ56,CALC!$F$1))&gt;0,N(INDEX(BASELINE!$A56:$ZZ56,CALC!$F$1)),N(BASELINE!E56)),N(BASELINE!E56)))=INT(SIMOPS!$D$3),IFERROR(UPPER(TRIM(BASELINE!D56&amp;"")),"")&lt;&gt;"ENCERRADA"),1,0),0)</f>
        <v/>
      </c>
      <c r="B56">
        <f>B55+A56</f>
        <v/>
      </c>
    </row>
    <row r="57">
      <c r="A57">
        <f>IFERROR(IF(AND(BASELINE!I57&lt;&gt;"",INT(IF(CALC!$F$1&gt;0,IF(N(INDEX(BASELINE!$A57:$ZZ57,CALC!$F$1))&gt;0,N(INDEX(BASELINE!$A57:$ZZ57,CALC!$F$1)),N(BASELINE!E57)),N(BASELINE!E57)))=INT(SIMOPS!$D$3),IFERROR(UPPER(TRIM(BASELINE!D57&amp;"")),"")&lt;&gt;"ENCERRADA"),1,0),0)</f>
        <v/>
      </c>
      <c r="B57">
        <f>B56+A57</f>
        <v/>
      </c>
    </row>
    <row r="58">
      <c r="A58">
        <f>IFERROR(IF(AND(BASELINE!I58&lt;&gt;"",INT(IF(CALC!$F$1&gt;0,IF(N(INDEX(BASELINE!$A58:$ZZ58,CALC!$F$1))&gt;0,N(INDEX(BASELINE!$A58:$ZZ58,CALC!$F$1)),N(BASELINE!E58)),N(BASELINE!E58)))=INT(SIMOPS!$D$3),IFERROR(UPPER(TRIM(BASELINE!D58&amp;"")),"")&lt;&gt;"ENCERRADA"),1,0),0)</f>
        <v/>
      </c>
      <c r="B58">
        <f>B57+A58</f>
        <v/>
      </c>
    </row>
    <row r="59">
      <c r="A59">
        <f>IFERROR(IF(AND(BASELINE!I59&lt;&gt;"",INT(IF(CALC!$F$1&gt;0,IF(N(INDEX(BASELINE!$A59:$ZZ59,CALC!$F$1))&gt;0,N(INDEX(BASELINE!$A59:$ZZ59,CALC!$F$1)),N(BASELINE!E59)),N(BASELINE!E59)))=INT(SIMOPS!$D$3),IFERROR(UPPER(TRIM(BASELINE!D59&amp;"")),"")&lt;&gt;"ENCERRADA"),1,0),0)</f>
        <v/>
      </c>
      <c r="B59">
        <f>B58+A59</f>
        <v/>
      </c>
    </row>
    <row r="60">
      <c r="A60">
        <f>IFERROR(IF(AND(BASELINE!I60&lt;&gt;"",INT(IF(CALC!$F$1&gt;0,IF(N(INDEX(BASELINE!$A60:$ZZ60,CALC!$F$1))&gt;0,N(INDEX(BASELINE!$A60:$ZZ60,CALC!$F$1)),N(BASELINE!E60)),N(BASELINE!E60)))=INT(SIMOPS!$D$3),IFERROR(UPPER(TRIM(BASELINE!D60&amp;"")),"")&lt;&gt;"ENCERRADA"),1,0),0)</f>
        <v/>
      </c>
      <c r="B60">
        <f>B59+A60</f>
        <v/>
      </c>
    </row>
    <row r="61">
      <c r="A61">
        <f>IFERROR(IF(AND(BASELINE!I61&lt;&gt;"",INT(IF(CALC!$F$1&gt;0,IF(N(INDEX(BASELINE!$A61:$ZZ61,CALC!$F$1))&gt;0,N(INDEX(BASELINE!$A61:$ZZ61,CALC!$F$1)),N(BASELINE!E61)),N(BASELINE!E61)))=INT(SIMOPS!$D$3),IFERROR(UPPER(TRIM(BASELINE!D61&amp;"")),"")&lt;&gt;"ENCERRADA"),1,0),0)</f>
        <v/>
      </c>
      <c r="B61">
        <f>B60+A61</f>
        <v/>
      </c>
    </row>
    <row r="62">
      <c r="A62">
        <f>IFERROR(IF(AND(BASELINE!I62&lt;&gt;"",INT(IF(CALC!$F$1&gt;0,IF(N(INDEX(BASELINE!$A62:$ZZ62,CALC!$F$1))&gt;0,N(INDEX(BASELINE!$A62:$ZZ62,CALC!$F$1)),N(BASELINE!E62)),N(BASELINE!E62)))=INT(SIMOPS!$D$3),IFERROR(UPPER(TRIM(BASELINE!D62&amp;"")),"")&lt;&gt;"ENCERRADA"),1,0),0)</f>
        <v/>
      </c>
      <c r="B62">
        <f>B61+A62</f>
        <v/>
      </c>
    </row>
    <row r="63">
      <c r="A63">
        <f>IFERROR(IF(AND(BASELINE!I63&lt;&gt;"",INT(IF(CALC!$F$1&gt;0,IF(N(INDEX(BASELINE!$A63:$ZZ63,CALC!$F$1))&gt;0,N(INDEX(BASELINE!$A63:$ZZ63,CALC!$F$1)),N(BASELINE!E63)),N(BASELINE!E63)))=INT(SIMOPS!$D$3),IFERROR(UPPER(TRIM(BASELINE!D63&amp;"")),"")&lt;&gt;"ENCERRADA"),1,0),0)</f>
        <v/>
      </c>
      <c r="B63">
        <f>B62+A63</f>
        <v/>
      </c>
    </row>
    <row r="64">
      <c r="A64">
        <f>IFERROR(IF(AND(BASELINE!I64&lt;&gt;"",INT(IF(CALC!$F$1&gt;0,IF(N(INDEX(BASELINE!$A64:$ZZ64,CALC!$F$1))&gt;0,N(INDEX(BASELINE!$A64:$ZZ64,CALC!$F$1)),N(BASELINE!E64)),N(BASELINE!E64)))=INT(SIMOPS!$D$3),IFERROR(UPPER(TRIM(BASELINE!D64&amp;"")),"")&lt;&gt;"ENCERRADA"),1,0),0)</f>
        <v/>
      </c>
      <c r="B64">
        <f>B63+A64</f>
        <v/>
      </c>
    </row>
    <row r="65">
      <c r="A65">
        <f>IFERROR(IF(AND(BASELINE!I65&lt;&gt;"",INT(IF(CALC!$F$1&gt;0,IF(N(INDEX(BASELINE!$A65:$ZZ65,CALC!$F$1))&gt;0,N(INDEX(BASELINE!$A65:$ZZ65,CALC!$F$1)),N(BASELINE!E65)),N(BASELINE!E65)))=INT(SIMOPS!$D$3),IFERROR(UPPER(TRIM(BASELINE!D65&amp;"")),"")&lt;&gt;"ENCERRADA"),1,0),0)</f>
        <v/>
      </c>
      <c r="B65">
        <f>B64+A65</f>
        <v/>
      </c>
    </row>
    <row r="66">
      <c r="A66">
        <f>IFERROR(IF(AND(BASELINE!I66&lt;&gt;"",INT(IF(CALC!$F$1&gt;0,IF(N(INDEX(BASELINE!$A66:$ZZ66,CALC!$F$1))&gt;0,N(INDEX(BASELINE!$A66:$ZZ66,CALC!$F$1)),N(BASELINE!E66)),N(BASELINE!E66)))=INT(SIMOPS!$D$3),IFERROR(UPPER(TRIM(BASELINE!D66&amp;"")),"")&lt;&gt;"ENCERRADA"),1,0),0)</f>
        <v/>
      </c>
      <c r="B66">
        <f>B65+A66</f>
        <v/>
      </c>
    </row>
    <row r="67">
      <c r="A67">
        <f>IFERROR(IF(AND(BASELINE!I67&lt;&gt;"",INT(IF(CALC!$F$1&gt;0,IF(N(INDEX(BASELINE!$A67:$ZZ67,CALC!$F$1))&gt;0,N(INDEX(BASELINE!$A67:$ZZ67,CALC!$F$1)),N(BASELINE!E67)),N(BASELINE!E67)))=INT(SIMOPS!$D$3),IFERROR(UPPER(TRIM(BASELINE!D67&amp;"")),"")&lt;&gt;"ENCERRADA"),1,0),0)</f>
        <v/>
      </c>
      <c r="B67">
        <f>B66+A67</f>
        <v/>
      </c>
    </row>
    <row r="68">
      <c r="A68">
        <f>IFERROR(IF(AND(BASELINE!I68&lt;&gt;"",INT(IF(CALC!$F$1&gt;0,IF(N(INDEX(BASELINE!$A68:$ZZ68,CALC!$F$1))&gt;0,N(INDEX(BASELINE!$A68:$ZZ68,CALC!$F$1)),N(BASELINE!E68)),N(BASELINE!E68)))=INT(SIMOPS!$D$3),IFERROR(UPPER(TRIM(BASELINE!D68&amp;"")),"")&lt;&gt;"ENCERRADA"),1,0),0)</f>
        <v/>
      </c>
      <c r="B68">
        <f>B67+A68</f>
        <v/>
      </c>
    </row>
    <row r="69">
      <c r="A69">
        <f>IFERROR(IF(AND(BASELINE!I69&lt;&gt;"",INT(IF(CALC!$F$1&gt;0,IF(N(INDEX(BASELINE!$A69:$ZZ69,CALC!$F$1))&gt;0,N(INDEX(BASELINE!$A69:$ZZ69,CALC!$F$1)),N(BASELINE!E69)),N(BASELINE!E69)))=INT(SIMOPS!$D$3),IFERROR(UPPER(TRIM(BASELINE!D69&amp;"")),"")&lt;&gt;"ENCERRADA"),1,0),0)</f>
        <v/>
      </c>
      <c r="B69">
        <f>B68+A69</f>
        <v/>
      </c>
    </row>
    <row r="70">
      <c r="A70">
        <f>IFERROR(IF(AND(BASELINE!I70&lt;&gt;"",INT(IF(CALC!$F$1&gt;0,IF(N(INDEX(BASELINE!$A70:$ZZ70,CALC!$F$1))&gt;0,N(INDEX(BASELINE!$A70:$ZZ70,CALC!$F$1)),N(BASELINE!E70)),N(BASELINE!E70)))=INT(SIMOPS!$D$3),IFERROR(UPPER(TRIM(BASELINE!D70&amp;"")),"")&lt;&gt;"ENCERRADA"),1,0),0)</f>
        <v/>
      </c>
      <c r="B70">
        <f>B69+A70</f>
        <v/>
      </c>
    </row>
    <row r="71">
      <c r="A71">
        <f>IFERROR(IF(AND(BASELINE!I71&lt;&gt;"",INT(IF(CALC!$F$1&gt;0,IF(N(INDEX(BASELINE!$A71:$ZZ71,CALC!$F$1))&gt;0,N(INDEX(BASELINE!$A71:$ZZ71,CALC!$F$1)),N(BASELINE!E71)),N(BASELINE!E71)))=INT(SIMOPS!$D$3),IFERROR(UPPER(TRIM(BASELINE!D71&amp;"")),"")&lt;&gt;"ENCERRADA"),1,0),0)</f>
        <v/>
      </c>
      <c r="B71">
        <f>B70+A71</f>
        <v/>
      </c>
    </row>
    <row r="72">
      <c r="A72">
        <f>IFERROR(IF(AND(BASELINE!I72&lt;&gt;"",INT(IF(CALC!$F$1&gt;0,IF(N(INDEX(BASELINE!$A72:$ZZ72,CALC!$F$1))&gt;0,N(INDEX(BASELINE!$A72:$ZZ72,CALC!$F$1)),N(BASELINE!E72)),N(BASELINE!E72)))=INT(SIMOPS!$D$3),IFERROR(UPPER(TRIM(BASELINE!D72&amp;"")),"")&lt;&gt;"ENCERRADA"),1,0),0)</f>
        <v/>
      </c>
      <c r="B72">
        <f>B71+A72</f>
        <v/>
      </c>
    </row>
    <row r="73">
      <c r="A73">
        <f>IFERROR(IF(AND(BASELINE!I73&lt;&gt;"",INT(IF(CALC!$F$1&gt;0,IF(N(INDEX(BASELINE!$A73:$ZZ73,CALC!$F$1))&gt;0,N(INDEX(BASELINE!$A73:$ZZ73,CALC!$F$1)),N(BASELINE!E73)),N(BASELINE!E73)))=INT(SIMOPS!$D$3),IFERROR(UPPER(TRIM(BASELINE!D73&amp;"")),"")&lt;&gt;"ENCERRADA"),1,0),0)</f>
        <v/>
      </c>
      <c r="B73">
        <f>B72+A73</f>
        <v/>
      </c>
    </row>
    <row r="74">
      <c r="A74">
        <f>IFERROR(IF(AND(BASELINE!I74&lt;&gt;"",INT(IF(CALC!$F$1&gt;0,IF(N(INDEX(BASELINE!$A74:$ZZ74,CALC!$F$1))&gt;0,N(INDEX(BASELINE!$A74:$ZZ74,CALC!$F$1)),N(BASELINE!E74)),N(BASELINE!E74)))=INT(SIMOPS!$D$3),IFERROR(UPPER(TRIM(BASELINE!D74&amp;"")),"")&lt;&gt;"ENCERRADA"),1,0),0)</f>
        <v/>
      </c>
      <c r="B74">
        <f>B73+A74</f>
        <v/>
      </c>
    </row>
    <row r="75">
      <c r="A75">
        <f>IFERROR(IF(AND(BASELINE!I75&lt;&gt;"",INT(IF(CALC!$F$1&gt;0,IF(N(INDEX(BASELINE!$A75:$ZZ75,CALC!$F$1))&gt;0,N(INDEX(BASELINE!$A75:$ZZ75,CALC!$F$1)),N(BASELINE!E75)),N(BASELINE!E75)))=INT(SIMOPS!$D$3),IFERROR(UPPER(TRIM(BASELINE!D75&amp;"")),"")&lt;&gt;"ENCERRADA"),1,0),0)</f>
        <v/>
      </c>
      <c r="B75">
        <f>B74+A75</f>
        <v/>
      </c>
    </row>
    <row r="76">
      <c r="A76">
        <f>IFERROR(IF(AND(BASELINE!I76&lt;&gt;"",INT(IF(CALC!$F$1&gt;0,IF(N(INDEX(BASELINE!$A76:$ZZ76,CALC!$F$1))&gt;0,N(INDEX(BASELINE!$A76:$ZZ76,CALC!$F$1)),N(BASELINE!E76)),N(BASELINE!E76)))=INT(SIMOPS!$D$3),IFERROR(UPPER(TRIM(BASELINE!D76&amp;"")),"")&lt;&gt;"ENCERRADA"),1,0),0)</f>
        <v/>
      </c>
      <c r="B76">
        <f>B75+A76</f>
        <v/>
      </c>
    </row>
    <row r="77">
      <c r="A77">
        <f>IFERROR(IF(AND(BASELINE!I77&lt;&gt;"",INT(IF(CALC!$F$1&gt;0,IF(N(INDEX(BASELINE!$A77:$ZZ77,CALC!$F$1))&gt;0,N(INDEX(BASELINE!$A77:$ZZ77,CALC!$F$1)),N(BASELINE!E77)),N(BASELINE!E77)))=INT(SIMOPS!$D$3),IFERROR(UPPER(TRIM(BASELINE!D77&amp;"")),"")&lt;&gt;"ENCERRADA"),1,0),0)</f>
        <v/>
      </c>
      <c r="B77">
        <f>B76+A77</f>
        <v/>
      </c>
    </row>
    <row r="78">
      <c r="A78">
        <f>IFERROR(IF(AND(BASELINE!I78&lt;&gt;"",INT(IF(CALC!$F$1&gt;0,IF(N(INDEX(BASELINE!$A78:$ZZ78,CALC!$F$1))&gt;0,N(INDEX(BASELINE!$A78:$ZZ78,CALC!$F$1)),N(BASELINE!E78)),N(BASELINE!E78)))=INT(SIMOPS!$D$3),IFERROR(UPPER(TRIM(BASELINE!D78&amp;"")),"")&lt;&gt;"ENCERRADA"),1,0),0)</f>
        <v/>
      </c>
      <c r="B78">
        <f>B77+A78</f>
        <v/>
      </c>
    </row>
    <row r="79">
      <c r="A79">
        <f>IFERROR(IF(AND(BASELINE!I79&lt;&gt;"",INT(IF(CALC!$F$1&gt;0,IF(N(INDEX(BASELINE!$A79:$ZZ79,CALC!$F$1))&gt;0,N(INDEX(BASELINE!$A79:$ZZ79,CALC!$F$1)),N(BASELINE!E79)),N(BASELINE!E79)))=INT(SIMOPS!$D$3),IFERROR(UPPER(TRIM(BASELINE!D79&amp;"")),"")&lt;&gt;"ENCERRADA"),1,0),0)</f>
        <v/>
      </c>
      <c r="B79">
        <f>B78+A79</f>
        <v/>
      </c>
    </row>
    <row r="80">
      <c r="A80">
        <f>IFERROR(IF(AND(BASELINE!I80&lt;&gt;"",INT(IF(CALC!$F$1&gt;0,IF(N(INDEX(BASELINE!$A80:$ZZ80,CALC!$F$1))&gt;0,N(INDEX(BASELINE!$A80:$ZZ80,CALC!$F$1)),N(BASELINE!E80)),N(BASELINE!E80)))=INT(SIMOPS!$D$3),IFERROR(UPPER(TRIM(BASELINE!D80&amp;"")),"")&lt;&gt;"ENCERRADA"),1,0),0)</f>
        <v/>
      </c>
      <c r="B80">
        <f>B79+A80</f>
        <v/>
      </c>
    </row>
    <row r="81">
      <c r="A81">
        <f>IFERROR(IF(AND(BASELINE!I81&lt;&gt;"",INT(IF(CALC!$F$1&gt;0,IF(N(INDEX(BASELINE!$A81:$ZZ81,CALC!$F$1))&gt;0,N(INDEX(BASELINE!$A81:$ZZ81,CALC!$F$1)),N(BASELINE!E81)),N(BASELINE!E81)))=INT(SIMOPS!$D$3),IFERROR(UPPER(TRIM(BASELINE!D81&amp;"")),"")&lt;&gt;"ENCERRADA"),1,0),0)</f>
        <v/>
      </c>
      <c r="B81">
        <f>B80+A81</f>
        <v/>
      </c>
    </row>
    <row r="82">
      <c r="A82">
        <f>IFERROR(IF(AND(BASELINE!I82&lt;&gt;"",INT(IF(CALC!$F$1&gt;0,IF(N(INDEX(BASELINE!$A82:$ZZ82,CALC!$F$1))&gt;0,N(INDEX(BASELINE!$A82:$ZZ82,CALC!$F$1)),N(BASELINE!E82)),N(BASELINE!E82)))=INT(SIMOPS!$D$3),IFERROR(UPPER(TRIM(BASELINE!D82&amp;"")),"")&lt;&gt;"ENCERRADA"),1,0),0)</f>
        <v/>
      </c>
      <c r="B82">
        <f>B81+A82</f>
        <v/>
      </c>
    </row>
    <row r="83">
      <c r="A83">
        <f>IFERROR(IF(AND(BASELINE!I83&lt;&gt;"",INT(IF(CALC!$F$1&gt;0,IF(N(INDEX(BASELINE!$A83:$ZZ83,CALC!$F$1))&gt;0,N(INDEX(BASELINE!$A83:$ZZ83,CALC!$F$1)),N(BASELINE!E83)),N(BASELINE!E83)))=INT(SIMOPS!$D$3),IFERROR(UPPER(TRIM(BASELINE!D83&amp;"")),"")&lt;&gt;"ENCERRADA"),1,0),0)</f>
        <v/>
      </c>
      <c r="B83">
        <f>B82+A83</f>
        <v/>
      </c>
    </row>
    <row r="84">
      <c r="A84">
        <f>IFERROR(IF(AND(BASELINE!I84&lt;&gt;"",INT(IF(CALC!$F$1&gt;0,IF(N(INDEX(BASELINE!$A84:$ZZ84,CALC!$F$1))&gt;0,N(INDEX(BASELINE!$A84:$ZZ84,CALC!$F$1)),N(BASELINE!E84)),N(BASELINE!E84)))=INT(SIMOPS!$D$3),IFERROR(UPPER(TRIM(BASELINE!D84&amp;"")),"")&lt;&gt;"ENCERRADA"),1,0),0)</f>
        <v/>
      </c>
      <c r="B84">
        <f>B83+A84</f>
        <v/>
      </c>
    </row>
    <row r="85">
      <c r="A85">
        <f>IFERROR(IF(AND(BASELINE!I85&lt;&gt;"",INT(IF(CALC!$F$1&gt;0,IF(N(INDEX(BASELINE!$A85:$ZZ85,CALC!$F$1))&gt;0,N(INDEX(BASELINE!$A85:$ZZ85,CALC!$F$1)),N(BASELINE!E85)),N(BASELINE!E85)))=INT(SIMOPS!$D$3),IFERROR(UPPER(TRIM(BASELINE!D85&amp;"")),"")&lt;&gt;"ENCERRADA"),1,0),0)</f>
        <v/>
      </c>
      <c r="B85">
        <f>B84+A85</f>
        <v/>
      </c>
    </row>
    <row r="86">
      <c r="A86">
        <f>IFERROR(IF(AND(BASELINE!I86&lt;&gt;"",INT(IF(CALC!$F$1&gt;0,IF(N(INDEX(BASELINE!$A86:$ZZ86,CALC!$F$1))&gt;0,N(INDEX(BASELINE!$A86:$ZZ86,CALC!$F$1)),N(BASELINE!E86)),N(BASELINE!E86)))=INT(SIMOPS!$D$3),IFERROR(UPPER(TRIM(BASELINE!D86&amp;"")),"")&lt;&gt;"ENCERRADA"),1,0),0)</f>
        <v/>
      </c>
      <c r="B86">
        <f>B85+A86</f>
        <v/>
      </c>
    </row>
    <row r="87">
      <c r="A87">
        <f>IFERROR(IF(AND(BASELINE!I87&lt;&gt;"",INT(IF(CALC!$F$1&gt;0,IF(N(INDEX(BASELINE!$A87:$ZZ87,CALC!$F$1))&gt;0,N(INDEX(BASELINE!$A87:$ZZ87,CALC!$F$1)),N(BASELINE!E87)),N(BASELINE!E87)))=INT(SIMOPS!$D$3),IFERROR(UPPER(TRIM(BASELINE!D87&amp;"")),"")&lt;&gt;"ENCERRADA"),1,0),0)</f>
        <v/>
      </c>
      <c r="B87">
        <f>B86+A87</f>
        <v/>
      </c>
    </row>
    <row r="88">
      <c r="A88">
        <f>IFERROR(IF(AND(BASELINE!I88&lt;&gt;"",INT(IF(CALC!$F$1&gt;0,IF(N(INDEX(BASELINE!$A88:$ZZ88,CALC!$F$1))&gt;0,N(INDEX(BASELINE!$A88:$ZZ88,CALC!$F$1)),N(BASELINE!E88)),N(BASELINE!E88)))=INT(SIMOPS!$D$3),IFERROR(UPPER(TRIM(BASELINE!D88&amp;"")),"")&lt;&gt;"ENCERRADA"),1,0),0)</f>
        <v/>
      </c>
      <c r="B88">
        <f>B87+A88</f>
        <v/>
      </c>
    </row>
    <row r="89">
      <c r="A89">
        <f>IFERROR(IF(AND(BASELINE!I89&lt;&gt;"",INT(IF(CALC!$F$1&gt;0,IF(N(INDEX(BASELINE!$A89:$ZZ89,CALC!$F$1))&gt;0,N(INDEX(BASELINE!$A89:$ZZ89,CALC!$F$1)),N(BASELINE!E89)),N(BASELINE!E89)))=INT(SIMOPS!$D$3),IFERROR(UPPER(TRIM(BASELINE!D89&amp;"")),"")&lt;&gt;"ENCERRADA"),1,0),0)</f>
        <v/>
      </c>
      <c r="B89">
        <f>B88+A89</f>
        <v/>
      </c>
    </row>
    <row r="90">
      <c r="A90">
        <f>IFERROR(IF(AND(BASELINE!I90&lt;&gt;"",INT(IF(CALC!$F$1&gt;0,IF(N(INDEX(BASELINE!$A90:$ZZ90,CALC!$F$1))&gt;0,N(INDEX(BASELINE!$A90:$ZZ90,CALC!$F$1)),N(BASELINE!E90)),N(BASELINE!E90)))=INT(SIMOPS!$D$3),IFERROR(UPPER(TRIM(BASELINE!D90&amp;"")),"")&lt;&gt;"ENCERRADA"),1,0),0)</f>
        <v/>
      </c>
      <c r="B90">
        <f>B89+A90</f>
        <v/>
      </c>
    </row>
    <row r="91">
      <c r="A91">
        <f>IFERROR(IF(AND(BASELINE!I91&lt;&gt;"",INT(IF(CALC!$F$1&gt;0,IF(N(INDEX(BASELINE!$A91:$ZZ91,CALC!$F$1))&gt;0,N(INDEX(BASELINE!$A91:$ZZ91,CALC!$F$1)),N(BASELINE!E91)),N(BASELINE!E91)))=INT(SIMOPS!$D$3),IFERROR(UPPER(TRIM(BASELINE!D91&amp;"")),"")&lt;&gt;"ENCERRADA"),1,0),0)</f>
        <v/>
      </c>
      <c r="B91">
        <f>B90+A91</f>
        <v/>
      </c>
    </row>
    <row r="92">
      <c r="A92">
        <f>IFERROR(IF(AND(BASELINE!I92&lt;&gt;"",INT(IF(CALC!$F$1&gt;0,IF(N(INDEX(BASELINE!$A92:$ZZ92,CALC!$F$1))&gt;0,N(INDEX(BASELINE!$A92:$ZZ92,CALC!$F$1)),N(BASELINE!E92)),N(BASELINE!E92)))=INT(SIMOPS!$D$3),IFERROR(UPPER(TRIM(BASELINE!D92&amp;"")),"")&lt;&gt;"ENCERRADA"),1,0),0)</f>
        <v/>
      </c>
      <c r="B92">
        <f>B91+A92</f>
        <v/>
      </c>
    </row>
    <row r="93">
      <c r="A93">
        <f>IFERROR(IF(AND(BASELINE!I93&lt;&gt;"",INT(IF(CALC!$F$1&gt;0,IF(N(INDEX(BASELINE!$A93:$ZZ93,CALC!$F$1))&gt;0,N(INDEX(BASELINE!$A93:$ZZ93,CALC!$F$1)),N(BASELINE!E93)),N(BASELINE!E93)))=INT(SIMOPS!$D$3),IFERROR(UPPER(TRIM(BASELINE!D93&amp;"")),"")&lt;&gt;"ENCERRADA"),1,0),0)</f>
        <v/>
      </c>
      <c r="B93">
        <f>B92+A93</f>
        <v/>
      </c>
    </row>
    <row r="94">
      <c r="A94">
        <f>IFERROR(IF(AND(BASELINE!I94&lt;&gt;"",INT(IF(CALC!$F$1&gt;0,IF(N(INDEX(BASELINE!$A94:$ZZ94,CALC!$F$1))&gt;0,N(INDEX(BASELINE!$A94:$ZZ94,CALC!$F$1)),N(BASELINE!E94)),N(BASELINE!E94)))=INT(SIMOPS!$D$3),IFERROR(UPPER(TRIM(BASELINE!D94&amp;"")),"")&lt;&gt;"ENCERRADA"),1,0),0)</f>
        <v/>
      </c>
      <c r="B94">
        <f>B93+A94</f>
        <v/>
      </c>
    </row>
    <row r="95">
      <c r="A95">
        <f>IFERROR(IF(AND(BASELINE!I95&lt;&gt;"",INT(IF(CALC!$F$1&gt;0,IF(N(INDEX(BASELINE!$A95:$ZZ95,CALC!$F$1))&gt;0,N(INDEX(BASELINE!$A95:$ZZ95,CALC!$F$1)),N(BASELINE!E95)),N(BASELINE!E95)))=INT(SIMOPS!$D$3),IFERROR(UPPER(TRIM(BASELINE!D95&amp;"")),"")&lt;&gt;"ENCERRADA"),1,0),0)</f>
        <v/>
      </c>
      <c r="B95">
        <f>B94+A95</f>
        <v/>
      </c>
    </row>
    <row r="96">
      <c r="A96">
        <f>IFERROR(IF(AND(BASELINE!I96&lt;&gt;"",INT(IF(CALC!$F$1&gt;0,IF(N(INDEX(BASELINE!$A96:$ZZ96,CALC!$F$1))&gt;0,N(INDEX(BASELINE!$A96:$ZZ96,CALC!$F$1)),N(BASELINE!E96)),N(BASELINE!E96)))=INT(SIMOPS!$D$3),IFERROR(UPPER(TRIM(BASELINE!D96&amp;"")),"")&lt;&gt;"ENCERRADA"),1,0),0)</f>
        <v/>
      </c>
      <c r="B96">
        <f>B95+A96</f>
        <v/>
      </c>
    </row>
    <row r="97">
      <c r="A97">
        <f>IFERROR(IF(AND(BASELINE!I97&lt;&gt;"",INT(IF(CALC!$F$1&gt;0,IF(N(INDEX(BASELINE!$A97:$ZZ97,CALC!$F$1))&gt;0,N(INDEX(BASELINE!$A97:$ZZ97,CALC!$F$1)),N(BASELINE!E97)),N(BASELINE!E97)))=INT(SIMOPS!$D$3),IFERROR(UPPER(TRIM(BASELINE!D97&amp;"")),"")&lt;&gt;"ENCERRADA"),1,0),0)</f>
        <v/>
      </c>
      <c r="B97">
        <f>B96+A97</f>
        <v/>
      </c>
    </row>
    <row r="98">
      <c r="A98">
        <f>IFERROR(IF(AND(BASELINE!I98&lt;&gt;"",INT(IF(CALC!$F$1&gt;0,IF(N(INDEX(BASELINE!$A98:$ZZ98,CALC!$F$1))&gt;0,N(INDEX(BASELINE!$A98:$ZZ98,CALC!$F$1)),N(BASELINE!E98)),N(BASELINE!E98)))=INT(SIMOPS!$D$3),IFERROR(UPPER(TRIM(BASELINE!D98&amp;"")),"")&lt;&gt;"ENCERRADA"),1,0),0)</f>
        <v/>
      </c>
      <c r="B98">
        <f>B97+A98</f>
        <v/>
      </c>
    </row>
    <row r="99">
      <c r="A99">
        <f>IFERROR(IF(AND(BASELINE!I99&lt;&gt;"",INT(IF(CALC!$F$1&gt;0,IF(N(INDEX(BASELINE!$A99:$ZZ99,CALC!$F$1))&gt;0,N(INDEX(BASELINE!$A99:$ZZ99,CALC!$F$1)),N(BASELINE!E99)),N(BASELINE!E99)))=INT(SIMOPS!$D$3),IFERROR(UPPER(TRIM(BASELINE!D99&amp;"")),"")&lt;&gt;"ENCERRADA"),1,0),0)</f>
        <v/>
      </c>
      <c r="B99">
        <f>B98+A99</f>
        <v/>
      </c>
    </row>
    <row r="100">
      <c r="A100">
        <f>IFERROR(IF(AND(BASELINE!I100&lt;&gt;"",INT(IF(CALC!$F$1&gt;0,IF(N(INDEX(BASELINE!$A100:$ZZ100,CALC!$F$1))&gt;0,N(INDEX(BASELINE!$A100:$ZZ100,CALC!$F$1)),N(BASELINE!E100)),N(BASELINE!E100)))=INT(SIMOPS!$D$3),IFERROR(UPPER(TRIM(BASELINE!D100&amp;"")),"")&lt;&gt;"ENCERRADA"),1,0),0)</f>
        <v/>
      </c>
      <c r="B100">
        <f>B99+A100</f>
        <v/>
      </c>
    </row>
    <row r="101">
      <c r="A101">
        <f>IFERROR(IF(AND(BASELINE!I101&lt;&gt;"",INT(IF(CALC!$F$1&gt;0,IF(N(INDEX(BASELINE!$A101:$ZZ101,CALC!$F$1))&gt;0,N(INDEX(BASELINE!$A101:$ZZ101,CALC!$F$1)),N(BASELINE!E101)),N(BASELINE!E101)))=INT(SIMOPS!$D$3),IFERROR(UPPER(TRIM(BASELINE!D101&amp;"")),"")&lt;&gt;"ENCERRADA"),1,0),0)</f>
        <v/>
      </c>
      <c r="B101">
        <f>B100+A101</f>
        <v/>
      </c>
    </row>
    <row r="102">
      <c r="A102">
        <f>IFERROR(IF(AND(BASELINE!I102&lt;&gt;"",INT(IF(CALC!$F$1&gt;0,IF(N(INDEX(BASELINE!$A102:$ZZ102,CALC!$F$1))&gt;0,N(INDEX(BASELINE!$A102:$ZZ102,CALC!$F$1)),N(BASELINE!E102)),N(BASELINE!E102)))=INT(SIMOPS!$D$3),IFERROR(UPPER(TRIM(BASELINE!D102&amp;"")),"")&lt;&gt;"ENCERRADA"),1,0),0)</f>
        <v/>
      </c>
      <c r="B102">
        <f>B101+A102</f>
        <v/>
      </c>
    </row>
    <row r="103">
      <c r="A103">
        <f>IFERROR(IF(AND(BASELINE!I103&lt;&gt;"",INT(IF(CALC!$F$1&gt;0,IF(N(INDEX(BASELINE!$A103:$ZZ103,CALC!$F$1))&gt;0,N(INDEX(BASELINE!$A103:$ZZ103,CALC!$F$1)),N(BASELINE!E103)),N(BASELINE!E103)))=INT(SIMOPS!$D$3),IFERROR(UPPER(TRIM(BASELINE!D103&amp;"")),"")&lt;&gt;"ENCERRADA"),1,0),0)</f>
        <v/>
      </c>
      <c r="B103">
        <f>B102+A103</f>
        <v/>
      </c>
    </row>
    <row r="104">
      <c r="A104">
        <f>IFERROR(IF(AND(BASELINE!I104&lt;&gt;"",INT(IF(CALC!$F$1&gt;0,IF(N(INDEX(BASELINE!$A104:$ZZ104,CALC!$F$1))&gt;0,N(INDEX(BASELINE!$A104:$ZZ104,CALC!$F$1)),N(BASELINE!E104)),N(BASELINE!E104)))=INT(SIMOPS!$D$3),IFERROR(UPPER(TRIM(BASELINE!D104&amp;"")),"")&lt;&gt;"ENCERRADA"),1,0),0)</f>
        <v/>
      </c>
      <c r="B104">
        <f>B103+A104</f>
        <v/>
      </c>
    </row>
    <row r="105">
      <c r="A105">
        <f>IFERROR(IF(AND(BASELINE!I105&lt;&gt;"",INT(IF(CALC!$F$1&gt;0,IF(N(INDEX(BASELINE!$A105:$ZZ105,CALC!$F$1))&gt;0,N(INDEX(BASELINE!$A105:$ZZ105,CALC!$F$1)),N(BASELINE!E105)),N(BASELINE!E105)))=INT(SIMOPS!$D$3),IFERROR(UPPER(TRIM(BASELINE!D105&amp;"")),"")&lt;&gt;"ENCERRADA"),1,0),0)</f>
        <v/>
      </c>
      <c r="B105">
        <f>B104+A105</f>
        <v/>
      </c>
    </row>
    <row r="106">
      <c r="A106">
        <f>IFERROR(IF(AND(BASELINE!I106&lt;&gt;"",INT(IF(CALC!$F$1&gt;0,IF(N(INDEX(BASELINE!$A106:$ZZ106,CALC!$F$1))&gt;0,N(INDEX(BASELINE!$A106:$ZZ106,CALC!$F$1)),N(BASELINE!E106)),N(BASELINE!E106)))=INT(SIMOPS!$D$3),IFERROR(UPPER(TRIM(BASELINE!D106&amp;"")),"")&lt;&gt;"ENCERRADA"),1,0),0)</f>
        <v/>
      </c>
      <c r="B106">
        <f>B105+A106</f>
        <v/>
      </c>
    </row>
    <row r="107">
      <c r="A107">
        <f>IFERROR(IF(AND(BASELINE!I107&lt;&gt;"",INT(IF(CALC!$F$1&gt;0,IF(N(INDEX(BASELINE!$A107:$ZZ107,CALC!$F$1))&gt;0,N(INDEX(BASELINE!$A107:$ZZ107,CALC!$F$1)),N(BASELINE!E107)),N(BASELINE!E107)))=INT(SIMOPS!$D$3),IFERROR(UPPER(TRIM(BASELINE!D107&amp;"")),"")&lt;&gt;"ENCERRADA"),1,0),0)</f>
        <v/>
      </c>
      <c r="B107">
        <f>B106+A107</f>
        <v/>
      </c>
    </row>
    <row r="108">
      <c r="A108">
        <f>IFERROR(IF(AND(BASELINE!I108&lt;&gt;"",INT(IF(CALC!$F$1&gt;0,IF(N(INDEX(BASELINE!$A108:$ZZ108,CALC!$F$1))&gt;0,N(INDEX(BASELINE!$A108:$ZZ108,CALC!$F$1)),N(BASELINE!E108)),N(BASELINE!E108)))=INT(SIMOPS!$D$3),IFERROR(UPPER(TRIM(BASELINE!D108&amp;"")),"")&lt;&gt;"ENCERRADA"),1,0),0)</f>
        <v/>
      </c>
      <c r="B108">
        <f>B107+A108</f>
        <v/>
      </c>
    </row>
    <row r="109">
      <c r="A109">
        <f>IFERROR(IF(AND(BASELINE!I109&lt;&gt;"",INT(IF(CALC!$F$1&gt;0,IF(N(INDEX(BASELINE!$A109:$ZZ109,CALC!$F$1))&gt;0,N(INDEX(BASELINE!$A109:$ZZ109,CALC!$F$1)),N(BASELINE!E109)),N(BASELINE!E109)))=INT(SIMOPS!$D$3),IFERROR(UPPER(TRIM(BASELINE!D109&amp;"")),"")&lt;&gt;"ENCERRADA"),1,0),0)</f>
        <v/>
      </c>
      <c r="B109">
        <f>B108+A109</f>
        <v/>
      </c>
    </row>
    <row r="110">
      <c r="A110">
        <f>IFERROR(IF(AND(BASELINE!I110&lt;&gt;"",INT(IF(CALC!$F$1&gt;0,IF(N(INDEX(BASELINE!$A110:$ZZ110,CALC!$F$1))&gt;0,N(INDEX(BASELINE!$A110:$ZZ110,CALC!$F$1)),N(BASELINE!E110)),N(BASELINE!E110)))=INT(SIMOPS!$D$3),IFERROR(UPPER(TRIM(BASELINE!D110&amp;"")),"")&lt;&gt;"ENCERRADA"),1,0),0)</f>
        <v/>
      </c>
      <c r="B110">
        <f>B109+A110</f>
        <v/>
      </c>
    </row>
    <row r="111">
      <c r="A111">
        <f>IFERROR(IF(AND(BASELINE!I111&lt;&gt;"",INT(IF(CALC!$F$1&gt;0,IF(N(INDEX(BASELINE!$A111:$ZZ111,CALC!$F$1))&gt;0,N(INDEX(BASELINE!$A111:$ZZ111,CALC!$F$1)),N(BASELINE!E111)),N(BASELINE!E111)))=INT(SIMOPS!$D$3),IFERROR(UPPER(TRIM(BASELINE!D111&amp;"")),"")&lt;&gt;"ENCERRADA"),1,0),0)</f>
        <v/>
      </c>
      <c r="B111">
        <f>B110+A111</f>
        <v/>
      </c>
    </row>
    <row r="112">
      <c r="A112">
        <f>IFERROR(IF(AND(BASELINE!I112&lt;&gt;"",INT(IF(CALC!$F$1&gt;0,IF(N(INDEX(BASELINE!$A112:$ZZ112,CALC!$F$1))&gt;0,N(INDEX(BASELINE!$A112:$ZZ112,CALC!$F$1)),N(BASELINE!E112)),N(BASELINE!E112)))=INT(SIMOPS!$D$3),IFERROR(UPPER(TRIM(BASELINE!D112&amp;"")),"")&lt;&gt;"ENCERRADA"),1,0),0)</f>
        <v/>
      </c>
      <c r="B112">
        <f>B111+A112</f>
        <v/>
      </c>
    </row>
    <row r="113">
      <c r="A113">
        <f>IFERROR(IF(AND(BASELINE!I113&lt;&gt;"",INT(IF(CALC!$F$1&gt;0,IF(N(INDEX(BASELINE!$A113:$ZZ113,CALC!$F$1))&gt;0,N(INDEX(BASELINE!$A113:$ZZ113,CALC!$F$1)),N(BASELINE!E113)),N(BASELINE!E113)))=INT(SIMOPS!$D$3),IFERROR(UPPER(TRIM(BASELINE!D113&amp;"")),"")&lt;&gt;"ENCERRADA"),1,0),0)</f>
        <v/>
      </c>
      <c r="B113">
        <f>B112+A113</f>
        <v/>
      </c>
    </row>
    <row r="114">
      <c r="A114">
        <f>IFERROR(IF(AND(BASELINE!I114&lt;&gt;"",INT(IF(CALC!$F$1&gt;0,IF(N(INDEX(BASELINE!$A114:$ZZ114,CALC!$F$1))&gt;0,N(INDEX(BASELINE!$A114:$ZZ114,CALC!$F$1)),N(BASELINE!E114)),N(BASELINE!E114)))=INT(SIMOPS!$D$3),IFERROR(UPPER(TRIM(BASELINE!D114&amp;"")),"")&lt;&gt;"ENCERRADA"),1,0),0)</f>
        <v/>
      </c>
      <c r="B114">
        <f>B113+A114</f>
        <v/>
      </c>
    </row>
    <row r="115">
      <c r="A115">
        <f>IFERROR(IF(AND(BASELINE!I115&lt;&gt;"",INT(IF(CALC!$F$1&gt;0,IF(N(INDEX(BASELINE!$A115:$ZZ115,CALC!$F$1))&gt;0,N(INDEX(BASELINE!$A115:$ZZ115,CALC!$F$1)),N(BASELINE!E115)),N(BASELINE!E115)))=INT(SIMOPS!$D$3),IFERROR(UPPER(TRIM(BASELINE!D115&amp;"")),"")&lt;&gt;"ENCERRADA"),1,0),0)</f>
        <v/>
      </c>
      <c r="B115">
        <f>B114+A115</f>
        <v/>
      </c>
    </row>
    <row r="116">
      <c r="A116">
        <f>IFERROR(IF(AND(BASELINE!I116&lt;&gt;"",INT(IF(CALC!$F$1&gt;0,IF(N(INDEX(BASELINE!$A116:$ZZ116,CALC!$F$1))&gt;0,N(INDEX(BASELINE!$A116:$ZZ116,CALC!$F$1)),N(BASELINE!E116)),N(BASELINE!E116)))=INT(SIMOPS!$D$3),IFERROR(UPPER(TRIM(BASELINE!D116&amp;"")),"")&lt;&gt;"ENCERRADA"),1,0),0)</f>
        <v/>
      </c>
      <c r="B116">
        <f>B115+A116</f>
        <v/>
      </c>
    </row>
    <row r="117">
      <c r="A117">
        <f>IFERROR(IF(AND(BASELINE!I117&lt;&gt;"",INT(IF(CALC!$F$1&gt;0,IF(N(INDEX(BASELINE!$A117:$ZZ117,CALC!$F$1))&gt;0,N(INDEX(BASELINE!$A117:$ZZ117,CALC!$F$1)),N(BASELINE!E117)),N(BASELINE!E117)))=INT(SIMOPS!$D$3),IFERROR(UPPER(TRIM(BASELINE!D117&amp;"")),"")&lt;&gt;"ENCERRADA"),1,0),0)</f>
        <v/>
      </c>
      <c r="B117">
        <f>B116+A117</f>
        <v/>
      </c>
    </row>
    <row r="118">
      <c r="A118">
        <f>IFERROR(IF(AND(BASELINE!I118&lt;&gt;"",INT(IF(CALC!$F$1&gt;0,IF(N(INDEX(BASELINE!$A118:$ZZ118,CALC!$F$1))&gt;0,N(INDEX(BASELINE!$A118:$ZZ118,CALC!$F$1)),N(BASELINE!E118)),N(BASELINE!E118)))=INT(SIMOPS!$D$3),IFERROR(UPPER(TRIM(BASELINE!D118&amp;"")),"")&lt;&gt;"ENCERRADA"),1,0),0)</f>
        <v/>
      </c>
      <c r="B118">
        <f>B117+A118</f>
        <v/>
      </c>
    </row>
    <row r="119">
      <c r="A119">
        <f>IFERROR(IF(AND(BASELINE!I119&lt;&gt;"",INT(IF(CALC!$F$1&gt;0,IF(N(INDEX(BASELINE!$A119:$ZZ119,CALC!$F$1))&gt;0,N(INDEX(BASELINE!$A119:$ZZ119,CALC!$F$1)),N(BASELINE!E119)),N(BASELINE!E119)))=INT(SIMOPS!$D$3),IFERROR(UPPER(TRIM(BASELINE!D119&amp;"")),"")&lt;&gt;"ENCERRADA"),1,0),0)</f>
        <v/>
      </c>
      <c r="B119">
        <f>B118+A119</f>
        <v/>
      </c>
    </row>
    <row r="120">
      <c r="A120">
        <f>IFERROR(IF(AND(BASELINE!I120&lt;&gt;"",INT(IF(CALC!$F$1&gt;0,IF(N(INDEX(BASELINE!$A120:$ZZ120,CALC!$F$1))&gt;0,N(INDEX(BASELINE!$A120:$ZZ120,CALC!$F$1)),N(BASELINE!E120)),N(BASELINE!E120)))=INT(SIMOPS!$D$3),IFERROR(UPPER(TRIM(BASELINE!D120&amp;"")),"")&lt;&gt;"ENCERRADA"),1,0),0)</f>
        <v/>
      </c>
      <c r="B120">
        <f>B119+A120</f>
        <v/>
      </c>
    </row>
    <row r="121">
      <c r="A121">
        <f>IFERROR(IF(AND(BASELINE!I121&lt;&gt;"",INT(IF(CALC!$F$1&gt;0,IF(N(INDEX(BASELINE!$A121:$ZZ121,CALC!$F$1))&gt;0,N(INDEX(BASELINE!$A121:$ZZ121,CALC!$F$1)),N(BASELINE!E121)),N(BASELINE!E121)))=INT(SIMOPS!$D$3),IFERROR(UPPER(TRIM(BASELINE!D121&amp;"")),"")&lt;&gt;"ENCERRADA"),1,0),0)</f>
        <v/>
      </c>
      <c r="B121">
        <f>B120+A121</f>
        <v/>
      </c>
    </row>
    <row r="122">
      <c r="A122">
        <f>IFERROR(IF(AND(BASELINE!I122&lt;&gt;"",INT(IF(CALC!$F$1&gt;0,IF(N(INDEX(BASELINE!$A122:$ZZ122,CALC!$F$1))&gt;0,N(INDEX(BASELINE!$A122:$ZZ122,CALC!$F$1)),N(BASELINE!E122)),N(BASELINE!E122)))=INT(SIMOPS!$D$3),IFERROR(UPPER(TRIM(BASELINE!D122&amp;"")),"")&lt;&gt;"ENCERRADA"),1,0),0)</f>
        <v/>
      </c>
      <c r="B122">
        <f>B121+A122</f>
        <v/>
      </c>
    </row>
    <row r="123">
      <c r="A123">
        <f>IFERROR(IF(AND(BASELINE!I123&lt;&gt;"",INT(IF(CALC!$F$1&gt;0,IF(N(INDEX(BASELINE!$A123:$ZZ123,CALC!$F$1))&gt;0,N(INDEX(BASELINE!$A123:$ZZ123,CALC!$F$1)),N(BASELINE!E123)),N(BASELINE!E123)))=INT(SIMOPS!$D$3),IFERROR(UPPER(TRIM(BASELINE!D123&amp;"")),"")&lt;&gt;"ENCERRADA"),1,0),0)</f>
        <v/>
      </c>
      <c r="B123">
        <f>B122+A123</f>
        <v/>
      </c>
    </row>
    <row r="124">
      <c r="A124">
        <f>IFERROR(IF(AND(BASELINE!I124&lt;&gt;"",INT(IF(CALC!$F$1&gt;0,IF(N(INDEX(BASELINE!$A124:$ZZ124,CALC!$F$1))&gt;0,N(INDEX(BASELINE!$A124:$ZZ124,CALC!$F$1)),N(BASELINE!E124)),N(BASELINE!E124)))=INT(SIMOPS!$D$3),IFERROR(UPPER(TRIM(BASELINE!D124&amp;"")),"")&lt;&gt;"ENCERRADA"),1,0),0)</f>
        <v/>
      </c>
      <c r="B124">
        <f>B123+A124</f>
        <v/>
      </c>
    </row>
    <row r="125">
      <c r="A125">
        <f>IFERROR(IF(AND(BASELINE!I125&lt;&gt;"",INT(IF(CALC!$F$1&gt;0,IF(N(INDEX(BASELINE!$A125:$ZZ125,CALC!$F$1))&gt;0,N(INDEX(BASELINE!$A125:$ZZ125,CALC!$F$1)),N(BASELINE!E125)),N(BASELINE!E125)))=INT(SIMOPS!$D$3),IFERROR(UPPER(TRIM(BASELINE!D125&amp;"")),"")&lt;&gt;"ENCERRADA"),1,0),0)</f>
        <v/>
      </c>
      <c r="B125">
        <f>B124+A125</f>
        <v/>
      </c>
    </row>
    <row r="126">
      <c r="A126">
        <f>IFERROR(IF(AND(BASELINE!I126&lt;&gt;"",INT(IF(CALC!$F$1&gt;0,IF(N(INDEX(BASELINE!$A126:$ZZ126,CALC!$F$1))&gt;0,N(INDEX(BASELINE!$A126:$ZZ126,CALC!$F$1)),N(BASELINE!E126)),N(BASELINE!E126)))=INT(SIMOPS!$D$3),IFERROR(UPPER(TRIM(BASELINE!D126&amp;"")),"")&lt;&gt;"ENCERRADA"),1,0),0)</f>
        <v/>
      </c>
      <c r="B126">
        <f>B125+A126</f>
        <v/>
      </c>
    </row>
    <row r="127">
      <c r="A127">
        <f>IFERROR(IF(AND(BASELINE!I127&lt;&gt;"",INT(IF(CALC!$F$1&gt;0,IF(N(INDEX(BASELINE!$A127:$ZZ127,CALC!$F$1))&gt;0,N(INDEX(BASELINE!$A127:$ZZ127,CALC!$F$1)),N(BASELINE!E127)),N(BASELINE!E127)))=INT(SIMOPS!$D$3),IFERROR(UPPER(TRIM(BASELINE!D127&amp;"")),"")&lt;&gt;"ENCERRADA"),1,0),0)</f>
        <v/>
      </c>
      <c r="B127">
        <f>B126+A127</f>
        <v/>
      </c>
    </row>
    <row r="128">
      <c r="A128">
        <f>IFERROR(IF(AND(BASELINE!I128&lt;&gt;"",INT(IF(CALC!$F$1&gt;0,IF(N(INDEX(BASELINE!$A128:$ZZ128,CALC!$F$1))&gt;0,N(INDEX(BASELINE!$A128:$ZZ128,CALC!$F$1)),N(BASELINE!E128)),N(BASELINE!E128)))=INT(SIMOPS!$D$3),IFERROR(UPPER(TRIM(BASELINE!D128&amp;"")),"")&lt;&gt;"ENCERRADA"),1,0),0)</f>
        <v/>
      </c>
      <c r="B128">
        <f>B127+A128</f>
        <v/>
      </c>
    </row>
    <row r="129">
      <c r="A129">
        <f>IFERROR(IF(AND(BASELINE!I129&lt;&gt;"",INT(IF(CALC!$F$1&gt;0,IF(N(INDEX(BASELINE!$A129:$ZZ129,CALC!$F$1))&gt;0,N(INDEX(BASELINE!$A129:$ZZ129,CALC!$F$1)),N(BASELINE!E129)),N(BASELINE!E129)))=INT(SIMOPS!$D$3),IFERROR(UPPER(TRIM(BASELINE!D129&amp;"")),"")&lt;&gt;"ENCERRADA"),1,0),0)</f>
        <v/>
      </c>
      <c r="B129">
        <f>B128+A129</f>
        <v/>
      </c>
    </row>
    <row r="130">
      <c r="A130">
        <f>IFERROR(IF(AND(BASELINE!I130&lt;&gt;"",INT(IF(CALC!$F$1&gt;0,IF(N(INDEX(BASELINE!$A130:$ZZ130,CALC!$F$1))&gt;0,N(INDEX(BASELINE!$A130:$ZZ130,CALC!$F$1)),N(BASELINE!E130)),N(BASELINE!E130)))=INT(SIMOPS!$D$3),IFERROR(UPPER(TRIM(BASELINE!D130&amp;"")),"")&lt;&gt;"ENCERRADA"),1,0),0)</f>
        <v/>
      </c>
      <c r="B130">
        <f>B129+A130</f>
        <v/>
      </c>
    </row>
    <row r="131">
      <c r="A131">
        <f>IFERROR(IF(AND(BASELINE!I131&lt;&gt;"",INT(IF(CALC!$F$1&gt;0,IF(N(INDEX(BASELINE!$A131:$ZZ131,CALC!$F$1))&gt;0,N(INDEX(BASELINE!$A131:$ZZ131,CALC!$F$1)),N(BASELINE!E131)),N(BASELINE!E131)))=INT(SIMOPS!$D$3),IFERROR(UPPER(TRIM(BASELINE!D131&amp;"")),"")&lt;&gt;"ENCERRADA"),1,0),0)</f>
        <v/>
      </c>
      <c r="B131">
        <f>B130+A131</f>
        <v/>
      </c>
    </row>
    <row r="132">
      <c r="A132">
        <f>IFERROR(IF(AND(BASELINE!I132&lt;&gt;"",INT(IF(CALC!$F$1&gt;0,IF(N(INDEX(BASELINE!$A132:$ZZ132,CALC!$F$1))&gt;0,N(INDEX(BASELINE!$A132:$ZZ132,CALC!$F$1)),N(BASELINE!E132)),N(BASELINE!E132)))=INT(SIMOPS!$D$3),IFERROR(UPPER(TRIM(BASELINE!D132&amp;"")),"")&lt;&gt;"ENCERRADA"),1,0),0)</f>
        <v/>
      </c>
      <c r="B132">
        <f>B131+A132</f>
        <v/>
      </c>
    </row>
    <row r="133">
      <c r="A133">
        <f>IFERROR(IF(AND(BASELINE!I133&lt;&gt;"",INT(IF(CALC!$F$1&gt;0,IF(N(INDEX(BASELINE!$A133:$ZZ133,CALC!$F$1))&gt;0,N(INDEX(BASELINE!$A133:$ZZ133,CALC!$F$1)),N(BASELINE!E133)),N(BASELINE!E133)))=INT(SIMOPS!$D$3),IFERROR(UPPER(TRIM(BASELINE!D133&amp;"")),"")&lt;&gt;"ENCERRADA"),1,0),0)</f>
        <v/>
      </c>
      <c r="B133">
        <f>B132+A133</f>
        <v/>
      </c>
    </row>
    <row r="134">
      <c r="A134">
        <f>IFERROR(IF(AND(BASELINE!I134&lt;&gt;"",INT(IF(CALC!$F$1&gt;0,IF(N(INDEX(BASELINE!$A134:$ZZ134,CALC!$F$1))&gt;0,N(INDEX(BASELINE!$A134:$ZZ134,CALC!$F$1)),N(BASELINE!E134)),N(BASELINE!E134)))=INT(SIMOPS!$D$3),IFERROR(UPPER(TRIM(BASELINE!D134&amp;"")),"")&lt;&gt;"ENCERRADA"),1,0),0)</f>
        <v/>
      </c>
      <c r="B134">
        <f>B133+A134</f>
        <v/>
      </c>
    </row>
    <row r="135">
      <c r="A135">
        <f>IFERROR(IF(AND(BASELINE!I135&lt;&gt;"",INT(IF(CALC!$F$1&gt;0,IF(N(INDEX(BASELINE!$A135:$ZZ135,CALC!$F$1))&gt;0,N(INDEX(BASELINE!$A135:$ZZ135,CALC!$F$1)),N(BASELINE!E135)),N(BASELINE!E135)))=INT(SIMOPS!$D$3),IFERROR(UPPER(TRIM(BASELINE!D135&amp;"")),"")&lt;&gt;"ENCERRADA"),1,0),0)</f>
        <v/>
      </c>
      <c r="B135">
        <f>B134+A135</f>
        <v/>
      </c>
    </row>
    <row r="136">
      <c r="A136">
        <f>IFERROR(IF(AND(BASELINE!I136&lt;&gt;"",INT(IF(CALC!$F$1&gt;0,IF(N(INDEX(BASELINE!$A136:$ZZ136,CALC!$F$1))&gt;0,N(INDEX(BASELINE!$A136:$ZZ136,CALC!$F$1)),N(BASELINE!E136)),N(BASELINE!E136)))=INT(SIMOPS!$D$3),IFERROR(UPPER(TRIM(BASELINE!D136&amp;"")),"")&lt;&gt;"ENCERRADA"),1,0),0)</f>
        <v/>
      </c>
      <c r="B136">
        <f>B135+A136</f>
        <v/>
      </c>
    </row>
    <row r="137">
      <c r="A137">
        <f>IFERROR(IF(AND(BASELINE!I137&lt;&gt;"",INT(IF(CALC!$F$1&gt;0,IF(N(INDEX(BASELINE!$A137:$ZZ137,CALC!$F$1))&gt;0,N(INDEX(BASELINE!$A137:$ZZ137,CALC!$F$1)),N(BASELINE!E137)),N(BASELINE!E137)))=INT(SIMOPS!$D$3),IFERROR(UPPER(TRIM(BASELINE!D137&amp;"")),"")&lt;&gt;"ENCERRADA"),1,0),0)</f>
        <v/>
      </c>
      <c r="B137">
        <f>B136+A137</f>
        <v/>
      </c>
    </row>
    <row r="138">
      <c r="A138">
        <f>IFERROR(IF(AND(BASELINE!I138&lt;&gt;"",INT(IF(CALC!$F$1&gt;0,IF(N(INDEX(BASELINE!$A138:$ZZ138,CALC!$F$1))&gt;0,N(INDEX(BASELINE!$A138:$ZZ138,CALC!$F$1)),N(BASELINE!E138)),N(BASELINE!E138)))=INT(SIMOPS!$D$3),IFERROR(UPPER(TRIM(BASELINE!D138&amp;"")),"")&lt;&gt;"ENCERRADA"),1,0),0)</f>
        <v/>
      </c>
      <c r="B138">
        <f>B137+A138</f>
        <v/>
      </c>
    </row>
    <row r="139">
      <c r="A139">
        <f>IFERROR(IF(AND(BASELINE!I139&lt;&gt;"",INT(IF(CALC!$F$1&gt;0,IF(N(INDEX(BASELINE!$A139:$ZZ139,CALC!$F$1))&gt;0,N(INDEX(BASELINE!$A139:$ZZ139,CALC!$F$1)),N(BASELINE!E139)),N(BASELINE!E139)))=INT(SIMOPS!$D$3),IFERROR(UPPER(TRIM(BASELINE!D139&amp;"")),"")&lt;&gt;"ENCERRADA"),1,0),0)</f>
        <v/>
      </c>
      <c r="B139">
        <f>B138+A139</f>
        <v/>
      </c>
    </row>
    <row r="140">
      <c r="A140">
        <f>IFERROR(IF(AND(BASELINE!I140&lt;&gt;"",INT(IF(CALC!$F$1&gt;0,IF(N(INDEX(BASELINE!$A140:$ZZ140,CALC!$F$1))&gt;0,N(INDEX(BASELINE!$A140:$ZZ140,CALC!$F$1)),N(BASELINE!E140)),N(BASELINE!E140)))=INT(SIMOPS!$D$3),IFERROR(UPPER(TRIM(BASELINE!D140&amp;"")),"")&lt;&gt;"ENCERRADA"),1,0),0)</f>
        <v/>
      </c>
      <c r="B140">
        <f>B139+A140</f>
        <v/>
      </c>
    </row>
    <row r="141">
      <c r="A141">
        <f>IFERROR(IF(AND(BASELINE!I141&lt;&gt;"",INT(IF(CALC!$F$1&gt;0,IF(N(INDEX(BASELINE!$A141:$ZZ141,CALC!$F$1))&gt;0,N(INDEX(BASELINE!$A141:$ZZ141,CALC!$F$1)),N(BASELINE!E141)),N(BASELINE!E141)))=INT(SIMOPS!$D$3),IFERROR(UPPER(TRIM(BASELINE!D141&amp;"")),"")&lt;&gt;"ENCERRADA"),1,0),0)</f>
        <v/>
      </c>
      <c r="B141">
        <f>B140+A141</f>
        <v/>
      </c>
    </row>
    <row r="142">
      <c r="A142">
        <f>IFERROR(IF(AND(BASELINE!I142&lt;&gt;"",INT(IF(CALC!$F$1&gt;0,IF(N(INDEX(BASELINE!$A142:$ZZ142,CALC!$F$1))&gt;0,N(INDEX(BASELINE!$A142:$ZZ142,CALC!$F$1)),N(BASELINE!E142)),N(BASELINE!E142)))=INT(SIMOPS!$D$3),IFERROR(UPPER(TRIM(BASELINE!D142&amp;"")),"")&lt;&gt;"ENCERRADA"),1,0),0)</f>
        <v/>
      </c>
      <c r="B142">
        <f>B141+A142</f>
        <v/>
      </c>
    </row>
    <row r="143">
      <c r="A143">
        <f>IFERROR(IF(AND(BASELINE!I143&lt;&gt;"",INT(IF(CALC!$F$1&gt;0,IF(N(INDEX(BASELINE!$A143:$ZZ143,CALC!$F$1))&gt;0,N(INDEX(BASELINE!$A143:$ZZ143,CALC!$F$1)),N(BASELINE!E143)),N(BASELINE!E143)))=INT(SIMOPS!$D$3),IFERROR(UPPER(TRIM(BASELINE!D143&amp;"")),"")&lt;&gt;"ENCERRADA"),1,0),0)</f>
        <v/>
      </c>
      <c r="B143">
        <f>B142+A143</f>
        <v/>
      </c>
    </row>
    <row r="144">
      <c r="A144">
        <f>IFERROR(IF(AND(BASELINE!I144&lt;&gt;"",INT(IF(CALC!$F$1&gt;0,IF(N(INDEX(BASELINE!$A144:$ZZ144,CALC!$F$1))&gt;0,N(INDEX(BASELINE!$A144:$ZZ144,CALC!$F$1)),N(BASELINE!E144)),N(BASELINE!E144)))=INT(SIMOPS!$D$3),IFERROR(UPPER(TRIM(BASELINE!D144&amp;"")),"")&lt;&gt;"ENCERRADA"),1,0),0)</f>
        <v/>
      </c>
      <c r="B144">
        <f>B143+A144</f>
        <v/>
      </c>
    </row>
    <row r="145">
      <c r="A145">
        <f>IFERROR(IF(AND(BASELINE!I145&lt;&gt;"",INT(IF(CALC!$F$1&gt;0,IF(N(INDEX(BASELINE!$A145:$ZZ145,CALC!$F$1))&gt;0,N(INDEX(BASELINE!$A145:$ZZ145,CALC!$F$1)),N(BASELINE!E145)),N(BASELINE!E145)))=INT(SIMOPS!$D$3),IFERROR(UPPER(TRIM(BASELINE!D145&amp;"")),"")&lt;&gt;"ENCERRADA"),1,0),0)</f>
        <v/>
      </c>
      <c r="B145">
        <f>B144+A145</f>
        <v/>
      </c>
    </row>
    <row r="146">
      <c r="A146">
        <f>IFERROR(IF(AND(BASELINE!I146&lt;&gt;"",INT(IF(CALC!$F$1&gt;0,IF(N(INDEX(BASELINE!$A146:$ZZ146,CALC!$F$1))&gt;0,N(INDEX(BASELINE!$A146:$ZZ146,CALC!$F$1)),N(BASELINE!E146)),N(BASELINE!E146)))=INT(SIMOPS!$D$3),IFERROR(UPPER(TRIM(BASELINE!D146&amp;"")),"")&lt;&gt;"ENCERRADA"),1,0),0)</f>
        <v/>
      </c>
      <c r="B146">
        <f>B145+A146</f>
        <v/>
      </c>
    </row>
    <row r="147">
      <c r="A147">
        <f>IFERROR(IF(AND(BASELINE!I147&lt;&gt;"",INT(IF(CALC!$F$1&gt;0,IF(N(INDEX(BASELINE!$A147:$ZZ147,CALC!$F$1))&gt;0,N(INDEX(BASELINE!$A147:$ZZ147,CALC!$F$1)),N(BASELINE!E147)),N(BASELINE!E147)))=INT(SIMOPS!$D$3),IFERROR(UPPER(TRIM(BASELINE!D147&amp;"")),"")&lt;&gt;"ENCERRADA"),1,0),0)</f>
        <v/>
      </c>
      <c r="B147">
        <f>B146+A147</f>
        <v/>
      </c>
    </row>
    <row r="148">
      <c r="A148">
        <f>IFERROR(IF(AND(BASELINE!I148&lt;&gt;"",INT(IF(CALC!$F$1&gt;0,IF(N(INDEX(BASELINE!$A148:$ZZ148,CALC!$F$1))&gt;0,N(INDEX(BASELINE!$A148:$ZZ148,CALC!$F$1)),N(BASELINE!E148)),N(BASELINE!E148)))=INT(SIMOPS!$D$3),IFERROR(UPPER(TRIM(BASELINE!D148&amp;"")),"")&lt;&gt;"ENCERRADA"),1,0),0)</f>
        <v/>
      </c>
      <c r="B148">
        <f>B147+A148</f>
        <v/>
      </c>
    </row>
    <row r="149">
      <c r="A149">
        <f>IFERROR(IF(AND(BASELINE!I149&lt;&gt;"",INT(IF(CALC!$F$1&gt;0,IF(N(INDEX(BASELINE!$A149:$ZZ149,CALC!$F$1))&gt;0,N(INDEX(BASELINE!$A149:$ZZ149,CALC!$F$1)),N(BASELINE!E149)),N(BASELINE!E149)))=INT(SIMOPS!$D$3),IFERROR(UPPER(TRIM(BASELINE!D149&amp;"")),"")&lt;&gt;"ENCERRADA"),1,0),0)</f>
        <v/>
      </c>
      <c r="B149">
        <f>B148+A149</f>
        <v/>
      </c>
    </row>
    <row r="150">
      <c r="A150">
        <f>IFERROR(IF(AND(BASELINE!I150&lt;&gt;"",INT(IF(CALC!$F$1&gt;0,IF(N(INDEX(BASELINE!$A150:$ZZ150,CALC!$F$1))&gt;0,N(INDEX(BASELINE!$A150:$ZZ150,CALC!$F$1)),N(BASELINE!E150)),N(BASELINE!E150)))=INT(SIMOPS!$D$3),IFERROR(UPPER(TRIM(BASELINE!D150&amp;"")),"")&lt;&gt;"ENCERRADA"),1,0),0)</f>
        <v/>
      </c>
      <c r="B150">
        <f>B149+A150</f>
        <v/>
      </c>
    </row>
    <row r="151">
      <c r="A151">
        <f>IFERROR(IF(AND(BASELINE!I151&lt;&gt;"",INT(IF(CALC!$F$1&gt;0,IF(N(INDEX(BASELINE!$A151:$ZZ151,CALC!$F$1))&gt;0,N(INDEX(BASELINE!$A151:$ZZ151,CALC!$F$1)),N(BASELINE!E151)),N(BASELINE!E151)))=INT(SIMOPS!$D$3),IFERROR(UPPER(TRIM(BASELINE!D151&amp;"")),"")&lt;&gt;"ENCERRADA"),1,0),0)</f>
        <v/>
      </c>
      <c r="B151">
        <f>B150+A151</f>
        <v/>
      </c>
    </row>
    <row r="152">
      <c r="A152">
        <f>IFERROR(IF(AND(BASELINE!I152&lt;&gt;"",INT(IF(CALC!$F$1&gt;0,IF(N(INDEX(BASELINE!$A152:$ZZ152,CALC!$F$1))&gt;0,N(INDEX(BASELINE!$A152:$ZZ152,CALC!$F$1)),N(BASELINE!E152)),N(BASELINE!E152)))=INT(SIMOPS!$D$3),IFERROR(UPPER(TRIM(BASELINE!D152&amp;"")),"")&lt;&gt;"ENCERRADA"),1,0),0)</f>
        <v/>
      </c>
      <c r="B152">
        <f>B151+A152</f>
        <v/>
      </c>
    </row>
    <row r="153">
      <c r="A153">
        <f>IFERROR(IF(AND(BASELINE!I153&lt;&gt;"",INT(IF(CALC!$F$1&gt;0,IF(N(INDEX(BASELINE!$A153:$ZZ153,CALC!$F$1))&gt;0,N(INDEX(BASELINE!$A153:$ZZ153,CALC!$F$1)),N(BASELINE!E153)),N(BASELINE!E153)))=INT(SIMOPS!$D$3),IFERROR(UPPER(TRIM(BASELINE!D153&amp;"")),"")&lt;&gt;"ENCERRADA"),1,0),0)</f>
        <v/>
      </c>
      <c r="B153">
        <f>B152+A153</f>
        <v/>
      </c>
    </row>
    <row r="154">
      <c r="A154">
        <f>IFERROR(IF(AND(BASELINE!I154&lt;&gt;"",INT(IF(CALC!$F$1&gt;0,IF(N(INDEX(BASELINE!$A154:$ZZ154,CALC!$F$1))&gt;0,N(INDEX(BASELINE!$A154:$ZZ154,CALC!$F$1)),N(BASELINE!E154)),N(BASELINE!E154)))=INT(SIMOPS!$D$3),IFERROR(UPPER(TRIM(BASELINE!D154&amp;"")),"")&lt;&gt;"ENCERRADA"),1,0),0)</f>
        <v/>
      </c>
      <c r="B154">
        <f>B153+A154</f>
        <v/>
      </c>
    </row>
    <row r="155">
      <c r="A155">
        <f>IFERROR(IF(AND(BASELINE!I155&lt;&gt;"",INT(IF(CALC!$F$1&gt;0,IF(N(INDEX(BASELINE!$A155:$ZZ155,CALC!$F$1))&gt;0,N(INDEX(BASELINE!$A155:$ZZ155,CALC!$F$1)),N(BASELINE!E155)),N(BASELINE!E155)))=INT(SIMOPS!$D$3),IFERROR(UPPER(TRIM(BASELINE!D155&amp;"")),"")&lt;&gt;"ENCERRADA"),1,0),0)</f>
        <v/>
      </c>
      <c r="B155">
        <f>B154+A155</f>
        <v/>
      </c>
    </row>
    <row r="156">
      <c r="A156">
        <f>IFERROR(IF(AND(BASELINE!I156&lt;&gt;"",INT(IF(CALC!$F$1&gt;0,IF(N(INDEX(BASELINE!$A156:$ZZ156,CALC!$F$1))&gt;0,N(INDEX(BASELINE!$A156:$ZZ156,CALC!$F$1)),N(BASELINE!E156)),N(BASELINE!E156)))=INT(SIMOPS!$D$3),IFERROR(UPPER(TRIM(BASELINE!D156&amp;"")),"")&lt;&gt;"ENCERRADA"),1,0),0)</f>
        <v/>
      </c>
      <c r="B156">
        <f>B155+A156</f>
        <v/>
      </c>
    </row>
    <row r="157">
      <c r="A157">
        <f>IFERROR(IF(AND(BASELINE!I157&lt;&gt;"",INT(IF(CALC!$F$1&gt;0,IF(N(INDEX(BASELINE!$A157:$ZZ157,CALC!$F$1))&gt;0,N(INDEX(BASELINE!$A157:$ZZ157,CALC!$F$1)),N(BASELINE!E157)),N(BASELINE!E157)))=INT(SIMOPS!$D$3),IFERROR(UPPER(TRIM(BASELINE!D157&amp;"")),"")&lt;&gt;"ENCERRADA"),1,0),0)</f>
        <v/>
      </c>
      <c r="B157">
        <f>B156+A157</f>
        <v/>
      </c>
    </row>
    <row r="158">
      <c r="A158">
        <f>IFERROR(IF(AND(BASELINE!I158&lt;&gt;"",INT(IF(CALC!$F$1&gt;0,IF(N(INDEX(BASELINE!$A158:$ZZ158,CALC!$F$1))&gt;0,N(INDEX(BASELINE!$A158:$ZZ158,CALC!$F$1)),N(BASELINE!E158)),N(BASELINE!E158)))=INT(SIMOPS!$D$3),IFERROR(UPPER(TRIM(BASELINE!D158&amp;"")),"")&lt;&gt;"ENCERRADA"),1,0),0)</f>
        <v/>
      </c>
      <c r="B158">
        <f>B157+A158</f>
        <v/>
      </c>
    </row>
    <row r="159">
      <c r="A159">
        <f>IFERROR(IF(AND(BASELINE!I159&lt;&gt;"",INT(IF(CALC!$F$1&gt;0,IF(N(INDEX(BASELINE!$A159:$ZZ159,CALC!$F$1))&gt;0,N(INDEX(BASELINE!$A159:$ZZ159,CALC!$F$1)),N(BASELINE!E159)),N(BASELINE!E159)))=INT(SIMOPS!$D$3),IFERROR(UPPER(TRIM(BASELINE!D159&amp;"")),"")&lt;&gt;"ENCERRADA"),1,0),0)</f>
        <v/>
      </c>
      <c r="B159">
        <f>B158+A159</f>
        <v/>
      </c>
    </row>
    <row r="160">
      <c r="A160">
        <f>IFERROR(IF(AND(BASELINE!I160&lt;&gt;"",INT(IF(CALC!$F$1&gt;0,IF(N(INDEX(BASELINE!$A160:$ZZ160,CALC!$F$1))&gt;0,N(INDEX(BASELINE!$A160:$ZZ160,CALC!$F$1)),N(BASELINE!E160)),N(BASELINE!E160)))=INT(SIMOPS!$D$3),IFERROR(UPPER(TRIM(BASELINE!D160&amp;"")),"")&lt;&gt;"ENCERRADA"),1,0),0)</f>
        <v/>
      </c>
      <c r="B160">
        <f>B159+A160</f>
        <v/>
      </c>
    </row>
    <row r="161">
      <c r="A161">
        <f>IFERROR(IF(AND(BASELINE!I161&lt;&gt;"",INT(IF(CALC!$F$1&gt;0,IF(N(INDEX(BASELINE!$A161:$ZZ161,CALC!$F$1))&gt;0,N(INDEX(BASELINE!$A161:$ZZ161,CALC!$F$1)),N(BASELINE!E161)),N(BASELINE!E161)))=INT(SIMOPS!$D$3),IFERROR(UPPER(TRIM(BASELINE!D161&amp;"")),"")&lt;&gt;"ENCERRADA"),1,0),0)</f>
        <v/>
      </c>
      <c r="B161">
        <f>B160+A161</f>
        <v/>
      </c>
    </row>
    <row r="162">
      <c r="A162">
        <f>IFERROR(IF(AND(BASELINE!I162&lt;&gt;"",INT(IF(CALC!$F$1&gt;0,IF(N(INDEX(BASELINE!$A162:$ZZ162,CALC!$F$1))&gt;0,N(INDEX(BASELINE!$A162:$ZZ162,CALC!$F$1)),N(BASELINE!E162)),N(BASELINE!E162)))=INT(SIMOPS!$D$3),IFERROR(UPPER(TRIM(BASELINE!D162&amp;"")),"")&lt;&gt;"ENCERRADA"),1,0),0)</f>
        <v/>
      </c>
      <c r="B162">
        <f>B161+A162</f>
        <v/>
      </c>
    </row>
    <row r="163">
      <c r="A163">
        <f>IFERROR(IF(AND(BASELINE!I163&lt;&gt;"",INT(IF(CALC!$F$1&gt;0,IF(N(INDEX(BASELINE!$A163:$ZZ163,CALC!$F$1))&gt;0,N(INDEX(BASELINE!$A163:$ZZ163,CALC!$F$1)),N(BASELINE!E163)),N(BASELINE!E163)))=INT(SIMOPS!$D$3),IFERROR(UPPER(TRIM(BASELINE!D163&amp;"")),"")&lt;&gt;"ENCERRADA"),1,0),0)</f>
        <v/>
      </c>
      <c r="B163">
        <f>B162+A163</f>
        <v/>
      </c>
    </row>
    <row r="164">
      <c r="A164">
        <f>IFERROR(IF(AND(BASELINE!I164&lt;&gt;"",INT(IF(CALC!$F$1&gt;0,IF(N(INDEX(BASELINE!$A164:$ZZ164,CALC!$F$1))&gt;0,N(INDEX(BASELINE!$A164:$ZZ164,CALC!$F$1)),N(BASELINE!E164)),N(BASELINE!E164)))=INT(SIMOPS!$D$3),IFERROR(UPPER(TRIM(BASELINE!D164&amp;"")),"")&lt;&gt;"ENCERRADA"),1,0),0)</f>
        <v/>
      </c>
      <c r="B164">
        <f>B163+A164</f>
        <v/>
      </c>
    </row>
    <row r="165">
      <c r="A165">
        <f>IFERROR(IF(AND(BASELINE!I165&lt;&gt;"",INT(IF(CALC!$F$1&gt;0,IF(N(INDEX(BASELINE!$A165:$ZZ165,CALC!$F$1))&gt;0,N(INDEX(BASELINE!$A165:$ZZ165,CALC!$F$1)),N(BASELINE!E165)),N(BASELINE!E165)))=INT(SIMOPS!$D$3),IFERROR(UPPER(TRIM(BASELINE!D165&amp;"")),"")&lt;&gt;"ENCERRADA"),1,0),0)</f>
        <v/>
      </c>
      <c r="B165">
        <f>B164+A165</f>
        <v/>
      </c>
    </row>
    <row r="166">
      <c r="A166">
        <f>IFERROR(IF(AND(BASELINE!I166&lt;&gt;"",INT(IF(CALC!$F$1&gt;0,IF(N(INDEX(BASELINE!$A166:$ZZ166,CALC!$F$1))&gt;0,N(INDEX(BASELINE!$A166:$ZZ166,CALC!$F$1)),N(BASELINE!E166)),N(BASELINE!E166)))=INT(SIMOPS!$D$3),IFERROR(UPPER(TRIM(BASELINE!D166&amp;"")),"")&lt;&gt;"ENCERRADA"),1,0),0)</f>
        <v/>
      </c>
      <c r="B166">
        <f>B165+A166</f>
        <v/>
      </c>
    </row>
    <row r="167">
      <c r="A167">
        <f>IFERROR(IF(AND(BASELINE!I167&lt;&gt;"",INT(IF(CALC!$F$1&gt;0,IF(N(INDEX(BASELINE!$A167:$ZZ167,CALC!$F$1))&gt;0,N(INDEX(BASELINE!$A167:$ZZ167,CALC!$F$1)),N(BASELINE!E167)),N(BASELINE!E167)))=INT(SIMOPS!$D$3),IFERROR(UPPER(TRIM(BASELINE!D167&amp;"")),"")&lt;&gt;"ENCERRADA"),1,0),0)</f>
        <v/>
      </c>
      <c r="B167">
        <f>B166+A167</f>
        <v/>
      </c>
    </row>
    <row r="168">
      <c r="A168">
        <f>IFERROR(IF(AND(BASELINE!I168&lt;&gt;"",INT(IF(CALC!$F$1&gt;0,IF(N(INDEX(BASELINE!$A168:$ZZ168,CALC!$F$1))&gt;0,N(INDEX(BASELINE!$A168:$ZZ168,CALC!$F$1)),N(BASELINE!E168)),N(BASELINE!E168)))=INT(SIMOPS!$D$3),IFERROR(UPPER(TRIM(BASELINE!D168&amp;"")),"")&lt;&gt;"ENCERRADA"),1,0),0)</f>
        <v/>
      </c>
      <c r="B168">
        <f>B167+A168</f>
        <v/>
      </c>
    </row>
    <row r="169">
      <c r="A169">
        <f>IFERROR(IF(AND(BASELINE!I169&lt;&gt;"",INT(IF(CALC!$F$1&gt;0,IF(N(INDEX(BASELINE!$A169:$ZZ169,CALC!$F$1))&gt;0,N(INDEX(BASELINE!$A169:$ZZ169,CALC!$F$1)),N(BASELINE!E169)),N(BASELINE!E169)))=INT(SIMOPS!$D$3),IFERROR(UPPER(TRIM(BASELINE!D169&amp;"")),"")&lt;&gt;"ENCERRADA"),1,0),0)</f>
        <v/>
      </c>
      <c r="B169">
        <f>B168+A169</f>
        <v/>
      </c>
    </row>
    <row r="170">
      <c r="A170">
        <f>IFERROR(IF(AND(BASELINE!I170&lt;&gt;"",INT(IF(CALC!$F$1&gt;0,IF(N(INDEX(BASELINE!$A170:$ZZ170,CALC!$F$1))&gt;0,N(INDEX(BASELINE!$A170:$ZZ170,CALC!$F$1)),N(BASELINE!E170)),N(BASELINE!E170)))=INT(SIMOPS!$D$3),IFERROR(UPPER(TRIM(BASELINE!D170&amp;"")),"")&lt;&gt;"ENCERRADA"),1,0),0)</f>
        <v/>
      </c>
      <c r="B170">
        <f>B169+A170</f>
        <v/>
      </c>
    </row>
    <row r="171">
      <c r="A171">
        <f>IFERROR(IF(AND(BASELINE!I171&lt;&gt;"",INT(IF(CALC!$F$1&gt;0,IF(N(INDEX(BASELINE!$A171:$ZZ171,CALC!$F$1))&gt;0,N(INDEX(BASELINE!$A171:$ZZ171,CALC!$F$1)),N(BASELINE!E171)),N(BASELINE!E171)))=INT(SIMOPS!$D$3),IFERROR(UPPER(TRIM(BASELINE!D171&amp;"")),"")&lt;&gt;"ENCERRADA"),1,0),0)</f>
        <v/>
      </c>
      <c r="B171">
        <f>B170+A171</f>
        <v/>
      </c>
    </row>
    <row r="172">
      <c r="A172">
        <f>IFERROR(IF(AND(BASELINE!I172&lt;&gt;"",INT(IF(CALC!$F$1&gt;0,IF(N(INDEX(BASELINE!$A172:$ZZ172,CALC!$F$1))&gt;0,N(INDEX(BASELINE!$A172:$ZZ172,CALC!$F$1)),N(BASELINE!E172)),N(BASELINE!E172)))=INT(SIMOPS!$D$3),IFERROR(UPPER(TRIM(BASELINE!D172&amp;"")),"")&lt;&gt;"ENCERRADA"),1,0),0)</f>
        <v/>
      </c>
      <c r="B172">
        <f>B171+A172</f>
        <v/>
      </c>
    </row>
    <row r="173">
      <c r="A173">
        <f>IFERROR(IF(AND(BASELINE!I173&lt;&gt;"",INT(IF(CALC!$F$1&gt;0,IF(N(INDEX(BASELINE!$A173:$ZZ173,CALC!$F$1))&gt;0,N(INDEX(BASELINE!$A173:$ZZ173,CALC!$F$1)),N(BASELINE!E173)),N(BASELINE!E173)))=INT(SIMOPS!$D$3),IFERROR(UPPER(TRIM(BASELINE!D173&amp;"")),"")&lt;&gt;"ENCERRADA"),1,0),0)</f>
        <v/>
      </c>
      <c r="B173">
        <f>B172+A173</f>
        <v/>
      </c>
    </row>
    <row r="174">
      <c r="A174">
        <f>IFERROR(IF(AND(BASELINE!I174&lt;&gt;"",INT(IF(CALC!$F$1&gt;0,IF(N(INDEX(BASELINE!$A174:$ZZ174,CALC!$F$1))&gt;0,N(INDEX(BASELINE!$A174:$ZZ174,CALC!$F$1)),N(BASELINE!E174)),N(BASELINE!E174)))=INT(SIMOPS!$D$3),IFERROR(UPPER(TRIM(BASELINE!D174&amp;"")),"")&lt;&gt;"ENCERRADA"),1,0),0)</f>
        <v/>
      </c>
      <c r="B174">
        <f>B173+A174</f>
        <v/>
      </c>
    </row>
    <row r="175">
      <c r="A175">
        <f>IFERROR(IF(AND(BASELINE!I175&lt;&gt;"",INT(IF(CALC!$F$1&gt;0,IF(N(INDEX(BASELINE!$A175:$ZZ175,CALC!$F$1))&gt;0,N(INDEX(BASELINE!$A175:$ZZ175,CALC!$F$1)),N(BASELINE!E175)),N(BASELINE!E175)))=INT(SIMOPS!$D$3),IFERROR(UPPER(TRIM(BASELINE!D175&amp;"")),"")&lt;&gt;"ENCERRADA"),1,0),0)</f>
        <v/>
      </c>
      <c r="B175">
        <f>B174+A175</f>
        <v/>
      </c>
    </row>
    <row r="176">
      <c r="A176">
        <f>IFERROR(IF(AND(BASELINE!I176&lt;&gt;"",INT(IF(CALC!$F$1&gt;0,IF(N(INDEX(BASELINE!$A176:$ZZ176,CALC!$F$1))&gt;0,N(INDEX(BASELINE!$A176:$ZZ176,CALC!$F$1)),N(BASELINE!E176)),N(BASELINE!E176)))=INT(SIMOPS!$D$3),IFERROR(UPPER(TRIM(BASELINE!D176&amp;"")),"")&lt;&gt;"ENCERRADA"),1,0),0)</f>
        <v/>
      </c>
      <c r="B176">
        <f>B175+A176</f>
        <v/>
      </c>
    </row>
    <row r="177">
      <c r="A177">
        <f>IFERROR(IF(AND(BASELINE!I177&lt;&gt;"",INT(IF(CALC!$F$1&gt;0,IF(N(INDEX(BASELINE!$A177:$ZZ177,CALC!$F$1))&gt;0,N(INDEX(BASELINE!$A177:$ZZ177,CALC!$F$1)),N(BASELINE!E177)),N(BASELINE!E177)))=INT(SIMOPS!$D$3),IFERROR(UPPER(TRIM(BASELINE!D177&amp;"")),"")&lt;&gt;"ENCERRADA"),1,0),0)</f>
        <v/>
      </c>
      <c r="B177">
        <f>B176+A177</f>
        <v/>
      </c>
    </row>
    <row r="178">
      <c r="A178">
        <f>IFERROR(IF(AND(BASELINE!I178&lt;&gt;"",INT(IF(CALC!$F$1&gt;0,IF(N(INDEX(BASELINE!$A178:$ZZ178,CALC!$F$1))&gt;0,N(INDEX(BASELINE!$A178:$ZZ178,CALC!$F$1)),N(BASELINE!E178)),N(BASELINE!E178)))=INT(SIMOPS!$D$3),IFERROR(UPPER(TRIM(BASELINE!D178&amp;"")),"")&lt;&gt;"ENCERRADA"),1,0),0)</f>
        <v/>
      </c>
      <c r="B178">
        <f>B177+A178</f>
        <v/>
      </c>
    </row>
    <row r="179">
      <c r="A179">
        <f>IFERROR(IF(AND(BASELINE!I179&lt;&gt;"",INT(IF(CALC!$F$1&gt;0,IF(N(INDEX(BASELINE!$A179:$ZZ179,CALC!$F$1))&gt;0,N(INDEX(BASELINE!$A179:$ZZ179,CALC!$F$1)),N(BASELINE!E179)),N(BASELINE!E179)))=INT(SIMOPS!$D$3),IFERROR(UPPER(TRIM(BASELINE!D179&amp;"")),"")&lt;&gt;"ENCERRADA"),1,0),0)</f>
        <v/>
      </c>
      <c r="B179">
        <f>B178+A179</f>
        <v/>
      </c>
    </row>
    <row r="180">
      <c r="A180">
        <f>IFERROR(IF(AND(BASELINE!I180&lt;&gt;"",INT(IF(CALC!$F$1&gt;0,IF(N(INDEX(BASELINE!$A180:$ZZ180,CALC!$F$1))&gt;0,N(INDEX(BASELINE!$A180:$ZZ180,CALC!$F$1)),N(BASELINE!E180)),N(BASELINE!E180)))=INT(SIMOPS!$D$3),IFERROR(UPPER(TRIM(BASELINE!D180&amp;"")),"")&lt;&gt;"ENCERRADA"),1,0),0)</f>
        <v/>
      </c>
      <c r="B180">
        <f>B179+A180</f>
        <v/>
      </c>
    </row>
    <row r="181">
      <c r="A181">
        <f>IFERROR(IF(AND(BASELINE!I181&lt;&gt;"",INT(IF(CALC!$F$1&gt;0,IF(N(INDEX(BASELINE!$A181:$ZZ181,CALC!$F$1))&gt;0,N(INDEX(BASELINE!$A181:$ZZ181,CALC!$F$1)),N(BASELINE!E181)),N(BASELINE!E181)))=INT(SIMOPS!$D$3),IFERROR(UPPER(TRIM(BASELINE!D181&amp;"")),"")&lt;&gt;"ENCERRADA"),1,0),0)</f>
        <v/>
      </c>
      <c r="B181">
        <f>B180+A181</f>
        <v/>
      </c>
    </row>
    <row r="182">
      <c r="A182">
        <f>IFERROR(IF(AND(BASELINE!I182&lt;&gt;"",INT(IF(CALC!$F$1&gt;0,IF(N(INDEX(BASELINE!$A182:$ZZ182,CALC!$F$1))&gt;0,N(INDEX(BASELINE!$A182:$ZZ182,CALC!$F$1)),N(BASELINE!E182)),N(BASELINE!E182)))=INT(SIMOPS!$D$3),IFERROR(UPPER(TRIM(BASELINE!D182&amp;"")),"")&lt;&gt;"ENCERRADA"),1,0),0)</f>
        <v/>
      </c>
      <c r="B182">
        <f>B181+A182</f>
        <v/>
      </c>
    </row>
    <row r="183">
      <c r="A183">
        <f>IFERROR(IF(AND(BASELINE!I183&lt;&gt;"",INT(IF(CALC!$F$1&gt;0,IF(N(INDEX(BASELINE!$A183:$ZZ183,CALC!$F$1))&gt;0,N(INDEX(BASELINE!$A183:$ZZ183,CALC!$F$1)),N(BASELINE!E183)),N(BASELINE!E183)))=INT(SIMOPS!$D$3),IFERROR(UPPER(TRIM(BASELINE!D183&amp;"")),"")&lt;&gt;"ENCERRADA"),1,0),0)</f>
        <v/>
      </c>
      <c r="B183">
        <f>B182+A183</f>
        <v/>
      </c>
    </row>
    <row r="184">
      <c r="A184">
        <f>IFERROR(IF(AND(BASELINE!I184&lt;&gt;"",INT(IF(CALC!$F$1&gt;0,IF(N(INDEX(BASELINE!$A184:$ZZ184,CALC!$F$1))&gt;0,N(INDEX(BASELINE!$A184:$ZZ184,CALC!$F$1)),N(BASELINE!E184)),N(BASELINE!E184)))=INT(SIMOPS!$D$3),IFERROR(UPPER(TRIM(BASELINE!D184&amp;"")),"")&lt;&gt;"ENCERRADA"),1,0),0)</f>
        <v/>
      </c>
      <c r="B184">
        <f>B183+A184</f>
        <v/>
      </c>
    </row>
    <row r="185">
      <c r="A185">
        <f>IFERROR(IF(AND(BASELINE!I185&lt;&gt;"",INT(IF(CALC!$F$1&gt;0,IF(N(INDEX(BASELINE!$A185:$ZZ185,CALC!$F$1))&gt;0,N(INDEX(BASELINE!$A185:$ZZ185,CALC!$F$1)),N(BASELINE!E185)),N(BASELINE!E185)))=INT(SIMOPS!$D$3),IFERROR(UPPER(TRIM(BASELINE!D185&amp;"")),"")&lt;&gt;"ENCERRADA"),1,0),0)</f>
        <v/>
      </c>
      <c r="B185">
        <f>B184+A185</f>
        <v/>
      </c>
    </row>
    <row r="186">
      <c r="A186">
        <f>IFERROR(IF(AND(BASELINE!I186&lt;&gt;"",INT(IF(CALC!$F$1&gt;0,IF(N(INDEX(BASELINE!$A186:$ZZ186,CALC!$F$1))&gt;0,N(INDEX(BASELINE!$A186:$ZZ186,CALC!$F$1)),N(BASELINE!E186)),N(BASELINE!E186)))=INT(SIMOPS!$D$3),IFERROR(UPPER(TRIM(BASELINE!D186&amp;"")),"")&lt;&gt;"ENCERRADA"),1,0),0)</f>
        <v/>
      </c>
      <c r="B186">
        <f>B185+A186</f>
        <v/>
      </c>
    </row>
    <row r="187">
      <c r="A187">
        <f>IFERROR(IF(AND(BASELINE!I187&lt;&gt;"",INT(IF(CALC!$F$1&gt;0,IF(N(INDEX(BASELINE!$A187:$ZZ187,CALC!$F$1))&gt;0,N(INDEX(BASELINE!$A187:$ZZ187,CALC!$F$1)),N(BASELINE!E187)),N(BASELINE!E187)))=INT(SIMOPS!$D$3),IFERROR(UPPER(TRIM(BASELINE!D187&amp;"")),"")&lt;&gt;"ENCERRADA"),1,0),0)</f>
        <v/>
      </c>
      <c r="B187">
        <f>B186+A187</f>
        <v/>
      </c>
    </row>
    <row r="188">
      <c r="A188">
        <f>IFERROR(IF(AND(BASELINE!I188&lt;&gt;"",INT(IF(CALC!$F$1&gt;0,IF(N(INDEX(BASELINE!$A188:$ZZ188,CALC!$F$1))&gt;0,N(INDEX(BASELINE!$A188:$ZZ188,CALC!$F$1)),N(BASELINE!E188)),N(BASELINE!E188)))=INT(SIMOPS!$D$3),IFERROR(UPPER(TRIM(BASELINE!D188&amp;"")),"")&lt;&gt;"ENCERRADA"),1,0),0)</f>
        <v/>
      </c>
      <c r="B188">
        <f>B187+A188</f>
        <v/>
      </c>
    </row>
    <row r="189">
      <c r="A189">
        <f>IFERROR(IF(AND(BASELINE!I189&lt;&gt;"",INT(IF(CALC!$F$1&gt;0,IF(N(INDEX(BASELINE!$A189:$ZZ189,CALC!$F$1))&gt;0,N(INDEX(BASELINE!$A189:$ZZ189,CALC!$F$1)),N(BASELINE!E189)),N(BASELINE!E189)))=INT(SIMOPS!$D$3),IFERROR(UPPER(TRIM(BASELINE!D189&amp;"")),"")&lt;&gt;"ENCERRADA"),1,0),0)</f>
        <v/>
      </c>
      <c r="B189">
        <f>B188+A189</f>
        <v/>
      </c>
    </row>
    <row r="190">
      <c r="A190">
        <f>IFERROR(IF(AND(BASELINE!I190&lt;&gt;"",INT(IF(CALC!$F$1&gt;0,IF(N(INDEX(BASELINE!$A190:$ZZ190,CALC!$F$1))&gt;0,N(INDEX(BASELINE!$A190:$ZZ190,CALC!$F$1)),N(BASELINE!E190)),N(BASELINE!E190)))=INT(SIMOPS!$D$3),IFERROR(UPPER(TRIM(BASELINE!D190&amp;"")),"")&lt;&gt;"ENCERRADA"),1,0),0)</f>
        <v/>
      </c>
      <c r="B190">
        <f>B189+A190</f>
        <v/>
      </c>
    </row>
    <row r="191">
      <c r="A191">
        <f>IFERROR(IF(AND(BASELINE!I191&lt;&gt;"",INT(IF(CALC!$F$1&gt;0,IF(N(INDEX(BASELINE!$A191:$ZZ191,CALC!$F$1))&gt;0,N(INDEX(BASELINE!$A191:$ZZ191,CALC!$F$1)),N(BASELINE!E191)),N(BASELINE!E191)))=INT(SIMOPS!$D$3),IFERROR(UPPER(TRIM(BASELINE!D191&amp;"")),"")&lt;&gt;"ENCERRADA"),1,0),0)</f>
        <v/>
      </c>
      <c r="B191">
        <f>B190+A191</f>
        <v/>
      </c>
    </row>
    <row r="192">
      <c r="A192">
        <f>IFERROR(IF(AND(BASELINE!I192&lt;&gt;"",INT(IF(CALC!$F$1&gt;0,IF(N(INDEX(BASELINE!$A192:$ZZ192,CALC!$F$1))&gt;0,N(INDEX(BASELINE!$A192:$ZZ192,CALC!$F$1)),N(BASELINE!E192)),N(BASELINE!E192)))=INT(SIMOPS!$D$3),IFERROR(UPPER(TRIM(BASELINE!D192&amp;"")),"")&lt;&gt;"ENCERRADA"),1,0),0)</f>
        <v/>
      </c>
      <c r="B192">
        <f>B191+A192</f>
        <v/>
      </c>
    </row>
    <row r="193">
      <c r="A193">
        <f>IFERROR(IF(AND(BASELINE!I193&lt;&gt;"",INT(IF(CALC!$F$1&gt;0,IF(N(INDEX(BASELINE!$A193:$ZZ193,CALC!$F$1))&gt;0,N(INDEX(BASELINE!$A193:$ZZ193,CALC!$F$1)),N(BASELINE!E193)),N(BASELINE!E193)))=INT(SIMOPS!$D$3),IFERROR(UPPER(TRIM(BASELINE!D193&amp;"")),"")&lt;&gt;"ENCERRADA"),1,0),0)</f>
        <v/>
      </c>
      <c r="B193">
        <f>B192+A193</f>
        <v/>
      </c>
    </row>
    <row r="194">
      <c r="A194">
        <f>IFERROR(IF(AND(BASELINE!I194&lt;&gt;"",INT(IF(CALC!$F$1&gt;0,IF(N(INDEX(BASELINE!$A194:$ZZ194,CALC!$F$1))&gt;0,N(INDEX(BASELINE!$A194:$ZZ194,CALC!$F$1)),N(BASELINE!E194)),N(BASELINE!E194)))=INT(SIMOPS!$D$3),IFERROR(UPPER(TRIM(BASELINE!D194&amp;"")),"")&lt;&gt;"ENCERRADA"),1,0),0)</f>
        <v/>
      </c>
      <c r="B194">
        <f>B193+A194</f>
        <v/>
      </c>
    </row>
    <row r="195">
      <c r="A195">
        <f>IFERROR(IF(AND(BASELINE!I195&lt;&gt;"",INT(IF(CALC!$F$1&gt;0,IF(N(INDEX(BASELINE!$A195:$ZZ195,CALC!$F$1))&gt;0,N(INDEX(BASELINE!$A195:$ZZ195,CALC!$F$1)),N(BASELINE!E195)),N(BASELINE!E195)))=INT(SIMOPS!$D$3),IFERROR(UPPER(TRIM(BASELINE!D195&amp;"")),"")&lt;&gt;"ENCERRADA"),1,0),0)</f>
        <v/>
      </c>
      <c r="B195">
        <f>B194+A195</f>
        <v/>
      </c>
    </row>
    <row r="196">
      <c r="A196">
        <f>IFERROR(IF(AND(BASELINE!I196&lt;&gt;"",INT(IF(CALC!$F$1&gt;0,IF(N(INDEX(BASELINE!$A196:$ZZ196,CALC!$F$1))&gt;0,N(INDEX(BASELINE!$A196:$ZZ196,CALC!$F$1)),N(BASELINE!E196)),N(BASELINE!E196)))=INT(SIMOPS!$D$3),IFERROR(UPPER(TRIM(BASELINE!D196&amp;"")),"")&lt;&gt;"ENCERRADA"),1,0),0)</f>
        <v/>
      </c>
      <c r="B196">
        <f>B195+A196</f>
        <v/>
      </c>
    </row>
    <row r="197">
      <c r="A197">
        <f>IFERROR(IF(AND(BASELINE!I197&lt;&gt;"",INT(IF(CALC!$F$1&gt;0,IF(N(INDEX(BASELINE!$A197:$ZZ197,CALC!$F$1))&gt;0,N(INDEX(BASELINE!$A197:$ZZ197,CALC!$F$1)),N(BASELINE!E197)),N(BASELINE!E197)))=INT(SIMOPS!$D$3),IFERROR(UPPER(TRIM(BASELINE!D197&amp;"")),"")&lt;&gt;"ENCERRADA"),1,0),0)</f>
        <v/>
      </c>
      <c r="B197">
        <f>B196+A197</f>
        <v/>
      </c>
    </row>
    <row r="198">
      <c r="A198">
        <f>IFERROR(IF(AND(BASELINE!I198&lt;&gt;"",INT(IF(CALC!$F$1&gt;0,IF(N(INDEX(BASELINE!$A198:$ZZ198,CALC!$F$1))&gt;0,N(INDEX(BASELINE!$A198:$ZZ198,CALC!$F$1)),N(BASELINE!E198)),N(BASELINE!E198)))=INT(SIMOPS!$D$3),IFERROR(UPPER(TRIM(BASELINE!D198&amp;"")),"")&lt;&gt;"ENCERRADA"),1,0),0)</f>
        <v/>
      </c>
      <c r="B198">
        <f>B197+A198</f>
        <v/>
      </c>
    </row>
    <row r="199">
      <c r="A199">
        <f>IFERROR(IF(AND(BASELINE!I199&lt;&gt;"",INT(IF(CALC!$F$1&gt;0,IF(N(INDEX(BASELINE!$A199:$ZZ199,CALC!$F$1))&gt;0,N(INDEX(BASELINE!$A199:$ZZ199,CALC!$F$1)),N(BASELINE!E199)),N(BASELINE!E199)))=INT(SIMOPS!$D$3),IFERROR(UPPER(TRIM(BASELINE!D199&amp;"")),"")&lt;&gt;"ENCERRADA"),1,0),0)</f>
        <v/>
      </c>
      <c r="B199">
        <f>B198+A199</f>
        <v/>
      </c>
    </row>
    <row r="200">
      <c r="A200">
        <f>IFERROR(IF(AND(BASELINE!I200&lt;&gt;"",INT(IF(CALC!$F$1&gt;0,IF(N(INDEX(BASELINE!$A200:$ZZ200,CALC!$F$1))&gt;0,N(INDEX(BASELINE!$A200:$ZZ200,CALC!$F$1)),N(BASELINE!E200)),N(BASELINE!E200)))=INT(SIMOPS!$D$3),IFERROR(UPPER(TRIM(BASELINE!D200&amp;"")),"")&lt;&gt;"ENCERRADA"),1,0),0)</f>
        <v/>
      </c>
      <c r="B200">
        <f>B199+A200</f>
        <v/>
      </c>
    </row>
    <row r="201">
      <c r="A201">
        <f>IFERROR(IF(AND(BASELINE!I201&lt;&gt;"",INT(IF(CALC!$F$1&gt;0,IF(N(INDEX(BASELINE!$A201:$ZZ201,CALC!$F$1))&gt;0,N(INDEX(BASELINE!$A201:$ZZ201,CALC!$F$1)),N(BASELINE!E201)),N(BASELINE!E201)))=INT(SIMOPS!$D$3),IFERROR(UPPER(TRIM(BASELINE!D201&amp;"")),"")&lt;&gt;"ENCERRADA"),1,0),0)</f>
        <v/>
      </c>
      <c r="B201">
        <f>B200+A201</f>
        <v/>
      </c>
    </row>
    <row r="202">
      <c r="A202">
        <f>IFERROR(IF(AND(BASELINE!I202&lt;&gt;"",INT(IF(CALC!$F$1&gt;0,IF(N(INDEX(BASELINE!$A202:$ZZ202,CALC!$F$1))&gt;0,N(INDEX(BASELINE!$A202:$ZZ202,CALC!$F$1)),N(BASELINE!E202)),N(BASELINE!E202)))=INT(SIMOPS!$D$3),IFERROR(UPPER(TRIM(BASELINE!D202&amp;"")),"")&lt;&gt;"ENCERRADA"),1,0),0)</f>
        <v/>
      </c>
      <c r="B202">
        <f>B201+A202</f>
        <v/>
      </c>
    </row>
    <row r="203">
      <c r="A203">
        <f>IFERROR(IF(AND(BASELINE!I203&lt;&gt;"",INT(IF(CALC!$F$1&gt;0,IF(N(INDEX(BASELINE!$A203:$ZZ203,CALC!$F$1))&gt;0,N(INDEX(BASELINE!$A203:$ZZ203,CALC!$F$1)),N(BASELINE!E203)),N(BASELINE!E203)))=INT(SIMOPS!$D$3),IFERROR(UPPER(TRIM(BASELINE!D203&amp;"")),"")&lt;&gt;"ENCERRADA"),1,0),0)</f>
        <v/>
      </c>
      <c r="B203">
        <f>B202+A203</f>
        <v/>
      </c>
    </row>
    <row r="204">
      <c r="A204">
        <f>IFERROR(IF(AND(BASELINE!I204&lt;&gt;"",INT(IF(CALC!$F$1&gt;0,IF(N(INDEX(BASELINE!$A204:$ZZ204,CALC!$F$1))&gt;0,N(INDEX(BASELINE!$A204:$ZZ204,CALC!$F$1)),N(BASELINE!E204)),N(BASELINE!E204)))=INT(SIMOPS!$D$3),IFERROR(UPPER(TRIM(BASELINE!D204&amp;"")),"")&lt;&gt;"ENCERRADA"),1,0),0)</f>
        <v/>
      </c>
      <c r="B204">
        <f>B203+A204</f>
        <v/>
      </c>
    </row>
    <row r="205">
      <c r="A205">
        <f>IFERROR(IF(AND(BASELINE!I205&lt;&gt;"",INT(IF(CALC!$F$1&gt;0,IF(N(INDEX(BASELINE!$A205:$ZZ205,CALC!$F$1))&gt;0,N(INDEX(BASELINE!$A205:$ZZ205,CALC!$F$1)),N(BASELINE!E205)),N(BASELINE!E205)))=INT(SIMOPS!$D$3),IFERROR(UPPER(TRIM(BASELINE!D205&amp;"")),"")&lt;&gt;"ENCERRADA"),1,0),0)</f>
        <v/>
      </c>
      <c r="B205">
        <f>B204+A205</f>
        <v/>
      </c>
    </row>
    <row r="206">
      <c r="A206">
        <f>IFERROR(IF(AND(BASELINE!I206&lt;&gt;"",INT(IF(CALC!$F$1&gt;0,IF(N(INDEX(BASELINE!$A206:$ZZ206,CALC!$F$1))&gt;0,N(INDEX(BASELINE!$A206:$ZZ206,CALC!$F$1)),N(BASELINE!E206)),N(BASELINE!E206)))=INT(SIMOPS!$D$3),IFERROR(UPPER(TRIM(BASELINE!D206&amp;"")),"")&lt;&gt;"ENCERRADA"),1,0),0)</f>
        <v/>
      </c>
      <c r="B206">
        <f>B205+A206</f>
        <v/>
      </c>
    </row>
    <row r="207">
      <c r="A207">
        <f>IFERROR(IF(AND(BASELINE!I207&lt;&gt;"",INT(IF(CALC!$F$1&gt;0,IF(N(INDEX(BASELINE!$A207:$ZZ207,CALC!$F$1))&gt;0,N(INDEX(BASELINE!$A207:$ZZ207,CALC!$F$1)),N(BASELINE!E207)),N(BASELINE!E207)))=INT(SIMOPS!$D$3),IFERROR(UPPER(TRIM(BASELINE!D207&amp;"")),"")&lt;&gt;"ENCERRADA"),1,0),0)</f>
        <v/>
      </c>
      <c r="B207">
        <f>B206+A207</f>
        <v/>
      </c>
    </row>
    <row r="208">
      <c r="A208">
        <f>IFERROR(IF(AND(BASELINE!I208&lt;&gt;"",INT(IF(CALC!$F$1&gt;0,IF(N(INDEX(BASELINE!$A208:$ZZ208,CALC!$F$1))&gt;0,N(INDEX(BASELINE!$A208:$ZZ208,CALC!$F$1)),N(BASELINE!E208)),N(BASELINE!E208)))=INT(SIMOPS!$D$3),IFERROR(UPPER(TRIM(BASELINE!D208&amp;"")),"")&lt;&gt;"ENCERRADA"),1,0),0)</f>
        <v/>
      </c>
      <c r="B208">
        <f>B207+A208</f>
        <v/>
      </c>
    </row>
    <row r="209">
      <c r="A209">
        <f>IFERROR(IF(AND(BASELINE!I209&lt;&gt;"",INT(IF(CALC!$F$1&gt;0,IF(N(INDEX(BASELINE!$A209:$ZZ209,CALC!$F$1))&gt;0,N(INDEX(BASELINE!$A209:$ZZ209,CALC!$F$1)),N(BASELINE!E209)),N(BASELINE!E209)))=INT(SIMOPS!$D$3),IFERROR(UPPER(TRIM(BASELINE!D209&amp;"")),"")&lt;&gt;"ENCERRADA"),1,0),0)</f>
        <v/>
      </c>
      <c r="B209">
        <f>B208+A209</f>
        <v/>
      </c>
    </row>
    <row r="210">
      <c r="A210">
        <f>IFERROR(IF(AND(BASELINE!I210&lt;&gt;"",INT(IF(CALC!$F$1&gt;0,IF(N(INDEX(BASELINE!$A210:$ZZ210,CALC!$F$1))&gt;0,N(INDEX(BASELINE!$A210:$ZZ210,CALC!$F$1)),N(BASELINE!E210)),N(BASELINE!E210)))=INT(SIMOPS!$D$3),IFERROR(UPPER(TRIM(BASELINE!D210&amp;"")),"")&lt;&gt;"ENCERRADA"),1,0),0)</f>
        <v/>
      </c>
      <c r="B210">
        <f>B209+A210</f>
        <v/>
      </c>
    </row>
    <row r="211">
      <c r="A211">
        <f>IFERROR(IF(AND(BASELINE!I211&lt;&gt;"",INT(IF(CALC!$F$1&gt;0,IF(N(INDEX(BASELINE!$A211:$ZZ211,CALC!$F$1))&gt;0,N(INDEX(BASELINE!$A211:$ZZ211,CALC!$F$1)),N(BASELINE!E211)),N(BASELINE!E211)))=INT(SIMOPS!$D$3),IFERROR(UPPER(TRIM(BASELINE!D211&amp;"")),"")&lt;&gt;"ENCERRADA"),1,0),0)</f>
        <v/>
      </c>
      <c r="B211">
        <f>B210+A211</f>
        <v/>
      </c>
    </row>
    <row r="212">
      <c r="A212">
        <f>IFERROR(IF(AND(BASELINE!I212&lt;&gt;"",INT(IF(CALC!$F$1&gt;0,IF(N(INDEX(BASELINE!$A212:$ZZ212,CALC!$F$1))&gt;0,N(INDEX(BASELINE!$A212:$ZZ212,CALC!$F$1)),N(BASELINE!E212)),N(BASELINE!E212)))=INT(SIMOPS!$D$3),IFERROR(UPPER(TRIM(BASELINE!D212&amp;"")),"")&lt;&gt;"ENCERRADA"),1,0),0)</f>
        <v/>
      </c>
      <c r="B212">
        <f>B211+A212</f>
        <v/>
      </c>
    </row>
    <row r="213">
      <c r="A213">
        <f>IFERROR(IF(AND(BASELINE!I213&lt;&gt;"",INT(IF(CALC!$F$1&gt;0,IF(N(INDEX(BASELINE!$A213:$ZZ213,CALC!$F$1))&gt;0,N(INDEX(BASELINE!$A213:$ZZ213,CALC!$F$1)),N(BASELINE!E213)),N(BASELINE!E213)))=INT(SIMOPS!$D$3),IFERROR(UPPER(TRIM(BASELINE!D213&amp;"")),"")&lt;&gt;"ENCERRADA"),1,0),0)</f>
        <v/>
      </c>
      <c r="B213">
        <f>B212+A213</f>
        <v/>
      </c>
    </row>
    <row r="214">
      <c r="A214">
        <f>IFERROR(IF(AND(BASELINE!I214&lt;&gt;"",INT(IF(CALC!$F$1&gt;0,IF(N(INDEX(BASELINE!$A214:$ZZ214,CALC!$F$1))&gt;0,N(INDEX(BASELINE!$A214:$ZZ214,CALC!$F$1)),N(BASELINE!E214)),N(BASELINE!E214)))=INT(SIMOPS!$D$3),IFERROR(UPPER(TRIM(BASELINE!D214&amp;"")),"")&lt;&gt;"ENCERRADA"),1,0),0)</f>
        <v/>
      </c>
      <c r="B214">
        <f>B213+A214</f>
        <v/>
      </c>
    </row>
    <row r="215">
      <c r="A215">
        <f>IFERROR(IF(AND(BASELINE!I215&lt;&gt;"",INT(IF(CALC!$F$1&gt;0,IF(N(INDEX(BASELINE!$A215:$ZZ215,CALC!$F$1))&gt;0,N(INDEX(BASELINE!$A215:$ZZ215,CALC!$F$1)),N(BASELINE!E215)),N(BASELINE!E215)))=INT(SIMOPS!$D$3),IFERROR(UPPER(TRIM(BASELINE!D215&amp;"")),"")&lt;&gt;"ENCERRADA"),1,0),0)</f>
        <v/>
      </c>
      <c r="B215">
        <f>B214+A215</f>
        <v/>
      </c>
    </row>
    <row r="216">
      <c r="A216">
        <f>IFERROR(IF(AND(BASELINE!I216&lt;&gt;"",INT(IF(CALC!$F$1&gt;0,IF(N(INDEX(BASELINE!$A216:$ZZ216,CALC!$F$1))&gt;0,N(INDEX(BASELINE!$A216:$ZZ216,CALC!$F$1)),N(BASELINE!E216)),N(BASELINE!E216)))=INT(SIMOPS!$D$3),IFERROR(UPPER(TRIM(BASELINE!D216&amp;"")),"")&lt;&gt;"ENCERRADA"),1,0),0)</f>
        <v/>
      </c>
      <c r="B216">
        <f>B215+A216</f>
        <v/>
      </c>
    </row>
    <row r="217">
      <c r="A217">
        <f>IFERROR(IF(AND(BASELINE!I217&lt;&gt;"",INT(IF(CALC!$F$1&gt;0,IF(N(INDEX(BASELINE!$A217:$ZZ217,CALC!$F$1))&gt;0,N(INDEX(BASELINE!$A217:$ZZ217,CALC!$F$1)),N(BASELINE!E217)),N(BASELINE!E217)))=INT(SIMOPS!$D$3),IFERROR(UPPER(TRIM(BASELINE!D217&amp;"")),"")&lt;&gt;"ENCERRADA"),1,0),0)</f>
        <v/>
      </c>
      <c r="B217">
        <f>B216+A217</f>
        <v/>
      </c>
    </row>
    <row r="218">
      <c r="A218">
        <f>IFERROR(IF(AND(BASELINE!I218&lt;&gt;"",INT(IF(CALC!$F$1&gt;0,IF(N(INDEX(BASELINE!$A218:$ZZ218,CALC!$F$1))&gt;0,N(INDEX(BASELINE!$A218:$ZZ218,CALC!$F$1)),N(BASELINE!E218)),N(BASELINE!E218)))=INT(SIMOPS!$D$3),IFERROR(UPPER(TRIM(BASELINE!D218&amp;"")),"")&lt;&gt;"ENCERRADA"),1,0),0)</f>
        <v/>
      </c>
      <c r="B218">
        <f>B217+A218</f>
        <v/>
      </c>
    </row>
    <row r="219">
      <c r="A219">
        <f>IFERROR(IF(AND(BASELINE!I219&lt;&gt;"",INT(IF(CALC!$F$1&gt;0,IF(N(INDEX(BASELINE!$A219:$ZZ219,CALC!$F$1))&gt;0,N(INDEX(BASELINE!$A219:$ZZ219,CALC!$F$1)),N(BASELINE!E219)),N(BASELINE!E219)))=INT(SIMOPS!$D$3),IFERROR(UPPER(TRIM(BASELINE!D219&amp;"")),"")&lt;&gt;"ENCERRADA"),1,0),0)</f>
        <v/>
      </c>
      <c r="B219">
        <f>B218+A219</f>
        <v/>
      </c>
    </row>
    <row r="220">
      <c r="A220">
        <f>IFERROR(IF(AND(BASELINE!I220&lt;&gt;"",INT(IF(CALC!$F$1&gt;0,IF(N(INDEX(BASELINE!$A220:$ZZ220,CALC!$F$1))&gt;0,N(INDEX(BASELINE!$A220:$ZZ220,CALC!$F$1)),N(BASELINE!E220)),N(BASELINE!E220)))=INT(SIMOPS!$D$3),IFERROR(UPPER(TRIM(BASELINE!D220&amp;"")),"")&lt;&gt;"ENCERRADA"),1,0),0)</f>
        <v/>
      </c>
      <c r="B220">
        <f>B219+A220</f>
        <v/>
      </c>
    </row>
    <row r="221">
      <c r="A221">
        <f>IFERROR(IF(AND(BASELINE!I221&lt;&gt;"",INT(IF(CALC!$F$1&gt;0,IF(N(INDEX(BASELINE!$A221:$ZZ221,CALC!$F$1))&gt;0,N(INDEX(BASELINE!$A221:$ZZ221,CALC!$F$1)),N(BASELINE!E221)),N(BASELINE!E221)))=INT(SIMOPS!$D$3),IFERROR(UPPER(TRIM(BASELINE!D221&amp;"")),"")&lt;&gt;"ENCERRADA"),1,0),0)</f>
        <v/>
      </c>
      <c r="B221">
        <f>B220+A221</f>
        <v/>
      </c>
    </row>
    <row r="222">
      <c r="A222">
        <f>IFERROR(IF(AND(BASELINE!I222&lt;&gt;"",INT(IF(CALC!$F$1&gt;0,IF(N(INDEX(BASELINE!$A222:$ZZ222,CALC!$F$1))&gt;0,N(INDEX(BASELINE!$A222:$ZZ222,CALC!$F$1)),N(BASELINE!E222)),N(BASELINE!E222)))=INT(SIMOPS!$D$3),IFERROR(UPPER(TRIM(BASELINE!D222&amp;"")),"")&lt;&gt;"ENCERRADA"),1,0),0)</f>
        <v/>
      </c>
      <c r="B222">
        <f>B221+A222</f>
        <v/>
      </c>
    </row>
    <row r="223">
      <c r="A223">
        <f>IFERROR(IF(AND(BASELINE!I223&lt;&gt;"",INT(IF(CALC!$F$1&gt;0,IF(N(INDEX(BASELINE!$A223:$ZZ223,CALC!$F$1))&gt;0,N(INDEX(BASELINE!$A223:$ZZ223,CALC!$F$1)),N(BASELINE!E223)),N(BASELINE!E223)))=INT(SIMOPS!$D$3),IFERROR(UPPER(TRIM(BASELINE!D223&amp;"")),"")&lt;&gt;"ENCERRADA"),1,0),0)</f>
        <v/>
      </c>
      <c r="B223">
        <f>B222+A223</f>
        <v/>
      </c>
    </row>
    <row r="224">
      <c r="A224">
        <f>IFERROR(IF(AND(BASELINE!I224&lt;&gt;"",INT(IF(CALC!$F$1&gt;0,IF(N(INDEX(BASELINE!$A224:$ZZ224,CALC!$F$1))&gt;0,N(INDEX(BASELINE!$A224:$ZZ224,CALC!$F$1)),N(BASELINE!E224)),N(BASELINE!E224)))=INT(SIMOPS!$D$3),IFERROR(UPPER(TRIM(BASELINE!D224&amp;"")),"")&lt;&gt;"ENCERRADA"),1,0),0)</f>
        <v/>
      </c>
      <c r="B224">
        <f>B223+A224</f>
        <v/>
      </c>
    </row>
    <row r="225">
      <c r="A225">
        <f>IFERROR(IF(AND(BASELINE!I225&lt;&gt;"",INT(IF(CALC!$F$1&gt;0,IF(N(INDEX(BASELINE!$A225:$ZZ225,CALC!$F$1))&gt;0,N(INDEX(BASELINE!$A225:$ZZ225,CALC!$F$1)),N(BASELINE!E225)),N(BASELINE!E225)))=INT(SIMOPS!$D$3),IFERROR(UPPER(TRIM(BASELINE!D225&amp;"")),"")&lt;&gt;"ENCERRADA"),1,0),0)</f>
        <v/>
      </c>
      <c r="B225">
        <f>B224+A225</f>
        <v/>
      </c>
    </row>
    <row r="226">
      <c r="A226">
        <f>IFERROR(IF(AND(BASELINE!I226&lt;&gt;"",INT(IF(CALC!$F$1&gt;0,IF(N(INDEX(BASELINE!$A226:$ZZ226,CALC!$F$1))&gt;0,N(INDEX(BASELINE!$A226:$ZZ226,CALC!$F$1)),N(BASELINE!E226)),N(BASELINE!E226)))=INT(SIMOPS!$D$3),IFERROR(UPPER(TRIM(BASELINE!D226&amp;"")),"")&lt;&gt;"ENCERRADA"),1,0),0)</f>
        <v/>
      </c>
      <c r="B226">
        <f>B225+A226</f>
        <v/>
      </c>
    </row>
    <row r="227">
      <c r="A227">
        <f>IFERROR(IF(AND(BASELINE!I227&lt;&gt;"",INT(IF(CALC!$F$1&gt;0,IF(N(INDEX(BASELINE!$A227:$ZZ227,CALC!$F$1))&gt;0,N(INDEX(BASELINE!$A227:$ZZ227,CALC!$F$1)),N(BASELINE!E227)),N(BASELINE!E227)))=INT(SIMOPS!$D$3),IFERROR(UPPER(TRIM(BASELINE!D227&amp;"")),"")&lt;&gt;"ENCERRADA"),1,0),0)</f>
        <v/>
      </c>
      <c r="B227">
        <f>B226+A227</f>
        <v/>
      </c>
    </row>
    <row r="228">
      <c r="A228">
        <f>IFERROR(IF(AND(BASELINE!I228&lt;&gt;"",INT(IF(CALC!$F$1&gt;0,IF(N(INDEX(BASELINE!$A228:$ZZ228,CALC!$F$1))&gt;0,N(INDEX(BASELINE!$A228:$ZZ228,CALC!$F$1)),N(BASELINE!E228)),N(BASELINE!E228)))=INT(SIMOPS!$D$3),IFERROR(UPPER(TRIM(BASELINE!D228&amp;"")),"")&lt;&gt;"ENCERRADA"),1,0),0)</f>
        <v/>
      </c>
      <c r="B228">
        <f>B227+A228</f>
        <v/>
      </c>
    </row>
    <row r="229">
      <c r="A229">
        <f>IFERROR(IF(AND(BASELINE!I229&lt;&gt;"",INT(IF(CALC!$F$1&gt;0,IF(N(INDEX(BASELINE!$A229:$ZZ229,CALC!$F$1))&gt;0,N(INDEX(BASELINE!$A229:$ZZ229,CALC!$F$1)),N(BASELINE!E229)),N(BASELINE!E229)))=INT(SIMOPS!$D$3),IFERROR(UPPER(TRIM(BASELINE!D229&amp;"")),"")&lt;&gt;"ENCERRADA"),1,0),0)</f>
        <v/>
      </c>
      <c r="B229">
        <f>B228+A229</f>
        <v/>
      </c>
    </row>
    <row r="230">
      <c r="A230">
        <f>IFERROR(IF(AND(BASELINE!I230&lt;&gt;"",INT(IF(CALC!$F$1&gt;0,IF(N(INDEX(BASELINE!$A230:$ZZ230,CALC!$F$1))&gt;0,N(INDEX(BASELINE!$A230:$ZZ230,CALC!$F$1)),N(BASELINE!E230)),N(BASELINE!E230)))=INT(SIMOPS!$D$3),IFERROR(UPPER(TRIM(BASELINE!D230&amp;"")),"")&lt;&gt;"ENCERRADA"),1,0),0)</f>
        <v/>
      </c>
      <c r="B230">
        <f>B229+A230</f>
        <v/>
      </c>
    </row>
    <row r="231">
      <c r="A231">
        <f>IFERROR(IF(AND(BASELINE!I231&lt;&gt;"",INT(IF(CALC!$F$1&gt;0,IF(N(INDEX(BASELINE!$A231:$ZZ231,CALC!$F$1))&gt;0,N(INDEX(BASELINE!$A231:$ZZ231,CALC!$F$1)),N(BASELINE!E231)),N(BASELINE!E231)))=INT(SIMOPS!$D$3),IFERROR(UPPER(TRIM(BASELINE!D231&amp;"")),"")&lt;&gt;"ENCERRADA"),1,0),0)</f>
        <v/>
      </c>
      <c r="B231">
        <f>B230+A231</f>
        <v/>
      </c>
    </row>
    <row r="232">
      <c r="A232">
        <f>IFERROR(IF(AND(BASELINE!I232&lt;&gt;"",INT(IF(CALC!$F$1&gt;0,IF(N(INDEX(BASELINE!$A232:$ZZ232,CALC!$F$1))&gt;0,N(INDEX(BASELINE!$A232:$ZZ232,CALC!$F$1)),N(BASELINE!E232)),N(BASELINE!E232)))=INT(SIMOPS!$D$3),IFERROR(UPPER(TRIM(BASELINE!D232&amp;"")),"")&lt;&gt;"ENCERRADA"),1,0),0)</f>
        <v/>
      </c>
      <c r="B232">
        <f>B231+A232</f>
        <v/>
      </c>
    </row>
    <row r="233">
      <c r="A233">
        <f>IFERROR(IF(AND(BASELINE!I233&lt;&gt;"",INT(IF(CALC!$F$1&gt;0,IF(N(INDEX(BASELINE!$A233:$ZZ233,CALC!$F$1))&gt;0,N(INDEX(BASELINE!$A233:$ZZ233,CALC!$F$1)),N(BASELINE!E233)),N(BASELINE!E233)))=INT(SIMOPS!$D$3),IFERROR(UPPER(TRIM(BASELINE!D233&amp;"")),"")&lt;&gt;"ENCERRADA"),1,0),0)</f>
        <v/>
      </c>
      <c r="B233">
        <f>B232+A233</f>
        <v/>
      </c>
    </row>
    <row r="234">
      <c r="A234">
        <f>IFERROR(IF(AND(BASELINE!I234&lt;&gt;"",INT(IF(CALC!$F$1&gt;0,IF(N(INDEX(BASELINE!$A234:$ZZ234,CALC!$F$1))&gt;0,N(INDEX(BASELINE!$A234:$ZZ234,CALC!$F$1)),N(BASELINE!E234)),N(BASELINE!E234)))=INT(SIMOPS!$D$3),IFERROR(UPPER(TRIM(BASELINE!D234&amp;"")),"")&lt;&gt;"ENCERRADA"),1,0),0)</f>
        <v/>
      </c>
      <c r="B234">
        <f>B233+A234</f>
        <v/>
      </c>
    </row>
    <row r="235">
      <c r="A235">
        <f>IFERROR(IF(AND(BASELINE!I235&lt;&gt;"",INT(IF(CALC!$F$1&gt;0,IF(N(INDEX(BASELINE!$A235:$ZZ235,CALC!$F$1))&gt;0,N(INDEX(BASELINE!$A235:$ZZ235,CALC!$F$1)),N(BASELINE!E235)),N(BASELINE!E235)))=INT(SIMOPS!$D$3),IFERROR(UPPER(TRIM(BASELINE!D235&amp;"")),"")&lt;&gt;"ENCERRADA"),1,0),0)</f>
        <v/>
      </c>
      <c r="B235">
        <f>B234+A235</f>
        <v/>
      </c>
    </row>
    <row r="236">
      <c r="A236">
        <f>IFERROR(IF(AND(BASELINE!I236&lt;&gt;"",INT(IF(CALC!$F$1&gt;0,IF(N(INDEX(BASELINE!$A236:$ZZ236,CALC!$F$1))&gt;0,N(INDEX(BASELINE!$A236:$ZZ236,CALC!$F$1)),N(BASELINE!E236)),N(BASELINE!E236)))=INT(SIMOPS!$D$3),IFERROR(UPPER(TRIM(BASELINE!D236&amp;"")),"")&lt;&gt;"ENCERRADA"),1,0),0)</f>
        <v/>
      </c>
      <c r="B236">
        <f>B235+A236</f>
        <v/>
      </c>
    </row>
    <row r="237">
      <c r="A237">
        <f>IFERROR(IF(AND(BASELINE!I237&lt;&gt;"",INT(IF(CALC!$F$1&gt;0,IF(N(INDEX(BASELINE!$A237:$ZZ237,CALC!$F$1))&gt;0,N(INDEX(BASELINE!$A237:$ZZ237,CALC!$F$1)),N(BASELINE!E237)),N(BASELINE!E237)))=INT(SIMOPS!$D$3),IFERROR(UPPER(TRIM(BASELINE!D237&amp;"")),"")&lt;&gt;"ENCERRADA"),1,0),0)</f>
        <v/>
      </c>
      <c r="B237">
        <f>B236+A237</f>
        <v/>
      </c>
    </row>
    <row r="238">
      <c r="A238">
        <f>IFERROR(IF(AND(BASELINE!I238&lt;&gt;"",INT(IF(CALC!$F$1&gt;0,IF(N(INDEX(BASELINE!$A238:$ZZ238,CALC!$F$1))&gt;0,N(INDEX(BASELINE!$A238:$ZZ238,CALC!$F$1)),N(BASELINE!E238)),N(BASELINE!E238)))=INT(SIMOPS!$D$3),IFERROR(UPPER(TRIM(BASELINE!D238&amp;"")),"")&lt;&gt;"ENCERRADA"),1,0),0)</f>
        <v/>
      </c>
      <c r="B238">
        <f>B237+A238</f>
        <v/>
      </c>
    </row>
    <row r="239">
      <c r="A239">
        <f>IFERROR(IF(AND(BASELINE!I239&lt;&gt;"",INT(IF(CALC!$F$1&gt;0,IF(N(INDEX(BASELINE!$A239:$ZZ239,CALC!$F$1))&gt;0,N(INDEX(BASELINE!$A239:$ZZ239,CALC!$F$1)),N(BASELINE!E239)),N(BASELINE!E239)))=INT(SIMOPS!$D$3),IFERROR(UPPER(TRIM(BASELINE!D239&amp;"")),"")&lt;&gt;"ENCERRADA"),1,0),0)</f>
        <v/>
      </c>
      <c r="B239">
        <f>B238+A239</f>
        <v/>
      </c>
    </row>
    <row r="240">
      <c r="A240">
        <f>IFERROR(IF(AND(BASELINE!I240&lt;&gt;"",INT(IF(CALC!$F$1&gt;0,IF(N(INDEX(BASELINE!$A240:$ZZ240,CALC!$F$1))&gt;0,N(INDEX(BASELINE!$A240:$ZZ240,CALC!$F$1)),N(BASELINE!E240)),N(BASELINE!E240)))=INT(SIMOPS!$D$3),IFERROR(UPPER(TRIM(BASELINE!D240&amp;"")),"")&lt;&gt;"ENCERRADA"),1,0),0)</f>
        <v/>
      </c>
      <c r="B240">
        <f>B239+A240</f>
        <v/>
      </c>
    </row>
    <row r="241">
      <c r="A241">
        <f>IFERROR(IF(AND(BASELINE!I241&lt;&gt;"",INT(IF(CALC!$F$1&gt;0,IF(N(INDEX(BASELINE!$A241:$ZZ241,CALC!$F$1))&gt;0,N(INDEX(BASELINE!$A241:$ZZ241,CALC!$F$1)),N(BASELINE!E241)),N(BASELINE!E241)))=INT(SIMOPS!$D$3),IFERROR(UPPER(TRIM(BASELINE!D241&amp;"")),"")&lt;&gt;"ENCERRADA"),1,0),0)</f>
        <v/>
      </c>
      <c r="B241">
        <f>B240+A241</f>
        <v/>
      </c>
    </row>
    <row r="242">
      <c r="A242">
        <f>IFERROR(IF(AND(BASELINE!I242&lt;&gt;"",INT(IF(CALC!$F$1&gt;0,IF(N(INDEX(BASELINE!$A242:$ZZ242,CALC!$F$1))&gt;0,N(INDEX(BASELINE!$A242:$ZZ242,CALC!$F$1)),N(BASELINE!E242)),N(BASELINE!E242)))=INT(SIMOPS!$D$3),IFERROR(UPPER(TRIM(BASELINE!D242&amp;"")),"")&lt;&gt;"ENCERRADA"),1,0),0)</f>
        <v/>
      </c>
      <c r="B242">
        <f>B241+A242</f>
        <v/>
      </c>
    </row>
    <row r="243">
      <c r="A243">
        <f>IFERROR(IF(AND(BASELINE!I243&lt;&gt;"",INT(IF(CALC!$F$1&gt;0,IF(N(INDEX(BASELINE!$A243:$ZZ243,CALC!$F$1))&gt;0,N(INDEX(BASELINE!$A243:$ZZ243,CALC!$F$1)),N(BASELINE!E243)),N(BASELINE!E243)))=INT(SIMOPS!$D$3),IFERROR(UPPER(TRIM(BASELINE!D243&amp;"")),"")&lt;&gt;"ENCERRADA"),1,0),0)</f>
        <v/>
      </c>
      <c r="B243">
        <f>B242+A243</f>
        <v/>
      </c>
    </row>
    <row r="244">
      <c r="A244">
        <f>IFERROR(IF(AND(BASELINE!I244&lt;&gt;"",INT(IF(CALC!$F$1&gt;0,IF(N(INDEX(BASELINE!$A244:$ZZ244,CALC!$F$1))&gt;0,N(INDEX(BASELINE!$A244:$ZZ244,CALC!$F$1)),N(BASELINE!E244)),N(BASELINE!E244)))=INT(SIMOPS!$D$3),IFERROR(UPPER(TRIM(BASELINE!D244&amp;"")),"")&lt;&gt;"ENCERRADA"),1,0),0)</f>
        <v/>
      </c>
      <c r="B244">
        <f>B243+A244</f>
        <v/>
      </c>
    </row>
    <row r="245">
      <c r="A245">
        <f>IFERROR(IF(AND(BASELINE!I245&lt;&gt;"",INT(IF(CALC!$F$1&gt;0,IF(N(INDEX(BASELINE!$A245:$ZZ245,CALC!$F$1))&gt;0,N(INDEX(BASELINE!$A245:$ZZ245,CALC!$F$1)),N(BASELINE!E245)),N(BASELINE!E245)))=INT(SIMOPS!$D$3),IFERROR(UPPER(TRIM(BASELINE!D245&amp;"")),"")&lt;&gt;"ENCERRADA"),1,0),0)</f>
        <v/>
      </c>
      <c r="B245">
        <f>B244+A245</f>
        <v/>
      </c>
    </row>
    <row r="246">
      <c r="A246">
        <f>IFERROR(IF(AND(BASELINE!I246&lt;&gt;"",INT(IF(CALC!$F$1&gt;0,IF(N(INDEX(BASELINE!$A246:$ZZ246,CALC!$F$1))&gt;0,N(INDEX(BASELINE!$A246:$ZZ246,CALC!$F$1)),N(BASELINE!E246)),N(BASELINE!E246)))=INT(SIMOPS!$D$3),IFERROR(UPPER(TRIM(BASELINE!D246&amp;"")),"")&lt;&gt;"ENCERRADA"),1,0),0)</f>
        <v/>
      </c>
      <c r="B246">
        <f>B245+A246</f>
        <v/>
      </c>
    </row>
    <row r="247">
      <c r="A247">
        <f>IFERROR(IF(AND(BASELINE!I247&lt;&gt;"",INT(IF(CALC!$F$1&gt;0,IF(N(INDEX(BASELINE!$A247:$ZZ247,CALC!$F$1))&gt;0,N(INDEX(BASELINE!$A247:$ZZ247,CALC!$F$1)),N(BASELINE!E247)),N(BASELINE!E247)))=INT(SIMOPS!$D$3),IFERROR(UPPER(TRIM(BASELINE!D247&amp;"")),"")&lt;&gt;"ENCERRADA"),1,0),0)</f>
        <v/>
      </c>
      <c r="B247">
        <f>B246+A247</f>
        <v/>
      </c>
    </row>
    <row r="248">
      <c r="A248">
        <f>IFERROR(IF(AND(BASELINE!I248&lt;&gt;"",INT(IF(CALC!$F$1&gt;0,IF(N(INDEX(BASELINE!$A248:$ZZ248,CALC!$F$1))&gt;0,N(INDEX(BASELINE!$A248:$ZZ248,CALC!$F$1)),N(BASELINE!E248)),N(BASELINE!E248)))=INT(SIMOPS!$D$3),IFERROR(UPPER(TRIM(BASELINE!D248&amp;"")),"")&lt;&gt;"ENCERRADA"),1,0),0)</f>
        <v/>
      </c>
      <c r="B248">
        <f>B247+A248</f>
        <v/>
      </c>
    </row>
    <row r="249">
      <c r="A249">
        <f>IFERROR(IF(AND(BASELINE!I249&lt;&gt;"",INT(IF(CALC!$F$1&gt;0,IF(N(INDEX(BASELINE!$A249:$ZZ249,CALC!$F$1))&gt;0,N(INDEX(BASELINE!$A249:$ZZ249,CALC!$F$1)),N(BASELINE!E249)),N(BASELINE!E249)))=INT(SIMOPS!$D$3),IFERROR(UPPER(TRIM(BASELINE!D249&amp;"")),"")&lt;&gt;"ENCERRADA"),1,0),0)</f>
        <v/>
      </c>
      <c r="B249">
        <f>B248+A249</f>
        <v/>
      </c>
    </row>
    <row r="250">
      <c r="A250">
        <f>IFERROR(IF(AND(BASELINE!I250&lt;&gt;"",INT(IF(CALC!$F$1&gt;0,IF(N(INDEX(BASELINE!$A250:$ZZ250,CALC!$F$1))&gt;0,N(INDEX(BASELINE!$A250:$ZZ250,CALC!$F$1)),N(BASELINE!E250)),N(BASELINE!E250)))=INT(SIMOPS!$D$3),IFERROR(UPPER(TRIM(BASELINE!D250&amp;"")),"")&lt;&gt;"ENCERRADA"),1,0),0)</f>
        <v/>
      </c>
      <c r="B250">
        <f>B249+A250</f>
        <v/>
      </c>
    </row>
    <row r="251">
      <c r="A251">
        <f>IFERROR(IF(AND(BASELINE!I251&lt;&gt;"",INT(IF(CALC!$F$1&gt;0,IF(N(INDEX(BASELINE!$A251:$ZZ251,CALC!$F$1))&gt;0,N(INDEX(BASELINE!$A251:$ZZ251,CALC!$F$1)),N(BASELINE!E251)),N(BASELINE!E251)))=INT(SIMOPS!$D$3),IFERROR(UPPER(TRIM(BASELINE!D251&amp;"")),"")&lt;&gt;"ENCERRADA"),1,0),0)</f>
        <v/>
      </c>
      <c r="B251">
        <f>B250+A251</f>
        <v/>
      </c>
    </row>
    <row r="252">
      <c r="A252">
        <f>IFERROR(IF(AND(BASELINE!I252&lt;&gt;"",INT(IF(CALC!$F$1&gt;0,IF(N(INDEX(BASELINE!$A252:$ZZ252,CALC!$F$1))&gt;0,N(INDEX(BASELINE!$A252:$ZZ252,CALC!$F$1)),N(BASELINE!E252)),N(BASELINE!E252)))=INT(SIMOPS!$D$3),IFERROR(UPPER(TRIM(BASELINE!D252&amp;"")),"")&lt;&gt;"ENCERRADA"),1,0),0)</f>
        <v/>
      </c>
      <c r="B252">
        <f>B251+A252</f>
        <v/>
      </c>
    </row>
    <row r="253">
      <c r="A253">
        <f>IFERROR(IF(AND(BASELINE!I253&lt;&gt;"",INT(IF(CALC!$F$1&gt;0,IF(N(INDEX(BASELINE!$A253:$ZZ253,CALC!$F$1))&gt;0,N(INDEX(BASELINE!$A253:$ZZ253,CALC!$F$1)),N(BASELINE!E253)),N(BASELINE!E253)))=INT(SIMOPS!$D$3),IFERROR(UPPER(TRIM(BASELINE!D253&amp;"")),"")&lt;&gt;"ENCERRADA"),1,0),0)</f>
        <v/>
      </c>
      <c r="B253">
        <f>B252+A253</f>
        <v/>
      </c>
    </row>
    <row r="254">
      <c r="A254">
        <f>IFERROR(IF(AND(BASELINE!I254&lt;&gt;"",INT(IF(CALC!$F$1&gt;0,IF(N(INDEX(BASELINE!$A254:$ZZ254,CALC!$F$1))&gt;0,N(INDEX(BASELINE!$A254:$ZZ254,CALC!$F$1)),N(BASELINE!E254)),N(BASELINE!E254)))=INT(SIMOPS!$D$3),IFERROR(UPPER(TRIM(BASELINE!D254&amp;"")),"")&lt;&gt;"ENCERRADA"),1,0),0)</f>
        <v/>
      </c>
      <c r="B254">
        <f>B253+A254</f>
        <v/>
      </c>
    </row>
    <row r="255">
      <c r="A255">
        <f>IFERROR(IF(AND(BASELINE!I255&lt;&gt;"",INT(IF(CALC!$F$1&gt;0,IF(N(INDEX(BASELINE!$A255:$ZZ255,CALC!$F$1))&gt;0,N(INDEX(BASELINE!$A255:$ZZ255,CALC!$F$1)),N(BASELINE!E255)),N(BASELINE!E255)))=INT(SIMOPS!$D$3),IFERROR(UPPER(TRIM(BASELINE!D255&amp;"")),"")&lt;&gt;"ENCERRADA"),1,0),0)</f>
        <v/>
      </c>
      <c r="B255">
        <f>B254+A255</f>
        <v/>
      </c>
    </row>
    <row r="256">
      <c r="A256">
        <f>IFERROR(IF(AND(BASELINE!I256&lt;&gt;"",INT(IF(CALC!$F$1&gt;0,IF(N(INDEX(BASELINE!$A256:$ZZ256,CALC!$F$1))&gt;0,N(INDEX(BASELINE!$A256:$ZZ256,CALC!$F$1)),N(BASELINE!E256)),N(BASELINE!E256)))=INT(SIMOPS!$D$3),IFERROR(UPPER(TRIM(BASELINE!D256&amp;"")),"")&lt;&gt;"ENCERRADA"),1,0),0)</f>
        <v/>
      </c>
      <c r="B256">
        <f>B255+A256</f>
        <v/>
      </c>
    </row>
    <row r="257">
      <c r="A257">
        <f>IFERROR(IF(AND(BASELINE!I257&lt;&gt;"",INT(IF(CALC!$F$1&gt;0,IF(N(INDEX(BASELINE!$A257:$ZZ257,CALC!$F$1))&gt;0,N(INDEX(BASELINE!$A257:$ZZ257,CALC!$F$1)),N(BASELINE!E257)),N(BASELINE!E257)))=INT(SIMOPS!$D$3),IFERROR(UPPER(TRIM(BASELINE!D257&amp;"")),"")&lt;&gt;"ENCERRADA"),1,0),0)</f>
        <v/>
      </c>
      <c r="B257">
        <f>B256+A257</f>
        <v/>
      </c>
    </row>
    <row r="258">
      <c r="A258">
        <f>IFERROR(IF(AND(BASELINE!I258&lt;&gt;"",INT(IF(CALC!$F$1&gt;0,IF(N(INDEX(BASELINE!$A258:$ZZ258,CALC!$F$1))&gt;0,N(INDEX(BASELINE!$A258:$ZZ258,CALC!$F$1)),N(BASELINE!E258)),N(BASELINE!E258)))=INT(SIMOPS!$D$3),IFERROR(UPPER(TRIM(BASELINE!D258&amp;"")),"")&lt;&gt;"ENCERRADA"),1,0),0)</f>
        <v/>
      </c>
      <c r="B258">
        <f>B257+A258</f>
        <v/>
      </c>
    </row>
    <row r="259">
      <c r="A259">
        <f>IFERROR(IF(AND(BASELINE!I259&lt;&gt;"",INT(IF(CALC!$F$1&gt;0,IF(N(INDEX(BASELINE!$A259:$ZZ259,CALC!$F$1))&gt;0,N(INDEX(BASELINE!$A259:$ZZ259,CALC!$F$1)),N(BASELINE!E259)),N(BASELINE!E259)))=INT(SIMOPS!$D$3),IFERROR(UPPER(TRIM(BASELINE!D259&amp;"")),"")&lt;&gt;"ENCERRADA"),1,0),0)</f>
        <v/>
      </c>
      <c r="B259">
        <f>B258+A259</f>
        <v/>
      </c>
    </row>
    <row r="260">
      <c r="A260">
        <f>IFERROR(IF(AND(BASELINE!I260&lt;&gt;"",INT(IF(CALC!$F$1&gt;0,IF(N(INDEX(BASELINE!$A260:$ZZ260,CALC!$F$1))&gt;0,N(INDEX(BASELINE!$A260:$ZZ260,CALC!$F$1)),N(BASELINE!E260)),N(BASELINE!E260)))=INT(SIMOPS!$D$3),IFERROR(UPPER(TRIM(BASELINE!D260&amp;"")),"")&lt;&gt;"ENCERRADA"),1,0),0)</f>
        <v/>
      </c>
      <c r="B260">
        <f>B259+A260</f>
        <v/>
      </c>
    </row>
    <row r="261">
      <c r="A261">
        <f>IFERROR(IF(AND(BASELINE!I261&lt;&gt;"",INT(IF(CALC!$F$1&gt;0,IF(N(INDEX(BASELINE!$A261:$ZZ261,CALC!$F$1))&gt;0,N(INDEX(BASELINE!$A261:$ZZ261,CALC!$F$1)),N(BASELINE!E261)),N(BASELINE!E261)))=INT(SIMOPS!$D$3),IFERROR(UPPER(TRIM(BASELINE!D261&amp;"")),"")&lt;&gt;"ENCERRADA"),1,0),0)</f>
        <v/>
      </c>
      <c r="B261">
        <f>B260+A261</f>
        <v/>
      </c>
    </row>
    <row r="262">
      <c r="A262">
        <f>IFERROR(IF(AND(BASELINE!I262&lt;&gt;"",INT(IF(CALC!$F$1&gt;0,IF(N(INDEX(BASELINE!$A262:$ZZ262,CALC!$F$1))&gt;0,N(INDEX(BASELINE!$A262:$ZZ262,CALC!$F$1)),N(BASELINE!E262)),N(BASELINE!E262)))=INT(SIMOPS!$D$3),IFERROR(UPPER(TRIM(BASELINE!D262&amp;"")),"")&lt;&gt;"ENCERRADA"),1,0),0)</f>
        <v/>
      </c>
      <c r="B262">
        <f>B261+A262</f>
        <v/>
      </c>
    </row>
    <row r="263">
      <c r="A263">
        <f>IFERROR(IF(AND(BASELINE!I263&lt;&gt;"",INT(IF(CALC!$F$1&gt;0,IF(N(INDEX(BASELINE!$A263:$ZZ263,CALC!$F$1))&gt;0,N(INDEX(BASELINE!$A263:$ZZ263,CALC!$F$1)),N(BASELINE!E263)),N(BASELINE!E263)))=INT(SIMOPS!$D$3),IFERROR(UPPER(TRIM(BASELINE!D263&amp;"")),"")&lt;&gt;"ENCERRADA"),1,0),0)</f>
        <v/>
      </c>
      <c r="B263">
        <f>B262+A263</f>
        <v/>
      </c>
    </row>
    <row r="264">
      <c r="A264">
        <f>IFERROR(IF(AND(BASELINE!I264&lt;&gt;"",INT(IF(CALC!$F$1&gt;0,IF(N(INDEX(BASELINE!$A264:$ZZ264,CALC!$F$1))&gt;0,N(INDEX(BASELINE!$A264:$ZZ264,CALC!$F$1)),N(BASELINE!E264)),N(BASELINE!E264)))=INT(SIMOPS!$D$3),IFERROR(UPPER(TRIM(BASELINE!D264&amp;"")),"")&lt;&gt;"ENCERRADA"),1,0),0)</f>
        <v/>
      </c>
      <c r="B264">
        <f>B263+A264</f>
        <v/>
      </c>
    </row>
    <row r="265">
      <c r="A265">
        <f>IFERROR(IF(AND(BASELINE!I265&lt;&gt;"",INT(IF(CALC!$F$1&gt;0,IF(N(INDEX(BASELINE!$A265:$ZZ265,CALC!$F$1))&gt;0,N(INDEX(BASELINE!$A265:$ZZ265,CALC!$F$1)),N(BASELINE!E265)),N(BASELINE!E265)))=INT(SIMOPS!$D$3),IFERROR(UPPER(TRIM(BASELINE!D265&amp;"")),"")&lt;&gt;"ENCERRADA"),1,0),0)</f>
        <v/>
      </c>
      <c r="B265">
        <f>B264+A265</f>
        <v/>
      </c>
    </row>
    <row r="266">
      <c r="A266">
        <f>IFERROR(IF(AND(BASELINE!I266&lt;&gt;"",INT(IF(CALC!$F$1&gt;0,IF(N(INDEX(BASELINE!$A266:$ZZ266,CALC!$F$1))&gt;0,N(INDEX(BASELINE!$A266:$ZZ266,CALC!$F$1)),N(BASELINE!E266)),N(BASELINE!E266)))=INT(SIMOPS!$D$3),IFERROR(UPPER(TRIM(BASELINE!D266&amp;"")),"")&lt;&gt;"ENCERRADA"),1,0),0)</f>
        <v/>
      </c>
      <c r="B266">
        <f>B265+A266</f>
        <v/>
      </c>
    </row>
    <row r="267">
      <c r="A267">
        <f>IFERROR(IF(AND(BASELINE!I267&lt;&gt;"",INT(IF(CALC!$F$1&gt;0,IF(N(INDEX(BASELINE!$A267:$ZZ267,CALC!$F$1))&gt;0,N(INDEX(BASELINE!$A267:$ZZ267,CALC!$F$1)),N(BASELINE!E267)),N(BASELINE!E267)))=INT(SIMOPS!$D$3),IFERROR(UPPER(TRIM(BASELINE!D267&amp;"")),"")&lt;&gt;"ENCERRADA"),1,0),0)</f>
        <v/>
      </c>
      <c r="B267">
        <f>B266+A267</f>
        <v/>
      </c>
    </row>
    <row r="268">
      <c r="A268">
        <f>IFERROR(IF(AND(BASELINE!I268&lt;&gt;"",INT(IF(CALC!$F$1&gt;0,IF(N(INDEX(BASELINE!$A268:$ZZ268,CALC!$F$1))&gt;0,N(INDEX(BASELINE!$A268:$ZZ268,CALC!$F$1)),N(BASELINE!E268)),N(BASELINE!E268)))=INT(SIMOPS!$D$3),IFERROR(UPPER(TRIM(BASELINE!D268&amp;"")),"")&lt;&gt;"ENCERRADA"),1,0),0)</f>
        <v/>
      </c>
      <c r="B268">
        <f>B267+A268</f>
        <v/>
      </c>
    </row>
    <row r="269">
      <c r="A269">
        <f>IFERROR(IF(AND(BASELINE!I269&lt;&gt;"",INT(IF(CALC!$F$1&gt;0,IF(N(INDEX(BASELINE!$A269:$ZZ269,CALC!$F$1))&gt;0,N(INDEX(BASELINE!$A269:$ZZ269,CALC!$F$1)),N(BASELINE!E269)),N(BASELINE!E269)))=INT(SIMOPS!$D$3),IFERROR(UPPER(TRIM(BASELINE!D269&amp;"")),"")&lt;&gt;"ENCERRADA"),1,0),0)</f>
        <v/>
      </c>
      <c r="B269">
        <f>B268+A269</f>
        <v/>
      </c>
    </row>
    <row r="270">
      <c r="A270">
        <f>IFERROR(IF(AND(BASELINE!I270&lt;&gt;"",INT(IF(CALC!$F$1&gt;0,IF(N(INDEX(BASELINE!$A270:$ZZ270,CALC!$F$1))&gt;0,N(INDEX(BASELINE!$A270:$ZZ270,CALC!$F$1)),N(BASELINE!E270)),N(BASELINE!E270)))=INT(SIMOPS!$D$3),IFERROR(UPPER(TRIM(BASELINE!D270&amp;"")),"")&lt;&gt;"ENCERRADA"),1,0),0)</f>
        <v/>
      </c>
      <c r="B270">
        <f>B269+A270</f>
        <v/>
      </c>
    </row>
    <row r="271">
      <c r="A271">
        <f>IFERROR(IF(AND(BASELINE!I271&lt;&gt;"",INT(IF(CALC!$F$1&gt;0,IF(N(INDEX(BASELINE!$A271:$ZZ271,CALC!$F$1))&gt;0,N(INDEX(BASELINE!$A271:$ZZ271,CALC!$F$1)),N(BASELINE!E271)),N(BASELINE!E271)))=INT(SIMOPS!$D$3),IFERROR(UPPER(TRIM(BASELINE!D271&amp;"")),"")&lt;&gt;"ENCERRADA"),1,0),0)</f>
        <v/>
      </c>
      <c r="B271">
        <f>B270+A271</f>
        <v/>
      </c>
    </row>
    <row r="272">
      <c r="A272">
        <f>IFERROR(IF(AND(BASELINE!I272&lt;&gt;"",INT(IF(CALC!$F$1&gt;0,IF(N(INDEX(BASELINE!$A272:$ZZ272,CALC!$F$1))&gt;0,N(INDEX(BASELINE!$A272:$ZZ272,CALC!$F$1)),N(BASELINE!E272)),N(BASELINE!E272)))=INT(SIMOPS!$D$3),IFERROR(UPPER(TRIM(BASELINE!D272&amp;"")),"")&lt;&gt;"ENCERRADA"),1,0),0)</f>
        <v/>
      </c>
      <c r="B272">
        <f>B271+A272</f>
        <v/>
      </c>
    </row>
    <row r="273">
      <c r="A273">
        <f>IFERROR(IF(AND(BASELINE!I273&lt;&gt;"",INT(IF(CALC!$F$1&gt;0,IF(N(INDEX(BASELINE!$A273:$ZZ273,CALC!$F$1))&gt;0,N(INDEX(BASELINE!$A273:$ZZ273,CALC!$F$1)),N(BASELINE!E273)),N(BASELINE!E273)))=INT(SIMOPS!$D$3),IFERROR(UPPER(TRIM(BASELINE!D273&amp;"")),"")&lt;&gt;"ENCERRADA"),1,0),0)</f>
        <v/>
      </c>
      <c r="B273">
        <f>B272+A273</f>
        <v/>
      </c>
    </row>
    <row r="274">
      <c r="A274">
        <f>IFERROR(IF(AND(BASELINE!I274&lt;&gt;"",INT(IF(CALC!$F$1&gt;0,IF(N(INDEX(BASELINE!$A274:$ZZ274,CALC!$F$1))&gt;0,N(INDEX(BASELINE!$A274:$ZZ274,CALC!$F$1)),N(BASELINE!E274)),N(BASELINE!E274)))=INT(SIMOPS!$D$3),IFERROR(UPPER(TRIM(BASELINE!D274&amp;"")),"")&lt;&gt;"ENCERRADA"),1,0),0)</f>
        <v/>
      </c>
      <c r="B274">
        <f>B273+A274</f>
        <v/>
      </c>
    </row>
    <row r="275">
      <c r="A275">
        <f>IFERROR(IF(AND(BASELINE!I275&lt;&gt;"",INT(IF(CALC!$F$1&gt;0,IF(N(INDEX(BASELINE!$A275:$ZZ275,CALC!$F$1))&gt;0,N(INDEX(BASELINE!$A275:$ZZ275,CALC!$F$1)),N(BASELINE!E275)),N(BASELINE!E275)))=INT(SIMOPS!$D$3),IFERROR(UPPER(TRIM(BASELINE!D275&amp;"")),"")&lt;&gt;"ENCERRADA"),1,0),0)</f>
        <v/>
      </c>
      <c r="B275">
        <f>B274+A275</f>
        <v/>
      </c>
    </row>
    <row r="276">
      <c r="A276">
        <f>IFERROR(IF(AND(BASELINE!I276&lt;&gt;"",INT(IF(CALC!$F$1&gt;0,IF(N(INDEX(BASELINE!$A276:$ZZ276,CALC!$F$1))&gt;0,N(INDEX(BASELINE!$A276:$ZZ276,CALC!$F$1)),N(BASELINE!E276)),N(BASELINE!E276)))=INT(SIMOPS!$D$3),IFERROR(UPPER(TRIM(BASELINE!D276&amp;"")),"")&lt;&gt;"ENCERRADA"),1,0),0)</f>
        <v/>
      </c>
      <c r="B276">
        <f>B275+A276</f>
        <v/>
      </c>
    </row>
    <row r="277">
      <c r="A277">
        <f>IFERROR(IF(AND(BASELINE!I277&lt;&gt;"",INT(IF(CALC!$F$1&gt;0,IF(N(INDEX(BASELINE!$A277:$ZZ277,CALC!$F$1))&gt;0,N(INDEX(BASELINE!$A277:$ZZ277,CALC!$F$1)),N(BASELINE!E277)),N(BASELINE!E277)))=INT(SIMOPS!$D$3),IFERROR(UPPER(TRIM(BASELINE!D277&amp;"")),"")&lt;&gt;"ENCERRADA"),1,0),0)</f>
        <v/>
      </c>
      <c r="B277">
        <f>B276+A277</f>
        <v/>
      </c>
    </row>
    <row r="278">
      <c r="A278">
        <f>IFERROR(IF(AND(BASELINE!I278&lt;&gt;"",INT(IF(CALC!$F$1&gt;0,IF(N(INDEX(BASELINE!$A278:$ZZ278,CALC!$F$1))&gt;0,N(INDEX(BASELINE!$A278:$ZZ278,CALC!$F$1)),N(BASELINE!E278)),N(BASELINE!E278)))=INT(SIMOPS!$D$3),IFERROR(UPPER(TRIM(BASELINE!D278&amp;"")),"")&lt;&gt;"ENCERRADA"),1,0),0)</f>
        <v/>
      </c>
      <c r="B278">
        <f>B277+A278</f>
        <v/>
      </c>
    </row>
    <row r="279">
      <c r="A279">
        <f>IFERROR(IF(AND(BASELINE!I279&lt;&gt;"",INT(IF(CALC!$F$1&gt;0,IF(N(INDEX(BASELINE!$A279:$ZZ279,CALC!$F$1))&gt;0,N(INDEX(BASELINE!$A279:$ZZ279,CALC!$F$1)),N(BASELINE!E279)),N(BASELINE!E279)))=INT(SIMOPS!$D$3),IFERROR(UPPER(TRIM(BASELINE!D279&amp;"")),"")&lt;&gt;"ENCERRADA"),1,0),0)</f>
        <v/>
      </c>
      <c r="B279">
        <f>B278+A279</f>
        <v/>
      </c>
    </row>
    <row r="280">
      <c r="A280">
        <f>IFERROR(IF(AND(BASELINE!I280&lt;&gt;"",INT(IF(CALC!$F$1&gt;0,IF(N(INDEX(BASELINE!$A280:$ZZ280,CALC!$F$1))&gt;0,N(INDEX(BASELINE!$A280:$ZZ280,CALC!$F$1)),N(BASELINE!E280)),N(BASELINE!E280)))=INT(SIMOPS!$D$3),IFERROR(UPPER(TRIM(BASELINE!D280&amp;"")),"")&lt;&gt;"ENCERRADA"),1,0),0)</f>
        <v/>
      </c>
      <c r="B280">
        <f>B279+A280</f>
        <v/>
      </c>
    </row>
    <row r="281">
      <c r="A281">
        <f>IFERROR(IF(AND(BASELINE!I281&lt;&gt;"",INT(IF(CALC!$F$1&gt;0,IF(N(INDEX(BASELINE!$A281:$ZZ281,CALC!$F$1))&gt;0,N(INDEX(BASELINE!$A281:$ZZ281,CALC!$F$1)),N(BASELINE!E281)),N(BASELINE!E281)))=INT(SIMOPS!$D$3),IFERROR(UPPER(TRIM(BASELINE!D281&amp;"")),"")&lt;&gt;"ENCERRADA"),1,0),0)</f>
        <v/>
      </c>
      <c r="B281">
        <f>B280+A281</f>
        <v/>
      </c>
    </row>
    <row r="282">
      <c r="A282">
        <f>IFERROR(IF(AND(BASELINE!I282&lt;&gt;"",INT(IF(CALC!$F$1&gt;0,IF(N(INDEX(BASELINE!$A282:$ZZ282,CALC!$F$1))&gt;0,N(INDEX(BASELINE!$A282:$ZZ282,CALC!$F$1)),N(BASELINE!E282)),N(BASELINE!E282)))=INT(SIMOPS!$D$3),IFERROR(UPPER(TRIM(BASELINE!D282&amp;"")),"")&lt;&gt;"ENCERRADA"),1,0),0)</f>
        <v/>
      </c>
      <c r="B282">
        <f>B281+A282</f>
        <v/>
      </c>
    </row>
    <row r="283">
      <c r="A283">
        <f>IFERROR(IF(AND(BASELINE!I283&lt;&gt;"",INT(IF(CALC!$F$1&gt;0,IF(N(INDEX(BASELINE!$A283:$ZZ283,CALC!$F$1))&gt;0,N(INDEX(BASELINE!$A283:$ZZ283,CALC!$F$1)),N(BASELINE!E283)),N(BASELINE!E283)))=INT(SIMOPS!$D$3),IFERROR(UPPER(TRIM(BASELINE!D283&amp;"")),"")&lt;&gt;"ENCERRADA"),1,0),0)</f>
        <v/>
      </c>
      <c r="B283">
        <f>B282+A283</f>
        <v/>
      </c>
    </row>
    <row r="284">
      <c r="A284">
        <f>IFERROR(IF(AND(BASELINE!I284&lt;&gt;"",INT(IF(CALC!$F$1&gt;0,IF(N(INDEX(BASELINE!$A284:$ZZ284,CALC!$F$1))&gt;0,N(INDEX(BASELINE!$A284:$ZZ284,CALC!$F$1)),N(BASELINE!E284)),N(BASELINE!E284)))=INT(SIMOPS!$D$3),IFERROR(UPPER(TRIM(BASELINE!D284&amp;"")),"")&lt;&gt;"ENCERRADA"),1,0),0)</f>
        <v/>
      </c>
      <c r="B284">
        <f>B283+A284</f>
        <v/>
      </c>
    </row>
    <row r="285">
      <c r="A285">
        <f>IFERROR(IF(AND(BASELINE!I285&lt;&gt;"",INT(IF(CALC!$F$1&gt;0,IF(N(INDEX(BASELINE!$A285:$ZZ285,CALC!$F$1))&gt;0,N(INDEX(BASELINE!$A285:$ZZ285,CALC!$F$1)),N(BASELINE!E285)),N(BASELINE!E285)))=INT(SIMOPS!$D$3),IFERROR(UPPER(TRIM(BASELINE!D285&amp;"")),"")&lt;&gt;"ENCERRADA"),1,0),0)</f>
        <v/>
      </c>
      <c r="B285">
        <f>B284+A285</f>
        <v/>
      </c>
    </row>
    <row r="286">
      <c r="A286">
        <f>IFERROR(IF(AND(BASELINE!I286&lt;&gt;"",INT(IF(CALC!$F$1&gt;0,IF(N(INDEX(BASELINE!$A286:$ZZ286,CALC!$F$1))&gt;0,N(INDEX(BASELINE!$A286:$ZZ286,CALC!$F$1)),N(BASELINE!E286)),N(BASELINE!E286)))=INT(SIMOPS!$D$3),IFERROR(UPPER(TRIM(BASELINE!D286&amp;"")),"")&lt;&gt;"ENCERRADA"),1,0),0)</f>
        <v/>
      </c>
      <c r="B286">
        <f>B285+A286</f>
        <v/>
      </c>
    </row>
    <row r="287">
      <c r="A287">
        <f>IFERROR(IF(AND(BASELINE!I287&lt;&gt;"",INT(IF(CALC!$F$1&gt;0,IF(N(INDEX(BASELINE!$A287:$ZZ287,CALC!$F$1))&gt;0,N(INDEX(BASELINE!$A287:$ZZ287,CALC!$F$1)),N(BASELINE!E287)),N(BASELINE!E287)))=INT(SIMOPS!$D$3),IFERROR(UPPER(TRIM(BASELINE!D287&amp;"")),"")&lt;&gt;"ENCERRADA"),1,0),0)</f>
        <v/>
      </c>
      <c r="B287">
        <f>B286+A287</f>
        <v/>
      </c>
    </row>
    <row r="288">
      <c r="A288">
        <f>IFERROR(IF(AND(BASELINE!I288&lt;&gt;"",INT(IF(CALC!$F$1&gt;0,IF(N(INDEX(BASELINE!$A288:$ZZ288,CALC!$F$1))&gt;0,N(INDEX(BASELINE!$A288:$ZZ288,CALC!$F$1)),N(BASELINE!E288)),N(BASELINE!E288)))=INT(SIMOPS!$D$3),IFERROR(UPPER(TRIM(BASELINE!D288&amp;"")),"")&lt;&gt;"ENCERRADA"),1,0),0)</f>
        <v/>
      </c>
      <c r="B288">
        <f>B287+A288</f>
        <v/>
      </c>
    </row>
    <row r="289">
      <c r="A289">
        <f>IFERROR(IF(AND(BASELINE!I289&lt;&gt;"",INT(IF(CALC!$F$1&gt;0,IF(N(INDEX(BASELINE!$A289:$ZZ289,CALC!$F$1))&gt;0,N(INDEX(BASELINE!$A289:$ZZ289,CALC!$F$1)),N(BASELINE!E289)),N(BASELINE!E289)))=INT(SIMOPS!$D$3),IFERROR(UPPER(TRIM(BASELINE!D289&amp;"")),"")&lt;&gt;"ENCERRADA"),1,0),0)</f>
        <v/>
      </c>
      <c r="B289">
        <f>B288+A289</f>
        <v/>
      </c>
    </row>
    <row r="290">
      <c r="A290">
        <f>IFERROR(IF(AND(BASELINE!I290&lt;&gt;"",INT(IF(CALC!$F$1&gt;0,IF(N(INDEX(BASELINE!$A290:$ZZ290,CALC!$F$1))&gt;0,N(INDEX(BASELINE!$A290:$ZZ290,CALC!$F$1)),N(BASELINE!E290)),N(BASELINE!E290)))=INT(SIMOPS!$D$3),IFERROR(UPPER(TRIM(BASELINE!D290&amp;"")),"")&lt;&gt;"ENCERRADA"),1,0),0)</f>
        <v/>
      </c>
      <c r="B290">
        <f>B289+A290</f>
        <v/>
      </c>
    </row>
    <row r="291">
      <c r="A291">
        <f>IFERROR(IF(AND(BASELINE!I291&lt;&gt;"",INT(IF(CALC!$F$1&gt;0,IF(N(INDEX(BASELINE!$A291:$ZZ291,CALC!$F$1))&gt;0,N(INDEX(BASELINE!$A291:$ZZ291,CALC!$F$1)),N(BASELINE!E291)),N(BASELINE!E291)))=INT(SIMOPS!$D$3),IFERROR(UPPER(TRIM(BASELINE!D291&amp;"")),"")&lt;&gt;"ENCERRADA"),1,0),0)</f>
        <v/>
      </c>
      <c r="B291">
        <f>B290+A291</f>
        <v/>
      </c>
    </row>
    <row r="292">
      <c r="A292">
        <f>IFERROR(IF(AND(BASELINE!I292&lt;&gt;"",INT(IF(CALC!$F$1&gt;0,IF(N(INDEX(BASELINE!$A292:$ZZ292,CALC!$F$1))&gt;0,N(INDEX(BASELINE!$A292:$ZZ292,CALC!$F$1)),N(BASELINE!E292)),N(BASELINE!E292)))=INT(SIMOPS!$D$3),IFERROR(UPPER(TRIM(BASELINE!D292&amp;"")),"")&lt;&gt;"ENCERRADA"),1,0),0)</f>
        <v/>
      </c>
      <c r="B292">
        <f>B291+A292</f>
        <v/>
      </c>
    </row>
    <row r="293">
      <c r="A293">
        <f>IFERROR(IF(AND(BASELINE!I293&lt;&gt;"",INT(IF(CALC!$F$1&gt;0,IF(N(INDEX(BASELINE!$A293:$ZZ293,CALC!$F$1))&gt;0,N(INDEX(BASELINE!$A293:$ZZ293,CALC!$F$1)),N(BASELINE!E293)),N(BASELINE!E293)))=INT(SIMOPS!$D$3),IFERROR(UPPER(TRIM(BASELINE!D293&amp;"")),"")&lt;&gt;"ENCERRADA"),1,0),0)</f>
        <v/>
      </c>
      <c r="B293">
        <f>B292+A293</f>
        <v/>
      </c>
    </row>
    <row r="294">
      <c r="A294">
        <f>IFERROR(IF(AND(BASELINE!I294&lt;&gt;"",INT(IF(CALC!$F$1&gt;0,IF(N(INDEX(BASELINE!$A294:$ZZ294,CALC!$F$1))&gt;0,N(INDEX(BASELINE!$A294:$ZZ294,CALC!$F$1)),N(BASELINE!E294)),N(BASELINE!E294)))=INT(SIMOPS!$D$3),IFERROR(UPPER(TRIM(BASELINE!D294&amp;"")),"")&lt;&gt;"ENCERRADA"),1,0),0)</f>
        <v/>
      </c>
      <c r="B294">
        <f>B293+A294</f>
        <v/>
      </c>
    </row>
    <row r="295">
      <c r="A295">
        <f>IFERROR(IF(AND(BASELINE!I295&lt;&gt;"",INT(IF(CALC!$F$1&gt;0,IF(N(INDEX(BASELINE!$A295:$ZZ295,CALC!$F$1))&gt;0,N(INDEX(BASELINE!$A295:$ZZ295,CALC!$F$1)),N(BASELINE!E295)),N(BASELINE!E295)))=INT(SIMOPS!$D$3),IFERROR(UPPER(TRIM(BASELINE!D295&amp;"")),"")&lt;&gt;"ENCERRADA"),1,0),0)</f>
        <v/>
      </c>
      <c r="B295">
        <f>B294+A295</f>
        <v/>
      </c>
    </row>
    <row r="296">
      <c r="A296">
        <f>IFERROR(IF(AND(BASELINE!I296&lt;&gt;"",INT(IF(CALC!$F$1&gt;0,IF(N(INDEX(BASELINE!$A296:$ZZ296,CALC!$F$1))&gt;0,N(INDEX(BASELINE!$A296:$ZZ296,CALC!$F$1)),N(BASELINE!E296)),N(BASELINE!E296)))=INT(SIMOPS!$D$3),IFERROR(UPPER(TRIM(BASELINE!D296&amp;"")),"")&lt;&gt;"ENCERRADA"),1,0),0)</f>
        <v/>
      </c>
      <c r="B296">
        <f>B295+A296</f>
        <v/>
      </c>
    </row>
    <row r="297">
      <c r="A297">
        <f>IFERROR(IF(AND(BASELINE!I297&lt;&gt;"",INT(IF(CALC!$F$1&gt;0,IF(N(INDEX(BASELINE!$A297:$ZZ297,CALC!$F$1))&gt;0,N(INDEX(BASELINE!$A297:$ZZ297,CALC!$F$1)),N(BASELINE!E297)),N(BASELINE!E297)))=INT(SIMOPS!$D$3),IFERROR(UPPER(TRIM(BASELINE!D297&amp;"")),"")&lt;&gt;"ENCERRADA"),1,0),0)</f>
        <v/>
      </c>
      <c r="B297">
        <f>B296+A297</f>
        <v/>
      </c>
    </row>
    <row r="298">
      <c r="A298">
        <f>IFERROR(IF(AND(BASELINE!I298&lt;&gt;"",INT(IF(CALC!$F$1&gt;0,IF(N(INDEX(BASELINE!$A298:$ZZ298,CALC!$F$1))&gt;0,N(INDEX(BASELINE!$A298:$ZZ298,CALC!$F$1)),N(BASELINE!E298)),N(BASELINE!E298)))=INT(SIMOPS!$D$3),IFERROR(UPPER(TRIM(BASELINE!D298&amp;"")),"")&lt;&gt;"ENCERRADA"),1,0),0)</f>
        <v/>
      </c>
      <c r="B298">
        <f>B297+A298</f>
        <v/>
      </c>
    </row>
    <row r="299">
      <c r="A299">
        <f>IFERROR(IF(AND(BASELINE!I299&lt;&gt;"",INT(IF(CALC!$F$1&gt;0,IF(N(INDEX(BASELINE!$A299:$ZZ299,CALC!$F$1))&gt;0,N(INDEX(BASELINE!$A299:$ZZ299,CALC!$F$1)),N(BASELINE!E299)),N(BASELINE!E299)))=INT(SIMOPS!$D$3),IFERROR(UPPER(TRIM(BASELINE!D299&amp;"")),"")&lt;&gt;"ENCERRADA"),1,0),0)</f>
        <v/>
      </c>
      <c r="B299">
        <f>B298+A299</f>
        <v/>
      </c>
    </row>
    <row r="300">
      <c r="A300">
        <f>IFERROR(IF(AND(BASELINE!I300&lt;&gt;"",INT(IF(CALC!$F$1&gt;0,IF(N(INDEX(BASELINE!$A300:$ZZ300,CALC!$F$1))&gt;0,N(INDEX(BASELINE!$A300:$ZZ300,CALC!$F$1)),N(BASELINE!E300)),N(BASELINE!E300)))=INT(SIMOPS!$D$3),IFERROR(UPPER(TRIM(BASELINE!D300&amp;"")),"")&lt;&gt;"ENCERRADA"),1,0),0)</f>
        <v/>
      </c>
      <c r="B300">
        <f>B299+A300</f>
        <v/>
      </c>
    </row>
    <row r="301">
      <c r="A301">
        <f>IFERROR(IF(AND(BASELINE!I301&lt;&gt;"",INT(IF(CALC!$F$1&gt;0,IF(N(INDEX(BASELINE!$A301:$ZZ301,CALC!$F$1))&gt;0,N(INDEX(BASELINE!$A301:$ZZ301,CALC!$F$1)),N(BASELINE!E301)),N(BASELINE!E301)))=INT(SIMOPS!$D$3),IFERROR(UPPER(TRIM(BASELINE!D301&amp;"")),"")&lt;&gt;"ENCERRADA"),1,0),0)</f>
        <v/>
      </c>
      <c r="B301">
        <f>B300+A301</f>
        <v/>
      </c>
    </row>
    <row r="302">
      <c r="A302">
        <f>IFERROR(IF(AND(BASELINE!I302&lt;&gt;"",INT(IF(CALC!$F$1&gt;0,IF(N(INDEX(BASELINE!$A302:$ZZ302,CALC!$F$1))&gt;0,N(INDEX(BASELINE!$A302:$ZZ302,CALC!$F$1)),N(BASELINE!E302)),N(BASELINE!E302)))=INT(SIMOPS!$D$3),IFERROR(UPPER(TRIM(BASELINE!D302&amp;"")),"")&lt;&gt;"ENCERRADA"),1,0),0)</f>
        <v/>
      </c>
      <c r="B302">
        <f>B301+A302</f>
        <v/>
      </c>
    </row>
    <row r="303">
      <c r="A303">
        <f>IFERROR(IF(AND(BASELINE!I303&lt;&gt;"",INT(IF(CALC!$F$1&gt;0,IF(N(INDEX(BASELINE!$A303:$ZZ303,CALC!$F$1))&gt;0,N(INDEX(BASELINE!$A303:$ZZ303,CALC!$F$1)),N(BASELINE!E303)),N(BASELINE!E303)))=INT(SIMOPS!$D$3),IFERROR(UPPER(TRIM(BASELINE!D303&amp;"")),"")&lt;&gt;"ENCERRADA"),1,0),0)</f>
        <v/>
      </c>
      <c r="B303">
        <f>B302+A303</f>
        <v/>
      </c>
    </row>
    <row r="304">
      <c r="A304">
        <f>IFERROR(IF(AND(BASELINE!I304&lt;&gt;"",INT(IF(CALC!$F$1&gt;0,IF(N(INDEX(BASELINE!$A304:$ZZ304,CALC!$F$1))&gt;0,N(INDEX(BASELINE!$A304:$ZZ304,CALC!$F$1)),N(BASELINE!E304)),N(BASELINE!E304)))=INT(SIMOPS!$D$3),IFERROR(UPPER(TRIM(BASELINE!D304&amp;"")),"")&lt;&gt;"ENCERRADA"),1,0),0)</f>
        <v/>
      </c>
      <c r="B304">
        <f>B303+A304</f>
        <v/>
      </c>
    </row>
    <row r="305">
      <c r="A305">
        <f>IFERROR(IF(AND(BASELINE!I305&lt;&gt;"",INT(IF(CALC!$F$1&gt;0,IF(N(INDEX(BASELINE!$A305:$ZZ305,CALC!$F$1))&gt;0,N(INDEX(BASELINE!$A305:$ZZ305,CALC!$F$1)),N(BASELINE!E305)),N(BASELINE!E305)))=INT(SIMOPS!$D$3),IFERROR(UPPER(TRIM(BASELINE!D305&amp;"")),"")&lt;&gt;"ENCERRADA"),1,0),0)</f>
        <v/>
      </c>
      <c r="B305">
        <f>B304+A305</f>
        <v/>
      </c>
    </row>
    <row r="306">
      <c r="A306">
        <f>IFERROR(IF(AND(BASELINE!I306&lt;&gt;"",INT(IF(CALC!$F$1&gt;0,IF(N(INDEX(BASELINE!$A306:$ZZ306,CALC!$F$1))&gt;0,N(INDEX(BASELINE!$A306:$ZZ306,CALC!$F$1)),N(BASELINE!E306)),N(BASELINE!E306)))=INT(SIMOPS!$D$3),IFERROR(UPPER(TRIM(BASELINE!D306&amp;"")),"")&lt;&gt;"ENCERRADA"),1,0),0)</f>
        <v/>
      </c>
      <c r="B306">
        <f>B305+A306</f>
        <v/>
      </c>
    </row>
    <row r="307">
      <c r="A307">
        <f>IFERROR(IF(AND(BASELINE!I307&lt;&gt;"",INT(IF(CALC!$F$1&gt;0,IF(N(INDEX(BASELINE!$A307:$ZZ307,CALC!$F$1))&gt;0,N(INDEX(BASELINE!$A307:$ZZ307,CALC!$F$1)),N(BASELINE!E307)),N(BASELINE!E307)))=INT(SIMOPS!$D$3),IFERROR(UPPER(TRIM(BASELINE!D307&amp;"")),"")&lt;&gt;"ENCERRADA"),1,0),0)</f>
        <v/>
      </c>
      <c r="B307">
        <f>B306+A307</f>
        <v/>
      </c>
    </row>
    <row r="308">
      <c r="A308">
        <f>IFERROR(IF(AND(BASELINE!I308&lt;&gt;"",INT(IF(CALC!$F$1&gt;0,IF(N(INDEX(BASELINE!$A308:$ZZ308,CALC!$F$1))&gt;0,N(INDEX(BASELINE!$A308:$ZZ308,CALC!$F$1)),N(BASELINE!E308)),N(BASELINE!E308)))=INT(SIMOPS!$D$3),IFERROR(UPPER(TRIM(BASELINE!D308&amp;"")),"")&lt;&gt;"ENCERRADA"),1,0),0)</f>
        <v/>
      </c>
      <c r="B308">
        <f>B307+A308</f>
        <v/>
      </c>
    </row>
    <row r="309">
      <c r="A309">
        <f>IFERROR(IF(AND(BASELINE!I309&lt;&gt;"",INT(IF(CALC!$F$1&gt;0,IF(N(INDEX(BASELINE!$A309:$ZZ309,CALC!$F$1))&gt;0,N(INDEX(BASELINE!$A309:$ZZ309,CALC!$F$1)),N(BASELINE!E309)),N(BASELINE!E309)))=INT(SIMOPS!$D$3),IFERROR(UPPER(TRIM(BASELINE!D309&amp;"")),"")&lt;&gt;"ENCERRADA"),1,0),0)</f>
        <v/>
      </c>
      <c r="B309">
        <f>B308+A309</f>
        <v/>
      </c>
    </row>
    <row r="310">
      <c r="A310">
        <f>IFERROR(IF(AND(BASELINE!I310&lt;&gt;"",INT(IF(CALC!$F$1&gt;0,IF(N(INDEX(BASELINE!$A310:$ZZ310,CALC!$F$1))&gt;0,N(INDEX(BASELINE!$A310:$ZZ310,CALC!$F$1)),N(BASELINE!E310)),N(BASELINE!E310)))=INT(SIMOPS!$D$3),IFERROR(UPPER(TRIM(BASELINE!D310&amp;"")),"")&lt;&gt;"ENCERRADA"),1,0),0)</f>
        <v/>
      </c>
      <c r="B310">
        <f>B309+A310</f>
        <v/>
      </c>
    </row>
    <row r="311">
      <c r="A311">
        <f>IFERROR(IF(AND(BASELINE!I311&lt;&gt;"",INT(IF(CALC!$F$1&gt;0,IF(N(INDEX(BASELINE!$A311:$ZZ311,CALC!$F$1))&gt;0,N(INDEX(BASELINE!$A311:$ZZ311,CALC!$F$1)),N(BASELINE!E311)),N(BASELINE!E311)))=INT(SIMOPS!$D$3),IFERROR(UPPER(TRIM(BASELINE!D311&amp;"")),"")&lt;&gt;"ENCERRADA"),1,0),0)</f>
        <v/>
      </c>
      <c r="B311">
        <f>B310+A311</f>
        <v/>
      </c>
    </row>
    <row r="312">
      <c r="A312">
        <f>IFERROR(IF(AND(BASELINE!I312&lt;&gt;"",INT(IF(CALC!$F$1&gt;0,IF(N(INDEX(BASELINE!$A312:$ZZ312,CALC!$F$1))&gt;0,N(INDEX(BASELINE!$A312:$ZZ312,CALC!$F$1)),N(BASELINE!E312)),N(BASELINE!E312)))=INT(SIMOPS!$D$3),IFERROR(UPPER(TRIM(BASELINE!D312&amp;"")),"")&lt;&gt;"ENCERRADA"),1,0),0)</f>
        <v/>
      </c>
      <c r="B312">
        <f>B311+A312</f>
        <v/>
      </c>
    </row>
    <row r="313">
      <c r="A313">
        <f>IFERROR(IF(AND(BASELINE!I313&lt;&gt;"",INT(IF(CALC!$F$1&gt;0,IF(N(INDEX(BASELINE!$A313:$ZZ313,CALC!$F$1))&gt;0,N(INDEX(BASELINE!$A313:$ZZ313,CALC!$F$1)),N(BASELINE!E313)),N(BASELINE!E313)))=INT(SIMOPS!$D$3),IFERROR(UPPER(TRIM(BASELINE!D313&amp;"")),"")&lt;&gt;"ENCERRADA"),1,0),0)</f>
        <v/>
      </c>
      <c r="B313">
        <f>B312+A313</f>
        <v/>
      </c>
    </row>
    <row r="314">
      <c r="A314">
        <f>IFERROR(IF(AND(BASELINE!I314&lt;&gt;"",INT(IF(CALC!$F$1&gt;0,IF(N(INDEX(BASELINE!$A314:$ZZ314,CALC!$F$1))&gt;0,N(INDEX(BASELINE!$A314:$ZZ314,CALC!$F$1)),N(BASELINE!E314)),N(BASELINE!E314)))=INT(SIMOPS!$D$3),IFERROR(UPPER(TRIM(BASELINE!D314&amp;"")),"")&lt;&gt;"ENCERRADA"),1,0),0)</f>
        <v/>
      </c>
      <c r="B314">
        <f>B313+A314</f>
        <v/>
      </c>
    </row>
    <row r="315">
      <c r="A315">
        <f>IFERROR(IF(AND(BASELINE!I315&lt;&gt;"",INT(IF(CALC!$F$1&gt;0,IF(N(INDEX(BASELINE!$A315:$ZZ315,CALC!$F$1))&gt;0,N(INDEX(BASELINE!$A315:$ZZ315,CALC!$F$1)),N(BASELINE!E315)),N(BASELINE!E315)))=INT(SIMOPS!$D$3),IFERROR(UPPER(TRIM(BASELINE!D315&amp;"")),"")&lt;&gt;"ENCERRADA"),1,0),0)</f>
        <v/>
      </c>
      <c r="B315">
        <f>B314+A315</f>
        <v/>
      </c>
    </row>
    <row r="316">
      <c r="A316">
        <f>IFERROR(IF(AND(BASELINE!I316&lt;&gt;"",INT(IF(CALC!$F$1&gt;0,IF(N(INDEX(BASELINE!$A316:$ZZ316,CALC!$F$1))&gt;0,N(INDEX(BASELINE!$A316:$ZZ316,CALC!$F$1)),N(BASELINE!E316)),N(BASELINE!E316)))=INT(SIMOPS!$D$3),IFERROR(UPPER(TRIM(BASELINE!D316&amp;"")),"")&lt;&gt;"ENCERRADA"),1,0),0)</f>
        <v/>
      </c>
      <c r="B316">
        <f>B315+A316</f>
        <v/>
      </c>
    </row>
    <row r="317">
      <c r="A317">
        <f>IFERROR(IF(AND(BASELINE!I317&lt;&gt;"",INT(IF(CALC!$F$1&gt;0,IF(N(INDEX(BASELINE!$A317:$ZZ317,CALC!$F$1))&gt;0,N(INDEX(BASELINE!$A317:$ZZ317,CALC!$F$1)),N(BASELINE!E317)),N(BASELINE!E317)))=INT(SIMOPS!$D$3),IFERROR(UPPER(TRIM(BASELINE!D317&amp;"")),"")&lt;&gt;"ENCERRADA"),1,0),0)</f>
        <v/>
      </c>
      <c r="B317">
        <f>B316+A317</f>
        <v/>
      </c>
    </row>
    <row r="318">
      <c r="A318">
        <f>IFERROR(IF(AND(BASELINE!I318&lt;&gt;"",INT(IF(CALC!$F$1&gt;0,IF(N(INDEX(BASELINE!$A318:$ZZ318,CALC!$F$1))&gt;0,N(INDEX(BASELINE!$A318:$ZZ318,CALC!$F$1)),N(BASELINE!E318)),N(BASELINE!E318)))=INT(SIMOPS!$D$3),IFERROR(UPPER(TRIM(BASELINE!D318&amp;"")),"")&lt;&gt;"ENCERRADA"),1,0),0)</f>
        <v/>
      </c>
      <c r="B318">
        <f>B317+A318</f>
        <v/>
      </c>
    </row>
    <row r="319">
      <c r="A319">
        <f>IFERROR(IF(AND(BASELINE!I319&lt;&gt;"",INT(IF(CALC!$F$1&gt;0,IF(N(INDEX(BASELINE!$A319:$ZZ319,CALC!$F$1))&gt;0,N(INDEX(BASELINE!$A319:$ZZ319,CALC!$F$1)),N(BASELINE!E319)),N(BASELINE!E319)))=INT(SIMOPS!$D$3),IFERROR(UPPER(TRIM(BASELINE!D319&amp;"")),"")&lt;&gt;"ENCERRADA"),1,0),0)</f>
        <v/>
      </c>
      <c r="B319">
        <f>B318+A319</f>
        <v/>
      </c>
    </row>
    <row r="320">
      <c r="A320">
        <f>IFERROR(IF(AND(BASELINE!I320&lt;&gt;"",INT(IF(CALC!$F$1&gt;0,IF(N(INDEX(BASELINE!$A320:$ZZ320,CALC!$F$1))&gt;0,N(INDEX(BASELINE!$A320:$ZZ320,CALC!$F$1)),N(BASELINE!E320)),N(BASELINE!E320)))=INT(SIMOPS!$D$3),IFERROR(UPPER(TRIM(BASELINE!D320&amp;"")),"")&lt;&gt;"ENCERRADA"),1,0),0)</f>
        <v/>
      </c>
      <c r="B320">
        <f>B319+A320</f>
        <v/>
      </c>
    </row>
    <row r="321">
      <c r="A321">
        <f>IFERROR(IF(AND(BASELINE!I321&lt;&gt;"",INT(IF(CALC!$F$1&gt;0,IF(N(INDEX(BASELINE!$A321:$ZZ321,CALC!$F$1))&gt;0,N(INDEX(BASELINE!$A321:$ZZ321,CALC!$F$1)),N(BASELINE!E321)),N(BASELINE!E321)))=INT(SIMOPS!$D$3),IFERROR(UPPER(TRIM(BASELINE!D321&amp;"")),"")&lt;&gt;"ENCERRADA"),1,0),0)</f>
        <v/>
      </c>
      <c r="B321">
        <f>B320+A321</f>
        <v/>
      </c>
    </row>
    <row r="322">
      <c r="A322">
        <f>IFERROR(IF(AND(BASELINE!I322&lt;&gt;"",INT(IF(CALC!$F$1&gt;0,IF(N(INDEX(BASELINE!$A322:$ZZ322,CALC!$F$1))&gt;0,N(INDEX(BASELINE!$A322:$ZZ322,CALC!$F$1)),N(BASELINE!E322)),N(BASELINE!E322)))=INT(SIMOPS!$D$3),IFERROR(UPPER(TRIM(BASELINE!D322&amp;"")),"")&lt;&gt;"ENCERRADA"),1,0),0)</f>
        <v/>
      </c>
      <c r="B322">
        <f>B321+A322</f>
        <v/>
      </c>
    </row>
    <row r="323">
      <c r="A323">
        <f>IFERROR(IF(AND(BASELINE!I323&lt;&gt;"",INT(IF(CALC!$F$1&gt;0,IF(N(INDEX(BASELINE!$A323:$ZZ323,CALC!$F$1))&gt;0,N(INDEX(BASELINE!$A323:$ZZ323,CALC!$F$1)),N(BASELINE!E323)),N(BASELINE!E323)))=INT(SIMOPS!$D$3),IFERROR(UPPER(TRIM(BASELINE!D323&amp;"")),"")&lt;&gt;"ENCERRADA"),1,0),0)</f>
        <v/>
      </c>
      <c r="B323">
        <f>B322+A323</f>
        <v/>
      </c>
    </row>
    <row r="324">
      <c r="A324">
        <f>IFERROR(IF(AND(BASELINE!I324&lt;&gt;"",INT(IF(CALC!$F$1&gt;0,IF(N(INDEX(BASELINE!$A324:$ZZ324,CALC!$F$1))&gt;0,N(INDEX(BASELINE!$A324:$ZZ324,CALC!$F$1)),N(BASELINE!E324)),N(BASELINE!E324)))=INT(SIMOPS!$D$3),IFERROR(UPPER(TRIM(BASELINE!D324&amp;"")),"")&lt;&gt;"ENCERRADA"),1,0),0)</f>
        <v/>
      </c>
      <c r="B324">
        <f>B323+A324</f>
        <v/>
      </c>
    </row>
    <row r="325">
      <c r="A325">
        <f>IFERROR(IF(AND(BASELINE!I325&lt;&gt;"",INT(IF(CALC!$F$1&gt;0,IF(N(INDEX(BASELINE!$A325:$ZZ325,CALC!$F$1))&gt;0,N(INDEX(BASELINE!$A325:$ZZ325,CALC!$F$1)),N(BASELINE!E325)),N(BASELINE!E325)))=INT(SIMOPS!$D$3),IFERROR(UPPER(TRIM(BASELINE!D325&amp;"")),"")&lt;&gt;"ENCERRADA"),1,0),0)</f>
        <v/>
      </c>
      <c r="B325">
        <f>B324+A325</f>
        <v/>
      </c>
    </row>
    <row r="326">
      <c r="A326">
        <f>IFERROR(IF(AND(BASELINE!I326&lt;&gt;"",INT(IF(CALC!$F$1&gt;0,IF(N(INDEX(BASELINE!$A326:$ZZ326,CALC!$F$1))&gt;0,N(INDEX(BASELINE!$A326:$ZZ326,CALC!$F$1)),N(BASELINE!E326)),N(BASELINE!E326)))=INT(SIMOPS!$D$3),IFERROR(UPPER(TRIM(BASELINE!D326&amp;"")),"")&lt;&gt;"ENCERRADA"),1,0),0)</f>
        <v/>
      </c>
      <c r="B326">
        <f>B325+A326</f>
        <v/>
      </c>
    </row>
    <row r="327">
      <c r="A327">
        <f>IFERROR(IF(AND(BASELINE!I327&lt;&gt;"",INT(IF(CALC!$F$1&gt;0,IF(N(INDEX(BASELINE!$A327:$ZZ327,CALC!$F$1))&gt;0,N(INDEX(BASELINE!$A327:$ZZ327,CALC!$F$1)),N(BASELINE!E327)),N(BASELINE!E327)))=INT(SIMOPS!$D$3),IFERROR(UPPER(TRIM(BASELINE!D327&amp;"")),"")&lt;&gt;"ENCERRADA"),1,0),0)</f>
        <v/>
      </c>
      <c r="B327">
        <f>B326+A327</f>
        <v/>
      </c>
    </row>
    <row r="328">
      <c r="A328">
        <f>IFERROR(IF(AND(BASELINE!I328&lt;&gt;"",INT(IF(CALC!$F$1&gt;0,IF(N(INDEX(BASELINE!$A328:$ZZ328,CALC!$F$1))&gt;0,N(INDEX(BASELINE!$A328:$ZZ328,CALC!$F$1)),N(BASELINE!E328)),N(BASELINE!E328)))=INT(SIMOPS!$D$3),IFERROR(UPPER(TRIM(BASELINE!D328&amp;"")),"")&lt;&gt;"ENCERRADA"),1,0),0)</f>
        <v/>
      </c>
      <c r="B328">
        <f>B327+A328</f>
        <v/>
      </c>
    </row>
    <row r="329">
      <c r="A329">
        <f>IFERROR(IF(AND(BASELINE!I329&lt;&gt;"",INT(IF(CALC!$F$1&gt;0,IF(N(INDEX(BASELINE!$A329:$ZZ329,CALC!$F$1))&gt;0,N(INDEX(BASELINE!$A329:$ZZ329,CALC!$F$1)),N(BASELINE!E329)),N(BASELINE!E329)))=INT(SIMOPS!$D$3),IFERROR(UPPER(TRIM(BASELINE!D329&amp;"")),"")&lt;&gt;"ENCERRADA"),1,0),0)</f>
        <v/>
      </c>
      <c r="B329">
        <f>B328+A329</f>
        <v/>
      </c>
    </row>
    <row r="330">
      <c r="A330">
        <f>IFERROR(IF(AND(BASELINE!I330&lt;&gt;"",INT(IF(CALC!$F$1&gt;0,IF(N(INDEX(BASELINE!$A330:$ZZ330,CALC!$F$1))&gt;0,N(INDEX(BASELINE!$A330:$ZZ330,CALC!$F$1)),N(BASELINE!E330)),N(BASELINE!E330)))=INT(SIMOPS!$D$3),IFERROR(UPPER(TRIM(BASELINE!D330&amp;"")),"")&lt;&gt;"ENCERRADA"),1,0),0)</f>
        <v/>
      </c>
      <c r="B330">
        <f>B329+A330</f>
        <v/>
      </c>
    </row>
    <row r="331">
      <c r="A331">
        <f>IFERROR(IF(AND(BASELINE!I331&lt;&gt;"",INT(IF(CALC!$F$1&gt;0,IF(N(INDEX(BASELINE!$A331:$ZZ331,CALC!$F$1))&gt;0,N(INDEX(BASELINE!$A331:$ZZ331,CALC!$F$1)),N(BASELINE!E331)),N(BASELINE!E331)))=INT(SIMOPS!$D$3),IFERROR(UPPER(TRIM(BASELINE!D331&amp;"")),"")&lt;&gt;"ENCERRADA"),1,0),0)</f>
        <v/>
      </c>
      <c r="B331">
        <f>B330+A331</f>
        <v/>
      </c>
    </row>
    <row r="332">
      <c r="A332">
        <f>IFERROR(IF(AND(BASELINE!I332&lt;&gt;"",INT(IF(CALC!$F$1&gt;0,IF(N(INDEX(BASELINE!$A332:$ZZ332,CALC!$F$1))&gt;0,N(INDEX(BASELINE!$A332:$ZZ332,CALC!$F$1)),N(BASELINE!E332)),N(BASELINE!E332)))=INT(SIMOPS!$D$3),IFERROR(UPPER(TRIM(BASELINE!D332&amp;"")),"")&lt;&gt;"ENCERRADA"),1,0),0)</f>
        <v/>
      </c>
      <c r="B332">
        <f>B331+A332</f>
        <v/>
      </c>
    </row>
    <row r="333">
      <c r="A333">
        <f>IFERROR(IF(AND(BASELINE!I333&lt;&gt;"",INT(IF(CALC!$F$1&gt;0,IF(N(INDEX(BASELINE!$A333:$ZZ333,CALC!$F$1))&gt;0,N(INDEX(BASELINE!$A333:$ZZ333,CALC!$F$1)),N(BASELINE!E333)),N(BASELINE!E333)))=INT(SIMOPS!$D$3),IFERROR(UPPER(TRIM(BASELINE!D333&amp;"")),"")&lt;&gt;"ENCERRADA"),1,0),0)</f>
        <v/>
      </c>
      <c r="B333">
        <f>B332+A333</f>
        <v/>
      </c>
    </row>
    <row r="334">
      <c r="A334">
        <f>IFERROR(IF(AND(BASELINE!I334&lt;&gt;"",INT(IF(CALC!$F$1&gt;0,IF(N(INDEX(BASELINE!$A334:$ZZ334,CALC!$F$1))&gt;0,N(INDEX(BASELINE!$A334:$ZZ334,CALC!$F$1)),N(BASELINE!E334)),N(BASELINE!E334)))=INT(SIMOPS!$D$3),IFERROR(UPPER(TRIM(BASELINE!D334&amp;"")),"")&lt;&gt;"ENCERRADA"),1,0),0)</f>
        <v/>
      </c>
      <c r="B334">
        <f>B333+A334</f>
        <v/>
      </c>
    </row>
    <row r="335">
      <c r="A335">
        <f>IFERROR(IF(AND(BASELINE!I335&lt;&gt;"",INT(IF(CALC!$F$1&gt;0,IF(N(INDEX(BASELINE!$A335:$ZZ335,CALC!$F$1))&gt;0,N(INDEX(BASELINE!$A335:$ZZ335,CALC!$F$1)),N(BASELINE!E335)),N(BASELINE!E335)))=INT(SIMOPS!$D$3),IFERROR(UPPER(TRIM(BASELINE!D335&amp;"")),"")&lt;&gt;"ENCERRADA"),1,0),0)</f>
        <v/>
      </c>
      <c r="B335">
        <f>B334+A335</f>
        <v/>
      </c>
    </row>
    <row r="336">
      <c r="A336">
        <f>IFERROR(IF(AND(BASELINE!I336&lt;&gt;"",INT(IF(CALC!$F$1&gt;0,IF(N(INDEX(BASELINE!$A336:$ZZ336,CALC!$F$1))&gt;0,N(INDEX(BASELINE!$A336:$ZZ336,CALC!$F$1)),N(BASELINE!E336)),N(BASELINE!E336)))=INT(SIMOPS!$D$3),IFERROR(UPPER(TRIM(BASELINE!D336&amp;"")),"")&lt;&gt;"ENCERRADA"),1,0),0)</f>
        <v/>
      </c>
      <c r="B336">
        <f>B335+A336</f>
        <v/>
      </c>
    </row>
    <row r="337">
      <c r="A337">
        <f>IFERROR(IF(AND(BASELINE!I337&lt;&gt;"",INT(IF(CALC!$F$1&gt;0,IF(N(INDEX(BASELINE!$A337:$ZZ337,CALC!$F$1))&gt;0,N(INDEX(BASELINE!$A337:$ZZ337,CALC!$F$1)),N(BASELINE!E337)),N(BASELINE!E337)))=INT(SIMOPS!$D$3),IFERROR(UPPER(TRIM(BASELINE!D337&amp;"")),"")&lt;&gt;"ENCERRADA"),1,0),0)</f>
        <v/>
      </c>
      <c r="B337">
        <f>B336+A337</f>
        <v/>
      </c>
    </row>
    <row r="338">
      <c r="A338">
        <f>IFERROR(IF(AND(BASELINE!I338&lt;&gt;"",INT(IF(CALC!$F$1&gt;0,IF(N(INDEX(BASELINE!$A338:$ZZ338,CALC!$F$1))&gt;0,N(INDEX(BASELINE!$A338:$ZZ338,CALC!$F$1)),N(BASELINE!E338)),N(BASELINE!E338)))=INT(SIMOPS!$D$3),IFERROR(UPPER(TRIM(BASELINE!D338&amp;"")),"")&lt;&gt;"ENCERRADA"),1,0),0)</f>
        <v/>
      </c>
      <c r="B338">
        <f>B337+A338</f>
        <v/>
      </c>
    </row>
    <row r="339">
      <c r="A339">
        <f>IFERROR(IF(AND(BASELINE!I339&lt;&gt;"",INT(IF(CALC!$F$1&gt;0,IF(N(INDEX(BASELINE!$A339:$ZZ339,CALC!$F$1))&gt;0,N(INDEX(BASELINE!$A339:$ZZ339,CALC!$F$1)),N(BASELINE!E339)),N(BASELINE!E339)))=INT(SIMOPS!$D$3),IFERROR(UPPER(TRIM(BASELINE!D339&amp;"")),"")&lt;&gt;"ENCERRADA"),1,0),0)</f>
        <v/>
      </c>
      <c r="B339">
        <f>B338+A339</f>
        <v/>
      </c>
    </row>
    <row r="340">
      <c r="A340">
        <f>IFERROR(IF(AND(BASELINE!I340&lt;&gt;"",INT(IF(CALC!$F$1&gt;0,IF(N(INDEX(BASELINE!$A340:$ZZ340,CALC!$F$1))&gt;0,N(INDEX(BASELINE!$A340:$ZZ340,CALC!$F$1)),N(BASELINE!E340)),N(BASELINE!E340)))=INT(SIMOPS!$D$3),IFERROR(UPPER(TRIM(BASELINE!D340&amp;"")),"")&lt;&gt;"ENCERRADA"),1,0),0)</f>
        <v/>
      </c>
      <c r="B340">
        <f>B339+A340</f>
        <v/>
      </c>
    </row>
    <row r="341">
      <c r="A341">
        <f>IFERROR(IF(AND(BASELINE!I341&lt;&gt;"",INT(IF(CALC!$F$1&gt;0,IF(N(INDEX(BASELINE!$A341:$ZZ341,CALC!$F$1))&gt;0,N(INDEX(BASELINE!$A341:$ZZ341,CALC!$F$1)),N(BASELINE!E341)),N(BASELINE!E341)))=INT(SIMOPS!$D$3),IFERROR(UPPER(TRIM(BASELINE!D341&amp;"")),"")&lt;&gt;"ENCERRADA"),1,0),0)</f>
        <v/>
      </c>
      <c r="B341">
        <f>B340+A341</f>
        <v/>
      </c>
    </row>
    <row r="342">
      <c r="A342">
        <f>IFERROR(IF(AND(BASELINE!I342&lt;&gt;"",INT(IF(CALC!$F$1&gt;0,IF(N(INDEX(BASELINE!$A342:$ZZ342,CALC!$F$1))&gt;0,N(INDEX(BASELINE!$A342:$ZZ342,CALC!$F$1)),N(BASELINE!E342)),N(BASELINE!E342)))=INT(SIMOPS!$D$3),IFERROR(UPPER(TRIM(BASELINE!D342&amp;"")),"")&lt;&gt;"ENCERRADA"),1,0),0)</f>
        <v/>
      </c>
      <c r="B342">
        <f>B341+A342</f>
        <v/>
      </c>
    </row>
    <row r="343">
      <c r="A343">
        <f>IFERROR(IF(AND(BASELINE!I343&lt;&gt;"",INT(IF(CALC!$F$1&gt;0,IF(N(INDEX(BASELINE!$A343:$ZZ343,CALC!$F$1))&gt;0,N(INDEX(BASELINE!$A343:$ZZ343,CALC!$F$1)),N(BASELINE!E343)),N(BASELINE!E343)))=INT(SIMOPS!$D$3),IFERROR(UPPER(TRIM(BASELINE!D343&amp;"")),"")&lt;&gt;"ENCERRADA"),1,0),0)</f>
        <v/>
      </c>
      <c r="B343">
        <f>B342+A343</f>
        <v/>
      </c>
    </row>
    <row r="344">
      <c r="A344">
        <f>IFERROR(IF(AND(BASELINE!I344&lt;&gt;"",INT(IF(CALC!$F$1&gt;0,IF(N(INDEX(BASELINE!$A344:$ZZ344,CALC!$F$1))&gt;0,N(INDEX(BASELINE!$A344:$ZZ344,CALC!$F$1)),N(BASELINE!E344)),N(BASELINE!E344)))=INT(SIMOPS!$D$3),IFERROR(UPPER(TRIM(BASELINE!D344&amp;"")),"")&lt;&gt;"ENCERRADA"),1,0),0)</f>
        <v/>
      </c>
      <c r="B344">
        <f>B343+A344</f>
        <v/>
      </c>
    </row>
    <row r="345">
      <c r="A345">
        <f>IFERROR(IF(AND(BASELINE!I345&lt;&gt;"",INT(IF(CALC!$F$1&gt;0,IF(N(INDEX(BASELINE!$A345:$ZZ345,CALC!$F$1))&gt;0,N(INDEX(BASELINE!$A345:$ZZ345,CALC!$F$1)),N(BASELINE!E345)),N(BASELINE!E345)))=INT(SIMOPS!$D$3),IFERROR(UPPER(TRIM(BASELINE!D345&amp;"")),"")&lt;&gt;"ENCERRADA"),1,0),0)</f>
        <v/>
      </c>
      <c r="B345">
        <f>B344+A345</f>
        <v/>
      </c>
    </row>
    <row r="346">
      <c r="A346">
        <f>IFERROR(IF(AND(BASELINE!I346&lt;&gt;"",INT(IF(CALC!$F$1&gt;0,IF(N(INDEX(BASELINE!$A346:$ZZ346,CALC!$F$1))&gt;0,N(INDEX(BASELINE!$A346:$ZZ346,CALC!$F$1)),N(BASELINE!E346)),N(BASELINE!E346)))=INT(SIMOPS!$D$3),IFERROR(UPPER(TRIM(BASELINE!D346&amp;"")),"")&lt;&gt;"ENCERRADA"),1,0),0)</f>
        <v/>
      </c>
      <c r="B346">
        <f>B345+A346</f>
        <v/>
      </c>
    </row>
    <row r="347">
      <c r="A347">
        <f>IFERROR(IF(AND(BASELINE!I347&lt;&gt;"",INT(IF(CALC!$F$1&gt;0,IF(N(INDEX(BASELINE!$A347:$ZZ347,CALC!$F$1))&gt;0,N(INDEX(BASELINE!$A347:$ZZ347,CALC!$F$1)),N(BASELINE!E347)),N(BASELINE!E347)))=INT(SIMOPS!$D$3),IFERROR(UPPER(TRIM(BASELINE!D347&amp;"")),"")&lt;&gt;"ENCERRADA"),1,0),0)</f>
        <v/>
      </c>
      <c r="B347">
        <f>B346+A347</f>
        <v/>
      </c>
    </row>
    <row r="348">
      <c r="A348">
        <f>IFERROR(IF(AND(BASELINE!I348&lt;&gt;"",INT(IF(CALC!$F$1&gt;0,IF(N(INDEX(BASELINE!$A348:$ZZ348,CALC!$F$1))&gt;0,N(INDEX(BASELINE!$A348:$ZZ348,CALC!$F$1)),N(BASELINE!E348)),N(BASELINE!E348)))=INT(SIMOPS!$D$3),IFERROR(UPPER(TRIM(BASELINE!D348&amp;"")),"")&lt;&gt;"ENCERRADA"),1,0),0)</f>
        <v/>
      </c>
      <c r="B348">
        <f>B347+A348</f>
        <v/>
      </c>
    </row>
    <row r="349">
      <c r="A349">
        <f>IFERROR(IF(AND(BASELINE!I349&lt;&gt;"",INT(IF(CALC!$F$1&gt;0,IF(N(INDEX(BASELINE!$A349:$ZZ349,CALC!$F$1))&gt;0,N(INDEX(BASELINE!$A349:$ZZ349,CALC!$F$1)),N(BASELINE!E349)),N(BASELINE!E349)))=INT(SIMOPS!$D$3),IFERROR(UPPER(TRIM(BASELINE!D349&amp;"")),"")&lt;&gt;"ENCERRADA"),1,0),0)</f>
        <v/>
      </c>
      <c r="B349">
        <f>B348+A349</f>
        <v/>
      </c>
    </row>
    <row r="350">
      <c r="A350">
        <f>IFERROR(IF(AND(BASELINE!I350&lt;&gt;"",INT(IF(CALC!$F$1&gt;0,IF(N(INDEX(BASELINE!$A350:$ZZ350,CALC!$F$1))&gt;0,N(INDEX(BASELINE!$A350:$ZZ350,CALC!$F$1)),N(BASELINE!E350)),N(BASELINE!E350)))=INT(SIMOPS!$D$3),IFERROR(UPPER(TRIM(BASELINE!D350&amp;"")),"")&lt;&gt;"ENCERRADA"),1,0),0)</f>
        <v/>
      </c>
      <c r="B350">
        <f>B349+A350</f>
        <v/>
      </c>
    </row>
    <row r="351">
      <c r="A351">
        <f>IFERROR(IF(AND(BASELINE!I351&lt;&gt;"",INT(IF(CALC!$F$1&gt;0,IF(N(INDEX(BASELINE!$A351:$ZZ351,CALC!$F$1))&gt;0,N(INDEX(BASELINE!$A351:$ZZ351,CALC!$F$1)),N(BASELINE!E351)),N(BASELINE!E351)))=INT(SIMOPS!$D$3),IFERROR(UPPER(TRIM(BASELINE!D351&amp;"")),"")&lt;&gt;"ENCERRADA"),1,0),0)</f>
        <v/>
      </c>
      <c r="B351">
        <f>B350+A351</f>
        <v/>
      </c>
    </row>
    <row r="352">
      <c r="A352">
        <f>IFERROR(IF(AND(BASELINE!I352&lt;&gt;"",INT(IF(CALC!$F$1&gt;0,IF(N(INDEX(BASELINE!$A352:$ZZ352,CALC!$F$1))&gt;0,N(INDEX(BASELINE!$A352:$ZZ352,CALC!$F$1)),N(BASELINE!E352)),N(BASELINE!E352)))=INT(SIMOPS!$D$3),IFERROR(UPPER(TRIM(BASELINE!D352&amp;"")),"")&lt;&gt;"ENCERRADA"),1,0),0)</f>
        <v/>
      </c>
      <c r="B352">
        <f>B351+A352</f>
        <v/>
      </c>
    </row>
    <row r="353">
      <c r="A353">
        <f>IFERROR(IF(AND(BASELINE!I353&lt;&gt;"",INT(IF(CALC!$F$1&gt;0,IF(N(INDEX(BASELINE!$A353:$ZZ353,CALC!$F$1))&gt;0,N(INDEX(BASELINE!$A353:$ZZ353,CALC!$F$1)),N(BASELINE!E353)),N(BASELINE!E353)))=INT(SIMOPS!$D$3),IFERROR(UPPER(TRIM(BASELINE!D353&amp;"")),"")&lt;&gt;"ENCERRADA"),1,0),0)</f>
        <v/>
      </c>
      <c r="B353">
        <f>B352+A353</f>
        <v/>
      </c>
    </row>
    <row r="354">
      <c r="A354">
        <f>IFERROR(IF(AND(BASELINE!I354&lt;&gt;"",INT(IF(CALC!$F$1&gt;0,IF(N(INDEX(BASELINE!$A354:$ZZ354,CALC!$F$1))&gt;0,N(INDEX(BASELINE!$A354:$ZZ354,CALC!$F$1)),N(BASELINE!E354)),N(BASELINE!E354)))=INT(SIMOPS!$D$3),IFERROR(UPPER(TRIM(BASELINE!D354&amp;"")),"")&lt;&gt;"ENCERRADA"),1,0),0)</f>
        <v/>
      </c>
      <c r="B354">
        <f>B353+A354</f>
        <v/>
      </c>
    </row>
    <row r="355">
      <c r="A355">
        <f>IFERROR(IF(AND(BASELINE!I355&lt;&gt;"",INT(IF(CALC!$F$1&gt;0,IF(N(INDEX(BASELINE!$A355:$ZZ355,CALC!$F$1))&gt;0,N(INDEX(BASELINE!$A355:$ZZ355,CALC!$F$1)),N(BASELINE!E355)),N(BASELINE!E355)))=INT(SIMOPS!$D$3),IFERROR(UPPER(TRIM(BASELINE!D355&amp;"")),"")&lt;&gt;"ENCERRADA"),1,0),0)</f>
        <v/>
      </c>
      <c r="B355">
        <f>B354+A355</f>
        <v/>
      </c>
    </row>
    <row r="356">
      <c r="A356">
        <f>IFERROR(IF(AND(BASELINE!I356&lt;&gt;"",INT(IF(CALC!$F$1&gt;0,IF(N(INDEX(BASELINE!$A356:$ZZ356,CALC!$F$1))&gt;0,N(INDEX(BASELINE!$A356:$ZZ356,CALC!$F$1)),N(BASELINE!E356)),N(BASELINE!E356)))=INT(SIMOPS!$D$3),IFERROR(UPPER(TRIM(BASELINE!D356&amp;"")),"")&lt;&gt;"ENCERRADA"),1,0),0)</f>
        <v/>
      </c>
      <c r="B356">
        <f>B355+A356</f>
        <v/>
      </c>
    </row>
    <row r="357">
      <c r="A357">
        <f>IFERROR(IF(AND(BASELINE!I357&lt;&gt;"",INT(IF(CALC!$F$1&gt;0,IF(N(INDEX(BASELINE!$A357:$ZZ357,CALC!$F$1))&gt;0,N(INDEX(BASELINE!$A357:$ZZ357,CALC!$F$1)),N(BASELINE!E357)),N(BASELINE!E357)))=INT(SIMOPS!$D$3),IFERROR(UPPER(TRIM(BASELINE!D357&amp;"")),"")&lt;&gt;"ENCERRADA"),1,0),0)</f>
        <v/>
      </c>
      <c r="B357">
        <f>B356+A357</f>
        <v/>
      </c>
    </row>
    <row r="358">
      <c r="A358">
        <f>IFERROR(IF(AND(BASELINE!I358&lt;&gt;"",INT(IF(CALC!$F$1&gt;0,IF(N(INDEX(BASELINE!$A358:$ZZ358,CALC!$F$1))&gt;0,N(INDEX(BASELINE!$A358:$ZZ358,CALC!$F$1)),N(BASELINE!E358)),N(BASELINE!E358)))=INT(SIMOPS!$D$3),IFERROR(UPPER(TRIM(BASELINE!D358&amp;"")),"")&lt;&gt;"ENCERRADA"),1,0),0)</f>
        <v/>
      </c>
      <c r="B358">
        <f>B357+A358</f>
        <v/>
      </c>
    </row>
    <row r="359">
      <c r="A359">
        <f>IFERROR(IF(AND(BASELINE!I359&lt;&gt;"",INT(IF(CALC!$F$1&gt;0,IF(N(INDEX(BASELINE!$A359:$ZZ359,CALC!$F$1))&gt;0,N(INDEX(BASELINE!$A359:$ZZ359,CALC!$F$1)),N(BASELINE!E359)),N(BASELINE!E359)))=INT(SIMOPS!$D$3),IFERROR(UPPER(TRIM(BASELINE!D359&amp;"")),"")&lt;&gt;"ENCERRADA"),1,0),0)</f>
        <v/>
      </c>
      <c r="B359">
        <f>B358+A359</f>
        <v/>
      </c>
    </row>
    <row r="360">
      <c r="A360">
        <f>IFERROR(IF(AND(BASELINE!I360&lt;&gt;"",INT(IF(CALC!$F$1&gt;0,IF(N(INDEX(BASELINE!$A360:$ZZ360,CALC!$F$1))&gt;0,N(INDEX(BASELINE!$A360:$ZZ360,CALC!$F$1)),N(BASELINE!E360)),N(BASELINE!E360)))=INT(SIMOPS!$D$3),IFERROR(UPPER(TRIM(BASELINE!D360&amp;"")),"")&lt;&gt;"ENCERRADA"),1,0),0)</f>
        <v/>
      </c>
      <c r="B360">
        <f>B359+A360</f>
        <v/>
      </c>
    </row>
    <row r="361">
      <c r="A361">
        <f>IFERROR(IF(AND(BASELINE!I361&lt;&gt;"",INT(IF(CALC!$F$1&gt;0,IF(N(INDEX(BASELINE!$A361:$ZZ361,CALC!$F$1))&gt;0,N(INDEX(BASELINE!$A361:$ZZ361,CALC!$F$1)),N(BASELINE!E361)),N(BASELINE!E361)))=INT(SIMOPS!$D$3),IFERROR(UPPER(TRIM(BASELINE!D361&amp;"")),"")&lt;&gt;"ENCERRADA"),1,0),0)</f>
        <v/>
      </c>
      <c r="B361">
        <f>B360+A361</f>
        <v/>
      </c>
    </row>
    <row r="362">
      <c r="A362">
        <f>IFERROR(IF(AND(BASELINE!I362&lt;&gt;"",INT(IF(CALC!$F$1&gt;0,IF(N(INDEX(BASELINE!$A362:$ZZ362,CALC!$F$1))&gt;0,N(INDEX(BASELINE!$A362:$ZZ362,CALC!$F$1)),N(BASELINE!E362)),N(BASELINE!E362)))=INT(SIMOPS!$D$3),IFERROR(UPPER(TRIM(BASELINE!D362&amp;"")),"")&lt;&gt;"ENCERRADA"),1,0),0)</f>
        <v/>
      </c>
      <c r="B362">
        <f>B361+A362</f>
        <v/>
      </c>
    </row>
    <row r="363">
      <c r="A363">
        <f>IFERROR(IF(AND(BASELINE!I363&lt;&gt;"",INT(IF(CALC!$F$1&gt;0,IF(N(INDEX(BASELINE!$A363:$ZZ363,CALC!$F$1))&gt;0,N(INDEX(BASELINE!$A363:$ZZ363,CALC!$F$1)),N(BASELINE!E363)),N(BASELINE!E363)))=INT(SIMOPS!$D$3),IFERROR(UPPER(TRIM(BASELINE!D363&amp;"")),"")&lt;&gt;"ENCERRADA"),1,0),0)</f>
        <v/>
      </c>
      <c r="B363">
        <f>B362+A363</f>
        <v/>
      </c>
    </row>
    <row r="364">
      <c r="A364">
        <f>IFERROR(IF(AND(BASELINE!I364&lt;&gt;"",INT(IF(CALC!$F$1&gt;0,IF(N(INDEX(BASELINE!$A364:$ZZ364,CALC!$F$1))&gt;0,N(INDEX(BASELINE!$A364:$ZZ364,CALC!$F$1)),N(BASELINE!E364)),N(BASELINE!E364)))=INT(SIMOPS!$D$3),IFERROR(UPPER(TRIM(BASELINE!D364&amp;"")),"")&lt;&gt;"ENCERRADA"),1,0),0)</f>
        <v/>
      </c>
      <c r="B364">
        <f>B363+A364</f>
        <v/>
      </c>
    </row>
    <row r="365">
      <c r="A365">
        <f>IFERROR(IF(AND(BASELINE!I365&lt;&gt;"",INT(IF(CALC!$F$1&gt;0,IF(N(INDEX(BASELINE!$A365:$ZZ365,CALC!$F$1))&gt;0,N(INDEX(BASELINE!$A365:$ZZ365,CALC!$F$1)),N(BASELINE!E365)),N(BASELINE!E365)))=INT(SIMOPS!$D$3),IFERROR(UPPER(TRIM(BASELINE!D365&amp;"")),"")&lt;&gt;"ENCERRADA"),1,0),0)</f>
        <v/>
      </c>
      <c r="B365">
        <f>B364+A365</f>
        <v/>
      </c>
    </row>
    <row r="366">
      <c r="A366">
        <f>IFERROR(IF(AND(BASELINE!I366&lt;&gt;"",INT(IF(CALC!$F$1&gt;0,IF(N(INDEX(BASELINE!$A366:$ZZ366,CALC!$F$1))&gt;0,N(INDEX(BASELINE!$A366:$ZZ366,CALC!$F$1)),N(BASELINE!E366)),N(BASELINE!E366)))=INT(SIMOPS!$D$3),IFERROR(UPPER(TRIM(BASELINE!D366&amp;"")),"")&lt;&gt;"ENCERRADA"),1,0),0)</f>
        <v/>
      </c>
      <c r="B366">
        <f>B365+A366</f>
        <v/>
      </c>
    </row>
    <row r="367">
      <c r="A367">
        <f>IFERROR(IF(AND(BASELINE!I367&lt;&gt;"",INT(IF(CALC!$F$1&gt;0,IF(N(INDEX(BASELINE!$A367:$ZZ367,CALC!$F$1))&gt;0,N(INDEX(BASELINE!$A367:$ZZ367,CALC!$F$1)),N(BASELINE!E367)),N(BASELINE!E367)))=INT(SIMOPS!$D$3),IFERROR(UPPER(TRIM(BASELINE!D367&amp;"")),"")&lt;&gt;"ENCERRADA"),1,0),0)</f>
        <v/>
      </c>
      <c r="B367">
        <f>B366+A367</f>
        <v/>
      </c>
    </row>
    <row r="368">
      <c r="A368">
        <f>IFERROR(IF(AND(BASELINE!I368&lt;&gt;"",INT(IF(CALC!$F$1&gt;0,IF(N(INDEX(BASELINE!$A368:$ZZ368,CALC!$F$1))&gt;0,N(INDEX(BASELINE!$A368:$ZZ368,CALC!$F$1)),N(BASELINE!E368)),N(BASELINE!E368)))=INT(SIMOPS!$D$3),IFERROR(UPPER(TRIM(BASELINE!D368&amp;"")),"")&lt;&gt;"ENCERRADA"),1,0),0)</f>
        <v/>
      </c>
      <c r="B368">
        <f>B367+A368</f>
        <v/>
      </c>
    </row>
    <row r="369">
      <c r="A369">
        <f>IFERROR(IF(AND(BASELINE!I369&lt;&gt;"",INT(IF(CALC!$F$1&gt;0,IF(N(INDEX(BASELINE!$A369:$ZZ369,CALC!$F$1))&gt;0,N(INDEX(BASELINE!$A369:$ZZ369,CALC!$F$1)),N(BASELINE!E369)),N(BASELINE!E369)))=INT(SIMOPS!$D$3),IFERROR(UPPER(TRIM(BASELINE!D369&amp;"")),"")&lt;&gt;"ENCERRADA"),1,0),0)</f>
        <v/>
      </c>
      <c r="B369">
        <f>B368+A369</f>
        <v/>
      </c>
    </row>
    <row r="370">
      <c r="A370">
        <f>IFERROR(IF(AND(BASELINE!I370&lt;&gt;"",INT(IF(CALC!$F$1&gt;0,IF(N(INDEX(BASELINE!$A370:$ZZ370,CALC!$F$1))&gt;0,N(INDEX(BASELINE!$A370:$ZZ370,CALC!$F$1)),N(BASELINE!E370)),N(BASELINE!E370)))=INT(SIMOPS!$D$3),IFERROR(UPPER(TRIM(BASELINE!D370&amp;"")),"")&lt;&gt;"ENCERRADA"),1,0),0)</f>
        <v/>
      </c>
      <c r="B370">
        <f>B369+A370</f>
        <v/>
      </c>
    </row>
    <row r="371">
      <c r="A371">
        <f>IFERROR(IF(AND(BASELINE!I371&lt;&gt;"",INT(IF(CALC!$F$1&gt;0,IF(N(INDEX(BASELINE!$A371:$ZZ371,CALC!$F$1))&gt;0,N(INDEX(BASELINE!$A371:$ZZ371,CALC!$F$1)),N(BASELINE!E371)),N(BASELINE!E371)))=INT(SIMOPS!$D$3),IFERROR(UPPER(TRIM(BASELINE!D371&amp;"")),"")&lt;&gt;"ENCERRADA"),1,0),0)</f>
        <v/>
      </c>
      <c r="B371">
        <f>B370+A371</f>
        <v/>
      </c>
    </row>
    <row r="372">
      <c r="A372">
        <f>IFERROR(IF(AND(BASELINE!I372&lt;&gt;"",INT(IF(CALC!$F$1&gt;0,IF(N(INDEX(BASELINE!$A372:$ZZ372,CALC!$F$1))&gt;0,N(INDEX(BASELINE!$A372:$ZZ372,CALC!$F$1)),N(BASELINE!E372)),N(BASELINE!E372)))=INT(SIMOPS!$D$3),IFERROR(UPPER(TRIM(BASELINE!D372&amp;"")),"")&lt;&gt;"ENCERRADA"),1,0),0)</f>
        <v/>
      </c>
      <c r="B372">
        <f>B371+A372</f>
        <v/>
      </c>
    </row>
    <row r="373">
      <c r="A373">
        <f>IFERROR(IF(AND(BASELINE!I373&lt;&gt;"",INT(IF(CALC!$F$1&gt;0,IF(N(INDEX(BASELINE!$A373:$ZZ373,CALC!$F$1))&gt;0,N(INDEX(BASELINE!$A373:$ZZ373,CALC!$F$1)),N(BASELINE!E373)),N(BASELINE!E373)))=INT(SIMOPS!$D$3),IFERROR(UPPER(TRIM(BASELINE!D373&amp;"")),"")&lt;&gt;"ENCERRADA"),1,0),0)</f>
        <v/>
      </c>
      <c r="B373">
        <f>B372+A373</f>
        <v/>
      </c>
    </row>
    <row r="374">
      <c r="A374">
        <f>IFERROR(IF(AND(BASELINE!I374&lt;&gt;"",INT(IF(CALC!$F$1&gt;0,IF(N(INDEX(BASELINE!$A374:$ZZ374,CALC!$F$1))&gt;0,N(INDEX(BASELINE!$A374:$ZZ374,CALC!$F$1)),N(BASELINE!E374)),N(BASELINE!E374)))=INT(SIMOPS!$D$3),IFERROR(UPPER(TRIM(BASELINE!D374&amp;"")),"")&lt;&gt;"ENCERRADA"),1,0),0)</f>
        <v/>
      </c>
      <c r="B374">
        <f>B373+A374</f>
        <v/>
      </c>
    </row>
    <row r="375">
      <c r="A375">
        <f>IFERROR(IF(AND(BASELINE!I375&lt;&gt;"",INT(IF(CALC!$F$1&gt;0,IF(N(INDEX(BASELINE!$A375:$ZZ375,CALC!$F$1))&gt;0,N(INDEX(BASELINE!$A375:$ZZ375,CALC!$F$1)),N(BASELINE!E375)),N(BASELINE!E375)))=INT(SIMOPS!$D$3),IFERROR(UPPER(TRIM(BASELINE!D375&amp;"")),"")&lt;&gt;"ENCERRADA"),1,0),0)</f>
        <v/>
      </c>
      <c r="B375">
        <f>B374+A375</f>
        <v/>
      </c>
    </row>
    <row r="376">
      <c r="A376">
        <f>IFERROR(IF(AND(BASELINE!I376&lt;&gt;"",INT(IF(CALC!$F$1&gt;0,IF(N(INDEX(BASELINE!$A376:$ZZ376,CALC!$F$1))&gt;0,N(INDEX(BASELINE!$A376:$ZZ376,CALC!$F$1)),N(BASELINE!E376)),N(BASELINE!E376)))=INT(SIMOPS!$D$3),IFERROR(UPPER(TRIM(BASELINE!D376&amp;"")),"")&lt;&gt;"ENCERRADA"),1,0),0)</f>
        <v/>
      </c>
      <c r="B376">
        <f>B375+A376</f>
        <v/>
      </c>
    </row>
    <row r="377">
      <c r="A377">
        <f>IFERROR(IF(AND(BASELINE!I377&lt;&gt;"",INT(IF(CALC!$F$1&gt;0,IF(N(INDEX(BASELINE!$A377:$ZZ377,CALC!$F$1))&gt;0,N(INDEX(BASELINE!$A377:$ZZ377,CALC!$F$1)),N(BASELINE!E377)),N(BASELINE!E377)))=INT(SIMOPS!$D$3),IFERROR(UPPER(TRIM(BASELINE!D377&amp;"")),"")&lt;&gt;"ENCERRADA"),1,0),0)</f>
        <v/>
      </c>
      <c r="B377">
        <f>B376+A377</f>
        <v/>
      </c>
    </row>
    <row r="378">
      <c r="A378">
        <f>IFERROR(IF(AND(BASELINE!I378&lt;&gt;"",INT(IF(CALC!$F$1&gt;0,IF(N(INDEX(BASELINE!$A378:$ZZ378,CALC!$F$1))&gt;0,N(INDEX(BASELINE!$A378:$ZZ378,CALC!$F$1)),N(BASELINE!E378)),N(BASELINE!E378)))=INT(SIMOPS!$D$3),IFERROR(UPPER(TRIM(BASELINE!D378&amp;"")),"")&lt;&gt;"ENCERRADA"),1,0),0)</f>
        <v/>
      </c>
      <c r="B378">
        <f>B377+A378</f>
        <v/>
      </c>
    </row>
    <row r="379">
      <c r="A379">
        <f>IFERROR(IF(AND(BASELINE!I379&lt;&gt;"",INT(IF(CALC!$F$1&gt;0,IF(N(INDEX(BASELINE!$A379:$ZZ379,CALC!$F$1))&gt;0,N(INDEX(BASELINE!$A379:$ZZ379,CALC!$F$1)),N(BASELINE!E379)),N(BASELINE!E379)))=INT(SIMOPS!$D$3),IFERROR(UPPER(TRIM(BASELINE!D379&amp;"")),"")&lt;&gt;"ENCERRADA"),1,0),0)</f>
        <v/>
      </c>
      <c r="B379">
        <f>B378+A379</f>
        <v/>
      </c>
    </row>
    <row r="380">
      <c r="A380">
        <f>IFERROR(IF(AND(BASELINE!I380&lt;&gt;"",INT(IF(CALC!$F$1&gt;0,IF(N(INDEX(BASELINE!$A380:$ZZ380,CALC!$F$1))&gt;0,N(INDEX(BASELINE!$A380:$ZZ380,CALC!$F$1)),N(BASELINE!E380)),N(BASELINE!E380)))=INT(SIMOPS!$D$3),IFERROR(UPPER(TRIM(BASELINE!D380&amp;"")),"")&lt;&gt;"ENCERRADA"),1,0),0)</f>
        <v/>
      </c>
      <c r="B380">
        <f>B379+A380</f>
        <v/>
      </c>
    </row>
    <row r="381">
      <c r="A381">
        <f>IFERROR(IF(AND(BASELINE!I381&lt;&gt;"",INT(IF(CALC!$F$1&gt;0,IF(N(INDEX(BASELINE!$A381:$ZZ381,CALC!$F$1))&gt;0,N(INDEX(BASELINE!$A381:$ZZ381,CALC!$F$1)),N(BASELINE!E381)),N(BASELINE!E381)))=INT(SIMOPS!$D$3),IFERROR(UPPER(TRIM(BASELINE!D381&amp;"")),"")&lt;&gt;"ENCERRADA"),1,0),0)</f>
        <v/>
      </c>
      <c r="B381">
        <f>B380+A381</f>
        <v/>
      </c>
    </row>
    <row r="382">
      <c r="A382">
        <f>IFERROR(IF(AND(BASELINE!I382&lt;&gt;"",INT(IF(CALC!$F$1&gt;0,IF(N(INDEX(BASELINE!$A382:$ZZ382,CALC!$F$1))&gt;0,N(INDEX(BASELINE!$A382:$ZZ382,CALC!$F$1)),N(BASELINE!E382)),N(BASELINE!E382)))=INT(SIMOPS!$D$3),IFERROR(UPPER(TRIM(BASELINE!D382&amp;"")),"")&lt;&gt;"ENCERRADA"),1,0),0)</f>
        <v/>
      </c>
      <c r="B382">
        <f>B381+A382</f>
        <v/>
      </c>
    </row>
    <row r="383">
      <c r="A383">
        <f>IFERROR(IF(AND(BASELINE!I383&lt;&gt;"",INT(IF(CALC!$F$1&gt;0,IF(N(INDEX(BASELINE!$A383:$ZZ383,CALC!$F$1))&gt;0,N(INDEX(BASELINE!$A383:$ZZ383,CALC!$F$1)),N(BASELINE!E383)),N(BASELINE!E383)))=INT(SIMOPS!$D$3),IFERROR(UPPER(TRIM(BASELINE!D383&amp;"")),"")&lt;&gt;"ENCERRADA"),1,0),0)</f>
        <v/>
      </c>
      <c r="B383">
        <f>B382+A383</f>
        <v/>
      </c>
    </row>
    <row r="384">
      <c r="A384">
        <f>IFERROR(IF(AND(BASELINE!I384&lt;&gt;"",INT(IF(CALC!$F$1&gt;0,IF(N(INDEX(BASELINE!$A384:$ZZ384,CALC!$F$1))&gt;0,N(INDEX(BASELINE!$A384:$ZZ384,CALC!$F$1)),N(BASELINE!E384)),N(BASELINE!E384)))=INT(SIMOPS!$D$3),IFERROR(UPPER(TRIM(BASELINE!D384&amp;"")),"")&lt;&gt;"ENCERRADA"),1,0),0)</f>
        <v/>
      </c>
      <c r="B384">
        <f>B383+A384</f>
        <v/>
      </c>
    </row>
    <row r="385">
      <c r="A385">
        <f>IFERROR(IF(AND(BASELINE!I385&lt;&gt;"",INT(IF(CALC!$F$1&gt;0,IF(N(INDEX(BASELINE!$A385:$ZZ385,CALC!$F$1))&gt;0,N(INDEX(BASELINE!$A385:$ZZ385,CALC!$F$1)),N(BASELINE!E385)),N(BASELINE!E385)))=INT(SIMOPS!$D$3),IFERROR(UPPER(TRIM(BASELINE!D385&amp;"")),"")&lt;&gt;"ENCERRADA"),1,0),0)</f>
        <v/>
      </c>
      <c r="B385">
        <f>B384+A385</f>
        <v/>
      </c>
    </row>
    <row r="386">
      <c r="A386">
        <f>IFERROR(IF(AND(BASELINE!I386&lt;&gt;"",INT(IF(CALC!$F$1&gt;0,IF(N(INDEX(BASELINE!$A386:$ZZ386,CALC!$F$1))&gt;0,N(INDEX(BASELINE!$A386:$ZZ386,CALC!$F$1)),N(BASELINE!E386)),N(BASELINE!E386)))=INT(SIMOPS!$D$3),IFERROR(UPPER(TRIM(BASELINE!D386&amp;"")),"")&lt;&gt;"ENCERRADA"),1,0),0)</f>
        <v/>
      </c>
      <c r="B386">
        <f>B385+A386</f>
        <v/>
      </c>
    </row>
    <row r="387">
      <c r="A387">
        <f>IFERROR(IF(AND(BASELINE!I387&lt;&gt;"",INT(IF(CALC!$F$1&gt;0,IF(N(INDEX(BASELINE!$A387:$ZZ387,CALC!$F$1))&gt;0,N(INDEX(BASELINE!$A387:$ZZ387,CALC!$F$1)),N(BASELINE!E387)),N(BASELINE!E387)))=INT(SIMOPS!$D$3),IFERROR(UPPER(TRIM(BASELINE!D387&amp;"")),"")&lt;&gt;"ENCERRADA"),1,0),0)</f>
        <v/>
      </c>
      <c r="B387">
        <f>B386+A387</f>
        <v/>
      </c>
    </row>
    <row r="388">
      <c r="A388">
        <f>IFERROR(IF(AND(BASELINE!I388&lt;&gt;"",INT(IF(CALC!$F$1&gt;0,IF(N(INDEX(BASELINE!$A388:$ZZ388,CALC!$F$1))&gt;0,N(INDEX(BASELINE!$A388:$ZZ388,CALC!$F$1)),N(BASELINE!E388)),N(BASELINE!E388)))=INT(SIMOPS!$D$3),IFERROR(UPPER(TRIM(BASELINE!D388&amp;"")),"")&lt;&gt;"ENCERRADA"),1,0),0)</f>
        <v/>
      </c>
      <c r="B388">
        <f>B387+A388</f>
        <v/>
      </c>
    </row>
    <row r="389">
      <c r="A389">
        <f>IFERROR(IF(AND(BASELINE!I389&lt;&gt;"",INT(IF(CALC!$F$1&gt;0,IF(N(INDEX(BASELINE!$A389:$ZZ389,CALC!$F$1))&gt;0,N(INDEX(BASELINE!$A389:$ZZ389,CALC!$F$1)),N(BASELINE!E389)),N(BASELINE!E389)))=INT(SIMOPS!$D$3),IFERROR(UPPER(TRIM(BASELINE!D389&amp;"")),"")&lt;&gt;"ENCERRADA"),1,0),0)</f>
        <v/>
      </c>
      <c r="B389">
        <f>B388+A389</f>
        <v/>
      </c>
    </row>
    <row r="390">
      <c r="A390">
        <f>IFERROR(IF(AND(BASELINE!I390&lt;&gt;"",INT(IF(CALC!$F$1&gt;0,IF(N(INDEX(BASELINE!$A390:$ZZ390,CALC!$F$1))&gt;0,N(INDEX(BASELINE!$A390:$ZZ390,CALC!$F$1)),N(BASELINE!E390)),N(BASELINE!E390)))=INT(SIMOPS!$D$3),IFERROR(UPPER(TRIM(BASELINE!D390&amp;"")),"")&lt;&gt;"ENCERRADA"),1,0),0)</f>
        <v/>
      </c>
      <c r="B390">
        <f>B389+A390</f>
        <v/>
      </c>
    </row>
    <row r="391">
      <c r="A391">
        <f>IFERROR(IF(AND(BASELINE!I391&lt;&gt;"",INT(IF(CALC!$F$1&gt;0,IF(N(INDEX(BASELINE!$A391:$ZZ391,CALC!$F$1))&gt;0,N(INDEX(BASELINE!$A391:$ZZ391,CALC!$F$1)),N(BASELINE!E391)),N(BASELINE!E391)))=INT(SIMOPS!$D$3),IFERROR(UPPER(TRIM(BASELINE!D391&amp;"")),"")&lt;&gt;"ENCERRADA"),1,0),0)</f>
        <v/>
      </c>
      <c r="B391">
        <f>B390+A391</f>
        <v/>
      </c>
    </row>
    <row r="392">
      <c r="A392">
        <f>IFERROR(IF(AND(BASELINE!I392&lt;&gt;"",INT(IF(CALC!$F$1&gt;0,IF(N(INDEX(BASELINE!$A392:$ZZ392,CALC!$F$1))&gt;0,N(INDEX(BASELINE!$A392:$ZZ392,CALC!$F$1)),N(BASELINE!E392)),N(BASELINE!E392)))=INT(SIMOPS!$D$3),IFERROR(UPPER(TRIM(BASELINE!D392&amp;"")),"")&lt;&gt;"ENCERRADA"),1,0),0)</f>
        <v/>
      </c>
      <c r="B392">
        <f>B391+A392</f>
        <v/>
      </c>
    </row>
    <row r="393">
      <c r="A393">
        <f>IFERROR(IF(AND(BASELINE!I393&lt;&gt;"",INT(IF(CALC!$F$1&gt;0,IF(N(INDEX(BASELINE!$A393:$ZZ393,CALC!$F$1))&gt;0,N(INDEX(BASELINE!$A393:$ZZ393,CALC!$F$1)),N(BASELINE!E393)),N(BASELINE!E393)))=INT(SIMOPS!$D$3),IFERROR(UPPER(TRIM(BASELINE!D393&amp;"")),"")&lt;&gt;"ENCERRADA"),1,0),0)</f>
        <v/>
      </c>
      <c r="B393">
        <f>B392+A393</f>
        <v/>
      </c>
    </row>
    <row r="394">
      <c r="A394">
        <f>IFERROR(IF(AND(BASELINE!I394&lt;&gt;"",INT(IF(CALC!$F$1&gt;0,IF(N(INDEX(BASELINE!$A394:$ZZ394,CALC!$F$1))&gt;0,N(INDEX(BASELINE!$A394:$ZZ394,CALC!$F$1)),N(BASELINE!E394)),N(BASELINE!E394)))=INT(SIMOPS!$D$3),IFERROR(UPPER(TRIM(BASELINE!D394&amp;"")),"")&lt;&gt;"ENCERRADA"),1,0),0)</f>
        <v/>
      </c>
      <c r="B394">
        <f>B393+A394</f>
        <v/>
      </c>
    </row>
    <row r="395">
      <c r="A395">
        <f>IFERROR(IF(AND(BASELINE!I395&lt;&gt;"",INT(IF(CALC!$F$1&gt;0,IF(N(INDEX(BASELINE!$A395:$ZZ395,CALC!$F$1))&gt;0,N(INDEX(BASELINE!$A395:$ZZ395,CALC!$F$1)),N(BASELINE!E395)),N(BASELINE!E395)))=INT(SIMOPS!$D$3),IFERROR(UPPER(TRIM(BASELINE!D395&amp;"")),"")&lt;&gt;"ENCERRADA"),1,0),0)</f>
        <v/>
      </c>
      <c r="B395">
        <f>B394+A395</f>
        <v/>
      </c>
    </row>
    <row r="396">
      <c r="A396">
        <f>IFERROR(IF(AND(BASELINE!I396&lt;&gt;"",INT(IF(CALC!$F$1&gt;0,IF(N(INDEX(BASELINE!$A396:$ZZ396,CALC!$F$1))&gt;0,N(INDEX(BASELINE!$A396:$ZZ396,CALC!$F$1)),N(BASELINE!E396)),N(BASELINE!E396)))=INT(SIMOPS!$D$3),IFERROR(UPPER(TRIM(BASELINE!D396&amp;"")),"")&lt;&gt;"ENCERRADA"),1,0),0)</f>
        <v/>
      </c>
      <c r="B396">
        <f>B395+A396</f>
        <v/>
      </c>
    </row>
    <row r="397">
      <c r="A397">
        <f>IFERROR(IF(AND(BASELINE!I397&lt;&gt;"",INT(IF(CALC!$F$1&gt;0,IF(N(INDEX(BASELINE!$A397:$ZZ397,CALC!$F$1))&gt;0,N(INDEX(BASELINE!$A397:$ZZ397,CALC!$F$1)),N(BASELINE!E397)),N(BASELINE!E397)))=INT(SIMOPS!$D$3),IFERROR(UPPER(TRIM(BASELINE!D397&amp;"")),"")&lt;&gt;"ENCERRADA"),1,0),0)</f>
        <v/>
      </c>
      <c r="B397">
        <f>B396+A397</f>
        <v/>
      </c>
    </row>
    <row r="398">
      <c r="A398">
        <f>IFERROR(IF(AND(BASELINE!I398&lt;&gt;"",INT(IF(CALC!$F$1&gt;0,IF(N(INDEX(BASELINE!$A398:$ZZ398,CALC!$F$1))&gt;0,N(INDEX(BASELINE!$A398:$ZZ398,CALC!$F$1)),N(BASELINE!E398)),N(BASELINE!E398)))=INT(SIMOPS!$D$3),IFERROR(UPPER(TRIM(BASELINE!D398&amp;"")),"")&lt;&gt;"ENCERRADA"),1,0),0)</f>
        <v/>
      </c>
      <c r="B398">
        <f>B397+A398</f>
        <v/>
      </c>
    </row>
    <row r="399">
      <c r="A399">
        <f>IFERROR(IF(AND(BASELINE!I399&lt;&gt;"",INT(IF(CALC!$F$1&gt;0,IF(N(INDEX(BASELINE!$A399:$ZZ399,CALC!$F$1))&gt;0,N(INDEX(BASELINE!$A399:$ZZ399,CALC!$F$1)),N(BASELINE!E399)),N(BASELINE!E399)))=INT(SIMOPS!$D$3),IFERROR(UPPER(TRIM(BASELINE!D399&amp;"")),"")&lt;&gt;"ENCERRADA"),1,0),0)</f>
        <v/>
      </c>
      <c r="B399">
        <f>B398+A399</f>
        <v/>
      </c>
    </row>
    <row r="400">
      <c r="A400">
        <f>IFERROR(IF(AND(BASELINE!I400&lt;&gt;"",INT(IF(CALC!$F$1&gt;0,IF(N(INDEX(BASELINE!$A400:$ZZ400,CALC!$F$1))&gt;0,N(INDEX(BASELINE!$A400:$ZZ400,CALC!$F$1)),N(BASELINE!E400)),N(BASELINE!E400)))=INT(SIMOPS!$D$3),IFERROR(UPPER(TRIM(BASELINE!D400&amp;"")),"")&lt;&gt;"ENCERRADA"),1,0),0)</f>
        <v/>
      </c>
      <c r="B400">
        <f>B399+A400</f>
        <v/>
      </c>
    </row>
    <row r="401">
      <c r="A401">
        <f>IFERROR(IF(AND(BASELINE!I401&lt;&gt;"",INT(IF(CALC!$F$1&gt;0,IF(N(INDEX(BASELINE!$A401:$ZZ401,CALC!$F$1))&gt;0,N(INDEX(BASELINE!$A401:$ZZ401,CALC!$F$1)),N(BASELINE!E401)),N(BASELINE!E401)))=INT(SIMOPS!$D$3),IFERROR(UPPER(TRIM(BASELINE!D401&amp;"")),"")&lt;&gt;"ENCERRADA"),1,0),0)</f>
        <v/>
      </c>
      <c r="B401">
        <f>B400+A401</f>
        <v/>
      </c>
    </row>
    <row r="402">
      <c r="A402">
        <f>IFERROR(IF(AND(BASELINE!I402&lt;&gt;"",INT(IF(CALC!$F$1&gt;0,IF(N(INDEX(BASELINE!$A402:$ZZ402,CALC!$F$1))&gt;0,N(INDEX(BASELINE!$A402:$ZZ402,CALC!$F$1)),N(BASELINE!E402)),N(BASELINE!E402)))=INT(SIMOPS!$D$3),IFERROR(UPPER(TRIM(BASELINE!D402&amp;"")),"")&lt;&gt;"ENCERRADA"),1,0),0)</f>
        <v/>
      </c>
      <c r="B402">
        <f>B401+A402</f>
        <v/>
      </c>
    </row>
    <row r="403">
      <c r="A403">
        <f>IFERROR(IF(AND(BASELINE!I403&lt;&gt;"",INT(IF(CALC!$F$1&gt;0,IF(N(INDEX(BASELINE!$A403:$ZZ403,CALC!$F$1))&gt;0,N(INDEX(BASELINE!$A403:$ZZ403,CALC!$F$1)),N(BASELINE!E403)),N(BASELINE!E403)))=INT(SIMOPS!$D$3),IFERROR(UPPER(TRIM(BASELINE!D403&amp;"")),"")&lt;&gt;"ENCERRADA"),1,0),0)</f>
        <v/>
      </c>
      <c r="B403">
        <f>B402+A403</f>
        <v/>
      </c>
    </row>
    <row r="404">
      <c r="A404">
        <f>IFERROR(IF(AND(BASELINE!I404&lt;&gt;"",INT(IF(CALC!$F$1&gt;0,IF(N(INDEX(BASELINE!$A404:$ZZ404,CALC!$F$1))&gt;0,N(INDEX(BASELINE!$A404:$ZZ404,CALC!$F$1)),N(BASELINE!E404)),N(BASELINE!E404)))=INT(SIMOPS!$D$3),IFERROR(UPPER(TRIM(BASELINE!D404&amp;"")),"")&lt;&gt;"ENCERRADA"),1,0),0)</f>
        <v/>
      </c>
      <c r="B404">
        <f>B403+A404</f>
        <v/>
      </c>
    </row>
    <row r="405">
      <c r="A405">
        <f>IFERROR(IF(AND(BASELINE!I405&lt;&gt;"",INT(IF(CALC!$F$1&gt;0,IF(N(INDEX(BASELINE!$A405:$ZZ405,CALC!$F$1))&gt;0,N(INDEX(BASELINE!$A405:$ZZ405,CALC!$F$1)),N(BASELINE!E405)),N(BASELINE!E405)))=INT(SIMOPS!$D$3),IFERROR(UPPER(TRIM(BASELINE!D405&amp;"")),"")&lt;&gt;"ENCERRADA"),1,0),0)</f>
        <v/>
      </c>
      <c r="B405">
        <f>B404+A405</f>
        <v/>
      </c>
    </row>
    <row r="406">
      <c r="A406">
        <f>IFERROR(IF(AND(BASELINE!I406&lt;&gt;"",INT(IF(CALC!$F$1&gt;0,IF(N(INDEX(BASELINE!$A406:$ZZ406,CALC!$F$1))&gt;0,N(INDEX(BASELINE!$A406:$ZZ406,CALC!$F$1)),N(BASELINE!E406)),N(BASELINE!E406)))=INT(SIMOPS!$D$3),IFERROR(UPPER(TRIM(BASELINE!D406&amp;"")),"")&lt;&gt;"ENCERRADA"),1,0),0)</f>
        <v/>
      </c>
      <c r="B406">
        <f>B405+A406</f>
        <v/>
      </c>
    </row>
    <row r="407">
      <c r="A407">
        <f>IFERROR(IF(AND(BASELINE!I407&lt;&gt;"",INT(IF(CALC!$F$1&gt;0,IF(N(INDEX(BASELINE!$A407:$ZZ407,CALC!$F$1))&gt;0,N(INDEX(BASELINE!$A407:$ZZ407,CALC!$F$1)),N(BASELINE!E407)),N(BASELINE!E407)))=INT(SIMOPS!$D$3),IFERROR(UPPER(TRIM(BASELINE!D407&amp;"")),"")&lt;&gt;"ENCERRADA"),1,0),0)</f>
        <v/>
      </c>
      <c r="B407">
        <f>B406+A407</f>
        <v/>
      </c>
    </row>
    <row r="408">
      <c r="A408">
        <f>IFERROR(IF(AND(BASELINE!I408&lt;&gt;"",INT(IF(CALC!$F$1&gt;0,IF(N(INDEX(BASELINE!$A408:$ZZ408,CALC!$F$1))&gt;0,N(INDEX(BASELINE!$A408:$ZZ408,CALC!$F$1)),N(BASELINE!E408)),N(BASELINE!E408)))=INT(SIMOPS!$D$3),IFERROR(UPPER(TRIM(BASELINE!D408&amp;"")),"")&lt;&gt;"ENCERRADA"),1,0),0)</f>
        <v/>
      </c>
      <c r="B408">
        <f>B407+A408</f>
        <v/>
      </c>
    </row>
    <row r="409">
      <c r="A409">
        <f>IFERROR(IF(AND(BASELINE!I409&lt;&gt;"",INT(IF(CALC!$F$1&gt;0,IF(N(INDEX(BASELINE!$A409:$ZZ409,CALC!$F$1))&gt;0,N(INDEX(BASELINE!$A409:$ZZ409,CALC!$F$1)),N(BASELINE!E409)),N(BASELINE!E409)))=INT(SIMOPS!$D$3),IFERROR(UPPER(TRIM(BASELINE!D409&amp;"")),"")&lt;&gt;"ENCERRADA"),1,0),0)</f>
        <v/>
      </c>
      <c r="B409">
        <f>B408+A409</f>
        <v/>
      </c>
    </row>
    <row r="410">
      <c r="A410">
        <f>IFERROR(IF(AND(BASELINE!I410&lt;&gt;"",INT(IF(CALC!$F$1&gt;0,IF(N(INDEX(BASELINE!$A410:$ZZ410,CALC!$F$1))&gt;0,N(INDEX(BASELINE!$A410:$ZZ410,CALC!$F$1)),N(BASELINE!E410)),N(BASELINE!E410)))=INT(SIMOPS!$D$3),IFERROR(UPPER(TRIM(BASELINE!D410&amp;"")),"")&lt;&gt;"ENCERRADA"),1,0),0)</f>
        <v/>
      </c>
      <c r="B410">
        <f>B409+A410</f>
        <v/>
      </c>
    </row>
    <row r="411">
      <c r="A411">
        <f>IFERROR(IF(AND(BASELINE!I411&lt;&gt;"",INT(IF(CALC!$F$1&gt;0,IF(N(INDEX(BASELINE!$A411:$ZZ411,CALC!$F$1))&gt;0,N(INDEX(BASELINE!$A411:$ZZ411,CALC!$F$1)),N(BASELINE!E411)),N(BASELINE!E411)))=INT(SIMOPS!$D$3),IFERROR(UPPER(TRIM(BASELINE!D411&amp;"")),"")&lt;&gt;"ENCERRADA"),1,0),0)</f>
        <v/>
      </c>
      <c r="B411">
        <f>B410+A411</f>
        <v/>
      </c>
    </row>
    <row r="412">
      <c r="A412">
        <f>IFERROR(IF(AND(BASELINE!I412&lt;&gt;"",INT(IF(CALC!$F$1&gt;0,IF(N(INDEX(BASELINE!$A412:$ZZ412,CALC!$F$1))&gt;0,N(INDEX(BASELINE!$A412:$ZZ412,CALC!$F$1)),N(BASELINE!E412)),N(BASELINE!E412)))=INT(SIMOPS!$D$3),IFERROR(UPPER(TRIM(BASELINE!D412&amp;"")),"")&lt;&gt;"ENCERRADA"),1,0),0)</f>
        <v/>
      </c>
      <c r="B412">
        <f>B411+A412</f>
        <v/>
      </c>
    </row>
    <row r="413">
      <c r="A413">
        <f>IFERROR(IF(AND(BASELINE!I413&lt;&gt;"",INT(IF(CALC!$F$1&gt;0,IF(N(INDEX(BASELINE!$A413:$ZZ413,CALC!$F$1))&gt;0,N(INDEX(BASELINE!$A413:$ZZ413,CALC!$F$1)),N(BASELINE!E413)),N(BASELINE!E413)))=INT(SIMOPS!$D$3),IFERROR(UPPER(TRIM(BASELINE!D413&amp;"")),"")&lt;&gt;"ENCERRADA"),1,0),0)</f>
        <v/>
      </c>
      <c r="B413">
        <f>B412+A413</f>
        <v/>
      </c>
    </row>
    <row r="414">
      <c r="A414">
        <f>IFERROR(IF(AND(BASELINE!I414&lt;&gt;"",INT(IF(CALC!$F$1&gt;0,IF(N(INDEX(BASELINE!$A414:$ZZ414,CALC!$F$1))&gt;0,N(INDEX(BASELINE!$A414:$ZZ414,CALC!$F$1)),N(BASELINE!E414)),N(BASELINE!E414)))=INT(SIMOPS!$D$3),IFERROR(UPPER(TRIM(BASELINE!D414&amp;"")),"")&lt;&gt;"ENCERRADA"),1,0),0)</f>
        <v/>
      </c>
      <c r="B414">
        <f>B413+A414</f>
        <v/>
      </c>
    </row>
    <row r="415">
      <c r="A415">
        <f>IFERROR(IF(AND(BASELINE!I415&lt;&gt;"",INT(IF(CALC!$F$1&gt;0,IF(N(INDEX(BASELINE!$A415:$ZZ415,CALC!$F$1))&gt;0,N(INDEX(BASELINE!$A415:$ZZ415,CALC!$F$1)),N(BASELINE!E415)),N(BASELINE!E415)))=INT(SIMOPS!$D$3),IFERROR(UPPER(TRIM(BASELINE!D415&amp;"")),"")&lt;&gt;"ENCERRADA"),1,0),0)</f>
        <v/>
      </c>
      <c r="B415">
        <f>B414+A415</f>
        <v/>
      </c>
    </row>
    <row r="416">
      <c r="A416">
        <f>IFERROR(IF(AND(BASELINE!I416&lt;&gt;"",INT(IF(CALC!$F$1&gt;0,IF(N(INDEX(BASELINE!$A416:$ZZ416,CALC!$F$1))&gt;0,N(INDEX(BASELINE!$A416:$ZZ416,CALC!$F$1)),N(BASELINE!E416)),N(BASELINE!E416)))=INT(SIMOPS!$D$3),IFERROR(UPPER(TRIM(BASELINE!D416&amp;"")),"")&lt;&gt;"ENCERRADA"),1,0),0)</f>
        <v/>
      </c>
      <c r="B416">
        <f>B415+A416</f>
        <v/>
      </c>
    </row>
    <row r="417">
      <c r="A417">
        <f>IFERROR(IF(AND(BASELINE!I417&lt;&gt;"",INT(IF(CALC!$F$1&gt;0,IF(N(INDEX(BASELINE!$A417:$ZZ417,CALC!$F$1))&gt;0,N(INDEX(BASELINE!$A417:$ZZ417,CALC!$F$1)),N(BASELINE!E417)),N(BASELINE!E417)))=INT(SIMOPS!$D$3),IFERROR(UPPER(TRIM(BASELINE!D417&amp;"")),"")&lt;&gt;"ENCERRADA"),1,0),0)</f>
        <v/>
      </c>
      <c r="B417">
        <f>B416+A417</f>
        <v/>
      </c>
    </row>
    <row r="418">
      <c r="A418">
        <f>IFERROR(IF(AND(BASELINE!I418&lt;&gt;"",INT(IF(CALC!$F$1&gt;0,IF(N(INDEX(BASELINE!$A418:$ZZ418,CALC!$F$1))&gt;0,N(INDEX(BASELINE!$A418:$ZZ418,CALC!$F$1)),N(BASELINE!E418)),N(BASELINE!E418)))=INT(SIMOPS!$D$3),IFERROR(UPPER(TRIM(BASELINE!D418&amp;"")),"")&lt;&gt;"ENCERRADA"),1,0),0)</f>
        <v/>
      </c>
      <c r="B418">
        <f>B417+A418</f>
        <v/>
      </c>
    </row>
    <row r="419">
      <c r="A419">
        <f>IFERROR(IF(AND(BASELINE!I419&lt;&gt;"",INT(IF(CALC!$F$1&gt;0,IF(N(INDEX(BASELINE!$A419:$ZZ419,CALC!$F$1))&gt;0,N(INDEX(BASELINE!$A419:$ZZ419,CALC!$F$1)),N(BASELINE!E419)),N(BASELINE!E419)))=INT(SIMOPS!$D$3),IFERROR(UPPER(TRIM(BASELINE!D419&amp;"")),"")&lt;&gt;"ENCERRADA"),1,0),0)</f>
        <v/>
      </c>
      <c r="B419">
        <f>B418+A419</f>
        <v/>
      </c>
    </row>
    <row r="420">
      <c r="A420">
        <f>IFERROR(IF(AND(BASELINE!I420&lt;&gt;"",INT(IF(CALC!$F$1&gt;0,IF(N(INDEX(BASELINE!$A420:$ZZ420,CALC!$F$1))&gt;0,N(INDEX(BASELINE!$A420:$ZZ420,CALC!$F$1)),N(BASELINE!E420)),N(BASELINE!E420)))=INT(SIMOPS!$D$3),IFERROR(UPPER(TRIM(BASELINE!D420&amp;"")),"")&lt;&gt;"ENCERRADA"),1,0),0)</f>
        <v/>
      </c>
      <c r="B420">
        <f>B419+A420</f>
        <v/>
      </c>
    </row>
    <row r="421">
      <c r="A421">
        <f>IFERROR(IF(AND(BASELINE!I421&lt;&gt;"",INT(IF(CALC!$F$1&gt;0,IF(N(INDEX(BASELINE!$A421:$ZZ421,CALC!$F$1))&gt;0,N(INDEX(BASELINE!$A421:$ZZ421,CALC!$F$1)),N(BASELINE!E421)),N(BASELINE!E421)))=INT(SIMOPS!$D$3),IFERROR(UPPER(TRIM(BASELINE!D421&amp;"")),"")&lt;&gt;"ENCERRADA"),1,0),0)</f>
        <v/>
      </c>
      <c r="B421">
        <f>B420+A421</f>
        <v/>
      </c>
    </row>
    <row r="422">
      <c r="A422">
        <f>IFERROR(IF(AND(BASELINE!I422&lt;&gt;"",INT(IF(CALC!$F$1&gt;0,IF(N(INDEX(BASELINE!$A422:$ZZ422,CALC!$F$1))&gt;0,N(INDEX(BASELINE!$A422:$ZZ422,CALC!$F$1)),N(BASELINE!E422)),N(BASELINE!E422)))=INT(SIMOPS!$D$3),IFERROR(UPPER(TRIM(BASELINE!D422&amp;"")),"")&lt;&gt;"ENCERRADA"),1,0),0)</f>
        <v/>
      </c>
      <c r="B422">
        <f>B421+A422</f>
        <v/>
      </c>
    </row>
    <row r="423">
      <c r="A423">
        <f>IFERROR(IF(AND(BASELINE!I423&lt;&gt;"",INT(IF(CALC!$F$1&gt;0,IF(N(INDEX(BASELINE!$A423:$ZZ423,CALC!$F$1))&gt;0,N(INDEX(BASELINE!$A423:$ZZ423,CALC!$F$1)),N(BASELINE!E423)),N(BASELINE!E423)))=INT(SIMOPS!$D$3),IFERROR(UPPER(TRIM(BASELINE!D423&amp;"")),"")&lt;&gt;"ENCERRADA"),1,0),0)</f>
        <v/>
      </c>
      <c r="B423">
        <f>B422+A423</f>
        <v/>
      </c>
    </row>
    <row r="424">
      <c r="A424">
        <f>IFERROR(IF(AND(BASELINE!I424&lt;&gt;"",INT(IF(CALC!$F$1&gt;0,IF(N(INDEX(BASELINE!$A424:$ZZ424,CALC!$F$1))&gt;0,N(INDEX(BASELINE!$A424:$ZZ424,CALC!$F$1)),N(BASELINE!E424)),N(BASELINE!E424)))=INT(SIMOPS!$D$3),IFERROR(UPPER(TRIM(BASELINE!D424&amp;"")),"")&lt;&gt;"ENCERRADA"),1,0),0)</f>
        <v/>
      </c>
      <c r="B424">
        <f>B423+A424</f>
        <v/>
      </c>
    </row>
    <row r="425">
      <c r="A425">
        <f>IFERROR(IF(AND(BASELINE!I425&lt;&gt;"",INT(IF(CALC!$F$1&gt;0,IF(N(INDEX(BASELINE!$A425:$ZZ425,CALC!$F$1))&gt;0,N(INDEX(BASELINE!$A425:$ZZ425,CALC!$F$1)),N(BASELINE!E425)),N(BASELINE!E425)))=INT(SIMOPS!$D$3),IFERROR(UPPER(TRIM(BASELINE!D425&amp;"")),"")&lt;&gt;"ENCERRADA"),1,0),0)</f>
        <v/>
      </c>
      <c r="B425">
        <f>B424+A425</f>
        <v/>
      </c>
    </row>
    <row r="426">
      <c r="A426">
        <f>IFERROR(IF(AND(BASELINE!I426&lt;&gt;"",INT(IF(CALC!$F$1&gt;0,IF(N(INDEX(BASELINE!$A426:$ZZ426,CALC!$F$1))&gt;0,N(INDEX(BASELINE!$A426:$ZZ426,CALC!$F$1)),N(BASELINE!E426)),N(BASELINE!E426)))=INT(SIMOPS!$D$3),IFERROR(UPPER(TRIM(BASELINE!D426&amp;"")),"")&lt;&gt;"ENCERRADA"),1,0),0)</f>
        <v/>
      </c>
      <c r="B426">
        <f>B425+A426</f>
        <v/>
      </c>
    </row>
    <row r="427">
      <c r="A427">
        <f>IFERROR(IF(AND(BASELINE!I427&lt;&gt;"",INT(IF(CALC!$F$1&gt;0,IF(N(INDEX(BASELINE!$A427:$ZZ427,CALC!$F$1))&gt;0,N(INDEX(BASELINE!$A427:$ZZ427,CALC!$F$1)),N(BASELINE!E427)),N(BASELINE!E427)))=INT(SIMOPS!$D$3),IFERROR(UPPER(TRIM(BASELINE!D427&amp;"")),"")&lt;&gt;"ENCERRADA"),1,0),0)</f>
        <v/>
      </c>
      <c r="B427">
        <f>B426+A427</f>
        <v/>
      </c>
    </row>
    <row r="428">
      <c r="A428">
        <f>IFERROR(IF(AND(BASELINE!I428&lt;&gt;"",INT(IF(CALC!$F$1&gt;0,IF(N(INDEX(BASELINE!$A428:$ZZ428,CALC!$F$1))&gt;0,N(INDEX(BASELINE!$A428:$ZZ428,CALC!$F$1)),N(BASELINE!E428)),N(BASELINE!E428)))=INT(SIMOPS!$D$3),IFERROR(UPPER(TRIM(BASELINE!D428&amp;"")),"")&lt;&gt;"ENCERRADA"),1,0),0)</f>
        <v/>
      </c>
      <c r="B428">
        <f>B427+A428</f>
        <v/>
      </c>
    </row>
    <row r="429">
      <c r="A429">
        <f>IFERROR(IF(AND(BASELINE!I429&lt;&gt;"",INT(IF(CALC!$F$1&gt;0,IF(N(INDEX(BASELINE!$A429:$ZZ429,CALC!$F$1))&gt;0,N(INDEX(BASELINE!$A429:$ZZ429,CALC!$F$1)),N(BASELINE!E429)),N(BASELINE!E429)))=INT(SIMOPS!$D$3),IFERROR(UPPER(TRIM(BASELINE!D429&amp;"")),"")&lt;&gt;"ENCERRADA"),1,0),0)</f>
        <v/>
      </c>
      <c r="B429">
        <f>B428+A429</f>
        <v/>
      </c>
    </row>
    <row r="430">
      <c r="A430">
        <f>IFERROR(IF(AND(BASELINE!I430&lt;&gt;"",INT(IF(CALC!$F$1&gt;0,IF(N(INDEX(BASELINE!$A430:$ZZ430,CALC!$F$1))&gt;0,N(INDEX(BASELINE!$A430:$ZZ430,CALC!$F$1)),N(BASELINE!E430)),N(BASELINE!E430)))=INT(SIMOPS!$D$3),IFERROR(UPPER(TRIM(BASELINE!D430&amp;"")),"")&lt;&gt;"ENCERRADA"),1,0),0)</f>
        <v/>
      </c>
      <c r="B430">
        <f>B429+A430</f>
        <v/>
      </c>
    </row>
    <row r="431">
      <c r="A431">
        <f>IFERROR(IF(AND(BASELINE!I431&lt;&gt;"",INT(IF(CALC!$F$1&gt;0,IF(N(INDEX(BASELINE!$A431:$ZZ431,CALC!$F$1))&gt;0,N(INDEX(BASELINE!$A431:$ZZ431,CALC!$F$1)),N(BASELINE!E431)),N(BASELINE!E431)))=INT(SIMOPS!$D$3),IFERROR(UPPER(TRIM(BASELINE!D431&amp;"")),"")&lt;&gt;"ENCERRADA"),1,0),0)</f>
        <v/>
      </c>
      <c r="B431">
        <f>B430+A431</f>
        <v/>
      </c>
    </row>
    <row r="432">
      <c r="A432">
        <f>IFERROR(IF(AND(BASELINE!I432&lt;&gt;"",INT(IF(CALC!$F$1&gt;0,IF(N(INDEX(BASELINE!$A432:$ZZ432,CALC!$F$1))&gt;0,N(INDEX(BASELINE!$A432:$ZZ432,CALC!$F$1)),N(BASELINE!E432)),N(BASELINE!E432)))=INT(SIMOPS!$D$3),IFERROR(UPPER(TRIM(BASELINE!D432&amp;"")),"")&lt;&gt;"ENCERRADA"),1,0),0)</f>
        <v/>
      </c>
      <c r="B432">
        <f>B431+A432</f>
        <v/>
      </c>
    </row>
    <row r="433">
      <c r="A433">
        <f>IFERROR(IF(AND(BASELINE!I433&lt;&gt;"",INT(IF(CALC!$F$1&gt;0,IF(N(INDEX(BASELINE!$A433:$ZZ433,CALC!$F$1))&gt;0,N(INDEX(BASELINE!$A433:$ZZ433,CALC!$F$1)),N(BASELINE!E433)),N(BASELINE!E433)))=INT(SIMOPS!$D$3),IFERROR(UPPER(TRIM(BASELINE!D433&amp;"")),"")&lt;&gt;"ENCERRADA"),1,0),0)</f>
        <v/>
      </c>
      <c r="B433">
        <f>B432+A433</f>
        <v/>
      </c>
    </row>
    <row r="434">
      <c r="A434">
        <f>IFERROR(IF(AND(BASELINE!I434&lt;&gt;"",INT(IF(CALC!$F$1&gt;0,IF(N(INDEX(BASELINE!$A434:$ZZ434,CALC!$F$1))&gt;0,N(INDEX(BASELINE!$A434:$ZZ434,CALC!$F$1)),N(BASELINE!E434)),N(BASELINE!E434)))=INT(SIMOPS!$D$3),IFERROR(UPPER(TRIM(BASELINE!D434&amp;"")),"")&lt;&gt;"ENCERRADA"),1,0),0)</f>
        <v/>
      </c>
      <c r="B434">
        <f>B433+A434</f>
        <v/>
      </c>
    </row>
    <row r="435">
      <c r="A435">
        <f>IFERROR(IF(AND(BASELINE!I435&lt;&gt;"",INT(IF(CALC!$F$1&gt;0,IF(N(INDEX(BASELINE!$A435:$ZZ435,CALC!$F$1))&gt;0,N(INDEX(BASELINE!$A435:$ZZ435,CALC!$F$1)),N(BASELINE!E435)),N(BASELINE!E435)))=INT(SIMOPS!$D$3),IFERROR(UPPER(TRIM(BASELINE!D435&amp;"")),"")&lt;&gt;"ENCERRADA"),1,0),0)</f>
        <v/>
      </c>
      <c r="B435">
        <f>B434+A435</f>
        <v/>
      </c>
    </row>
    <row r="436">
      <c r="A436">
        <f>IFERROR(IF(AND(BASELINE!I436&lt;&gt;"",INT(IF(CALC!$F$1&gt;0,IF(N(INDEX(BASELINE!$A436:$ZZ436,CALC!$F$1))&gt;0,N(INDEX(BASELINE!$A436:$ZZ436,CALC!$F$1)),N(BASELINE!E436)),N(BASELINE!E436)))=INT(SIMOPS!$D$3),IFERROR(UPPER(TRIM(BASELINE!D436&amp;"")),"")&lt;&gt;"ENCERRADA"),1,0),0)</f>
        <v/>
      </c>
      <c r="B436">
        <f>B435+A436</f>
        <v/>
      </c>
    </row>
    <row r="437">
      <c r="A437">
        <f>IFERROR(IF(AND(BASELINE!I437&lt;&gt;"",INT(IF(CALC!$F$1&gt;0,IF(N(INDEX(BASELINE!$A437:$ZZ437,CALC!$F$1))&gt;0,N(INDEX(BASELINE!$A437:$ZZ437,CALC!$F$1)),N(BASELINE!E437)),N(BASELINE!E437)))=INT(SIMOPS!$D$3),IFERROR(UPPER(TRIM(BASELINE!D437&amp;"")),"")&lt;&gt;"ENCERRADA"),1,0),0)</f>
        <v/>
      </c>
      <c r="B437">
        <f>B436+A437</f>
        <v/>
      </c>
    </row>
    <row r="438">
      <c r="A438">
        <f>IFERROR(IF(AND(BASELINE!I438&lt;&gt;"",INT(IF(CALC!$F$1&gt;0,IF(N(INDEX(BASELINE!$A438:$ZZ438,CALC!$F$1))&gt;0,N(INDEX(BASELINE!$A438:$ZZ438,CALC!$F$1)),N(BASELINE!E438)),N(BASELINE!E438)))=INT(SIMOPS!$D$3),IFERROR(UPPER(TRIM(BASELINE!D438&amp;"")),"")&lt;&gt;"ENCERRADA"),1,0),0)</f>
        <v/>
      </c>
      <c r="B438">
        <f>B437+A438</f>
        <v/>
      </c>
    </row>
    <row r="439">
      <c r="A439">
        <f>IFERROR(IF(AND(BASELINE!I439&lt;&gt;"",INT(IF(CALC!$F$1&gt;0,IF(N(INDEX(BASELINE!$A439:$ZZ439,CALC!$F$1))&gt;0,N(INDEX(BASELINE!$A439:$ZZ439,CALC!$F$1)),N(BASELINE!E439)),N(BASELINE!E439)))=INT(SIMOPS!$D$3),IFERROR(UPPER(TRIM(BASELINE!D439&amp;"")),"")&lt;&gt;"ENCERRADA"),1,0),0)</f>
        <v/>
      </c>
      <c r="B439">
        <f>B438+A439</f>
        <v/>
      </c>
    </row>
    <row r="440">
      <c r="A440">
        <f>IFERROR(IF(AND(BASELINE!I440&lt;&gt;"",INT(IF(CALC!$F$1&gt;0,IF(N(INDEX(BASELINE!$A440:$ZZ440,CALC!$F$1))&gt;0,N(INDEX(BASELINE!$A440:$ZZ440,CALC!$F$1)),N(BASELINE!E440)),N(BASELINE!E440)))=INT(SIMOPS!$D$3),IFERROR(UPPER(TRIM(BASELINE!D440&amp;"")),"")&lt;&gt;"ENCERRADA"),1,0),0)</f>
        <v/>
      </c>
      <c r="B440">
        <f>B439+A440</f>
        <v/>
      </c>
    </row>
    <row r="441">
      <c r="A441">
        <f>IFERROR(IF(AND(BASELINE!I441&lt;&gt;"",INT(IF(CALC!$F$1&gt;0,IF(N(INDEX(BASELINE!$A441:$ZZ441,CALC!$F$1))&gt;0,N(INDEX(BASELINE!$A441:$ZZ441,CALC!$F$1)),N(BASELINE!E441)),N(BASELINE!E441)))=INT(SIMOPS!$D$3),IFERROR(UPPER(TRIM(BASELINE!D441&amp;"")),"")&lt;&gt;"ENCERRADA"),1,0),0)</f>
        <v/>
      </c>
      <c r="B441">
        <f>B440+A441</f>
        <v/>
      </c>
    </row>
    <row r="442">
      <c r="A442">
        <f>IFERROR(IF(AND(BASELINE!I442&lt;&gt;"",INT(IF(CALC!$F$1&gt;0,IF(N(INDEX(BASELINE!$A442:$ZZ442,CALC!$F$1))&gt;0,N(INDEX(BASELINE!$A442:$ZZ442,CALC!$F$1)),N(BASELINE!E442)),N(BASELINE!E442)))=INT(SIMOPS!$D$3),IFERROR(UPPER(TRIM(BASELINE!D442&amp;"")),"")&lt;&gt;"ENCERRADA"),1,0),0)</f>
        <v/>
      </c>
      <c r="B442">
        <f>B441+A442</f>
        <v/>
      </c>
    </row>
    <row r="443">
      <c r="A443">
        <f>IFERROR(IF(AND(BASELINE!I443&lt;&gt;"",INT(IF(CALC!$F$1&gt;0,IF(N(INDEX(BASELINE!$A443:$ZZ443,CALC!$F$1))&gt;0,N(INDEX(BASELINE!$A443:$ZZ443,CALC!$F$1)),N(BASELINE!E443)),N(BASELINE!E443)))=INT(SIMOPS!$D$3),IFERROR(UPPER(TRIM(BASELINE!D443&amp;"")),"")&lt;&gt;"ENCERRADA"),1,0),0)</f>
        <v/>
      </c>
      <c r="B443">
        <f>B442+A443</f>
        <v/>
      </c>
    </row>
    <row r="444">
      <c r="A444">
        <f>IFERROR(IF(AND(BASELINE!I444&lt;&gt;"",INT(IF(CALC!$F$1&gt;0,IF(N(INDEX(BASELINE!$A444:$ZZ444,CALC!$F$1))&gt;0,N(INDEX(BASELINE!$A444:$ZZ444,CALC!$F$1)),N(BASELINE!E444)),N(BASELINE!E444)))=INT(SIMOPS!$D$3),IFERROR(UPPER(TRIM(BASELINE!D444&amp;"")),"")&lt;&gt;"ENCERRADA"),1,0),0)</f>
        <v/>
      </c>
      <c r="B444">
        <f>B443+A444</f>
        <v/>
      </c>
    </row>
    <row r="445">
      <c r="A445">
        <f>IFERROR(IF(AND(BASELINE!I445&lt;&gt;"",INT(IF(CALC!$F$1&gt;0,IF(N(INDEX(BASELINE!$A445:$ZZ445,CALC!$F$1))&gt;0,N(INDEX(BASELINE!$A445:$ZZ445,CALC!$F$1)),N(BASELINE!E445)),N(BASELINE!E445)))=INT(SIMOPS!$D$3),IFERROR(UPPER(TRIM(BASELINE!D445&amp;"")),"")&lt;&gt;"ENCERRADA"),1,0),0)</f>
        <v/>
      </c>
      <c r="B445">
        <f>B444+A445</f>
        <v/>
      </c>
    </row>
    <row r="446">
      <c r="A446">
        <f>IFERROR(IF(AND(BASELINE!I446&lt;&gt;"",INT(IF(CALC!$F$1&gt;0,IF(N(INDEX(BASELINE!$A446:$ZZ446,CALC!$F$1))&gt;0,N(INDEX(BASELINE!$A446:$ZZ446,CALC!$F$1)),N(BASELINE!E446)),N(BASELINE!E446)))=INT(SIMOPS!$D$3),IFERROR(UPPER(TRIM(BASELINE!D446&amp;"")),"")&lt;&gt;"ENCERRADA"),1,0),0)</f>
        <v/>
      </c>
      <c r="B446">
        <f>B445+A446</f>
        <v/>
      </c>
    </row>
    <row r="447">
      <c r="A447">
        <f>IFERROR(IF(AND(BASELINE!I447&lt;&gt;"",INT(IF(CALC!$F$1&gt;0,IF(N(INDEX(BASELINE!$A447:$ZZ447,CALC!$F$1))&gt;0,N(INDEX(BASELINE!$A447:$ZZ447,CALC!$F$1)),N(BASELINE!E447)),N(BASELINE!E447)))=INT(SIMOPS!$D$3),IFERROR(UPPER(TRIM(BASELINE!D447&amp;"")),"")&lt;&gt;"ENCERRADA"),1,0),0)</f>
        <v/>
      </c>
      <c r="B447">
        <f>B446+A447</f>
        <v/>
      </c>
    </row>
    <row r="448">
      <c r="A448">
        <f>IFERROR(IF(AND(BASELINE!I448&lt;&gt;"",INT(IF(CALC!$F$1&gt;0,IF(N(INDEX(BASELINE!$A448:$ZZ448,CALC!$F$1))&gt;0,N(INDEX(BASELINE!$A448:$ZZ448,CALC!$F$1)),N(BASELINE!E448)),N(BASELINE!E448)))=INT(SIMOPS!$D$3),IFERROR(UPPER(TRIM(BASELINE!D448&amp;"")),"")&lt;&gt;"ENCERRADA"),1,0),0)</f>
        <v/>
      </c>
      <c r="B448">
        <f>B447+A448</f>
        <v/>
      </c>
    </row>
    <row r="449">
      <c r="A449">
        <f>IFERROR(IF(AND(BASELINE!I449&lt;&gt;"",INT(IF(CALC!$F$1&gt;0,IF(N(INDEX(BASELINE!$A449:$ZZ449,CALC!$F$1))&gt;0,N(INDEX(BASELINE!$A449:$ZZ449,CALC!$F$1)),N(BASELINE!E449)),N(BASELINE!E449)))=INT(SIMOPS!$D$3),IFERROR(UPPER(TRIM(BASELINE!D449&amp;"")),"")&lt;&gt;"ENCERRADA"),1,0),0)</f>
        <v/>
      </c>
      <c r="B449">
        <f>B448+A449</f>
        <v/>
      </c>
    </row>
    <row r="450">
      <c r="A450">
        <f>IFERROR(IF(AND(BASELINE!I450&lt;&gt;"",INT(IF(CALC!$F$1&gt;0,IF(N(INDEX(BASELINE!$A450:$ZZ450,CALC!$F$1))&gt;0,N(INDEX(BASELINE!$A450:$ZZ450,CALC!$F$1)),N(BASELINE!E450)),N(BASELINE!E450)))=INT(SIMOPS!$D$3),IFERROR(UPPER(TRIM(BASELINE!D450&amp;"")),"")&lt;&gt;"ENCERRADA"),1,0),0)</f>
        <v/>
      </c>
      <c r="B450">
        <f>B449+A450</f>
        <v/>
      </c>
    </row>
    <row r="451">
      <c r="A451">
        <f>IFERROR(IF(AND(BASELINE!I451&lt;&gt;"",INT(IF(CALC!$F$1&gt;0,IF(N(INDEX(BASELINE!$A451:$ZZ451,CALC!$F$1))&gt;0,N(INDEX(BASELINE!$A451:$ZZ451,CALC!$F$1)),N(BASELINE!E451)),N(BASELINE!E451)))=INT(SIMOPS!$D$3),IFERROR(UPPER(TRIM(BASELINE!D451&amp;"")),"")&lt;&gt;"ENCERRADA"),1,0),0)</f>
        <v/>
      </c>
      <c r="B451">
        <f>B450+A451</f>
        <v/>
      </c>
    </row>
    <row r="452">
      <c r="A452">
        <f>IFERROR(IF(AND(BASELINE!I452&lt;&gt;"",INT(IF(CALC!$F$1&gt;0,IF(N(INDEX(BASELINE!$A452:$ZZ452,CALC!$F$1))&gt;0,N(INDEX(BASELINE!$A452:$ZZ452,CALC!$F$1)),N(BASELINE!E452)),N(BASELINE!E452)))=INT(SIMOPS!$D$3),IFERROR(UPPER(TRIM(BASELINE!D452&amp;"")),"")&lt;&gt;"ENCERRADA"),1,0),0)</f>
        <v/>
      </c>
      <c r="B452">
        <f>B451+A452</f>
        <v/>
      </c>
    </row>
    <row r="453">
      <c r="A453">
        <f>IFERROR(IF(AND(BASELINE!I453&lt;&gt;"",INT(IF(CALC!$F$1&gt;0,IF(N(INDEX(BASELINE!$A453:$ZZ453,CALC!$F$1))&gt;0,N(INDEX(BASELINE!$A453:$ZZ453,CALC!$F$1)),N(BASELINE!E453)),N(BASELINE!E453)))=INT(SIMOPS!$D$3),IFERROR(UPPER(TRIM(BASELINE!D453&amp;"")),"")&lt;&gt;"ENCERRADA"),1,0),0)</f>
        <v/>
      </c>
      <c r="B453">
        <f>B452+A453</f>
        <v/>
      </c>
    </row>
    <row r="454">
      <c r="A454">
        <f>IFERROR(IF(AND(BASELINE!I454&lt;&gt;"",INT(IF(CALC!$F$1&gt;0,IF(N(INDEX(BASELINE!$A454:$ZZ454,CALC!$F$1))&gt;0,N(INDEX(BASELINE!$A454:$ZZ454,CALC!$F$1)),N(BASELINE!E454)),N(BASELINE!E454)))=INT(SIMOPS!$D$3),IFERROR(UPPER(TRIM(BASELINE!D454&amp;"")),"")&lt;&gt;"ENCERRADA"),1,0),0)</f>
        <v/>
      </c>
      <c r="B454">
        <f>B453+A454</f>
        <v/>
      </c>
    </row>
    <row r="455">
      <c r="A455">
        <f>IFERROR(IF(AND(BASELINE!I455&lt;&gt;"",INT(IF(CALC!$F$1&gt;0,IF(N(INDEX(BASELINE!$A455:$ZZ455,CALC!$F$1))&gt;0,N(INDEX(BASELINE!$A455:$ZZ455,CALC!$F$1)),N(BASELINE!E455)),N(BASELINE!E455)))=INT(SIMOPS!$D$3),IFERROR(UPPER(TRIM(BASELINE!D455&amp;"")),"")&lt;&gt;"ENCERRADA"),1,0),0)</f>
        <v/>
      </c>
      <c r="B455">
        <f>B454+A455</f>
        <v/>
      </c>
    </row>
    <row r="456">
      <c r="A456">
        <f>IFERROR(IF(AND(BASELINE!I456&lt;&gt;"",INT(IF(CALC!$F$1&gt;0,IF(N(INDEX(BASELINE!$A456:$ZZ456,CALC!$F$1))&gt;0,N(INDEX(BASELINE!$A456:$ZZ456,CALC!$F$1)),N(BASELINE!E456)),N(BASELINE!E456)))=INT(SIMOPS!$D$3),IFERROR(UPPER(TRIM(BASELINE!D456&amp;"")),"")&lt;&gt;"ENCERRADA"),1,0),0)</f>
        <v/>
      </c>
      <c r="B456">
        <f>B455+A456</f>
        <v/>
      </c>
    </row>
    <row r="457">
      <c r="A457">
        <f>IFERROR(IF(AND(BASELINE!I457&lt;&gt;"",INT(IF(CALC!$F$1&gt;0,IF(N(INDEX(BASELINE!$A457:$ZZ457,CALC!$F$1))&gt;0,N(INDEX(BASELINE!$A457:$ZZ457,CALC!$F$1)),N(BASELINE!E457)),N(BASELINE!E457)))=INT(SIMOPS!$D$3),IFERROR(UPPER(TRIM(BASELINE!D457&amp;"")),"")&lt;&gt;"ENCERRADA"),1,0),0)</f>
        <v/>
      </c>
      <c r="B457">
        <f>B456+A457</f>
        <v/>
      </c>
    </row>
    <row r="458">
      <c r="A458">
        <f>IFERROR(IF(AND(BASELINE!I458&lt;&gt;"",INT(IF(CALC!$F$1&gt;0,IF(N(INDEX(BASELINE!$A458:$ZZ458,CALC!$F$1))&gt;0,N(INDEX(BASELINE!$A458:$ZZ458,CALC!$F$1)),N(BASELINE!E458)),N(BASELINE!E458)))=INT(SIMOPS!$D$3),IFERROR(UPPER(TRIM(BASELINE!D458&amp;"")),"")&lt;&gt;"ENCERRADA"),1,0),0)</f>
        <v/>
      </c>
      <c r="B458">
        <f>B457+A458</f>
        <v/>
      </c>
    </row>
    <row r="459">
      <c r="A459">
        <f>IFERROR(IF(AND(BASELINE!I459&lt;&gt;"",INT(IF(CALC!$F$1&gt;0,IF(N(INDEX(BASELINE!$A459:$ZZ459,CALC!$F$1))&gt;0,N(INDEX(BASELINE!$A459:$ZZ459,CALC!$F$1)),N(BASELINE!E459)),N(BASELINE!E459)))=INT(SIMOPS!$D$3),IFERROR(UPPER(TRIM(BASELINE!D459&amp;"")),"")&lt;&gt;"ENCERRADA"),1,0),0)</f>
        <v/>
      </c>
      <c r="B459">
        <f>B458+A459</f>
        <v/>
      </c>
    </row>
    <row r="460">
      <c r="A460">
        <f>IFERROR(IF(AND(BASELINE!I460&lt;&gt;"",INT(IF(CALC!$F$1&gt;0,IF(N(INDEX(BASELINE!$A460:$ZZ460,CALC!$F$1))&gt;0,N(INDEX(BASELINE!$A460:$ZZ460,CALC!$F$1)),N(BASELINE!E460)),N(BASELINE!E460)))=INT(SIMOPS!$D$3),IFERROR(UPPER(TRIM(BASELINE!D460&amp;"")),"")&lt;&gt;"ENCERRADA"),1,0),0)</f>
        <v/>
      </c>
      <c r="B460">
        <f>B459+A460</f>
        <v/>
      </c>
    </row>
    <row r="461">
      <c r="A461">
        <f>IFERROR(IF(AND(BASELINE!I461&lt;&gt;"",INT(IF(CALC!$F$1&gt;0,IF(N(INDEX(BASELINE!$A461:$ZZ461,CALC!$F$1))&gt;0,N(INDEX(BASELINE!$A461:$ZZ461,CALC!$F$1)),N(BASELINE!E461)),N(BASELINE!E461)))=INT(SIMOPS!$D$3),IFERROR(UPPER(TRIM(BASELINE!D461&amp;"")),"")&lt;&gt;"ENCERRADA"),1,0),0)</f>
        <v/>
      </c>
      <c r="B461">
        <f>B460+A461</f>
        <v/>
      </c>
    </row>
    <row r="462">
      <c r="A462">
        <f>IFERROR(IF(AND(BASELINE!I462&lt;&gt;"",INT(IF(CALC!$F$1&gt;0,IF(N(INDEX(BASELINE!$A462:$ZZ462,CALC!$F$1))&gt;0,N(INDEX(BASELINE!$A462:$ZZ462,CALC!$F$1)),N(BASELINE!E462)),N(BASELINE!E462)))=INT(SIMOPS!$D$3),IFERROR(UPPER(TRIM(BASELINE!D462&amp;"")),"")&lt;&gt;"ENCERRADA"),1,0),0)</f>
        <v/>
      </c>
      <c r="B462">
        <f>B461+A462</f>
        <v/>
      </c>
    </row>
    <row r="463">
      <c r="A463">
        <f>IFERROR(IF(AND(BASELINE!I463&lt;&gt;"",INT(IF(CALC!$F$1&gt;0,IF(N(INDEX(BASELINE!$A463:$ZZ463,CALC!$F$1))&gt;0,N(INDEX(BASELINE!$A463:$ZZ463,CALC!$F$1)),N(BASELINE!E463)),N(BASELINE!E463)))=INT(SIMOPS!$D$3),IFERROR(UPPER(TRIM(BASELINE!D463&amp;"")),"")&lt;&gt;"ENCERRADA"),1,0),0)</f>
        <v/>
      </c>
      <c r="B463">
        <f>B462+A463</f>
        <v/>
      </c>
    </row>
    <row r="464">
      <c r="A464">
        <f>IFERROR(IF(AND(BASELINE!I464&lt;&gt;"",INT(IF(CALC!$F$1&gt;0,IF(N(INDEX(BASELINE!$A464:$ZZ464,CALC!$F$1))&gt;0,N(INDEX(BASELINE!$A464:$ZZ464,CALC!$F$1)),N(BASELINE!E464)),N(BASELINE!E464)))=INT(SIMOPS!$D$3),IFERROR(UPPER(TRIM(BASELINE!D464&amp;"")),"")&lt;&gt;"ENCERRADA"),1,0),0)</f>
        <v/>
      </c>
      <c r="B464">
        <f>B463+A464</f>
        <v/>
      </c>
    </row>
    <row r="465">
      <c r="A465">
        <f>IFERROR(IF(AND(BASELINE!I465&lt;&gt;"",INT(IF(CALC!$F$1&gt;0,IF(N(INDEX(BASELINE!$A465:$ZZ465,CALC!$F$1))&gt;0,N(INDEX(BASELINE!$A465:$ZZ465,CALC!$F$1)),N(BASELINE!E465)),N(BASELINE!E465)))=INT(SIMOPS!$D$3),IFERROR(UPPER(TRIM(BASELINE!D465&amp;"")),"")&lt;&gt;"ENCERRADA"),1,0),0)</f>
        <v/>
      </c>
      <c r="B465">
        <f>B464+A465</f>
        <v/>
      </c>
    </row>
    <row r="466">
      <c r="A466">
        <f>IFERROR(IF(AND(BASELINE!I466&lt;&gt;"",INT(IF(CALC!$F$1&gt;0,IF(N(INDEX(BASELINE!$A466:$ZZ466,CALC!$F$1))&gt;0,N(INDEX(BASELINE!$A466:$ZZ466,CALC!$F$1)),N(BASELINE!E466)),N(BASELINE!E466)))=INT(SIMOPS!$D$3),IFERROR(UPPER(TRIM(BASELINE!D466&amp;"")),"")&lt;&gt;"ENCERRADA"),1,0),0)</f>
        <v/>
      </c>
      <c r="B466">
        <f>B465+A466</f>
        <v/>
      </c>
    </row>
    <row r="467">
      <c r="A467">
        <f>IFERROR(IF(AND(BASELINE!I467&lt;&gt;"",INT(IF(CALC!$F$1&gt;0,IF(N(INDEX(BASELINE!$A467:$ZZ467,CALC!$F$1))&gt;0,N(INDEX(BASELINE!$A467:$ZZ467,CALC!$F$1)),N(BASELINE!E467)),N(BASELINE!E467)))=INT(SIMOPS!$D$3),IFERROR(UPPER(TRIM(BASELINE!D467&amp;"")),"")&lt;&gt;"ENCERRADA"),1,0),0)</f>
        <v/>
      </c>
      <c r="B467">
        <f>B466+A467</f>
        <v/>
      </c>
    </row>
    <row r="468">
      <c r="A468">
        <f>IFERROR(IF(AND(BASELINE!I468&lt;&gt;"",INT(IF(CALC!$F$1&gt;0,IF(N(INDEX(BASELINE!$A468:$ZZ468,CALC!$F$1))&gt;0,N(INDEX(BASELINE!$A468:$ZZ468,CALC!$F$1)),N(BASELINE!E468)),N(BASELINE!E468)))=INT(SIMOPS!$D$3),IFERROR(UPPER(TRIM(BASELINE!D468&amp;"")),"")&lt;&gt;"ENCERRADA"),1,0),0)</f>
        <v/>
      </c>
      <c r="B468">
        <f>B467+A468</f>
        <v/>
      </c>
    </row>
    <row r="469">
      <c r="A469">
        <f>IFERROR(IF(AND(BASELINE!I469&lt;&gt;"",INT(IF(CALC!$F$1&gt;0,IF(N(INDEX(BASELINE!$A469:$ZZ469,CALC!$F$1))&gt;0,N(INDEX(BASELINE!$A469:$ZZ469,CALC!$F$1)),N(BASELINE!E469)),N(BASELINE!E469)))=INT(SIMOPS!$D$3),IFERROR(UPPER(TRIM(BASELINE!D469&amp;"")),"")&lt;&gt;"ENCERRADA"),1,0),0)</f>
        <v/>
      </c>
      <c r="B469">
        <f>B468+A469</f>
        <v/>
      </c>
    </row>
    <row r="470">
      <c r="A470">
        <f>IFERROR(IF(AND(BASELINE!I470&lt;&gt;"",INT(IF(CALC!$F$1&gt;0,IF(N(INDEX(BASELINE!$A470:$ZZ470,CALC!$F$1))&gt;0,N(INDEX(BASELINE!$A470:$ZZ470,CALC!$F$1)),N(BASELINE!E470)),N(BASELINE!E470)))=INT(SIMOPS!$D$3),IFERROR(UPPER(TRIM(BASELINE!D470&amp;"")),"")&lt;&gt;"ENCERRADA"),1,0),0)</f>
        <v/>
      </c>
      <c r="B470">
        <f>B469+A470</f>
        <v/>
      </c>
    </row>
    <row r="471">
      <c r="A471">
        <f>IFERROR(IF(AND(BASELINE!I471&lt;&gt;"",INT(IF(CALC!$F$1&gt;0,IF(N(INDEX(BASELINE!$A471:$ZZ471,CALC!$F$1))&gt;0,N(INDEX(BASELINE!$A471:$ZZ471,CALC!$F$1)),N(BASELINE!E471)),N(BASELINE!E471)))=INT(SIMOPS!$D$3),IFERROR(UPPER(TRIM(BASELINE!D471&amp;"")),"")&lt;&gt;"ENCERRADA"),1,0),0)</f>
        <v/>
      </c>
      <c r="B471">
        <f>B470+A471</f>
        <v/>
      </c>
    </row>
    <row r="472">
      <c r="A472">
        <f>IFERROR(IF(AND(BASELINE!I472&lt;&gt;"",INT(IF(CALC!$F$1&gt;0,IF(N(INDEX(BASELINE!$A472:$ZZ472,CALC!$F$1))&gt;0,N(INDEX(BASELINE!$A472:$ZZ472,CALC!$F$1)),N(BASELINE!E472)),N(BASELINE!E472)))=INT(SIMOPS!$D$3),IFERROR(UPPER(TRIM(BASELINE!D472&amp;"")),"")&lt;&gt;"ENCERRADA"),1,0),0)</f>
        <v/>
      </c>
      <c r="B472">
        <f>B471+A472</f>
        <v/>
      </c>
    </row>
    <row r="473">
      <c r="A473">
        <f>IFERROR(IF(AND(BASELINE!I473&lt;&gt;"",INT(IF(CALC!$F$1&gt;0,IF(N(INDEX(BASELINE!$A473:$ZZ473,CALC!$F$1))&gt;0,N(INDEX(BASELINE!$A473:$ZZ473,CALC!$F$1)),N(BASELINE!E473)),N(BASELINE!E473)))=INT(SIMOPS!$D$3),IFERROR(UPPER(TRIM(BASELINE!D473&amp;"")),"")&lt;&gt;"ENCERRADA"),1,0),0)</f>
        <v/>
      </c>
      <c r="B473">
        <f>B472+A473</f>
        <v/>
      </c>
    </row>
    <row r="474">
      <c r="A474">
        <f>IFERROR(IF(AND(BASELINE!I474&lt;&gt;"",INT(IF(CALC!$F$1&gt;0,IF(N(INDEX(BASELINE!$A474:$ZZ474,CALC!$F$1))&gt;0,N(INDEX(BASELINE!$A474:$ZZ474,CALC!$F$1)),N(BASELINE!E474)),N(BASELINE!E474)))=INT(SIMOPS!$D$3),IFERROR(UPPER(TRIM(BASELINE!D474&amp;"")),"")&lt;&gt;"ENCERRADA"),1,0),0)</f>
        <v/>
      </c>
      <c r="B474">
        <f>B473+A474</f>
        <v/>
      </c>
    </row>
    <row r="475">
      <c r="A475">
        <f>IFERROR(IF(AND(BASELINE!I475&lt;&gt;"",INT(IF(CALC!$F$1&gt;0,IF(N(INDEX(BASELINE!$A475:$ZZ475,CALC!$F$1))&gt;0,N(INDEX(BASELINE!$A475:$ZZ475,CALC!$F$1)),N(BASELINE!E475)),N(BASELINE!E475)))=INT(SIMOPS!$D$3),IFERROR(UPPER(TRIM(BASELINE!D475&amp;"")),"")&lt;&gt;"ENCERRADA"),1,0),0)</f>
        <v/>
      </c>
      <c r="B475">
        <f>B474+A475</f>
        <v/>
      </c>
    </row>
    <row r="476">
      <c r="A476">
        <f>IFERROR(IF(AND(BASELINE!I476&lt;&gt;"",INT(IF(CALC!$F$1&gt;0,IF(N(INDEX(BASELINE!$A476:$ZZ476,CALC!$F$1))&gt;0,N(INDEX(BASELINE!$A476:$ZZ476,CALC!$F$1)),N(BASELINE!E476)),N(BASELINE!E476)))=INT(SIMOPS!$D$3),IFERROR(UPPER(TRIM(BASELINE!D476&amp;"")),"")&lt;&gt;"ENCERRADA"),1,0),0)</f>
        <v/>
      </c>
      <c r="B476">
        <f>B475+A476</f>
        <v/>
      </c>
    </row>
    <row r="477">
      <c r="A477">
        <f>IFERROR(IF(AND(BASELINE!I477&lt;&gt;"",INT(IF(CALC!$F$1&gt;0,IF(N(INDEX(BASELINE!$A477:$ZZ477,CALC!$F$1))&gt;0,N(INDEX(BASELINE!$A477:$ZZ477,CALC!$F$1)),N(BASELINE!E477)),N(BASELINE!E477)))=INT(SIMOPS!$D$3),IFERROR(UPPER(TRIM(BASELINE!D477&amp;"")),"")&lt;&gt;"ENCERRADA"),1,0),0)</f>
        <v/>
      </c>
      <c r="B477">
        <f>B476+A477</f>
        <v/>
      </c>
    </row>
    <row r="478">
      <c r="A478">
        <f>IFERROR(IF(AND(BASELINE!I478&lt;&gt;"",INT(IF(CALC!$F$1&gt;0,IF(N(INDEX(BASELINE!$A478:$ZZ478,CALC!$F$1))&gt;0,N(INDEX(BASELINE!$A478:$ZZ478,CALC!$F$1)),N(BASELINE!E478)),N(BASELINE!E478)))=INT(SIMOPS!$D$3),IFERROR(UPPER(TRIM(BASELINE!D478&amp;"")),"")&lt;&gt;"ENCERRADA"),1,0),0)</f>
        <v/>
      </c>
      <c r="B478">
        <f>B477+A478</f>
        <v/>
      </c>
    </row>
    <row r="479">
      <c r="A479">
        <f>IFERROR(IF(AND(BASELINE!I479&lt;&gt;"",INT(IF(CALC!$F$1&gt;0,IF(N(INDEX(BASELINE!$A479:$ZZ479,CALC!$F$1))&gt;0,N(INDEX(BASELINE!$A479:$ZZ479,CALC!$F$1)),N(BASELINE!E479)),N(BASELINE!E479)))=INT(SIMOPS!$D$3),IFERROR(UPPER(TRIM(BASELINE!D479&amp;"")),"")&lt;&gt;"ENCERRADA"),1,0),0)</f>
        <v/>
      </c>
      <c r="B479">
        <f>B478+A479</f>
        <v/>
      </c>
    </row>
    <row r="480">
      <c r="A480">
        <f>IFERROR(IF(AND(BASELINE!I480&lt;&gt;"",INT(IF(CALC!$F$1&gt;0,IF(N(INDEX(BASELINE!$A480:$ZZ480,CALC!$F$1))&gt;0,N(INDEX(BASELINE!$A480:$ZZ480,CALC!$F$1)),N(BASELINE!E480)),N(BASELINE!E480)))=INT(SIMOPS!$D$3),IFERROR(UPPER(TRIM(BASELINE!D480&amp;"")),"")&lt;&gt;"ENCERRADA"),1,0),0)</f>
        <v/>
      </c>
      <c r="B480">
        <f>B479+A480</f>
        <v/>
      </c>
    </row>
    <row r="481">
      <c r="A481">
        <f>IFERROR(IF(AND(BASELINE!I481&lt;&gt;"",INT(IF(CALC!$F$1&gt;0,IF(N(INDEX(BASELINE!$A481:$ZZ481,CALC!$F$1))&gt;0,N(INDEX(BASELINE!$A481:$ZZ481,CALC!$F$1)),N(BASELINE!E481)),N(BASELINE!E481)))=INT(SIMOPS!$D$3),IFERROR(UPPER(TRIM(BASELINE!D481&amp;"")),"")&lt;&gt;"ENCERRADA"),1,0),0)</f>
        <v/>
      </c>
      <c r="B481">
        <f>B480+A481</f>
        <v/>
      </c>
    </row>
    <row r="482">
      <c r="A482">
        <f>IFERROR(IF(AND(BASELINE!I482&lt;&gt;"",INT(IF(CALC!$F$1&gt;0,IF(N(INDEX(BASELINE!$A482:$ZZ482,CALC!$F$1))&gt;0,N(INDEX(BASELINE!$A482:$ZZ482,CALC!$F$1)),N(BASELINE!E482)),N(BASELINE!E482)))=INT(SIMOPS!$D$3),IFERROR(UPPER(TRIM(BASELINE!D482&amp;"")),"")&lt;&gt;"ENCERRADA"),1,0),0)</f>
        <v/>
      </c>
      <c r="B482">
        <f>B481+A482</f>
        <v/>
      </c>
    </row>
    <row r="483">
      <c r="A483">
        <f>IFERROR(IF(AND(BASELINE!I483&lt;&gt;"",INT(IF(CALC!$F$1&gt;0,IF(N(INDEX(BASELINE!$A483:$ZZ483,CALC!$F$1))&gt;0,N(INDEX(BASELINE!$A483:$ZZ483,CALC!$F$1)),N(BASELINE!E483)),N(BASELINE!E483)))=INT(SIMOPS!$D$3),IFERROR(UPPER(TRIM(BASELINE!D483&amp;"")),"")&lt;&gt;"ENCERRADA"),1,0),0)</f>
        <v/>
      </c>
      <c r="B483">
        <f>B482+A483</f>
        <v/>
      </c>
    </row>
    <row r="484">
      <c r="A484">
        <f>IFERROR(IF(AND(BASELINE!I484&lt;&gt;"",INT(IF(CALC!$F$1&gt;0,IF(N(INDEX(BASELINE!$A484:$ZZ484,CALC!$F$1))&gt;0,N(INDEX(BASELINE!$A484:$ZZ484,CALC!$F$1)),N(BASELINE!E484)),N(BASELINE!E484)))=INT(SIMOPS!$D$3),IFERROR(UPPER(TRIM(BASELINE!D484&amp;"")),"")&lt;&gt;"ENCERRADA"),1,0),0)</f>
        <v/>
      </c>
      <c r="B484">
        <f>B483+A484</f>
        <v/>
      </c>
    </row>
    <row r="485">
      <c r="A485">
        <f>IFERROR(IF(AND(BASELINE!I485&lt;&gt;"",INT(IF(CALC!$F$1&gt;0,IF(N(INDEX(BASELINE!$A485:$ZZ485,CALC!$F$1))&gt;0,N(INDEX(BASELINE!$A485:$ZZ485,CALC!$F$1)),N(BASELINE!E485)),N(BASELINE!E485)))=INT(SIMOPS!$D$3),IFERROR(UPPER(TRIM(BASELINE!D485&amp;"")),"")&lt;&gt;"ENCERRADA"),1,0),0)</f>
        <v/>
      </c>
      <c r="B485">
        <f>B484+A485</f>
        <v/>
      </c>
    </row>
    <row r="486">
      <c r="A486">
        <f>IFERROR(IF(AND(BASELINE!I486&lt;&gt;"",INT(IF(CALC!$F$1&gt;0,IF(N(INDEX(BASELINE!$A486:$ZZ486,CALC!$F$1))&gt;0,N(INDEX(BASELINE!$A486:$ZZ486,CALC!$F$1)),N(BASELINE!E486)),N(BASELINE!E486)))=INT(SIMOPS!$D$3),IFERROR(UPPER(TRIM(BASELINE!D486&amp;"")),"")&lt;&gt;"ENCERRADA"),1,0),0)</f>
        <v/>
      </c>
      <c r="B486">
        <f>B485+A486</f>
        <v/>
      </c>
    </row>
    <row r="487">
      <c r="A487">
        <f>IFERROR(IF(AND(BASELINE!I487&lt;&gt;"",INT(IF(CALC!$F$1&gt;0,IF(N(INDEX(BASELINE!$A487:$ZZ487,CALC!$F$1))&gt;0,N(INDEX(BASELINE!$A487:$ZZ487,CALC!$F$1)),N(BASELINE!E487)),N(BASELINE!E487)))=INT(SIMOPS!$D$3),IFERROR(UPPER(TRIM(BASELINE!D487&amp;"")),"")&lt;&gt;"ENCERRADA"),1,0),0)</f>
        <v/>
      </c>
      <c r="B487">
        <f>B486+A487</f>
        <v/>
      </c>
    </row>
    <row r="488">
      <c r="A488">
        <f>IFERROR(IF(AND(BASELINE!I488&lt;&gt;"",INT(IF(CALC!$F$1&gt;0,IF(N(INDEX(BASELINE!$A488:$ZZ488,CALC!$F$1))&gt;0,N(INDEX(BASELINE!$A488:$ZZ488,CALC!$F$1)),N(BASELINE!E488)),N(BASELINE!E488)))=INT(SIMOPS!$D$3),IFERROR(UPPER(TRIM(BASELINE!D488&amp;"")),"")&lt;&gt;"ENCERRADA"),1,0),0)</f>
        <v/>
      </c>
      <c r="B488">
        <f>B487+A488</f>
        <v/>
      </c>
    </row>
    <row r="489">
      <c r="A489">
        <f>IFERROR(IF(AND(BASELINE!I489&lt;&gt;"",INT(IF(CALC!$F$1&gt;0,IF(N(INDEX(BASELINE!$A489:$ZZ489,CALC!$F$1))&gt;0,N(INDEX(BASELINE!$A489:$ZZ489,CALC!$F$1)),N(BASELINE!E489)),N(BASELINE!E489)))=INT(SIMOPS!$D$3),IFERROR(UPPER(TRIM(BASELINE!D489&amp;"")),"")&lt;&gt;"ENCERRADA"),1,0),0)</f>
        <v/>
      </c>
      <c r="B489">
        <f>B488+A489</f>
        <v/>
      </c>
    </row>
    <row r="490">
      <c r="A490">
        <f>IFERROR(IF(AND(BASELINE!I490&lt;&gt;"",INT(IF(CALC!$F$1&gt;0,IF(N(INDEX(BASELINE!$A490:$ZZ490,CALC!$F$1))&gt;0,N(INDEX(BASELINE!$A490:$ZZ490,CALC!$F$1)),N(BASELINE!E490)),N(BASELINE!E490)))=INT(SIMOPS!$D$3),IFERROR(UPPER(TRIM(BASELINE!D490&amp;"")),"")&lt;&gt;"ENCERRADA"),1,0),0)</f>
        <v/>
      </c>
      <c r="B490">
        <f>B489+A490</f>
        <v/>
      </c>
    </row>
    <row r="491">
      <c r="A491">
        <f>IFERROR(IF(AND(BASELINE!I491&lt;&gt;"",INT(IF(CALC!$F$1&gt;0,IF(N(INDEX(BASELINE!$A491:$ZZ491,CALC!$F$1))&gt;0,N(INDEX(BASELINE!$A491:$ZZ491,CALC!$F$1)),N(BASELINE!E491)),N(BASELINE!E491)))=INT(SIMOPS!$D$3),IFERROR(UPPER(TRIM(BASELINE!D491&amp;"")),"")&lt;&gt;"ENCERRADA"),1,0),0)</f>
        <v/>
      </c>
      <c r="B491">
        <f>B490+A491</f>
        <v/>
      </c>
    </row>
    <row r="492">
      <c r="A492">
        <f>IFERROR(IF(AND(BASELINE!I492&lt;&gt;"",INT(IF(CALC!$F$1&gt;0,IF(N(INDEX(BASELINE!$A492:$ZZ492,CALC!$F$1))&gt;0,N(INDEX(BASELINE!$A492:$ZZ492,CALC!$F$1)),N(BASELINE!E492)),N(BASELINE!E492)))=INT(SIMOPS!$D$3),IFERROR(UPPER(TRIM(BASELINE!D492&amp;"")),"")&lt;&gt;"ENCERRADA"),1,0),0)</f>
        <v/>
      </c>
      <c r="B492">
        <f>B491+A492</f>
        <v/>
      </c>
    </row>
    <row r="493">
      <c r="A493">
        <f>IFERROR(IF(AND(BASELINE!I493&lt;&gt;"",INT(IF(CALC!$F$1&gt;0,IF(N(INDEX(BASELINE!$A493:$ZZ493,CALC!$F$1))&gt;0,N(INDEX(BASELINE!$A493:$ZZ493,CALC!$F$1)),N(BASELINE!E493)),N(BASELINE!E493)))=INT(SIMOPS!$D$3),IFERROR(UPPER(TRIM(BASELINE!D493&amp;"")),"")&lt;&gt;"ENCERRADA"),1,0),0)</f>
        <v/>
      </c>
      <c r="B493">
        <f>B492+A493</f>
        <v/>
      </c>
    </row>
    <row r="494">
      <c r="A494">
        <f>IFERROR(IF(AND(BASELINE!I494&lt;&gt;"",INT(IF(CALC!$F$1&gt;0,IF(N(INDEX(BASELINE!$A494:$ZZ494,CALC!$F$1))&gt;0,N(INDEX(BASELINE!$A494:$ZZ494,CALC!$F$1)),N(BASELINE!E494)),N(BASELINE!E494)))=INT(SIMOPS!$D$3),IFERROR(UPPER(TRIM(BASELINE!D494&amp;"")),"")&lt;&gt;"ENCERRADA"),1,0),0)</f>
        <v/>
      </c>
      <c r="B494">
        <f>B493+A494</f>
        <v/>
      </c>
    </row>
    <row r="495">
      <c r="A495">
        <f>IFERROR(IF(AND(BASELINE!I495&lt;&gt;"",INT(IF(CALC!$F$1&gt;0,IF(N(INDEX(BASELINE!$A495:$ZZ495,CALC!$F$1))&gt;0,N(INDEX(BASELINE!$A495:$ZZ495,CALC!$F$1)),N(BASELINE!E495)),N(BASELINE!E495)))=INT(SIMOPS!$D$3),IFERROR(UPPER(TRIM(BASELINE!D495&amp;"")),"")&lt;&gt;"ENCERRADA"),1,0),0)</f>
        <v/>
      </c>
      <c r="B495">
        <f>B494+A495</f>
        <v/>
      </c>
    </row>
    <row r="496">
      <c r="A496">
        <f>IFERROR(IF(AND(BASELINE!I496&lt;&gt;"",INT(IF(CALC!$F$1&gt;0,IF(N(INDEX(BASELINE!$A496:$ZZ496,CALC!$F$1))&gt;0,N(INDEX(BASELINE!$A496:$ZZ496,CALC!$F$1)),N(BASELINE!E496)),N(BASELINE!E496)))=INT(SIMOPS!$D$3),IFERROR(UPPER(TRIM(BASELINE!D496&amp;"")),"")&lt;&gt;"ENCERRADA"),1,0),0)</f>
        <v/>
      </c>
      <c r="B496">
        <f>B495+A496</f>
        <v/>
      </c>
    </row>
    <row r="497">
      <c r="A497">
        <f>IFERROR(IF(AND(BASELINE!I497&lt;&gt;"",INT(IF(CALC!$F$1&gt;0,IF(N(INDEX(BASELINE!$A497:$ZZ497,CALC!$F$1))&gt;0,N(INDEX(BASELINE!$A497:$ZZ497,CALC!$F$1)),N(BASELINE!E497)),N(BASELINE!E497)))=INT(SIMOPS!$D$3),IFERROR(UPPER(TRIM(BASELINE!D497&amp;"")),"")&lt;&gt;"ENCERRADA"),1,0),0)</f>
        <v/>
      </c>
      <c r="B497">
        <f>B496+A497</f>
        <v/>
      </c>
    </row>
    <row r="498">
      <c r="A498">
        <f>IFERROR(IF(AND(BASELINE!I498&lt;&gt;"",INT(IF(CALC!$F$1&gt;0,IF(N(INDEX(BASELINE!$A498:$ZZ498,CALC!$F$1))&gt;0,N(INDEX(BASELINE!$A498:$ZZ498,CALC!$F$1)),N(BASELINE!E498)),N(BASELINE!E498)))=INT(SIMOPS!$D$3),IFERROR(UPPER(TRIM(BASELINE!D498&amp;"")),"")&lt;&gt;"ENCERRADA"),1,0),0)</f>
        <v/>
      </c>
      <c r="B498">
        <f>B497+A498</f>
        <v/>
      </c>
    </row>
    <row r="499">
      <c r="A499">
        <f>IFERROR(IF(AND(BASELINE!I499&lt;&gt;"",INT(IF(CALC!$F$1&gt;0,IF(N(INDEX(BASELINE!$A499:$ZZ499,CALC!$F$1))&gt;0,N(INDEX(BASELINE!$A499:$ZZ499,CALC!$F$1)),N(BASELINE!E499)),N(BASELINE!E499)))=INT(SIMOPS!$D$3),IFERROR(UPPER(TRIM(BASELINE!D499&amp;"")),"")&lt;&gt;"ENCERRADA"),1,0),0)</f>
        <v/>
      </c>
      <c r="B499">
        <f>B498+A499</f>
        <v/>
      </c>
    </row>
    <row r="500">
      <c r="A500">
        <f>IFERROR(IF(AND(BASELINE!I500&lt;&gt;"",INT(IF(CALC!$F$1&gt;0,IF(N(INDEX(BASELINE!$A500:$ZZ500,CALC!$F$1))&gt;0,N(INDEX(BASELINE!$A500:$ZZ500,CALC!$F$1)),N(BASELINE!E500)),N(BASELINE!E500)))=INT(SIMOPS!$D$3),IFERROR(UPPER(TRIM(BASELINE!D500&amp;"")),"")&lt;&gt;"ENCERRADA"),1,0),0)</f>
        <v/>
      </c>
      <c r="B500">
        <f>B499+A500</f>
        <v/>
      </c>
    </row>
    <row r="501">
      <c r="A501">
        <f>IFERROR(IF(AND(BASELINE!I501&lt;&gt;"",INT(IF(CALC!$F$1&gt;0,IF(N(INDEX(BASELINE!$A501:$ZZ501,CALC!$F$1))&gt;0,N(INDEX(BASELINE!$A501:$ZZ501,CALC!$F$1)),N(BASELINE!E501)),N(BASELINE!E501)))=INT(SIMOPS!$D$3),IFERROR(UPPER(TRIM(BASELINE!D501&amp;"")),"")&lt;&gt;"ENCERRADA"),1,0),0)</f>
        <v/>
      </c>
      <c r="B501">
        <f>B500+A501</f>
        <v/>
      </c>
    </row>
    <row r="502">
      <c r="A502">
        <f>IFERROR(IF(AND(BASELINE!I502&lt;&gt;"",INT(IF(CALC!$F$1&gt;0,IF(N(INDEX(BASELINE!$A502:$ZZ502,CALC!$F$1))&gt;0,N(INDEX(BASELINE!$A502:$ZZ502,CALC!$F$1)),N(BASELINE!E502)),N(BASELINE!E502)))=INT(SIMOPS!$D$3),IFERROR(UPPER(TRIM(BASELINE!D502&amp;"")),"")&lt;&gt;"ENCERRADA"),1,0),0)</f>
        <v/>
      </c>
      <c r="B502">
        <f>B501+A502</f>
        <v/>
      </c>
    </row>
    <row r="503">
      <c r="A503">
        <f>IFERROR(IF(AND(BASELINE!I503&lt;&gt;"",INT(IF(CALC!$F$1&gt;0,IF(N(INDEX(BASELINE!$A503:$ZZ503,CALC!$F$1))&gt;0,N(INDEX(BASELINE!$A503:$ZZ503,CALC!$F$1)),N(BASELINE!E503)),N(BASELINE!E503)))=INT(SIMOPS!$D$3),IFERROR(UPPER(TRIM(BASELINE!D503&amp;"")),"")&lt;&gt;"ENCERRADA"),1,0),0)</f>
        <v/>
      </c>
      <c r="B503">
        <f>B502+A503</f>
        <v/>
      </c>
    </row>
    <row r="504">
      <c r="A504">
        <f>IFERROR(IF(AND(BASELINE!I504&lt;&gt;"",INT(IF(CALC!$F$1&gt;0,IF(N(INDEX(BASELINE!$A504:$ZZ504,CALC!$F$1))&gt;0,N(INDEX(BASELINE!$A504:$ZZ504,CALC!$F$1)),N(BASELINE!E504)),N(BASELINE!E504)))=INT(SIMOPS!$D$3),IFERROR(UPPER(TRIM(BASELINE!D504&amp;"")),"")&lt;&gt;"ENCERRADA"),1,0),0)</f>
        <v/>
      </c>
      <c r="B504">
        <f>B503+A504</f>
        <v/>
      </c>
    </row>
    <row r="505">
      <c r="A505">
        <f>IFERROR(IF(AND(BASELINE!I505&lt;&gt;"",INT(IF(CALC!$F$1&gt;0,IF(N(INDEX(BASELINE!$A505:$ZZ505,CALC!$F$1))&gt;0,N(INDEX(BASELINE!$A505:$ZZ505,CALC!$F$1)),N(BASELINE!E505)),N(BASELINE!E505)))=INT(SIMOPS!$D$3),IFERROR(UPPER(TRIM(BASELINE!D505&amp;"")),"")&lt;&gt;"ENCERRADA"),1,0),0)</f>
        <v/>
      </c>
      <c r="B505">
        <f>B504+A505</f>
        <v/>
      </c>
    </row>
    <row r="506">
      <c r="A506">
        <f>IFERROR(IF(AND(BASELINE!I506&lt;&gt;"",INT(IF(CALC!$F$1&gt;0,IF(N(INDEX(BASELINE!$A506:$ZZ506,CALC!$F$1))&gt;0,N(INDEX(BASELINE!$A506:$ZZ506,CALC!$F$1)),N(BASELINE!E506)),N(BASELINE!E506)))=INT(SIMOPS!$D$3),IFERROR(UPPER(TRIM(BASELINE!D506&amp;"")),"")&lt;&gt;"ENCERRADA"),1,0),0)</f>
        <v/>
      </c>
      <c r="B506">
        <f>B505+A506</f>
        <v/>
      </c>
    </row>
    <row r="507">
      <c r="A507">
        <f>IFERROR(IF(AND(BASELINE!I507&lt;&gt;"",INT(IF(CALC!$F$1&gt;0,IF(N(INDEX(BASELINE!$A507:$ZZ507,CALC!$F$1))&gt;0,N(INDEX(BASELINE!$A507:$ZZ507,CALC!$F$1)),N(BASELINE!E507)),N(BASELINE!E507)))=INT(SIMOPS!$D$3),IFERROR(UPPER(TRIM(BASELINE!D507&amp;"")),"")&lt;&gt;"ENCERRADA"),1,0),0)</f>
        <v/>
      </c>
      <c r="B507">
        <f>B506+A507</f>
        <v/>
      </c>
    </row>
    <row r="508">
      <c r="A508">
        <f>IFERROR(IF(AND(BASELINE!I508&lt;&gt;"",INT(IF(CALC!$F$1&gt;0,IF(N(INDEX(BASELINE!$A508:$ZZ508,CALC!$F$1))&gt;0,N(INDEX(BASELINE!$A508:$ZZ508,CALC!$F$1)),N(BASELINE!E508)),N(BASELINE!E508)))=INT(SIMOPS!$D$3),IFERROR(UPPER(TRIM(BASELINE!D508&amp;"")),"")&lt;&gt;"ENCERRADA"),1,0),0)</f>
        <v/>
      </c>
      <c r="B508">
        <f>B507+A508</f>
        <v/>
      </c>
    </row>
    <row r="509">
      <c r="A509">
        <f>IFERROR(IF(AND(BASELINE!I509&lt;&gt;"",INT(IF(CALC!$F$1&gt;0,IF(N(INDEX(BASELINE!$A509:$ZZ509,CALC!$F$1))&gt;0,N(INDEX(BASELINE!$A509:$ZZ509,CALC!$F$1)),N(BASELINE!E509)),N(BASELINE!E509)))=INT(SIMOPS!$D$3),IFERROR(UPPER(TRIM(BASELINE!D509&amp;"")),"")&lt;&gt;"ENCERRADA"),1,0),0)</f>
        <v/>
      </c>
      <c r="B509">
        <f>B508+A509</f>
        <v/>
      </c>
    </row>
    <row r="510">
      <c r="A510">
        <f>IFERROR(IF(AND(BASELINE!I510&lt;&gt;"",INT(IF(CALC!$F$1&gt;0,IF(N(INDEX(BASELINE!$A510:$ZZ510,CALC!$F$1))&gt;0,N(INDEX(BASELINE!$A510:$ZZ510,CALC!$F$1)),N(BASELINE!E510)),N(BASELINE!E510)))=INT(SIMOPS!$D$3),IFERROR(UPPER(TRIM(BASELINE!D510&amp;"")),"")&lt;&gt;"ENCERRADA"),1,0),0)</f>
        <v/>
      </c>
      <c r="B510">
        <f>B509+A510</f>
        <v/>
      </c>
    </row>
    <row r="511">
      <c r="A511">
        <f>IFERROR(IF(AND(BASELINE!I511&lt;&gt;"",INT(IF(CALC!$F$1&gt;0,IF(N(INDEX(BASELINE!$A511:$ZZ511,CALC!$F$1))&gt;0,N(INDEX(BASELINE!$A511:$ZZ511,CALC!$F$1)),N(BASELINE!E511)),N(BASELINE!E511)))=INT(SIMOPS!$D$3),IFERROR(UPPER(TRIM(BASELINE!D511&amp;"")),"")&lt;&gt;"ENCERRADA"),1,0),0)</f>
        <v/>
      </c>
      <c r="B511">
        <f>B510+A511</f>
        <v/>
      </c>
    </row>
    <row r="512">
      <c r="A512">
        <f>IFERROR(IF(AND(BASELINE!I512&lt;&gt;"",INT(IF(CALC!$F$1&gt;0,IF(N(INDEX(BASELINE!$A512:$ZZ512,CALC!$F$1))&gt;0,N(INDEX(BASELINE!$A512:$ZZ512,CALC!$F$1)),N(BASELINE!E512)),N(BASELINE!E512)))=INT(SIMOPS!$D$3),IFERROR(UPPER(TRIM(BASELINE!D512&amp;"")),"")&lt;&gt;"ENCERRADA"),1,0),0)</f>
        <v/>
      </c>
      <c r="B512">
        <f>B511+A512</f>
        <v/>
      </c>
    </row>
    <row r="513">
      <c r="A513">
        <f>IFERROR(IF(AND(BASELINE!I513&lt;&gt;"",INT(IF(CALC!$F$1&gt;0,IF(N(INDEX(BASELINE!$A513:$ZZ513,CALC!$F$1))&gt;0,N(INDEX(BASELINE!$A513:$ZZ513,CALC!$F$1)),N(BASELINE!E513)),N(BASELINE!E513)))=INT(SIMOPS!$D$3),IFERROR(UPPER(TRIM(BASELINE!D513&amp;"")),"")&lt;&gt;"ENCERRADA"),1,0),0)</f>
        <v/>
      </c>
      <c r="B513">
        <f>B512+A513</f>
        <v/>
      </c>
    </row>
    <row r="514">
      <c r="A514">
        <f>IFERROR(IF(AND(BASELINE!I514&lt;&gt;"",INT(IF(CALC!$F$1&gt;0,IF(N(INDEX(BASELINE!$A514:$ZZ514,CALC!$F$1))&gt;0,N(INDEX(BASELINE!$A514:$ZZ514,CALC!$F$1)),N(BASELINE!E514)),N(BASELINE!E514)))=INT(SIMOPS!$D$3),IFERROR(UPPER(TRIM(BASELINE!D514&amp;"")),"")&lt;&gt;"ENCERRADA"),1,0),0)</f>
        <v/>
      </c>
      <c r="B514">
        <f>B513+A514</f>
        <v/>
      </c>
    </row>
    <row r="515">
      <c r="A515">
        <f>IFERROR(IF(AND(BASELINE!I515&lt;&gt;"",INT(IF(CALC!$F$1&gt;0,IF(N(INDEX(BASELINE!$A515:$ZZ515,CALC!$F$1))&gt;0,N(INDEX(BASELINE!$A515:$ZZ515,CALC!$F$1)),N(BASELINE!E515)),N(BASELINE!E515)))=INT(SIMOPS!$D$3),IFERROR(UPPER(TRIM(BASELINE!D515&amp;"")),"")&lt;&gt;"ENCERRADA"),1,0),0)</f>
        <v/>
      </c>
      <c r="B515">
        <f>B514+A515</f>
        <v/>
      </c>
    </row>
    <row r="516">
      <c r="A516">
        <f>IFERROR(IF(AND(BASELINE!I516&lt;&gt;"",INT(IF(CALC!$F$1&gt;0,IF(N(INDEX(BASELINE!$A516:$ZZ516,CALC!$F$1))&gt;0,N(INDEX(BASELINE!$A516:$ZZ516,CALC!$F$1)),N(BASELINE!E516)),N(BASELINE!E516)))=INT(SIMOPS!$D$3),IFERROR(UPPER(TRIM(BASELINE!D516&amp;"")),"")&lt;&gt;"ENCERRADA"),1,0),0)</f>
        <v/>
      </c>
      <c r="B516">
        <f>B515+A516</f>
        <v/>
      </c>
    </row>
    <row r="517">
      <c r="A517">
        <f>IFERROR(IF(AND(BASELINE!I517&lt;&gt;"",INT(IF(CALC!$F$1&gt;0,IF(N(INDEX(BASELINE!$A517:$ZZ517,CALC!$F$1))&gt;0,N(INDEX(BASELINE!$A517:$ZZ517,CALC!$F$1)),N(BASELINE!E517)),N(BASELINE!E517)))=INT(SIMOPS!$D$3),IFERROR(UPPER(TRIM(BASELINE!D517&amp;"")),"")&lt;&gt;"ENCERRADA"),1,0),0)</f>
        <v/>
      </c>
      <c r="B517">
        <f>B516+A517</f>
        <v/>
      </c>
    </row>
    <row r="518">
      <c r="A518">
        <f>IFERROR(IF(AND(BASELINE!I518&lt;&gt;"",INT(IF(CALC!$F$1&gt;0,IF(N(INDEX(BASELINE!$A518:$ZZ518,CALC!$F$1))&gt;0,N(INDEX(BASELINE!$A518:$ZZ518,CALC!$F$1)),N(BASELINE!E518)),N(BASELINE!E518)))=INT(SIMOPS!$D$3),IFERROR(UPPER(TRIM(BASELINE!D518&amp;"")),"")&lt;&gt;"ENCERRADA"),1,0),0)</f>
        <v/>
      </c>
      <c r="B518">
        <f>B517+A518</f>
        <v/>
      </c>
    </row>
    <row r="519">
      <c r="A519">
        <f>IFERROR(IF(AND(BASELINE!I519&lt;&gt;"",INT(IF(CALC!$F$1&gt;0,IF(N(INDEX(BASELINE!$A519:$ZZ519,CALC!$F$1))&gt;0,N(INDEX(BASELINE!$A519:$ZZ519,CALC!$F$1)),N(BASELINE!E519)),N(BASELINE!E519)))=INT(SIMOPS!$D$3),IFERROR(UPPER(TRIM(BASELINE!D519&amp;"")),"")&lt;&gt;"ENCERRADA"),1,0),0)</f>
        <v/>
      </c>
      <c r="B519">
        <f>B518+A519</f>
        <v/>
      </c>
    </row>
    <row r="520">
      <c r="A520">
        <f>IFERROR(IF(AND(BASELINE!I520&lt;&gt;"",INT(IF(CALC!$F$1&gt;0,IF(N(INDEX(BASELINE!$A520:$ZZ520,CALC!$F$1))&gt;0,N(INDEX(BASELINE!$A520:$ZZ520,CALC!$F$1)),N(BASELINE!E520)),N(BASELINE!E520)))=INT(SIMOPS!$D$3),IFERROR(UPPER(TRIM(BASELINE!D520&amp;"")),"")&lt;&gt;"ENCERRADA"),1,0),0)</f>
        <v/>
      </c>
      <c r="B520">
        <f>B519+A520</f>
        <v/>
      </c>
    </row>
    <row r="521">
      <c r="A521">
        <f>IFERROR(IF(AND(BASELINE!I521&lt;&gt;"",INT(IF(CALC!$F$1&gt;0,IF(N(INDEX(BASELINE!$A521:$ZZ521,CALC!$F$1))&gt;0,N(INDEX(BASELINE!$A521:$ZZ521,CALC!$F$1)),N(BASELINE!E521)),N(BASELINE!E521)))=INT(SIMOPS!$D$3),IFERROR(UPPER(TRIM(BASELINE!D521&amp;"")),"")&lt;&gt;"ENCERRADA"),1,0),0)</f>
        <v/>
      </c>
      <c r="B521">
        <f>B520+A521</f>
        <v/>
      </c>
    </row>
    <row r="522">
      <c r="A522">
        <f>IFERROR(IF(AND(BASELINE!I522&lt;&gt;"",INT(IF(CALC!$F$1&gt;0,IF(N(INDEX(BASELINE!$A522:$ZZ522,CALC!$F$1))&gt;0,N(INDEX(BASELINE!$A522:$ZZ522,CALC!$F$1)),N(BASELINE!E522)),N(BASELINE!E522)))=INT(SIMOPS!$D$3),IFERROR(UPPER(TRIM(BASELINE!D522&amp;"")),"")&lt;&gt;"ENCERRADA"),1,0),0)</f>
        <v/>
      </c>
      <c r="B522">
        <f>B521+A522</f>
        <v/>
      </c>
    </row>
    <row r="523">
      <c r="A523">
        <f>IFERROR(IF(AND(BASELINE!I523&lt;&gt;"",INT(IF(CALC!$F$1&gt;0,IF(N(INDEX(BASELINE!$A523:$ZZ523,CALC!$F$1))&gt;0,N(INDEX(BASELINE!$A523:$ZZ523,CALC!$F$1)),N(BASELINE!E523)),N(BASELINE!E523)))=INT(SIMOPS!$D$3),IFERROR(UPPER(TRIM(BASELINE!D523&amp;"")),"")&lt;&gt;"ENCERRADA"),1,0),0)</f>
        <v/>
      </c>
      <c r="B523">
        <f>B522+A523</f>
        <v/>
      </c>
    </row>
    <row r="524">
      <c r="A524">
        <f>IFERROR(IF(AND(BASELINE!I524&lt;&gt;"",INT(IF(CALC!$F$1&gt;0,IF(N(INDEX(BASELINE!$A524:$ZZ524,CALC!$F$1))&gt;0,N(INDEX(BASELINE!$A524:$ZZ524,CALC!$F$1)),N(BASELINE!E524)),N(BASELINE!E524)))=INT(SIMOPS!$D$3),IFERROR(UPPER(TRIM(BASELINE!D524&amp;"")),"")&lt;&gt;"ENCERRADA"),1,0),0)</f>
        <v/>
      </c>
      <c r="B524">
        <f>B523+A524</f>
        <v/>
      </c>
    </row>
    <row r="525">
      <c r="A525">
        <f>IFERROR(IF(AND(BASELINE!I525&lt;&gt;"",INT(IF(CALC!$F$1&gt;0,IF(N(INDEX(BASELINE!$A525:$ZZ525,CALC!$F$1))&gt;0,N(INDEX(BASELINE!$A525:$ZZ525,CALC!$F$1)),N(BASELINE!E525)),N(BASELINE!E525)))=INT(SIMOPS!$D$3),IFERROR(UPPER(TRIM(BASELINE!D525&amp;"")),"")&lt;&gt;"ENCERRADA"),1,0),0)</f>
        <v/>
      </c>
      <c r="B525">
        <f>B524+A525</f>
        <v/>
      </c>
    </row>
    <row r="526">
      <c r="A526">
        <f>IFERROR(IF(AND(BASELINE!I526&lt;&gt;"",INT(IF(CALC!$F$1&gt;0,IF(N(INDEX(BASELINE!$A526:$ZZ526,CALC!$F$1))&gt;0,N(INDEX(BASELINE!$A526:$ZZ526,CALC!$F$1)),N(BASELINE!E526)),N(BASELINE!E526)))=INT(SIMOPS!$D$3),IFERROR(UPPER(TRIM(BASELINE!D526&amp;"")),"")&lt;&gt;"ENCERRADA"),1,0),0)</f>
        <v/>
      </c>
      <c r="B526">
        <f>B525+A526</f>
        <v/>
      </c>
    </row>
    <row r="527">
      <c r="A527">
        <f>IFERROR(IF(AND(BASELINE!I527&lt;&gt;"",INT(IF(CALC!$F$1&gt;0,IF(N(INDEX(BASELINE!$A527:$ZZ527,CALC!$F$1))&gt;0,N(INDEX(BASELINE!$A527:$ZZ527,CALC!$F$1)),N(BASELINE!E527)),N(BASELINE!E527)))=INT(SIMOPS!$D$3),IFERROR(UPPER(TRIM(BASELINE!D527&amp;"")),"")&lt;&gt;"ENCERRADA"),1,0),0)</f>
        <v/>
      </c>
      <c r="B527">
        <f>B526+A527</f>
        <v/>
      </c>
    </row>
    <row r="528">
      <c r="A528">
        <f>IFERROR(IF(AND(BASELINE!I528&lt;&gt;"",INT(IF(CALC!$F$1&gt;0,IF(N(INDEX(BASELINE!$A528:$ZZ528,CALC!$F$1))&gt;0,N(INDEX(BASELINE!$A528:$ZZ528,CALC!$F$1)),N(BASELINE!E528)),N(BASELINE!E528)))=INT(SIMOPS!$D$3),IFERROR(UPPER(TRIM(BASELINE!D528&amp;"")),"")&lt;&gt;"ENCERRADA"),1,0),0)</f>
        <v/>
      </c>
      <c r="B528">
        <f>B527+A528</f>
        <v/>
      </c>
    </row>
    <row r="529">
      <c r="A529">
        <f>IFERROR(IF(AND(BASELINE!I529&lt;&gt;"",INT(IF(CALC!$F$1&gt;0,IF(N(INDEX(BASELINE!$A529:$ZZ529,CALC!$F$1))&gt;0,N(INDEX(BASELINE!$A529:$ZZ529,CALC!$F$1)),N(BASELINE!E529)),N(BASELINE!E529)))=INT(SIMOPS!$D$3),IFERROR(UPPER(TRIM(BASELINE!D529&amp;"")),"")&lt;&gt;"ENCERRADA"),1,0),0)</f>
        <v/>
      </c>
      <c r="B529">
        <f>B528+A529</f>
        <v/>
      </c>
    </row>
    <row r="530">
      <c r="A530">
        <f>IFERROR(IF(AND(BASELINE!I530&lt;&gt;"",INT(IF(CALC!$F$1&gt;0,IF(N(INDEX(BASELINE!$A530:$ZZ530,CALC!$F$1))&gt;0,N(INDEX(BASELINE!$A530:$ZZ530,CALC!$F$1)),N(BASELINE!E530)),N(BASELINE!E530)))=INT(SIMOPS!$D$3),IFERROR(UPPER(TRIM(BASELINE!D530&amp;"")),"")&lt;&gt;"ENCERRADA"),1,0),0)</f>
        <v/>
      </c>
      <c r="B530">
        <f>B529+A530</f>
        <v/>
      </c>
    </row>
    <row r="531">
      <c r="A531">
        <f>IFERROR(IF(AND(BASELINE!I531&lt;&gt;"",INT(IF(CALC!$F$1&gt;0,IF(N(INDEX(BASELINE!$A531:$ZZ531,CALC!$F$1))&gt;0,N(INDEX(BASELINE!$A531:$ZZ531,CALC!$F$1)),N(BASELINE!E531)),N(BASELINE!E531)))=INT(SIMOPS!$D$3),IFERROR(UPPER(TRIM(BASELINE!D531&amp;"")),"")&lt;&gt;"ENCERRADA"),1,0),0)</f>
        <v/>
      </c>
      <c r="B531">
        <f>B530+A531</f>
        <v/>
      </c>
    </row>
    <row r="532">
      <c r="A532">
        <f>IFERROR(IF(AND(BASELINE!I532&lt;&gt;"",INT(IF(CALC!$F$1&gt;0,IF(N(INDEX(BASELINE!$A532:$ZZ532,CALC!$F$1))&gt;0,N(INDEX(BASELINE!$A532:$ZZ532,CALC!$F$1)),N(BASELINE!E532)),N(BASELINE!E532)))=INT(SIMOPS!$D$3),IFERROR(UPPER(TRIM(BASELINE!D532&amp;"")),"")&lt;&gt;"ENCERRADA"),1,0),0)</f>
        <v/>
      </c>
      <c r="B532">
        <f>B531+A532</f>
        <v/>
      </c>
    </row>
    <row r="533">
      <c r="A533">
        <f>IFERROR(IF(AND(BASELINE!I533&lt;&gt;"",INT(IF(CALC!$F$1&gt;0,IF(N(INDEX(BASELINE!$A533:$ZZ533,CALC!$F$1))&gt;0,N(INDEX(BASELINE!$A533:$ZZ533,CALC!$F$1)),N(BASELINE!E533)),N(BASELINE!E533)))=INT(SIMOPS!$D$3),IFERROR(UPPER(TRIM(BASELINE!D533&amp;"")),"")&lt;&gt;"ENCERRADA"),1,0),0)</f>
        <v/>
      </c>
      <c r="B533">
        <f>B532+A533</f>
        <v/>
      </c>
    </row>
    <row r="534">
      <c r="A534">
        <f>IFERROR(IF(AND(BASELINE!I534&lt;&gt;"",INT(IF(CALC!$F$1&gt;0,IF(N(INDEX(BASELINE!$A534:$ZZ534,CALC!$F$1))&gt;0,N(INDEX(BASELINE!$A534:$ZZ534,CALC!$F$1)),N(BASELINE!E534)),N(BASELINE!E534)))=INT(SIMOPS!$D$3),IFERROR(UPPER(TRIM(BASELINE!D534&amp;"")),"")&lt;&gt;"ENCERRADA"),1,0),0)</f>
        <v/>
      </c>
      <c r="B534">
        <f>B533+A534</f>
        <v/>
      </c>
    </row>
    <row r="535">
      <c r="A535">
        <f>IFERROR(IF(AND(BASELINE!I535&lt;&gt;"",INT(IF(CALC!$F$1&gt;0,IF(N(INDEX(BASELINE!$A535:$ZZ535,CALC!$F$1))&gt;0,N(INDEX(BASELINE!$A535:$ZZ535,CALC!$F$1)),N(BASELINE!E535)),N(BASELINE!E535)))=INT(SIMOPS!$D$3),IFERROR(UPPER(TRIM(BASELINE!D535&amp;"")),"")&lt;&gt;"ENCERRADA"),1,0),0)</f>
        <v/>
      </c>
      <c r="B535">
        <f>B534+A535</f>
        <v/>
      </c>
    </row>
    <row r="536">
      <c r="A536">
        <f>IFERROR(IF(AND(BASELINE!I536&lt;&gt;"",INT(IF(CALC!$F$1&gt;0,IF(N(INDEX(BASELINE!$A536:$ZZ536,CALC!$F$1))&gt;0,N(INDEX(BASELINE!$A536:$ZZ536,CALC!$F$1)),N(BASELINE!E536)),N(BASELINE!E536)))=INT(SIMOPS!$D$3),IFERROR(UPPER(TRIM(BASELINE!D536&amp;"")),"")&lt;&gt;"ENCERRADA"),1,0),0)</f>
        <v/>
      </c>
      <c r="B536">
        <f>B535+A536</f>
        <v/>
      </c>
    </row>
    <row r="537">
      <c r="A537">
        <f>IFERROR(IF(AND(BASELINE!I537&lt;&gt;"",INT(IF(CALC!$F$1&gt;0,IF(N(INDEX(BASELINE!$A537:$ZZ537,CALC!$F$1))&gt;0,N(INDEX(BASELINE!$A537:$ZZ537,CALC!$F$1)),N(BASELINE!E537)),N(BASELINE!E537)))=INT(SIMOPS!$D$3),IFERROR(UPPER(TRIM(BASELINE!D537&amp;"")),"")&lt;&gt;"ENCERRADA"),1,0),0)</f>
        <v/>
      </c>
      <c r="B537">
        <f>B536+A537</f>
        <v/>
      </c>
    </row>
    <row r="538">
      <c r="A538">
        <f>IFERROR(IF(AND(BASELINE!I538&lt;&gt;"",INT(IF(CALC!$F$1&gt;0,IF(N(INDEX(BASELINE!$A538:$ZZ538,CALC!$F$1))&gt;0,N(INDEX(BASELINE!$A538:$ZZ538,CALC!$F$1)),N(BASELINE!E538)),N(BASELINE!E538)))=INT(SIMOPS!$D$3),IFERROR(UPPER(TRIM(BASELINE!D538&amp;"")),"")&lt;&gt;"ENCERRADA"),1,0),0)</f>
        <v/>
      </c>
      <c r="B538">
        <f>B537+A538</f>
        <v/>
      </c>
    </row>
    <row r="539">
      <c r="A539">
        <f>IFERROR(IF(AND(BASELINE!I539&lt;&gt;"",INT(IF(CALC!$F$1&gt;0,IF(N(INDEX(BASELINE!$A539:$ZZ539,CALC!$F$1))&gt;0,N(INDEX(BASELINE!$A539:$ZZ539,CALC!$F$1)),N(BASELINE!E539)),N(BASELINE!E539)))=INT(SIMOPS!$D$3),IFERROR(UPPER(TRIM(BASELINE!D539&amp;"")),"")&lt;&gt;"ENCERRADA"),1,0),0)</f>
        <v/>
      </c>
      <c r="B539">
        <f>B538+A539</f>
        <v/>
      </c>
    </row>
    <row r="540">
      <c r="A540">
        <f>IFERROR(IF(AND(BASELINE!I540&lt;&gt;"",INT(IF(CALC!$F$1&gt;0,IF(N(INDEX(BASELINE!$A540:$ZZ540,CALC!$F$1))&gt;0,N(INDEX(BASELINE!$A540:$ZZ540,CALC!$F$1)),N(BASELINE!E540)),N(BASELINE!E540)))=INT(SIMOPS!$D$3),IFERROR(UPPER(TRIM(BASELINE!D540&amp;"")),"")&lt;&gt;"ENCERRADA"),1,0),0)</f>
        <v/>
      </c>
      <c r="B540">
        <f>B539+A540</f>
        <v/>
      </c>
    </row>
    <row r="541">
      <c r="A541">
        <f>IFERROR(IF(AND(BASELINE!I541&lt;&gt;"",INT(IF(CALC!$F$1&gt;0,IF(N(INDEX(BASELINE!$A541:$ZZ541,CALC!$F$1))&gt;0,N(INDEX(BASELINE!$A541:$ZZ541,CALC!$F$1)),N(BASELINE!E541)),N(BASELINE!E541)))=INT(SIMOPS!$D$3),IFERROR(UPPER(TRIM(BASELINE!D541&amp;"")),"")&lt;&gt;"ENCERRADA"),1,0),0)</f>
        <v/>
      </c>
      <c r="B541">
        <f>B540+A541</f>
        <v/>
      </c>
    </row>
    <row r="542">
      <c r="A542">
        <f>IFERROR(IF(AND(BASELINE!I542&lt;&gt;"",INT(IF(CALC!$F$1&gt;0,IF(N(INDEX(BASELINE!$A542:$ZZ542,CALC!$F$1))&gt;0,N(INDEX(BASELINE!$A542:$ZZ542,CALC!$F$1)),N(BASELINE!E542)),N(BASELINE!E542)))=INT(SIMOPS!$D$3),IFERROR(UPPER(TRIM(BASELINE!D542&amp;"")),"")&lt;&gt;"ENCERRADA"),1,0),0)</f>
        <v/>
      </c>
      <c r="B542">
        <f>B541+A542</f>
        <v/>
      </c>
    </row>
    <row r="543">
      <c r="A543">
        <f>IFERROR(IF(AND(BASELINE!I543&lt;&gt;"",INT(IF(CALC!$F$1&gt;0,IF(N(INDEX(BASELINE!$A543:$ZZ543,CALC!$F$1))&gt;0,N(INDEX(BASELINE!$A543:$ZZ543,CALC!$F$1)),N(BASELINE!E543)),N(BASELINE!E543)))=INT(SIMOPS!$D$3),IFERROR(UPPER(TRIM(BASELINE!D543&amp;"")),"")&lt;&gt;"ENCERRADA"),1,0),0)</f>
        <v/>
      </c>
      <c r="B543">
        <f>B542+A543</f>
        <v/>
      </c>
    </row>
    <row r="544">
      <c r="A544">
        <f>IFERROR(IF(AND(BASELINE!I544&lt;&gt;"",INT(IF(CALC!$F$1&gt;0,IF(N(INDEX(BASELINE!$A544:$ZZ544,CALC!$F$1))&gt;0,N(INDEX(BASELINE!$A544:$ZZ544,CALC!$F$1)),N(BASELINE!E544)),N(BASELINE!E544)))=INT(SIMOPS!$D$3),IFERROR(UPPER(TRIM(BASELINE!D544&amp;"")),"")&lt;&gt;"ENCERRADA"),1,0),0)</f>
        <v/>
      </c>
      <c r="B544">
        <f>B543+A544</f>
        <v/>
      </c>
    </row>
    <row r="545">
      <c r="A545">
        <f>IFERROR(IF(AND(BASELINE!I545&lt;&gt;"",INT(IF(CALC!$F$1&gt;0,IF(N(INDEX(BASELINE!$A545:$ZZ545,CALC!$F$1))&gt;0,N(INDEX(BASELINE!$A545:$ZZ545,CALC!$F$1)),N(BASELINE!E545)),N(BASELINE!E545)))=INT(SIMOPS!$D$3),IFERROR(UPPER(TRIM(BASELINE!D545&amp;"")),"")&lt;&gt;"ENCERRADA"),1,0),0)</f>
        <v/>
      </c>
      <c r="B545">
        <f>B544+A545</f>
        <v/>
      </c>
    </row>
    <row r="546">
      <c r="A546">
        <f>IFERROR(IF(AND(BASELINE!I546&lt;&gt;"",INT(IF(CALC!$F$1&gt;0,IF(N(INDEX(BASELINE!$A546:$ZZ546,CALC!$F$1))&gt;0,N(INDEX(BASELINE!$A546:$ZZ546,CALC!$F$1)),N(BASELINE!E546)),N(BASELINE!E546)))=INT(SIMOPS!$D$3),IFERROR(UPPER(TRIM(BASELINE!D546&amp;"")),"")&lt;&gt;"ENCERRADA"),1,0),0)</f>
        <v/>
      </c>
      <c r="B546">
        <f>B545+A546</f>
        <v/>
      </c>
    </row>
    <row r="547">
      <c r="A547">
        <f>IFERROR(IF(AND(BASELINE!I547&lt;&gt;"",INT(IF(CALC!$F$1&gt;0,IF(N(INDEX(BASELINE!$A547:$ZZ547,CALC!$F$1))&gt;0,N(INDEX(BASELINE!$A547:$ZZ547,CALC!$F$1)),N(BASELINE!E547)),N(BASELINE!E547)))=INT(SIMOPS!$D$3),IFERROR(UPPER(TRIM(BASELINE!D547&amp;"")),"")&lt;&gt;"ENCERRADA"),1,0),0)</f>
        <v/>
      </c>
      <c r="B547">
        <f>B546+A547</f>
        <v/>
      </c>
    </row>
    <row r="548">
      <c r="A548">
        <f>IFERROR(IF(AND(BASELINE!I548&lt;&gt;"",INT(IF(CALC!$F$1&gt;0,IF(N(INDEX(BASELINE!$A548:$ZZ548,CALC!$F$1))&gt;0,N(INDEX(BASELINE!$A548:$ZZ548,CALC!$F$1)),N(BASELINE!E548)),N(BASELINE!E548)))=INT(SIMOPS!$D$3),IFERROR(UPPER(TRIM(BASELINE!D548&amp;"")),"")&lt;&gt;"ENCERRADA"),1,0),0)</f>
        <v/>
      </c>
      <c r="B548">
        <f>B547+A548</f>
        <v/>
      </c>
    </row>
    <row r="549">
      <c r="A549">
        <f>IFERROR(IF(AND(BASELINE!I549&lt;&gt;"",INT(IF(CALC!$F$1&gt;0,IF(N(INDEX(BASELINE!$A549:$ZZ549,CALC!$F$1))&gt;0,N(INDEX(BASELINE!$A549:$ZZ549,CALC!$F$1)),N(BASELINE!E549)),N(BASELINE!E549)))=INT(SIMOPS!$D$3),IFERROR(UPPER(TRIM(BASELINE!D549&amp;"")),"")&lt;&gt;"ENCERRADA"),1,0),0)</f>
        <v/>
      </c>
      <c r="B549">
        <f>B548+A549</f>
        <v/>
      </c>
    </row>
    <row r="550">
      <c r="A550">
        <f>IFERROR(IF(AND(BASELINE!I550&lt;&gt;"",INT(IF(CALC!$F$1&gt;0,IF(N(INDEX(BASELINE!$A550:$ZZ550,CALC!$F$1))&gt;0,N(INDEX(BASELINE!$A550:$ZZ550,CALC!$F$1)),N(BASELINE!E550)),N(BASELINE!E550)))=INT(SIMOPS!$D$3),IFERROR(UPPER(TRIM(BASELINE!D550&amp;"")),"")&lt;&gt;"ENCERRADA"),1,0),0)</f>
        <v/>
      </c>
      <c r="B550">
        <f>B549+A550</f>
        <v/>
      </c>
    </row>
    <row r="551">
      <c r="A551">
        <f>IFERROR(IF(AND(BASELINE!I551&lt;&gt;"",INT(IF(CALC!$F$1&gt;0,IF(N(INDEX(BASELINE!$A551:$ZZ551,CALC!$F$1))&gt;0,N(INDEX(BASELINE!$A551:$ZZ551,CALC!$F$1)),N(BASELINE!E551)),N(BASELINE!E551)))=INT(SIMOPS!$D$3),IFERROR(UPPER(TRIM(BASELINE!D551&amp;"")),"")&lt;&gt;"ENCERRADA"),1,0),0)</f>
        <v/>
      </c>
      <c r="B551">
        <f>B550+A551</f>
        <v/>
      </c>
    </row>
    <row r="552">
      <c r="A552">
        <f>IFERROR(IF(AND(BASELINE!I552&lt;&gt;"",INT(IF(CALC!$F$1&gt;0,IF(N(INDEX(BASELINE!$A552:$ZZ552,CALC!$F$1))&gt;0,N(INDEX(BASELINE!$A552:$ZZ552,CALC!$F$1)),N(BASELINE!E552)),N(BASELINE!E552)))=INT(SIMOPS!$D$3),IFERROR(UPPER(TRIM(BASELINE!D552&amp;"")),"")&lt;&gt;"ENCERRADA"),1,0),0)</f>
        <v/>
      </c>
      <c r="B552">
        <f>B551+A552</f>
        <v/>
      </c>
    </row>
    <row r="553">
      <c r="A553">
        <f>IFERROR(IF(AND(BASELINE!I553&lt;&gt;"",INT(IF(CALC!$F$1&gt;0,IF(N(INDEX(BASELINE!$A553:$ZZ553,CALC!$F$1))&gt;0,N(INDEX(BASELINE!$A553:$ZZ553,CALC!$F$1)),N(BASELINE!E553)),N(BASELINE!E553)))=INT(SIMOPS!$D$3),IFERROR(UPPER(TRIM(BASELINE!D553&amp;"")),"")&lt;&gt;"ENCERRADA"),1,0),0)</f>
        <v/>
      </c>
      <c r="B553">
        <f>B552+A553</f>
        <v/>
      </c>
    </row>
    <row r="554">
      <c r="A554">
        <f>IFERROR(IF(AND(BASELINE!I554&lt;&gt;"",INT(IF(CALC!$F$1&gt;0,IF(N(INDEX(BASELINE!$A554:$ZZ554,CALC!$F$1))&gt;0,N(INDEX(BASELINE!$A554:$ZZ554,CALC!$F$1)),N(BASELINE!E554)),N(BASELINE!E554)))=INT(SIMOPS!$D$3),IFERROR(UPPER(TRIM(BASELINE!D554&amp;"")),"")&lt;&gt;"ENCERRADA"),1,0),0)</f>
        <v/>
      </c>
      <c r="B554">
        <f>B553+A554</f>
        <v/>
      </c>
    </row>
    <row r="555">
      <c r="A555">
        <f>IFERROR(IF(AND(BASELINE!I555&lt;&gt;"",INT(IF(CALC!$F$1&gt;0,IF(N(INDEX(BASELINE!$A555:$ZZ555,CALC!$F$1))&gt;0,N(INDEX(BASELINE!$A555:$ZZ555,CALC!$F$1)),N(BASELINE!E555)),N(BASELINE!E555)))=INT(SIMOPS!$D$3),IFERROR(UPPER(TRIM(BASELINE!D555&amp;"")),"")&lt;&gt;"ENCERRADA"),1,0),0)</f>
        <v/>
      </c>
      <c r="B555">
        <f>B554+A555</f>
        <v/>
      </c>
    </row>
    <row r="556">
      <c r="A556">
        <f>IFERROR(IF(AND(BASELINE!I556&lt;&gt;"",INT(IF(CALC!$F$1&gt;0,IF(N(INDEX(BASELINE!$A556:$ZZ556,CALC!$F$1))&gt;0,N(INDEX(BASELINE!$A556:$ZZ556,CALC!$F$1)),N(BASELINE!E556)),N(BASELINE!E556)))=INT(SIMOPS!$D$3),IFERROR(UPPER(TRIM(BASELINE!D556&amp;"")),"")&lt;&gt;"ENCERRADA"),1,0),0)</f>
        <v/>
      </c>
      <c r="B556">
        <f>B555+A556</f>
        <v/>
      </c>
    </row>
    <row r="557">
      <c r="A557">
        <f>IFERROR(IF(AND(BASELINE!I557&lt;&gt;"",INT(IF(CALC!$F$1&gt;0,IF(N(INDEX(BASELINE!$A557:$ZZ557,CALC!$F$1))&gt;0,N(INDEX(BASELINE!$A557:$ZZ557,CALC!$F$1)),N(BASELINE!E557)),N(BASELINE!E557)))=INT(SIMOPS!$D$3),IFERROR(UPPER(TRIM(BASELINE!D557&amp;"")),"")&lt;&gt;"ENCERRADA"),1,0),0)</f>
        <v/>
      </c>
      <c r="B557">
        <f>B556+A557</f>
        <v/>
      </c>
    </row>
    <row r="558">
      <c r="A558">
        <f>IFERROR(IF(AND(BASELINE!I558&lt;&gt;"",INT(IF(CALC!$F$1&gt;0,IF(N(INDEX(BASELINE!$A558:$ZZ558,CALC!$F$1))&gt;0,N(INDEX(BASELINE!$A558:$ZZ558,CALC!$F$1)),N(BASELINE!E558)),N(BASELINE!E558)))=INT(SIMOPS!$D$3),IFERROR(UPPER(TRIM(BASELINE!D558&amp;"")),"")&lt;&gt;"ENCERRADA"),1,0),0)</f>
        <v/>
      </c>
      <c r="B558">
        <f>B557+A558</f>
        <v/>
      </c>
    </row>
    <row r="559">
      <c r="A559">
        <f>IFERROR(IF(AND(BASELINE!I559&lt;&gt;"",INT(IF(CALC!$F$1&gt;0,IF(N(INDEX(BASELINE!$A559:$ZZ559,CALC!$F$1))&gt;0,N(INDEX(BASELINE!$A559:$ZZ559,CALC!$F$1)),N(BASELINE!E559)),N(BASELINE!E559)))=INT(SIMOPS!$D$3),IFERROR(UPPER(TRIM(BASELINE!D559&amp;"")),"")&lt;&gt;"ENCERRADA"),1,0),0)</f>
        <v/>
      </c>
      <c r="B559">
        <f>B558+A559</f>
        <v/>
      </c>
    </row>
    <row r="560">
      <c r="A560">
        <f>IFERROR(IF(AND(BASELINE!I560&lt;&gt;"",INT(IF(CALC!$F$1&gt;0,IF(N(INDEX(BASELINE!$A560:$ZZ560,CALC!$F$1))&gt;0,N(INDEX(BASELINE!$A560:$ZZ560,CALC!$F$1)),N(BASELINE!E560)),N(BASELINE!E560)))=INT(SIMOPS!$D$3),IFERROR(UPPER(TRIM(BASELINE!D560&amp;"")),"")&lt;&gt;"ENCERRADA"),1,0),0)</f>
        <v/>
      </c>
      <c r="B560">
        <f>B559+A560</f>
        <v/>
      </c>
    </row>
    <row r="561">
      <c r="A561">
        <f>IFERROR(IF(AND(BASELINE!I561&lt;&gt;"",INT(IF(CALC!$F$1&gt;0,IF(N(INDEX(BASELINE!$A561:$ZZ561,CALC!$F$1))&gt;0,N(INDEX(BASELINE!$A561:$ZZ561,CALC!$F$1)),N(BASELINE!E561)),N(BASELINE!E561)))=INT(SIMOPS!$D$3),IFERROR(UPPER(TRIM(BASELINE!D561&amp;"")),"")&lt;&gt;"ENCERRADA"),1,0),0)</f>
        <v/>
      </c>
      <c r="B561">
        <f>B560+A561</f>
        <v/>
      </c>
    </row>
    <row r="562">
      <c r="A562">
        <f>IFERROR(IF(AND(BASELINE!I562&lt;&gt;"",INT(IF(CALC!$F$1&gt;0,IF(N(INDEX(BASELINE!$A562:$ZZ562,CALC!$F$1))&gt;0,N(INDEX(BASELINE!$A562:$ZZ562,CALC!$F$1)),N(BASELINE!E562)),N(BASELINE!E562)))=INT(SIMOPS!$D$3),IFERROR(UPPER(TRIM(BASELINE!D562&amp;"")),"")&lt;&gt;"ENCERRADA"),1,0),0)</f>
        <v/>
      </c>
      <c r="B562">
        <f>B561+A562</f>
        <v/>
      </c>
    </row>
    <row r="563">
      <c r="A563">
        <f>IFERROR(IF(AND(BASELINE!I563&lt;&gt;"",INT(IF(CALC!$F$1&gt;0,IF(N(INDEX(BASELINE!$A563:$ZZ563,CALC!$F$1))&gt;0,N(INDEX(BASELINE!$A563:$ZZ563,CALC!$F$1)),N(BASELINE!E563)),N(BASELINE!E563)))=INT(SIMOPS!$D$3),IFERROR(UPPER(TRIM(BASELINE!D563&amp;"")),"")&lt;&gt;"ENCERRADA"),1,0),0)</f>
        <v/>
      </c>
      <c r="B563">
        <f>B562+A563</f>
        <v/>
      </c>
    </row>
    <row r="564">
      <c r="A564">
        <f>IFERROR(IF(AND(BASELINE!I564&lt;&gt;"",INT(IF(CALC!$F$1&gt;0,IF(N(INDEX(BASELINE!$A564:$ZZ564,CALC!$F$1))&gt;0,N(INDEX(BASELINE!$A564:$ZZ564,CALC!$F$1)),N(BASELINE!E564)),N(BASELINE!E564)))=INT(SIMOPS!$D$3),IFERROR(UPPER(TRIM(BASELINE!D564&amp;"")),"")&lt;&gt;"ENCERRADA"),1,0),0)</f>
        <v/>
      </c>
      <c r="B564">
        <f>B563+A564</f>
        <v/>
      </c>
    </row>
    <row r="565">
      <c r="A565">
        <f>IFERROR(IF(AND(BASELINE!I565&lt;&gt;"",INT(IF(CALC!$F$1&gt;0,IF(N(INDEX(BASELINE!$A565:$ZZ565,CALC!$F$1))&gt;0,N(INDEX(BASELINE!$A565:$ZZ565,CALC!$F$1)),N(BASELINE!E565)),N(BASELINE!E565)))=INT(SIMOPS!$D$3),IFERROR(UPPER(TRIM(BASELINE!D565&amp;"")),"")&lt;&gt;"ENCERRADA"),1,0),0)</f>
        <v/>
      </c>
      <c r="B565">
        <f>B564+A565</f>
        <v/>
      </c>
    </row>
    <row r="566">
      <c r="A566">
        <f>IFERROR(IF(AND(BASELINE!I566&lt;&gt;"",INT(IF(CALC!$F$1&gt;0,IF(N(INDEX(BASELINE!$A566:$ZZ566,CALC!$F$1))&gt;0,N(INDEX(BASELINE!$A566:$ZZ566,CALC!$F$1)),N(BASELINE!E566)),N(BASELINE!E566)))=INT(SIMOPS!$D$3),IFERROR(UPPER(TRIM(BASELINE!D566&amp;"")),"")&lt;&gt;"ENCERRADA"),1,0),0)</f>
        <v/>
      </c>
      <c r="B566">
        <f>B565+A566</f>
        <v/>
      </c>
    </row>
    <row r="567">
      <c r="A567">
        <f>IFERROR(IF(AND(BASELINE!I567&lt;&gt;"",INT(IF(CALC!$F$1&gt;0,IF(N(INDEX(BASELINE!$A567:$ZZ567,CALC!$F$1))&gt;0,N(INDEX(BASELINE!$A567:$ZZ567,CALC!$F$1)),N(BASELINE!E567)),N(BASELINE!E567)))=INT(SIMOPS!$D$3),IFERROR(UPPER(TRIM(BASELINE!D567&amp;"")),"")&lt;&gt;"ENCERRADA"),1,0),0)</f>
        <v/>
      </c>
      <c r="B567">
        <f>B566+A567</f>
        <v/>
      </c>
    </row>
    <row r="568">
      <c r="A568">
        <f>IFERROR(IF(AND(BASELINE!I568&lt;&gt;"",INT(IF(CALC!$F$1&gt;0,IF(N(INDEX(BASELINE!$A568:$ZZ568,CALC!$F$1))&gt;0,N(INDEX(BASELINE!$A568:$ZZ568,CALC!$F$1)),N(BASELINE!E568)),N(BASELINE!E568)))=INT(SIMOPS!$D$3),IFERROR(UPPER(TRIM(BASELINE!D568&amp;"")),"")&lt;&gt;"ENCERRADA"),1,0),0)</f>
        <v/>
      </c>
      <c r="B568">
        <f>B567+A568</f>
        <v/>
      </c>
    </row>
    <row r="569">
      <c r="A569">
        <f>IFERROR(IF(AND(BASELINE!I569&lt;&gt;"",INT(IF(CALC!$F$1&gt;0,IF(N(INDEX(BASELINE!$A569:$ZZ569,CALC!$F$1))&gt;0,N(INDEX(BASELINE!$A569:$ZZ569,CALC!$F$1)),N(BASELINE!E569)),N(BASELINE!E569)))=INT(SIMOPS!$D$3),IFERROR(UPPER(TRIM(BASELINE!D569&amp;"")),"")&lt;&gt;"ENCERRADA"),1,0),0)</f>
        <v/>
      </c>
      <c r="B569">
        <f>B568+A569</f>
        <v/>
      </c>
    </row>
    <row r="570">
      <c r="A570">
        <f>IFERROR(IF(AND(BASELINE!I570&lt;&gt;"",INT(IF(CALC!$F$1&gt;0,IF(N(INDEX(BASELINE!$A570:$ZZ570,CALC!$F$1))&gt;0,N(INDEX(BASELINE!$A570:$ZZ570,CALC!$F$1)),N(BASELINE!E570)),N(BASELINE!E570)))=INT(SIMOPS!$D$3),IFERROR(UPPER(TRIM(BASELINE!D570&amp;"")),"")&lt;&gt;"ENCERRADA"),1,0),0)</f>
        <v/>
      </c>
      <c r="B570">
        <f>B569+A570</f>
        <v/>
      </c>
    </row>
    <row r="571">
      <c r="A571">
        <f>IFERROR(IF(AND(BASELINE!I571&lt;&gt;"",INT(IF(CALC!$F$1&gt;0,IF(N(INDEX(BASELINE!$A571:$ZZ571,CALC!$F$1))&gt;0,N(INDEX(BASELINE!$A571:$ZZ571,CALC!$F$1)),N(BASELINE!E571)),N(BASELINE!E571)))=INT(SIMOPS!$D$3),IFERROR(UPPER(TRIM(BASELINE!D571&amp;"")),"")&lt;&gt;"ENCERRADA"),1,0),0)</f>
        <v/>
      </c>
      <c r="B571">
        <f>B570+A571</f>
        <v/>
      </c>
    </row>
    <row r="572">
      <c r="A572">
        <f>IFERROR(IF(AND(BASELINE!I572&lt;&gt;"",INT(IF(CALC!$F$1&gt;0,IF(N(INDEX(BASELINE!$A572:$ZZ572,CALC!$F$1))&gt;0,N(INDEX(BASELINE!$A572:$ZZ572,CALC!$F$1)),N(BASELINE!E572)),N(BASELINE!E572)))=INT(SIMOPS!$D$3),IFERROR(UPPER(TRIM(BASELINE!D572&amp;"")),"")&lt;&gt;"ENCERRADA"),1,0),0)</f>
        <v/>
      </c>
      <c r="B572">
        <f>B571+A572</f>
        <v/>
      </c>
    </row>
    <row r="573">
      <c r="A573">
        <f>IFERROR(IF(AND(BASELINE!I573&lt;&gt;"",INT(IF(CALC!$F$1&gt;0,IF(N(INDEX(BASELINE!$A573:$ZZ573,CALC!$F$1))&gt;0,N(INDEX(BASELINE!$A573:$ZZ573,CALC!$F$1)),N(BASELINE!E573)),N(BASELINE!E573)))=INT(SIMOPS!$D$3),IFERROR(UPPER(TRIM(BASELINE!D573&amp;"")),"")&lt;&gt;"ENCERRADA"),1,0),0)</f>
        <v/>
      </c>
      <c r="B573">
        <f>B572+A573</f>
        <v/>
      </c>
    </row>
    <row r="574">
      <c r="A574">
        <f>IFERROR(IF(AND(BASELINE!I574&lt;&gt;"",INT(IF(CALC!$F$1&gt;0,IF(N(INDEX(BASELINE!$A574:$ZZ574,CALC!$F$1))&gt;0,N(INDEX(BASELINE!$A574:$ZZ574,CALC!$F$1)),N(BASELINE!E574)),N(BASELINE!E574)))=INT(SIMOPS!$D$3),IFERROR(UPPER(TRIM(BASELINE!D574&amp;"")),"")&lt;&gt;"ENCERRADA"),1,0),0)</f>
        <v/>
      </c>
      <c r="B574">
        <f>B573+A574</f>
        <v/>
      </c>
    </row>
    <row r="575">
      <c r="A575">
        <f>IFERROR(IF(AND(BASELINE!I575&lt;&gt;"",INT(IF(CALC!$F$1&gt;0,IF(N(INDEX(BASELINE!$A575:$ZZ575,CALC!$F$1))&gt;0,N(INDEX(BASELINE!$A575:$ZZ575,CALC!$F$1)),N(BASELINE!E575)),N(BASELINE!E575)))=INT(SIMOPS!$D$3),IFERROR(UPPER(TRIM(BASELINE!D575&amp;"")),"")&lt;&gt;"ENCERRADA"),1,0),0)</f>
        <v/>
      </c>
      <c r="B575">
        <f>B574+A575</f>
        <v/>
      </c>
    </row>
    <row r="576">
      <c r="A576">
        <f>IFERROR(IF(AND(BASELINE!I576&lt;&gt;"",INT(IF(CALC!$F$1&gt;0,IF(N(INDEX(BASELINE!$A576:$ZZ576,CALC!$F$1))&gt;0,N(INDEX(BASELINE!$A576:$ZZ576,CALC!$F$1)),N(BASELINE!E576)),N(BASELINE!E576)))=INT(SIMOPS!$D$3),IFERROR(UPPER(TRIM(BASELINE!D576&amp;"")),"")&lt;&gt;"ENCERRADA"),1,0),0)</f>
        <v/>
      </c>
      <c r="B576">
        <f>B575+A576</f>
        <v/>
      </c>
    </row>
    <row r="577">
      <c r="A577">
        <f>IFERROR(IF(AND(BASELINE!I577&lt;&gt;"",INT(IF(CALC!$F$1&gt;0,IF(N(INDEX(BASELINE!$A577:$ZZ577,CALC!$F$1))&gt;0,N(INDEX(BASELINE!$A577:$ZZ577,CALC!$F$1)),N(BASELINE!E577)),N(BASELINE!E577)))=INT(SIMOPS!$D$3),IFERROR(UPPER(TRIM(BASELINE!D577&amp;"")),"")&lt;&gt;"ENCERRADA"),1,0),0)</f>
        <v/>
      </c>
      <c r="B577">
        <f>B576+A577</f>
        <v/>
      </c>
    </row>
    <row r="578">
      <c r="A578">
        <f>IFERROR(IF(AND(BASELINE!I578&lt;&gt;"",INT(IF(CALC!$F$1&gt;0,IF(N(INDEX(BASELINE!$A578:$ZZ578,CALC!$F$1))&gt;0,N(INDEX(BASELINE!$A578:$ZZ578,CALC!$F$1)),N(BASELINE!E578)),N(BASELINE!E578)))=INT(SIMOPS!$D$3),IFERROR(UPPER(TRIM(BASELINE!D578&amp;"")),"")&lt;&gt;"ENCERRADA"),1,0),0)</f>
        <v/>
      </c>
      <c r="B578">
        <f>B577+A578</f>
        <v/>
      </c>
    </row>
    <row r="579">
      <c r="A579">
        <f>IFERROR(IF(AND(BASELINE!I579&lt;&gt;"",INT(IF(CALC!$F$1&gt;0,IF(N(INDEX(BASELINE!$A579:$ZZ579,CALC!$F$1))&gt;0,N(INDEX(BASELINE!$A579:$ZZ579,CALC!$F$1)),N(BASELINE!E579)),N(BASELINE!E579)))=INT(SIMOPS!$D$3),IFERROR(UPPER(TRIM(BASELINE!D579&amp;"")),"")&lt;&gt;"ENCERRADA"),1,0),0)</f>
        <v/>
      </c>
      <c r="B579">
        <f>B578+A579</f>
        <v/>
      </c>
    </row>
    <row r="580">
      <c r="A580">
        <f>IFERROR(IF(AND(BASELINE!I580&lt;&gt;"",INT(IF(CALC!$F$1&gt;0,IF(N(INDEX(BASELINE!$A580:$ZZ580,CALC!$F$1))&gt;0,N(INDEX(BASELINE!$A580:$ZZ580,CALC!$F$1)),N(BASELINE!E580)),N(BASELINE!E580)))=INT(SIMOPS!$D$3),IFERROR(UPPER(TRIM(BASELINE!D580&amp;"")),"")&lt;&gt;"ENCERRADA"),1,0),0)</f>
        <v/>
      </c>
      <c r="B580">
        <f>B579+A580</f>
        <v/>
      </c>
    </row>
    <row r="581">
      <c r="A581">
        <f>IFERROR(IF(AND(BASELINE!I581&lt;&gt;"",INT(IF(CALC!$F$1&gt;0,IF(N(INDEX(BASELINE!$A581:$ZZ581,CALC!$F$1))&gt;0,N(INDEX(BASELINE!$A581:$ZZ581,CALC!$F$1)),N(BASELINE!E581)),N(BASELINE!E581)))=INT(SIMOPS!$D$3),IFERROR(UPPER(TRIM(BASELINE!D581&amp;"")),"")&lt;&gt;"ENCERRADA"),1,0),0)</f>
        <v/>
      </c>
      <c r="B581">
        <f>B580+A581</f>
        <v/>
      </c>
    </row>
    <row r="582">
      <c r="A582">
        <f>IFERROR(IF(AND(BASELINE!I582&lt;&gt;"",INT(IF(CALC!$F$1&gt;0,IF(N(INDEX(BASELINE!$A582:$ZZ582,CALC!$F$1))&gt;0,N(INDEX(BASELINE!$A582:$ZZ582,CALC!$F$1)),N(BASELINE!E582)),N(BASELINE!E582)))=INT(SIMOPS!$D$3),IFERROR(UPPER(TRIM(BASELINE!D582&amp;"")),"")&lt;&gt;"ENCERRADA"),1,0),0)</f>
        <v/>
      </c>
      <c r="B582">
        <f>B581+A582</f>
        <v/>
      </c>
    </row>
    <row r="583">
      <c r="A583">
        <f>IFERROR(IF(AND(BASELINE!I583&lt;&gt;"",INT(IF(CALC!$F$1&gt;0,IF(N(INDEX(BASELINE!$A583:$ZZ583,CALC!$F$1))&gt;0,N(INDEX(BASELINE!$A583:$ZZ583,CALC!$F$1)),N(BASELINE!E583)),N(BASELINE!E583)))=INT(SIMOPS!$D$3),IFERROR(UPPER(TRIM(BASELINE!D583&amp;"")),"")&lt;&gt;"ENCERRADA"),1,0),0)</f>
        <v/>
      </c>
      <c r="B583">
        <f>B582+A583</f>
        <v/>
      </c>
    </row>
    <row r="584">
      <c r="A584">
        <f>IFERROR(IF(AND(BASELINE!I584&lt;&gt;"",INT(IF(CALC!$F$1&gt;0,IF(N(INDEX(BASELINE!$A584:$ZZ584,CALC!$F$1))&gt;0,N(INDEX(BASELINE!$A584:$ZZ584,CALC!$F$1)),N(BASELINE!E584)),N(BASELINE!E584)))=INT(SIMOPS!$D$3),IFERROR(UPPER(TRIM(BASELINE!D584&amp;"")),"")&lt;&gt;"ENCERRADA"),1,0),0)</f>
        <v/>
      </c>
      <c r="B584">
        <f>B583+A584</f>
        <v/>
      </c>
    </row>
    <row r="585">
      <c r="A585">
        <f>IFERROR(IF(AND(BASELINE!I585&lt;&gt;"",INT(IF(CALC!$F$1&gt;0,IF(N(INDEX(BASELINE!$A585:$ZZ585,CALC!$F$1))&gt;0,N(INDEX(BASELINE!$A585:$ZZ585,CALC!$F$1)),N(BASELINE!E585)),N(BASELINE!E585)))=INT(SIMOPS!$D$3),IFERROR(UPPER(TRIM(BASELINE!D585&amp;"")),"")&lt;&gt;"ENCERRADA"),1,0),0)</f>
        <v/>
      </c>
      <c r="B585">
        <f>B584+A585</f>
        <v/>
      </c>
    </row>
    <row r="586">
      <c r="A586">
        <f>IFERROR(IF(AND(BASELINE!I586&lt;&gt;"",INT(IF(CALC!$F$1&gt;0,IF(N(INDEX(BASELINE!$A586:$ZZ586,CALC!$F$1))&gt;0,N(INDEX(BASELINE!$A586:$ZZ586,CALC!$F$1)),N(BASELINE!E586)),N(BASELINE!E586)))=INT(SIMOPS!$D$3),IFERROR(UPPER(TRIM(BASELINE!D586&amp;"")),"")&lt;&gt;"ENCERRADA"),1,0),0)</f>
        <v/>
      </c>
      <c r="B586">
        <f>B585+A586</f>
        <v/>
      </c>
    </row>
    <row r="587">
      <c r="A587">
        <f>IFERROR(IF(AND(BASELINE!I587&lt;&gt;"",INT(IF(CALC!$F$1&gt;0,IF(N(INDEX(BASELINE!$A587:$ZZ587,CALC!$F$1))&gt;0,N(INDEX(BASELINE!$A587:$ZZ587,CALC!$F$1)),N(BASELINE!E587)),N(BASELINE!E587)))=INT(SIMOPS!$D$3),IFERROR(UPPER(TRIM(BASELINE!D587&amp;"")),"")&lt;&gt;"ENCERRADA"),1,0),0)</f>
        <v/>
      </c>
      <c r="B587">
        <f>B586+A587</f>
        <v/>
      </c>
    </row>
    <row r="588">
      <c r="A588">
        <f>IFERROR(IF(AND(BASELINE!I588&lt;&gt;"",INT(IF(CALC!$F$1&gt;0,IF(N(INDEX(BASELINE!$A588:$ZZ588,CALC!$F$1))&gt;0,N(INDEX(BASELINE!$A588:$ZZ588,CALC!$F$1)),N(BASELINE!E588)),N(BASELINE!E588)))=INT(SIMOPS!$D$3),IFERROR(UPPER(TRIM(BASELINE!D588&amp;"")),"")&lt;&gt;"ENCERRADA"),1,0),0)</f>
        <v/>
      </c>
      <c r="B588">
        <f>B587+A588</f>
        <v/>
      </c>
    </row>
    <row r="589">
      <c r="A589">
        <f>IFERROR(IF(AND(BASELINE!I589&lt;&gt;"",INT(IF(CALC!$F$1&gt;0,IF(N(INDEX(BASELINE!$A589:$ZZ589,CALC!$F$1))&gt;0,N(INDEX(BASELINE!$A589:$ZZ589,CALC!$F$1)),N(BASELINE!E589)),N(BASELINE!E589)))=INT(SIMOPS!$D$3),IFERROR(UPPER(TRIM(BASELINE!D589&amp;"")),"")&lt;&gt;"ENCERRADA"),1,0),0)</f>
        <v/>
      </c>
      <c r="B589">
        <f>B588+A589</f>
        <v/>
      </c>
    </row>
    <row r="590">
      <c r="A590">
        <f>IFERROR(IF(AND(BASELINE!I590&lt;&gt;"",INT(IF(CALC!$F$1&gt;0,IF(N(INDEX(BASELINE!$A590:$ZZ590,CALC!$F$1))&gt;0,N(INDEX(BASELINE!$A590:$ZZ590,CALC!$F$1)),N(BASELINE!E590)),N(BASELINE!E590)))=INT(SIMOPS!$D$3),IFERROR(UPPER(TRIM(BASELINE!D590&amp;"")),"")&lt;&gt;"ENCERRADA"),1,0),0)</f>
        <v/>
      </c>
      <c r="B590">
        <f>B589+A590</f>
        <v/>
      </c>
    </row>
    <row r="591">
      <c r="A591">
        <f>IFERROR(IF(AND(BASELINE!I591&lt;&gt;"",INT(IF(CALC!$F$1&gt;0,IF(N(INDEX(BASELINE!$A591:$ZZ591,CALC!$F$1))&gt;0,N(INDEX(BASELINE!$A591:$ZZ591,CALC!$F$1)),N(BASELINE!E591)),N(BASELINE!E591)))=INT(SIMOPS!$D$3),IFERROR(UPPER(TRIM(BASELINE!D591&amp;"")),"")&lt;&gt;"ENCERRADA"),1,0),0)</f>
        <v/>
      </c>
      <c r="B591">
        <f>B590+A591</f>
        <v/>
      </c>
    </row>
    <row r="592">
      <c r="A592">
        <f>IFERROR(IF(AND(BASELINE!I592&lt;&gt;"",INT(IF(CALC!$F$1&gt;0,IF(N(INDEX(BASELINE!$A592:$ZZ592,CALC!$F$1))&gt;0,N(INDEX(BASELINE!$A592:$ZZ592,CALC!$F$1)),N(BASELINE!E592)),N(BASELINE!E592)))=INT(SIMOPS!$D$3),IFERROR(UPPER(TRIM(BASELINE!D592&amp;"")),"")&lt;&gt;"ENCERRADA"),1,0),0)</f>
        <v/>
      </c>
      <c r="B592">
        <f>B591+A592</f>
        <v/>
      </c>
    </row>
    <row r="593">
      <c r="A593">
        <f>IFERROR(IF(AND(BASELINE!I593&lt;&gt;"",INT(IF(CALC!$F$1&gt;0,IF(N(INDEX(BASELINE!$A593:$ZZ593,CALC!$F$1))&gt;0,N(INDEX(BASELINE!$A593:$ZZ593,CALC!$F$1)),N(BASELINE!E593)),N(BASELINE!E593)))=INT(SIMOPS!$D$3),IFERROR(UPPER(TRIM(BASELINE!D593&amp;"")),"")&lt;&gt;"ENCERRADA"),1,0),0)</f>
        <v/>
      </c>
      <c r="B593">
        <f>B592+A593</f>
        <v/>
      </c>
    </row>
    <row r="594">
      <c r="A594">
        <f>IFERROR(IF(AND(BASELINE!I594&lt;&gt;"",INT(IF(CALC!$F$1&gt;0,IF(N(INDEX(BASELINE!$A594:$ZZ594,CALC!$F$1))&gt;0,N(INDEX(BASELINE!$A594:$ZZ594,CALC!$F$1)),N(BASELINE!E594)),N(BASELINE!E594)))=INT(SIMOPS!$D$3),IFERROR(UPPER(TRIM(BASELINE!D594&amp;"")),"")&lt;&gt;"ENCERRADA"),1,0),0)</f>
        <v/>
      </c>
      <c r="B594">
        <f>B593+A594</f>
        <v/>
      </c>
    </row>
    <row r="595">
      <c r="A595">
        <f>IFERROR(IF(AND(BASELINE!I595&lt;&gt;"",INT(IF(CALC!$F$1&gt;0,IF(N(INDEX(BASELINE!$A595:$ZZ595,CALC!$F$1))&gt;0,N(INDEX(BASELINE!$A595:$ZZ595,CALC!$F$1)),N(BASELINE!E595)),N(BASELINE!E595)))=INT(SIMOPS!$D$3),IFERROR(UPPER(TRIM(BASELINE!D595&amp;"")),"")&lt;&gt;"ENCERRADA"),1,0),0)</f>
        <v/>
      </c>
      <c r="B595">
        <f>B594+A595</f>
        <v/>
      </c>
    </row>
    <row r="596">
      <c r="A596">
        <f>IFERROR(IF(AND(BASELINE!I596&lt;&gt;"",INT(IF(CALC!$F$1&gt;0,IF(N(INDEX(BASELINE!$A596:$ZZ596,CALC!$F$1))&gt;0,N(INDEX(BASELINE!$A596:$ZZ596,CALC!$F$1)),N(BASELINE!E596)),N(BASELINE!E596)))=INT(SIMOPS!$D$3),IFERROR(UPPER(TRIM(BASELINE!D596&amp;"")),"")&lt;&gt;"ENCERRADA"),1,0),0)</f>
        <v/>
      </c>
      <c r="B596">
        <f>B595+A596</f>
        <v/>
      </c>
    </row>
    <row r="597">
      <c r="A597">
        <f>IFERROR(IF(AND(BASELINE!I597&lt;&gt;"",INT(IF(CALC!$F$1&gt;0,IF(N(INDEX(BASELINE!$A597:$ZZ597,CALC!$F$1))&gt;0,N(INDEX(BASELINE!$A597:$ZZ597,CALC!$F$1)),N(BASELINE!E597)),N(BASELINE!E597)))=INT(SIMOPS!$D$3),IFERROR(UPPER(TRIM(BASELINE!D597&amp;"")),"")&lt;&gt;"ENCERRADA"),1,0),0)</f>
        <v/>
      </c>
      <c r="B597">
        <f>B596+A597</f>
        <v/>
      </c>
    </row>
    <row r="598">
      <c r="A598">
        <f>IFERROR(IF(AND(BASELINE!I598&lt;&gt;"",INT(IF(CALC!$F$1&gt;0,IF(N(INDEX(BASELINE!$A598:$ZZ598,CALC!$F$1))&gt;0,N(INDEX(BASELINE!$A598:$ZZ598,CALC!$F$1)),N(BASELINE!E598)),N(BASELINE!E598)))=INT(SIMOPS!$D$3),IFERROR(UPPER(TRIM(BASELINE!D598&amp;"")),"")&lt;&gt;"ENCERRADA"),1,0),0)</f>
        <v/>
      </c>
      <c r="B598">
        <f>B597+A598</f>
        <v/>
      </c>
    </row>
    <row r="599">
      <c r="A599">
        <f>IFERROR(IF(AND(BASELINE!I599&lt;&gt;"",INT(IF(CALC!$F$1&gt;0,IF(N(INDEX(BASELINE!$A599:$ZZ599,CALC!$F$1))&gt;0,N(INDEX(BASELINE!$A599:$ZZ599,CALC!$F$1)),N(BASELINE!E599)),N(BASELINE!E599)))=INT(SIMOPS!$D$3),IFERROR(UPPER(TRIM(BASELINE!D599&amp;"")),"")&lt;&gt;"ENCERRADA"),1,0),0)</f>
        <v/>
      </c>
      <c r="B599">
        <f>B598+A599</f>
        <v/>
      </c>
    </row>
    <row r="600">
      <c r="A600">
        <f>IFERROR(IF(AND(BASELINE!I600&lt;&gt;"",INT(IF(CALC!$F$1&gt;0,IF(N(INDEX(BASELINE!$A600:$ZZ600,CALC!$F$1))&gt;0,N(INDEX(BASELINE!$A600:$ZZ600,CALC!$F$1)),N(BASELINE!E600)),N(BASELINE!E600)))=INT(SIMOPS!$D$3),IFERROR(UPPER(TRIM(BASELINE!D600&amp;"")),"")&lt;&gt;"ENCERRADA"),1,0),0)</f>
        <v/>
      </c>
      <c r="B600">
        <f>B599+A600</f>
        <v/>
      </c>
    </row>
    <row r="601">
      <c r="A601">
        <f>IFERROR(IF(AND(BASELINE!I601&lt;&gt;"",INT(IF(CALC!$F$1&gt;0,IF(N(INDEX(BASELINE!$A601:$ZZ601,CALC!$F$1))&gt;0,N(INDEX(BASELINE!$A601:$ZZ601,CALC!$F$1)),N(BASELINE!E601)),N(BASELINE!E601)))=INT(SIMOPS!$D$3),IFERROR(UPPER(TRIM(BASELINE!D601&amp;"")),"")&lt;&gt;"ENCERRADA"),1,0),0)</f>
        <v/>
      </c>
      <c r="B601">
        <f>B600+A601</f>
        <v/>
      </c>
    </row>
    <row r="602">
      <c r="A602">
        <f>IFERROR(IF(AND(BASELINE!I602&lt;&gt;"",INT(IF(CALC!$F$1&gt;0,IF(N(INDEX(BASELINE!$A602:$ZZ602,CALC!$F$1))&gt;0,N(INDEX(BASELINE!$A602:$ZZ602,CALC!$F$1)),N(BASELINE!E602)),N(BASELINE!E602)))=INT(SIMOPS!$D$3),IFERROR(UPPER(TRIM(BASELINE!D602&amp;"")),"")&lt;&gt;"ENCERRADA"),1,0),0)</f>
        <v/>
      </c>
      <c r="B602">
        <f>B601+A602</f>
        <v/>
      </c>
    </row>
    <row r="603">
      <c r="A603">
        <f>IFERROR(IF(AND(BASELINE!I603&lt;&gt;"",INT(IF(CALC!$F$1&gt;0,IF(N(INDEX(BASELINE!$A603:$ZZ603,CALC!$F$1))&gt;0,N(INDEX(BASELINE!$A603:$ZZ603,CALC!$F$1)),N(BASELINE!E603)),N(BASELINE!E603)))=INT(SIMOPS!$D$3),IFERROR(UPPER(TRIM(BASELINE!D603&amp;"")),"")&lt;&gt;"ENCERRADA"),1,0),0)</f>
        <v/>
      </c>
      <c r="B603">
        <f>B602+A603</f>
        <v/>
      </c>
    </row>
    <row r="604">
      <c r="A604">
        <f>IFERROR(IF(AND(BASELINE!I604&lt;&gt;"",INT(IF(CALC!$F$1&gt;0,IF(N(INDEX(BASELINE!$A604:$ZZ604,CALC!$F$1))&gt;0,N(INDEX(BASELINE!$A604:$ZZ604,CALC!$F$1)),N(BASELINE!E604)),N(BASELINE!E604)))=INT(SIMOPS!$D$3),IFERROR(UPPER(TRIM(BASELINE!D604&amp;"")),"")&lt;&gt;"ENCERRADA"),1,0),0)</f>
        <v/>
      </c>
      <c r="B604">
        <f>B603+A604</f>
        <v/>
      </c>
    </row>
    <row r="605">
      <c r="A605">
        <f>IFERROR(IF(AND(BASELINE!I605&lt;&gt;"",INT(IF(CALC!$F$1&gt;0,IF(N(INDEX(BASELINE!$A605:$ZZ605,CALC!$F$1))&gt;0,N(INDEX(BASELINE!$A605:$ZZ605,CALC!$F$1)),N(BASELINE!E605)),N(BASELINE!E605)))=INT(SIMOPS!$D$3),IFERROR(UPPER(TRIM(BASELINE!D605&amp;"")),"")&lt;&gt;"ENCERRADA"),1,0),0)</f>
        <v/>
      </c>
      <c r="B605">
        <f>B604+A605</f>
        <v/>
      </c>
    </row>
    <row r="606">
      <c r="A606">
        <f>IFERROR(IF(AND(BASELINE!I606&lt;&gt;"",INT(IF(CALC!$F$1&gt;0,IF(N(INDEX(BASELINE!$A606:$ZZ606,CALC!$F$1))&gt;0,N(INDEX(BASELINE!$A606:$ZZ606,CALC!$F$1)),N(BASELINE!E606)),N(BASELINE!E606)))=INT(SIMOPS!$D$3),IFERROR(UPPER(TRIM(BASELINE!D606&amp;"")),"")&lt;&gt;"ENCERRADA"),1,0),0)</f>
        <v/>
      </c>
      <c r="B606">
        <f>B605+A606</f>
        <v/>
      </c>
    </row>
    <row r="607">
      <c r="A607">
        <f>IFERROR(IF(AND(BASELINE!I607&lt;&gt;"",INT(IF(CALC!$F$1&gt;0,IF(N(INDEX(BASELINE!$A607:$ZZ607,CALC!$F$1))&gt;0,N(INDEX(BASELINE!$A607:$ZZ607,CALC!$F$1)),N(BASELINE!E607)),N(BASELINE!E607)))=INT(SIMOPS!$D$3),IFERROR(UPPER(TRIM(BASELINE!D607&amp;"")),"")&lt;&gt;"ENCERRADA"),1,0),0)</f>
        <v/>
      </c>
      <c r="B607">
        <f>B606+A607</f>
        <v/>
      </c>
    </row>
    <row r="608">
      <c r="A608">
        <f>IFERROR(IF(AND(BASELINE!I608&lt;&gt;"",INT(IF(CALC!$F$1&gt;0,IF(N(INDEX(BASELINE!$A608:$ZZ608,CALC!$F$1))&gt;0,N(INDEX(BASELINE!$A608:$ZZ608,CALC!$F$1)),N(BASELINE!E608)),N(BASELINE!E608)))=INT(SIMOPS!$D$3),IFERROR(UPPER(TRIM(BASELINE!D608&amp;"")),"")&lt;&gt;"ENCERRADA"),1,0),0)</f>
        <v/>
      </c>
      <c r="B608">
        <f>B607+A608</f>
        <v/>
      </c>
    </row>
    <row r="609">
      <c r="A609">
        <f>IFERROR(IF(AND(BASELINE!I609&lt;&gt;"",INT(IF(CALC!$F$1&gt;0,IF(N(INDEX(BASELINE!$A609:$ZZ609,CALC!$F$1))&gt;0,N(INDEX(BASELINE!$A609:$ZZ609,CALC!$F$1)),N(BASELINE!E609)),N(BASELINE!E609)))=INT(SIMOPS!$D$3),IFERROR(UPPER(TRIM(BASELINE!D609&amp;"")),"")&lt;&gt;"ENCERRADA"),1,0),0)</f>
        <v/>
      </c>
      <c r="B609">
        <f>B608+A609</f>
        <v/>
      </c>
    </row>
    <row r="610">
      <c r="A610">
        <f>IFERROR(IF(AND(BASELINE!I610&lt;&gt;"",INT(IF(CALC!$F$1&gt;0,IF(N(INDEX(BASELINE!$A610:$ZZ610,CALC!$F$1))&gt;0,N(INDEX(BASELINE!$A610:$ZZ610,CALC!$F$1)),N(BASELINE!E610)),N(BASELINE!E610)))=INT(SIMOPS!$D$3),IFERROR(UPPER(TRIM(BASELINE!D610&amp;"")),"")&lt;&gt;"ENCERRADA"),1,0),0)</f>
        <v/>
      </c>
      <c r="B610">
        <f>B609+A610</f>
        <v/>
      </c>
    </row>
    <row r="611">
      <c r="A611">
        <f>IFERROR(IF(AND(BASELINE!I611&lt;&gt;"",INT(IF(CALC!$F$1&gt;0,IF(N(INDEX(BASELINE!$A611:$ZZ611,CALC!$F$1))&gt;0,N(INDEX(BASELINE!$A611:$ZZ611,CALC!$F$1)),N(BASELINE!E611)),N(BASELINE!E611)))=INT(SIMOPS!$D$3),IFERROR(UPPER(TRIM(BASELINE!D611&amp;"")),"")&lt;&gt;"ENCERRADA"),1,0),0)</f>
        <v/>
      </c>
      <c r="B611">
        <f>B610+A611</f>
        <v/>
      </c>
    </row>
    <row r="612">
      <c r="A612">
        <f>IFERROR(IF(AND(BASELINE!I612&lt;&gt;"",INT(IF(CALC!$F$1&gt;0,IF(N(INDEX(BASELINE!$A612:$ZZ612,CALC!$F$1))&gt;0,N(INDEX(BASELINE!$A612:$ZZ612,CALC!$F$1)),N(BASELINE!E612)),N(BASELINE!E612)))=INT(SIMOPS!$D$3),IFERROR(UPPER(TRIM(BASELINE!D612&amp;"")),"")&lt;&gt;"ENCERRADA"),1,0),0)</f>
        <v/>
      </c>
      <c r="B612">
        <f>B611+A612</f>
        <v/>
      </c>
    </row>
    <row r="613">
      <c r="A613">
        <f>IFERROR(IF(AND(BASELINE!I613&lt;&gt;"",INT(IF(CALC!$F$1&gt;0,IF(N(INDEX(BASELINE!$A613:$ZZ613,CALC!$F$1))&gt;0,N(INDEX(BASELINE!$A613:$ZZ613,CALC!$F$1)),N(BASELINE!E613)),N(BASELINE!E613)))=INT(SIMOPS!$D$3),IFERROR(UPPER(TRIM(BASELINE!D613&amp;"")),"")&lt;&gt;"ENCERRADA"),1,0),0)</f>
        <v/>
      </c>
      <c r="B613">
        <f>B612+A613</f>
        <v/>
      </c>
    </row>
    <row r="614">
      <c r="A614">
        <f>IFERROR(IF(AND(BASELINE!I614&lt;&gt;"",INT(IF(CALC!$F$1&gt;0,IF(N(INDEX(BASELINE!$A614:$ZZ614,CALC!$F$1))&gt;0,N(INDEX(BASELINE!$A614:$ZZ614,CALC!$F$1)),N(BASELINE!E614)),N(BASELINE!E614)))=INT(SIMOPS!$D$3),IFERROR(UPPER(TRIM(BASELINE!D614&amp;"")),"")&lt;&gt;"ENCERRADA"),1,0),0)</f>
        <v/>
      </c>
      <c r="B614">
        <f>B613+A614</f>
        <v/>
      </c>
    </row>
    <row r="615">
      <c r="A615">
        <f>IFERROR(IF(AND(BASELINE!I615&lt;&gt;"",INT(IF(CALC!$F$1&gt;0,IF(N(INDEX(BASELINE!$A615:$ZZ615,CALC!$F$1))&gt;0,N(INDEX(BASELINE!$A615:$ZZ615,CALC!$F$1)),N(BASELINE!E615)),N(BASELINE!E615)))=INT(SIMOPS!$D$3),IFERROR(UPPER(TRIM(BASELINE!D615&amp;"")),"")&lt;&gt;"ENCERRADA"),1,0),0)</f>
        <v/>
      </c>
      <c r="B615">
        <f>B614+A615</f>
        <v/>
      </c>
    </row>
    <row r="616">
      <c r="A616">
        <f>IFERROR(IF(AND(BASELINE!I616&lt;&gt;"",INT(IF(CALC!$F$1&gt;0,IF(N(INDEX(BASELINE!$A616:$ZZ616,CALC!$F$1))&gt;0,N(INDEX(BASELINE!$A616:$ZZ616,CALC!$F$1)),N(BASELINE!E616)),N(BASELINE!E616)))=INT(SIMOPS!$D$3),IFERROR(UPPER(TRIM(BASELINE!D616&amp;"")),"")&lt;&gt;"ENCERRADA"),1,0),0)</f>
        <v/>
      </c>
      <c r="B616">
        <f>B615+A616</f>
        <v/>
      </c>
    </row>
    <row r="617">
      <c r="A617">
        <f>IFERROR(IF(AND(BASELINE!I617&lt;&gt;"",INT(IF(CALC!$F$1&gt;0,IF(N(INDEX(BASELINE!$A617:$ZZ617,CALC!$F$1))&gt;0,N(INDEX(BASELINE!$A617:$ZZ617,CALC!$F$1)),N(BASELINE!E617)),N(BASELINE!E617)))=INT(SIMOPS!$D$3),IFERROR(UPPER(TRIM(BASELINE!D617&amp;"")),"")&lt;&gt;"ENCERRADA"),1,0),0)</f>
        <v/>
      </c>
      <c r="B617">
        <f>B616+A617</f>
        <v/>
      </c>
    </row>
    <row r="618">
      <c r="A618">
        <f>IFERROR(IF(AND(BASELINE!I618&lt;&gt;"",INT(IF(CALC!$F$1&gt;0,IF(N(INDEX(BASELINE!$A618:$ZZ618,CALC!$F$1))&gt;0,N(INDEX(BASELINE!$A618:$ZZ618,CALC!$F$1)),N(BASELINE!E618)),N(BASELINE!E618)))=INT(SIMOPS!$D$3),IFERROR(UPPER(TRIM(BASELINE!D618&amp;"")),"")&lt;&gt;"ENCERRADA"),1,0),0)</f>
        <v/>
      </c>
      <c r="B618">
        <f>B617+A618</f>
        <v/>
      </c>
    </row>
    <row r="619">
      <c r="A619">
        <f>IFERROR(IF(AND(BASELINE!I619&lt;&gt;"",INT(IF(CALC!$F$1&gt;0,IF(N(INDEX(BASELINE!$A619:$ZZ619,CALC!$F$1))&gt;0,N(INDEX(BASELINE!$A619:$ZZ619,CALC!$F$1)),N(BASELINE!E619)),N(BASELINE!E619)))=INT(SIMOPS!$D$3),IFERROR(UPPER(TRIM(BASELINE!D619&amp;"")),"")&lt;&gt;"ENCERRADA"),1,0),0)</f>
        <v/>
      </c>
      <c r="B619">
        <f>B618+A619</f>
        <v/>
      </c>
    </row>
    <row r="620">
      <c r="A620">
        <f>IFERROR(IF(AND(BASELINE!I620&lt;&gt;"",INT(IF(CALC!$F$1&gt;0,IF(N(INDEX(BASELINE!$A620:$ZZ620,CALC!$F$1))&gt;0,N(INDEX(BASELINE!$A620:$ZZ620,CALC!$F$1)),N(BASELINE!E620)),N(BASELINE!E620)))=INT(SIMOPS!$D$3),IFERROR(UPPER(TRIM(BASELINE!D620&amp;"")),"")&lt;&gt;"ENCERRADA"),1,0),0)</f>
        <v/>
      </c>
      <c r="B620">
        <f>B619+A620</f>
        <v/>
      </c>
    </row>
    <row r="621">
      <c r="A621">
        <f>IFERROR(IF(AND(BASELINE!I621&lt;&gt;"",INT(IF(CALC!$F$1&gt;0,IF(N(INDEX(BASELINE!$A621:$ZZ621,CALC!$F$1))&gt;0,N(INDEX(BASELINE!$A621:$ZZ621,CALC!$F$1)),N(BASELINE!E621)),N(BASELINE!E621)))=INT(SIMOPS!$D$3),IFERROR(UPPER(TRIM(BASELINE!D621&amp;"")),"")&lt;&gt;"ENCERRADA"),1,0),0)</f>
        <v/>
      </c>
      <c r="B621">
        <f>B620+A621</f>
        <v/>
      </c>
    </row>
    <row r="622">
      <c r="A622">
        <f>IFERROR(IF(AND(BASELINE!I622&lt;&gt;"",INT(IF(CALC!$F$1&gt;0,IF(N(INDEX(BASELINE!$A622:$ZZ622,CALC!$F$1))&gt;0,N(INDEX(BASELINE!$A622:$ZZ622,CALC!$F$1)),N(BASELINE!E622)),N(BASELINE!E622)))=INT(SIMOPS!$D$3),IFERROR(UPPER(TRIM(BASELINE!D622&amp;"")),"")&lt;&gt;"ENCERRADA"),1,0),0)</f>
        <v/>
      </c>
      <c r="B622">
        <f>B621+A622</f>
        <v/>
      </c>
    </row>
    <row r="623">
      <c r="A623">
        <f>IFERROR(IF(AND(BASELINE!I623&lt;&gt;"",INT(IF(CALC!$F$1&gt;0,IF(N(INDEX(BASELINE!$A623:$ZZ623,CALC!$F$1))&gt;0,N(INDEX(BASELINE!$A623:$ZZ623,CALC!$F$1)),N(BASELINE!E623)),N(BASELINE!E623)))=INT(SIMOPS!$D$3),IFERROR(UPPER(TRIM(BASELINE!D623&amp;"")),"")&lt;&gt;"ENCERRADA"),1,0),0)</f>
        <v/>
      </c>
      <c r="B623">
        <f>B622+A623</f>
        <v/>
      </c>
    </row>
    <row r="624">
      <c r="A624">
        <f>IFERROR(IF(AND(BASELINE!I624&lt;&gt;"",INT(IF(CALC!$F$1&gt;0,IF(N(INDEX(BASELINE!$A624:$ZZ624,CALC!$F$1))&gt;0,N(INDEX(BASELINE!$A624:$ZZ624,CALC!$F$1)),N(BASELINE!E624)),N(BASELINE!E624)))=INT(SIMOPS!$D$3),IFERROR(UPPER(TRIM(BASELINE!D624&amp;"")),"")&lt;&gt;"ENCERRADA"),1,0),0)</f>
        <v/>
      </c>
      <c r="B624">
        <f>B623+A624</f>
        <v/>
      </c>
    </row>
    <row r="625">
      <c r="A625">
        <f>IFERROR(IF(AND(BASELINE!I625&lt;&gt;"",INT(IF(CALC!$F$1&gt;0,IF(N(INDEX(BASELINE!$A625:$ZZ625,CALC!$F$1))&gt;0,N(INDEX(BASELINE!$A625:$ZZ625,CALC!$F$1)),N(BASELINE!E625)),N(BASELINE!E625)))=INT(SIMOPS!$D$3),IFERROR(UPPER(TRIM(BASELINE!D625&amp;"")),"")&lt;&gt;"ENCERRADA"),1,0),0)</f>
        <v/>
      </c>
      <c r="B625">
        <f>B624+A625</f>
        <v/>
      </c>
    </row>
    <row r="626">
      <c r="A626">
        <f>IFERROR(IF(AND(BASELINE!I626&lt;&gt;"",INT(IF(CALC!$F$1&gt;0,IF(N(INDEX(BASELINE!$A626:$ZZ626,CALC!$F$1))&gt;0,N(INDEX(BASELINE!$A626:$ZZ626,CALC!$F$1)),N(BASELINE!E626)),N(BASELINE!E626)))=INT(SIMOPS!$D$3),IFERROR(UPPER(TRIM(BASELINE!D626&amp;"")),"")&lt;&gt;"ENCERRADA"),1,0),0)</f>
        <v/>
      </c>
      <c r="B626">
        <f>B625+A626</f>
        <v/>
      </c>
    </row>
    <row r="627">
      <c r="A627">
        <f>IFERROR(IF(AND(BASELINE!I627&lt;&gt;"",INT(IF(CALC!$F$1&gt;0,IF(N(INDEX(BASELINE!$A627:$ZZ627,CALC!$F$1))&gt;0,N(INDEX(BASELINE!$A627:$ZZ627,CALC!$F$1)),N(BASELINE!E627)),N(BASELINE!E627)))=INT(SIMOPS!$D$3),IFERROR(UPPER(TRIM(BASELINE!D627&amp;"")),"")&lt;&gt;"ENCERRADA"),1,0),0)</f>
        <v/>
      </c>
      <c r="B627">
        <f>B626+A627</f>
        <v/>
      </c>
    </row>
    <row r="628">
      <c r="A628">
        <f>IFERROR(IF(AND(BASELINE!I628&lt;&gt;"",INT(IF(CALC!$F$1&gt;0,IF(N(INDEX(BASELINE!$A628:$ZZ628,CALC!$F$1))&gt;0,N(INDEX(BASELINE!$A628:$ZZ628,CALC!$F$1)),N(BASELINE!E628)),N(BASELINE!E628)))=INT(SIMOPS!$D$3),IFERROR(UPPER(TRIM(BASELINE!D628&amp;"")),"")&lt;&gt;"ENCERRADA"),1,0),0)</f>
        <v/>
      </c>
      <c r="B628">
        <f>B627+A628</f>
        <v/>
      </c>
    </row>
    <row r="629">
      <c r="A629">
        <f>IFERROR(IF(AND(BASELINE!I629&lt;&gt;"",INT(IF(CALC!$F$1&gt;0,IF(N(INDEX(BASELINE!$A629:$ZZ629,CALC!$F$1))&gt;0,N(INDEX(BASELINE!$A629:$ZZ629,CALC!$F$1)),N(BASELINE!E629)),N(BASELINE!E629)))=INT(SIMOPS!$D$3),IFERROR(UPPER(TRIM(BASELINE!D629&amp;"")),"")&lt;&gt;"ENCERRADA"),1,0),0)</f>
        <v/>
      </c>
      <c r="B629">
        <f>B628+A629</f>
        <v/>
      </c>
    </row>
    <row r="630">
      <c r="A630">
        <f>IFERROR(IF(AND(BASELINE!I630&lt;&gt;"",INT(IF(CALC!$F$1&gt;0,IF(N(INDEX(BASELINE!$A630:$ZZ630,CALC!$F$1))&gt;0,N(INDEX(BASELINE!$A630:$ZZ630,CALC!$F$1)),N(BASELINE!E630)),N(BASELINE!E630)))=INT(SIMOPS!$D$3),IFERROR(UPPER(TRIM(BASELINE!D630&amp;"")),"")&lt;&gt;"ENCERRADA"),1,0),0)</f>
        <v/>
      </c>
      <c r="B630">
        <f>B629+A630</f>
        <v/>
      </c>
    </row>
    <row r="631">
      <c r="A631">
        <f>IFERROR(IF(AND(BASELINE!I631&lt;&gt;"",INT(IF(CALC!$F$1&gt;0,IF(N(INDEX(BASELINE!$A631:$ZZ631,CALC!$F$1))&gt;0,N(INDEX(BASELINE!$A631:$ZZ631,CALC!$F$1)),N(BASELINE!E631)),N(BASELINE!E631)))=INT(SIMOPS!$D$3),IFERROR(UPPER(TRIM(BASELINE!D631&amp;"")),"")&lt;&gt;"ENCERRADA"),1,0),0)</f>
        <v/>
      </c>
      <c r="B631">
        <f>B630+A631</f>
        <v/>
      </c>
    </row>
    <row r="632">
      <c r="A632">
        <f>IFERROR(IF(AND(BASELINE!I632&lt;&gt;"",INT(IF(CALC!$F$1&gt;0,IF(N(INDEX(BASELINE!$A632:$ZZ632,CALC!$F$1))&gt;0,N(INDEX(BASELINE!$A632:$ZZ632,CALC!$F$1)),N(BASELINE!E632)),N(BASELINE!E632)))=INT(SIMOPS!$D$3),IFERROR(UPPER(TRIM(BASELINE!D632&amp;"")),"")&lt;&gt;"ENCERRADA"),1,0),0)</f>
        <v/>
      </c>
      <c r="B632">
        <f>B631+A632</f>
        <v/>
      </c>
    </row>
    <row r="633">
      <c r="A633">
        <f>IFERROR(IF(AND(BASELINE!I633&lt;&gt;"",INT(IF(CALC!$F$1&gt;0,IF(N(INDEX(BASELINE!$A633:$ZZ633,CALC!$F$1))&gt;0,N(INDEX(BASELINE!$A633:$ZZ633,CALC!$F$1)),N(BASELINE!E633)),N(BASELINE!E633)))=INT(SIMOPS!$D$3),IFERROR(UPPER(TRIM(BASELINE!D633&amp;"")),"")&lt;&gt;"ENCERRADA"),1,0),0)</f>
        <v/>
      </c>
      <c r="B633">
        <f>B632+A633</f>
        <v/>
      </c>
    </row>
    <row r="634">
      <c r="A634">
        <f>IFERROR(IF(AND(BASELINE!I634&lt;&gt;"",INT(IF(CALC!$F$1&gt;0,IF(N(INDEX(BASELINE!$A634:$ZZ634,CALC!$F$1))&gt;0,N(INDEX(BASELINE!$A634:$ZZ634,CALC!$F$1)),N(BASELINE!E634)),N(BASELINE!E634)))=INT(SIMOPS!$D$3),IFERROR(UPPER(TRIM(BASELINE!D634&amp;"")),"")&lt;&gt;"ENCERRADA"),1,0),0)</f>
        <v/>
      </c>
      <c r="B634">
        <f>B633+A634</f>
        <v/>
      </c>
    </row>
    <row r="635">
      <c r="A635">
        <f>IFERROR(IF(AND(BASELINE!I635&lt;&gt;"",INT(IF(CALC!$F$1&gt;0,IF(N(INDEX(BASELINE!$A635:$ZZ635,CALC!$F$1))&gt;0,N(INDEX(BASELINE!$A635:$ZZ635,CALC!$F$1)),N(BASELINE!E635)),N(BASELINE!E635)))=INT(SIMOPS!$D$3),IFERROR(UPPER(TRIM(BASELINE!D635&amp;"")),"")&lt;&gt;"ENCERRADA"),1,0),0)</f>
        <v/>
      </c>
      <c r="B635">
        <f>B634+A635</f>
        <v/>
      </c>
    </row>
    <row r="636">
      <c r="A636">
        <f>IFERROR(IF(AND(BASELINE!I636&lt;&gt;"",INT(IF(CALC!$F$1&gt;0,IF(N(INDEX(BASELINE!$A636:$ZZ636,CALC!$F$1))&gt;0,N(INDEX(BASELINE!$A636:$ZZ636,CALC!$F$1)),N(BASELINE!E636)),N(BASELINE!E636)))=INT(SIMOPS!$D$3),IFERROR(UPPER(TRIM(BASELINE!D636&amp;"")),"")&lt;&gt;"ENCERRADA"),1,0),0)</f>
        <v/>
      </c>
      <c r="B636">
        <f>B635+A636</f>
        <v/>
      </c>
    </row>
    <row r="637">
      <c r="A637">
        <f>IFERROR(IF(AND(BASELINE!I637&lt;&gt;"",INT(IF(CALC!$F$1&gt;0,IF(N(INDEX(BASELINE!$A637:$ZZ637,CALC!$F$1))&gt;0,N(INDEX(BASELINE!$A637:$ZZ637,CALC!$F$1)),N(BASELINE!E637)),N(BASELINE!E637)))=INT(SIMOPS!$D$3),IFERROR(UPPER(TRIM(BASELINE!D637&amp;"")),"")&lt;&gt;"ENCERRADA"),1,0),0)</f>
        <v/>
      </c>
      <c r="B637">
        <f>B636+A637</f>
        <v/>
      </c>
    </row>
    <row r="638">
      <c r="A638">
        <f>IFERROR(IF(AND(BASELINE!I638&lt;&gt;"",INT(IF(CALC!$F$1&gt;0,IF(N(INDEX(BASELINE!$A638:$ZZ638,CALC!$F$1))&gt;0,N(INDEX(BASELINE!$A638:$ZZ638,CALC!$F$1)),N(BASELINE!E638)),N(BASELINE!E638)))=INT(SIMOPS!$D$3),IFERROR(UPPER(TRIM(BASELINE!D638&amp;"")),"")&lt;&gt;"ENCERRADA"),1,0),0)</f>
        <v/>
      </c>
      <c r="B638">
        <f>B637+A638</f>
        <v/>
      </c>
    </row>
    <row r="639">
      <c r="A639">
        <f>IFERROR(IF(AND(BASELINE!I639&lt;&gt;"",INT(IF(CALC!$F$1&gt;0,IF(N(INDEX(BASELINE!$A639:$ZZ639,CALC!$F$1))&gt;0,N(INDEX(BASELINE!$A639:$ZZ639,CALC!$F$1)),N(BASELINE!E639)),N(BASELINE!E639)))=INT(SIMOPS!$D$3),IFERROR(UPPER(TRIM(BASELINE!D639&amp;"")),"")&lt;&gt;"ENCERRADA"),1,0),0)</f>
        <v/>
      </c>
      <c r="B639">
        <f>B638+A639</f>
        <v/>
      </c>
    </row>
    <row r="640">
      <c r="A640">
        <f>IFERROR(IF(AND(BASELINE!I640&lt;&gt;"",INT(IF(CALC!$F$1&gt;0,IF(N(INDEX(BASELINE!$A640:$ZZ640,CALC!$F$1))&gt;0,N(INDEX(BASELINE!$A640:$ZZ640,CALC!$F$1)),N(BASELINE!E640)),N(BASELINE!E640)))=INT(SIMOPS!$D$3),IFERROR(UPPER(TRIM(BASELINE!D640&amp;"")),"")&lt;&gt;"ENCERRADA"),1,0),0)</f>
        <v/>
      </c>
      <c r="B640">
        <f>B639+A640</f>
        <v/>
      </c>
    </row>
    <row r="641">
      <c r="A641">
        <f>IFERROR(IF(AND(BASELINE!I641&lt;&gt;"",INT(IF(CALC!$F$1&gt;0,IF(N(INDEX(BASELINE!$A641:$ZZ641,CALC!$F$1))&gt;0,N(INDEX(BASELINE!$A641:$ZZ641,CALC!$F$1)),N(BASELINE!E641)),N(BASELINE!E641)))=INT(SIMOPS!$D$3),IFERROR(UPPER(TRIM(BASELINE!D641&amp;"")),"")&lt;&gt;"ENCERRADA"),1,0),0)</f>
        <v/>
      </c>
      <c r="B641">
        <f>B640+A641</f>
        <v/>
      </c>
    </row>
    <row r="642">
      <c r="A642">
        <f>IFERROR(IF(AND(BASELINE!I642&lt;&gt;"",INT(IF(CALC!$F$1&gt;0,IF(N(INDEX(BASELINE!$A642:$ZZ642,CALC!$F$1))&gt;0,N(INDEX(BASELINE!$A642:$ZZ642,CALC!$F$1)),N(BASELINE!E642)),N(BASELINE!E642)))=INT(SIMOPS!$D$3),IFERROR(UPPER(TRIM(BASELINE!D642&amp;"")),"")&lt;&gt;"ENCERRADA"),1,0),0)</f>
        <v/>
      </c>
      <c r="B642">
        <f>B641+A642</f>
        <v/>
      </c>
    </row>
    <row r="643">
      <c r="A643">
        <f>IFERROR(IF(AND(BASELINE!I643&lt;&gt;"",INT(IF(CALC!$F$1&gt;0,IF(N(INDEX(BASELINE!$A643:$ZZ643,CALC!$F$1))&gt;0,N(INDEX(BASELINE!$A643:$ZZ643,CALC!$F$1)),N(BASELINE!E643)),N(BASELINE!E643)))=INT(SIMOPS!$D$3),IFERROR(UPPER(TRIM(BASELINE!D643&amp;"")),"")&lt;&gt;"ENCERRADA"),1,0),0)</f>
        <v/>
      </c>
      <c r="B643">
        <f>B642+A643</f>
        <v/>
      </c>
    </row>
    <row r="644">
      <c r="A644">
        <f>IFERROR(IF(AND(BASELINE!I644&lt;&gt;"",INT(IF(CALC!$F$1&gt;0,IF(N(INDEX(BASELINE!$A644:$ZZ644,CALC!$F$1))&gt;0,N(INDEX(BASELINE!$A644:$ZZ644,CALC!$F$1)),N(BASELINE!E644)),N(BASELINE!E644)))=INT(SIMOPS!$D$3),IFERROR(UPPER(TRIM(BASELINE!D644&amp;"")),"")&lt;&gt;"ENCERRADA"),1,0),0)</f>
        <v/>
      </c>
      <c r="B644">
        <f>B643+A644</f>
        <v/>
      </c>
    </row>
    <row r="645">
      <c r="A645">
        <f>IFERROR(IF(AND(BASELINE!I645&lt;&gt;"",INT(IF(CALC!$F$1&gt;0,IF(N(INDEX(BASELINE!$A645:$ZZ645,CALC!$F$1))&gt;0,N(INDEX(BASELINE!$A645:$ZZ645,CALC!$F$1)),N(BASELINE!E645)),N(BASELINE!E645)))=INT(SIMOPS!$D$3),IFERROR(UPPER(TRIM(BASELINE!D645&amp;"")),"")&lt;&gt;"ENCERRADA"),1,0),0)</f>
        <v/>
      </c>
      <c r="B645">
        <f>B644+A645</f>
        <v/>
      </c>
    </row>
    <row r="646">
      <c r="A646">
        <f>IFERROR(IF(AND(BASELINE!I646&lt;&gt;"",INT(IF(CALC!$F$1&gt;0,IF(N(INDEX(BASELINE!$A646:$ZZ646,CALC!$F$1))&gt;0,N(INDEX(BASELINE!$A646:$ZZ646,CALC!$F$1)),N(BASELINE!E646)),N(BASELINE!E646)))=INT(SIMOPS!$D$3),IFERROR(UPPER(TRIM(BASELINE!D646&amp;"")),"")&lt;&gt;"ENCERRADA"),1,0),0)</f>
        <v/>
      </c>
      <c r="B646">
        <f>B645+A646</f>
        <v/>
      </c>
    </row>
    <row r="647">
      <c r="A647">
        <f>IFERROR(IF(AND(BASELINE!I647&lt;&gt;"",INT(IF(CALC!$F$1&gt;0,IF(N(INDEX(BASELINE!$A647:$ZZ647,CALC!$F$1))&gt;0,N(INDEX(BASELINE!$A647:$ZZ647,CALC!$F$1)),N(BASELINE!E647)),N(BASELINE!E647)))=INT(SIMOPS!$D$3),IFERROR(UPPER(TRIM(BASELINE!D647&amp;"")),"")&lt;&gt;"ENCERRADA"),1,0),0)</f>
        <v/>
      </c>
      <c r="B647">
        <f>B646+A647</f>
        <v/>
      </c>
    </row>
    <row r="648">
      <c r="A648">
        <f>IFERROR(IF(AND(BASELINE!I648&lt;&gt;"",INT(IF(CALC!$F$1&gt;0,IF(N(INDEX(BASELINE!$A648:$ZZ648,CALC!$F$1))&gt;0,N(INDEX(BASELINE!$A648:$ZZ648,CALC!$F$1)),N(BASELINE!E648)),N(BASELINE!E648)))=INT(SIMOPS!$D$3),IFERROR(UPPER(TRIM(BASELINE!D648&amp;"")),"")&lt;&gt;"ENCERRADA"),1,0),0)</f>
        <v/>
      </c>
      <c r="B648">
        <f>B647+A648</f>
        <v/>
      </c>
    </row>
    <row r="649">
      <c r="A649">
        <f>IFERROR(IF(AND(BASELINE!I649&lt;&gt;"",INT(IF(CALC!$F$1&gt;0,IF(N(INDEX(BASELINE!$A649:$ZZ649,CALC!$F$1))&gt;0,N(INDEX(BASELINE!$A649:$ZZ649,CALC!$F$1)),N(BASELINE!E649)),N(BASELINE!E649)))=INT(SIMOPS!$D$3),IFERROR(UPPER(TRIM(BASELINE!D649&amp;"")),"")&lt;&gt;"ENCERRADA"),1,0),0)</f>
        <v/>
      </c>
      <c r="B649">
        <f>B648+A649</f>
        <v/>
      </c>
    </row>
    <row r="650">
      <c r="A650">
        <f>IFERROR(IF(AND(BASELINE!I650&lt;&gt;"",INT(IF(CALC!$F$1&gt;0,IF(N(INDEX(BASELINE!$A650:$ZZ650,CALC!$F$1))&gt;0,N(INDEX(BASELINE!$A650:$ZZ650,CALC!$F$1)),N(BASELINE!E650)),N(BASELINE!E650)))=INT(SIMOPS!$D$3),IFERROR(UPPER(TRIM(BASELINE!D650&amp;"")),"")&lt;&gt;"ENCERRADA"),1,0),0)</f>
        <v/>
      </c>
      <c r="B650">
        <f>B649+A650</f>
        <v/>
      </c>
    </row>
    <row r="651">
      <c r="A651">
        <f>IFERROR(IF(AND(BASELINE!I651&lt;&gt;"",INT(IF(CALC!$F$1&gt;0,IF(N(INDEX(BASELINE!$A651:$ZZ651,CALC!$F$1))&gt;0,N(INDEX(BASELINE!$A651:$ZZ651,CALC!$F$1)),N(BASELINE!E651)),N(BASELINE!E651)))=INT(SIMOPS!$D$3),IFERROR(UPPER(TRIM(BASELINE!D651&amp;"")),"")&lt;&gt;"ENCERRADA"),1,0),0)</f>
        <v/>
      </c>
      <c r="B651">
        <f>B650+A651</f>
        <v/>
      </c>
    </row>
    <row r="652">
      <c r="A652">
        <f>IFERROR(IF(AND(BASELINE!I652&lt;&gt;"",INT(IF(CALC!$F$1&gt;0,IF(N(INDEX(BASELINE!$A652:$ZZ652,CALC!$F$1))&gt;0,N(INDEX(BASELINE!$A652:$ZZ652,CALC!$F$1)),N(BASELINE!E652)),N(BASELINE!E652)))=INT(SIMOPS!$D$3),IFERROR(UPPER(TRIM(BASELINE!D652&amp;"")),"")&lt;&gt;"ENCERRADA"),1,0),0)</f>
        <v/>
      </c>
      <c r="B652">
        <f>B651+A652</f>
        <v/>
      </c>
    </row>
    <row r="653">
      <c r="A653">
        <f>IFERROR(IF(AND(BASELINE!I653&lt;&gt;"",INT(IF(CALC!$F$1&gt;0,IF(N(INDEX(BASELINE!$A653:$ZZ653,CALC!$F$1))&gt;0,N(INDEX(BASELINE!$A653:$ZZ653,CALC!$F$1)),N(BASELINE!E653)),N(BASELINE!E653)))=INT(SIMOPS!$D$3),IFERROR(UPPER(TRIM(BASELINE!D653&amp;"")),"")&lt;&gt;"ENCERRADA"),1,0),0)</f>
        <v/>
      </c>
      <c r="B653">
        <f>B652+A653</f>
        <v/>
      </c>
    </row>
    <row r="654">
      <c r="A654">
        <f>IFERROR(IF(AND(BASELINE!I654&lt;&gt;"",INT(IF(CALC!$F$1&gt;0,IF(N(INDEX(BASELINE!$A654:$ZZ654,CALC!$F$1))&gt;0,N(INDEX(BASELINE!$A654:$ZZ654,CALC!$F$1)),N(BASELINE!E654)),N(BASELINE!E654)))=INT(SIMOPS!$D$3),IFERROR(UPPER(TRIM(BASELINE!D654&amp;"")),"")&lt;&gt;"ENCERRADA"),1,0),0)</f>
        <v/>
      </c>
      <c r="B654">
        <f>B653+A654</f>
        <v/>
      </c>
    </row>
    <row r="655">
      <c r="A655">
        <f>IFERROR(IF(AND(BASELINE!I655&lt;&gt;"",INT(IF(CALC!$F$1&gt;0,IF(N(INDEX(BASELINE!$A655:$ZZ655,CALC!$F$1))&gt;0,N(INDEX(BASELINE!$A655:$ZZ655,CALC!$F$1)),N(BASELINE!E655)),N(BASELINE!E655)))=INT(SIMOPS!$D$3),IFERROR(UPPER(TRIM(BASELINE!D655&amp;"")),"")&lt;&gt;"ENCERRADA"),1,0),0)</f>
        <v/>
      </c>
      <c r="B655">
        <f>B654+A655</f>
        <v/>
      </c>
    </row>
    <row r="656">
      <c r="A656">
        <f>IFERROR(IF(AND(BASELINE!I656&lt;&gt;"",INT(IF(CALC!$F$1&gt;0,IF(N(INDEX(BASELINE!$A656:$ZZ656,CALC!$F$1))&gt;0,N(INDEX(BASELINE!$A656:$ZZ656,CALC!$F$1)),N(BASELINE!E656)),N(BASELINE!E656)))=INT(SIMOPS!$D$3),IFERROR(UPPER(TRIM(BASELINE!D656&amp;"")),"")&lt;&gt;"ENCERRADA"),1,0),0)</f>
        <v/>
      </c>
      <c r="B656">
        <f>B655+A656</f>
        <v/>
      </c>
    </row>
    <row r="657">
      <c r="A657">
        <f>IFERROR(IF(AND(BASELINE!I657&lt;&gt;"",INT(IF(CALC!$F$1&gt;0,IF(N(INDEX(BASELINE!$A657:$ZZ657,CALC!$F$1))&gt;0,N(INDEX(BASELINE!$A657:$ZZ657,CALC!$F$1)),N(BASELINE!E657)),N(BASELINE!E657)))=INT(SIMOPS!$D$3),IFERROR(UPPER(TRIM(BASELINE!D657&amp;"")),"")&lt;&gt;"ENCERRADA"),1,0),0)</f>
        <v/>
      </c>
      <c r="B657">
        <f>B656+A657</f>
        <v/>
      </c>
    </row>
    <row r="658">
      <c r="A658">
        <f>IFERROR(IF(AND(BASELINE!I658&lt;&gt;"",INT(IF(CALC!$F$1&gt;0,IF(N(INDEX(BASELINE!$A658:$ZZ658,CALC!$F$1))&gt;0,N(INDEX(BASELINE!$A658:$ZZ658,CALC!$F$1)),N(BASELINE!E658)),N(BASELINE!E658)))=INT(SIMOPS!$D$3),IFERROR(UPPER(TRIM(BASELINE!D658&amp;"")),"")&lt;&gt;"ENCERRADA"),1,0),0)</f>
        <v/>
      </c>
      <c r="B658">
        <f>B657+A658</f>
        <v/>
      </c>
    </row>
    <row r="659">
      <c r="A659">
        <f>IFERROR(IF(AND(BASELINE!I659&lt;&gt;"",INT(IF(CALC!$F$1&gt;0,IF(N(INDEX(BASELINE!$A659:$ZZ659,CALC!$F$1))&gt;0,N(INDEX(BASELINE!$A659:$ZZ659,CALC!$F$1)),N(BASELINE!E659)),N(BASELINE!E659)))=INT(SIMOPS!$D$3),IFERROR(UPPER(TRIM(BASELINE!D659&amp;"")),"")&lt;&gt;"ENCERRADA"),1,0),0)</f>
        <v/>
      </c>
      <c r="B659">
        <f>B658+A659</f>
        <v/>
      </c>
    </row>
    <row r="660">
      <c r="A660">
        <f>IFERROR(IF(AND(BASELINE!I660&lt;&gt;"",INT(IF(CALC!$F$1&gt;0,IF(N(INDEX(BASELINE!$A660:$ZZ660,CALC!$F$1))&gt;0,N(INDEX(BASELINE!$A660:$ZZ660,CALC!$F$1)),N(BASELINE!E660)),N(BASELINE!E660)))=INT(SIMOPS!$D$3),IFERROR(UPPER(TRIM(BASELINE!D660&amp;"")),"")&lt;&gt;"ENCERRADA"),1,0),0)</f>
        <v/>
      </c>
      <c r="B660">
        <f>B659+A660</f>
        <v/>
      </c>
    </row>
    <row r="661">
      <c r="A661">
        <f>IFERROR(IF(AND(BASELINE!I661&lt;&gt;"",INT(IF(CALC!$F$1&gt;0,IF(N(INDEX(BASELINE!$A661:$ZZ661,CALC!$F$1))&gt;0,N(INDEX(BASELINE!$A661:$ZZ661,CALC!$F$1)),N(BASELINE!E661)),N(BASELINE!E661)))=INT(SIMOPS!$D$3),IFERROR(UPPER(TRIM(BASELINE!D661&amp;"")),"")&lt;&gt;"ENCERRADA"),1,0),0)</f>
        <v/>
      </c>
      <c r="B661">
        <f>B660+A661</f>
        <v/>
      </c>
    </row>
    <row r="662">
      <c r="A662">
        <f>IFERROR(IF(AND(BASELINE!I662&lt;&gt;"",INT(IF(CALC!$F$1&gt;0,IF(N(INDEX(BASELINE!$A662:$ZZ662,CALC!$F$1))&gt;0,N(INDEX(BASELINE!$A662:$ZZ662,CALC!$F$1)),N(BASELINE!E662)),N(BASELINE!E662)))=INT(SIMOPS!$D$3),IFERROR(UPPER(TRIM(BASELINE!D662&amp;"")),"")&lt;&gt;"ENCERRADA"),1,0),0)</f>
        <v/>
      </c>
      <c r="B662">
        <f>B661+A662</f>
        <v/>
      </c>
    </row>
    <row r="663">
      <c r="A663">
        <f>IFERROR(IF(AND(BASELINE!I663&lt;&gt;"",INT(IF(CALC!$F$1&gt;0,IF(N(INDEX(BASELINE!$A663:$ZZ663,CALC!$F$1))&gt;0,N(INDEX(BASELINE!$A663:$ZZ663,CALC!$F$1)),N(BASELINE!E663)),N(BASELINE!E663)))=INT(SIMOPS!$D$3),IFERROR(UPPER(TRIM(BASELINE!D663&amp;"")),"")&lt;&gt;"ENCERRADA"),1,0),0)</f>
        <v/>
      </c>
      <c r="B663">
        <f>B662+A663</f>
        <v/>
      </c>
    </row>
    <row r="664">
      <c r="A664">
        <f>IFERROR(IF(AND(BASELINE!I664&lt;&gt;"",INT(IF(CALC!$F$1&gt;0,IF(N(INDEX(BASELINE!$A664:$ZZ664,CALC!$F$1))&gt;0,N(INDEX(BASELINE!$A664:$ZZ664,CALC!$F$1)),N(BASELINE!E664)),N(BASELINE!E664)))=INT(SIMOPS!$D$3),IFERROR(UPPER(TRIM(BASELINE!D664&amp;"")),"")&lt;&gt;"ENCERRADA"),1,0),0)</f>
        <v/>
      </c>
      <c r="B664">
        <f>B663+A664</f>
        <v/>
      </c>
    </row>
    <row r="665">
      <c r="A665">
        <f>IFERROR(IF(AND(BASELINE!I665&lt;&gt;"",INT(IF(CALC!$F$1&gt;0,IF(N(INDEX(BASELINE!$A665:$ZZ665,CALC!$F$1))&gt;0,N(INDEX(BASELINE!$A665:$ZZ665,CALC!$F$1)),N(BASELINE!E665)),N(BASELINE!E665)))=INT(SIMOPS!$D$3),IFERROR(UPPER(TRIM(BASELINE!D665&amp;"")),"")&lt;&gt;"ENCERRADA"),1,0),0)</f>
        <v/>
      </c>
      <c r="B665">
        <f>B664+A665</f>
        <v/>
      </c>
    </row>
    <row r="666">
      <c r="A666">
        <f>IFERROR(IF(AND(BASELINE!I666&lt;&gt;"",INT(IF(CALC!$F$1&gt;0,IF(N(INDEX(BASELINE!$A666:$ZZ666,CALC!$F$1))&gt;0,N(INDEX(BASELINE!$A666:$ZZ666,CALC!$F$1)),N(BASELINE!E666)),N(BASELINE!E666)))=INT(SIMOPS!$D$3),IFERROR(UPPER(TRIM(BASELINE!D666&amp;"")),"")&lt;&gt;"ENCERRADA"),1,0),0)</f>
        <v/>
      </c>
      <c r="B666">
        <f>B665+A666</f>
        <v/>
      </c>
    </row>
    <row r="667">
      <c r="A667">
        <f>IFERROR(IF(AND(BASELINE!I667&lt;&gt;"",INT(IF(CALC!$F$1&gt;0,IF(N(INDEX(BASELINE!$A667:$ZZ667,CALC!$F$1))&gt;0,N(INDEX(BASELINE!$A667:$ZZ667,CALC!$F$1)),N(BASELINE!E667)),N(BASELINE!E667)))=INT(SIMOPS!$D$3),IFERROR(UPPER(TRIM(BASELINE!D667&amp;"")),"")&lt;&gt;"ENCERRADA"),1,0),0)</f>
        <v/>
      </c>
      <c r="B667">
        <f>B666+A667</f>
        <v/>
      </c>
    </row>
    <row r="668">
      <c r="A668">
        <f>IFERROR(IF(AND(BASELINE!I668&lt;&gt;"",INT(IF(CALC!$F$1&gt;0,IF(N(INDEX(BASELINE!$A668:$ZZ668,CALC!$F$1))&gt;0,N(INDEX(BASELINE!$A668:$ZZ668,CALC!$F$1)),N(BASELINE!E668)),N(BASELINE!E668)))=INT(SIMOPS!$D$3),IFERROR(UPPER(TRIM(BASELINE!D668&amp;"")),"")&lt;&gt;"ENCERRADA"),1,0),0)</f>
        <v/>
      </c>
      <c r="B668">
        <f>B667+A668</f>
        <v/>
      </c>
    </row>
    <row r="669">
      <c r="A669">
        <f>IFERROR(IF(AND(BASELINE!I669&lt;&gt;"",INT(IF(CALC!$F$1&gt;0,IF(N(INDEX(BASELINE!$A669:$ZZ669,CALC!$F$1))&gt;0,N(INDEX(BASELINE!$A669:$ZZ669,CALC!$F$1)),N(BASELINE!E669)),N(BASELINE!E669)))=INT(SIMOPS!$D$3),IFERROR(UPPER(TRIM(BASELINE!D669&amp;"")),"")&lt;&gt;"ENCERRADA"),1,0),0)</f>
        <v/>
      </c>
      <c r="B669">
        <f>B668+A669</f>
        <v/>
      </c>
    </row>
    <row r="670">
      <c r="A670">
        <f>IFERROR(IF(AND(BASELINE!I670&lt;&gt;"",INT(IF(CALC!$F$1&gt;0,IF(N(INDEX(BASELINE!$A670:$ZZ670,CALC!$F$1))&gt;0,N(INDEX(BASELINE!$A670:$ZZ670,CALC!$F$1)),N(BASELINE!E670)),N(BASELINE!E670)))=INT(SIMOPS!$D$3),IFERROR(UPPER(TRIM(BASELINE!D670&amp;"")),"")&lt;&gt;"ENCERRADA"),1,0),0)</f>
        <v/>
      </c>
      <c r="B670">
        <f>B669+A670</f>
        <v/>
      </c>
    </row>
    <row r="671">
      <c r="A671">
        <f>IFERROR(IF(AND(BASELINE!I671&lt;&gt;"",INT(IF(CALC!$F$1&gt;0,IF(N(INDEX(BASELINE!$A671:$ZZ671,CALC!$F$1))&gt;0,N(INDEX(BASELINE!$A671:$ZZ671,CALC!$F$1)),N(BASELINE!E671)),N(BASELINE!E671)))=INT(SIMOPS!$D$3),IFERROR(UPPER(TRIM(BASELINE!D671&amp;"")),"")&lt;&gt;"ENCERRADA"),1,0),0)</f>
        <v/>
      </c>
      <c r="B671">
        <f>B670+A671</f>
        <v/>
      </c>
    </row>
    <row r="672">
      <c r="A672">
        <f>IFERROR(IF(AND(BASELINE!I672&lt;&gt;"",INT(IF(CALC!$F$1&gt;0,IF(N(INDEX(BASELINE!$A672:$ZZ672,CALC!$F$1))&gt;0,N(INDEX(BASELINE!$A672:$ZZ672,CALC!$F$1)),N(BASELINE!E672)),N(BASELINE!E672)))=INT(SIMOPS!$D$3),IFERROR(UPPER(TRIM(BASELINE!D672&amp;"")),"")&lt;&gt;"ENCERRADA"),1,0),0)</f>
        <v/>
      </c>
      <c r="B672">
        <f>B671+A672</f>
        <v/>
      </c>
    </row>
    <row r="673">
      <c r="A673">
        <f>IFERROR(IF(AND(BASELINE!I673&lt;&gt;"",INT(IF(CALC!$F$1&gt;0,IF(N(INDEX(BASELINE!$A673:$ZZ673,CALC!$F$1))&gt;0,N(INDEX(BASELINE!$A673:$ZZ673,CALC!$F$1)),N(BASELINE!E673)),N(BASELINE!E673)))=INT(SIMOPS!$D$3),IFERROR(UPPER(TRIM(BASELINE!D673&amp;"")),"")&lt;&gt;"ENCERRADA"),1,0),0)</f>
        <v/>
      </c>
      <c r="B673">
        <f>B672+A673</f>
        <v/>
      </c>
    </row>
    <row r="674">
      <c r="A674">
        <f>IFERROR(IF(AND(BASELINE!I674&lt;&gt;"",INT(IF(CALC!$F$1&gt;0,IF(N(INDEX(BASELINE!$A674:$ZZ674,CALC!$F$1))&gt;0,N(INDEX(BASELINE!$A674:$ZZ674,CALC!$F$1)),N(BASELINE!E674)),N(BASELINE!E674)))=INT(SIMOPS!$D$3),IFERROR(UPPER(TRIM(BASELINE!D674&amp;"")),"")&lt;&gt;"ENCERRADA"),1,0),0)</f>
        <v/>
      </c>
      <c r="B674">
        <f>B673+A674</f>
        <v/>
      </c>
    </row>
    <row r="675">
      <c r="A675">
        <f>IFERROR(IF(AND(BASELINE!I675&lt;&gt;"",INT(IF(CALC!$F$1&gt;0,IF(N(INDEX(BASELINE!$A675:$ZZ675,CALC!$F$1))&gt;0,N(INDEX(BASELINE!$A675:$ZZ675,CALC!$F$1)),N(BASELINE!E675)),N(BASELINE!E675)))=INT(SIMOPS!$D$3),IFERROR(UPPER(TRIM(BASELINE!D675&amp;"")),"")&lt;&gt;"ENCERRADA"),1,0),0)</f>
        <v/>
      </c>
      <c r="B675">
        <f>B674+A675</f>
        <v/>
      </c>
    </row>
    <row r="676">
      <c r="A676">
        <f>IFERROR(IF(AND(BASELINE!I676&lt;&gt;"",INT(IF(CALC!$F$1&gt;0,IF(N(INDEX(BASELINE!$A676:$ZZ676,CALC!$F$1))&gt;0,N(INDEX(BASELINE!$A676:$ZZ676,CALC!$F$1)),N(BASELINE!E676)),N(BASELINE!E676)))=INT(SIMOPS!$D$3),IFERROR(UPPER(TRIM(BASELINE!D676&amp;"")),"")&lt;&gt;"ENCERRADA"),1,0),0)</f>
        <v/>
      </c>
      <c r="B676">
        <f>B675+A676</f>
        <v/>
      </c>
    </row>
    <row r="677">
      <c r="A677">
        <f>IFERROR(IF(AND(BASELINE!I677&lt;&gt;"",INT(IF(CALC!$F$1&gt;0,IF(N(INDEX(BASELINE!$A677:$ZZ677,CALC!$F$1))&gt;0,N(INDEX(BASELINE!$A677:$ZZ677,CALC!$F$1)),N(BASELINE!E677)),N(BASELINE!E677)))=INT(SIMOPS!$D$3),IFERROR(UPPER(TRIM(BASELINE!D677&amp;"")),"")&lt;&gt;"ENCERRADA"),1,0),0)</f>
        <v/>
      </c>
      <c r="B677">
        <f>B676+A677</f>
        <v/>
      </c>
    </row>
    <row r="678">
      <c r="A678">
        <f>IFERROR(IF(AND(BASELINE!I678&lt;&gt;"",INT(IF(CALC!$F$1&gt;0,IF(N(INDEX(BASELINE!$A678:$ZZ678,CALC!$F$1))&gt;0,N(INDEX(BASELINE!$A678:$ZZ678,CALC!$F$1)),N(BASELINE!E678)),N(BASELINE!E678)))=INT(SIMOPS!$D$3),IFERROR(UPPER(TRIM(BASELINE!D678&amp;"")),"")&lt;&gt;"ENCERRADA"),1,0),0)</f>
        <v/>
      </c>
      <c r="B678">
        <f>B677+A678</f>
        <v/>
      </c>
    </row>
    <row r="679">
      <c r="A679">
        <f>IFERROR(IF(AND(BASELINE!I679&lt;&gt;"",INT(IF(CALC!$F$1&gt;0,IF(N(INDEX(BASELINE!$A679:$ZZ679,CALC!$F$1))&gt;0,N(INDEX(BASELINE!$A679:$ZZ679,CALC!$F$1)),N(BASELINE!E679)),N(BASELINE!E679)))=INT(SIMOPS!$D$3),IFERROR(UPPER(TRIM(BASELINE!D679&amp;"")),"")&lt;&gt;"ENCERRADA"),1,0),0)</f>
        <v/>
      </c>
      <c r="B679">
        <f>B678+A679</f>
        <v/>
      </c>
    </row>
    <row r="680">
      <c r="A680">
        <f>IFERROR(IF(AND(BASELINE!I680&lt;&gt;"",INT(IF(CALC!$F$1&gt;0,IF(N(INDEX(BASELINE!$A680:$ZZ680,CALC!$F$1))&gt;0,N(INDEX(BASELINE!$A680:$ZZ680,CALC!$F$1)),N(BASELINE!E680)),N(BASELINE!E680)))=INT(SIMOPS!$D$3),IFERROR(UPPER(TRIM(BASELINE!D680&amp;"")),"")&lt;&gt;"ENCERRADA"),1,0),0)</f>
        <v/>
      </c>
      <c r="B680">
        <f>B679+A680</f>
        <v/>
      </c>
    </row>
    <row r="681">
      <c r="A681">
        <f>IFERROR(IF(AND(BASELINE!I681&lt;&gt;"",INT(IF(CALC!$F$1&gt;0,IF(N(INDEX(BASELINE!$A681:$ZZ681,CALC!$F$1))&gt;0,N(INDEX(BASELINE!$A681:$ZZ681,CALC!$F$1)),N(BASELINE!E681)),N(BASELINE!E681)))=INT(SIMOPS!$D$3),IFERROR(UPPER(TRIM(BASELINE!D681&amp;"")),"")&lt;&gt;"ENCERRADA"),1,0),0)</f>
        <v/>
      </c>
      <c r="B681">
        <f>B680+A681</f>
        <v/>
      </c>
    </row>
    <row r="682">
      <c r="A682">
        <f>IFERROR(IF(AND(BASELINE!I682&lt;&gt;"",INT(IF(CALC!$F$1&gt;0,IF(N(INDEX(BASELINE!$A682:$ZZ682,CALC!$F$1))&gt;0,N(INDEX(BASELINE!$A682:$ZZ682,CALC!$F$1)),N(BASELINE!E682)),N(BASELINE!E682)))=INT(SIMOPS!$D$3),IFERROR(UPPER(TRIM(BASELINE!D682&amp;"")),"")&lt;&gt;"ENCERRADA"),1,0),0)</f>
        <v/>
      </c>
      <c r="B682">
        <f>B681+A682</f>
        <v/>
      </c>
    </row>
    <row r="683">
      <c r="A683">
        <f>IFERROR(IF(AND(BASELINE!I683&lt;&gt;"",INT(IF(CALC!$F$1&gt;0,IF(N(INDEX(BASELINE!$A683:$ZZ683,CALC!$F$1))&gt;0,N(INDEX(BASELINE!$A683:$ZZ683,CALC!$F$1)),N(BASELINE!E683)),N(BASELINE!E683)))=INT(SIMOPS!$D$3),IFERROR(UPPER(TRIM(BASELINE!D683&amp;"")),"")&lt;&gt;"ENCERRADA"),1,0),0)</f>
        <v/>
      </c>
      <c r="B683">
        <f>B682+A683</f>
        <v/>
      </c>
    </row>
    <row r="684">
      <c r="A684">
        <f>IFERROR(IF(AND(BASELINE!I684&lt;&gt;"",INT(IF(CALC!$F$1&gt;0,IF(N(INDEX(BASELINE!$A684:$ZZ684,CALC!$F$1))&gt;0,N(INDEX(BASELINE!$A684:$ZZ684,CALC!$F$1)),N(BASELINE!E684)),N(BASELINE!E684)))=INT(SIMOPS!$D$3),IFERROR(UPPER(TRIM(BASELINE!D684&amp;"")),"")&lt;&gt;"ENCERRADA"),1,0),0)</f>
        <v/>
      </c>
      <c r="B684">
        <f>B683+A684</f>
        <v/>
      </c>
    </row>
    <row r="685">
      <c r="A685">
        <f>IFERROR(IF(AND(BASELINE!I685&lt;&gt;"",INT(IF(CALC!$F$1&gt;0,IF(N(INDEX(BASELINE!$A685:$ZZ685,CALC!$F$1))&gt;0,N(INDEX(BASELINE!$A685:$ZZ685,CALC!$F$1)),N(BASELINE!E685)),N(BASELINE!E685)))=INT(SIMOPS!$D$3),IFERROR(UPPER(TRIM(BASELINE!D685&amp;"")),"")&lt;&gt;"ENCERRADA"),1,0),0)</f>
        <v/>
      </c>
      <c r="B685">
        <f>B684+A685</f>
        <v/>
      </c>
    </row>
    <row r="686">
      <c r="A686">
        <f>IFERROR(IF(AND(BASELINE!I686&lt;&gt;"",INT(IF(CALC!$F$1&gt;0,IF(N(INDEX(BASELINE!$A686:$ZZ686,CALC!$F$1))&gt;0,N(INDEX(BASELINE!$A686:$ZZ686,CALC!$F$1)),N(BASELINE!E686)),N(BASELINE!E686)))=INT(SIMOPS!$D$3),IFERROR(UPPER(TRIM(BASELINE!D686&amp;"")),"")&lt;&gt;"ENCERRADA"),1,0),0)</f>
        <v/>
      </c>
      <c r="B686">
        <f>B685+A686</f>
        <v/>
      </c>
    </row>
    <row r="687">
      <c r="A687">
        <f>IFERROR(IF(AND(BASELINE!I687&lt;&gt;"",INT(IF(CALC!$F$1&gt;0,IF(N(INDEX(BASELINE!$A687:$ZZ687,CALC!$F$1))&gt;0,N(INDEX(BASELINE!$A687:$ZZ687,CALC!$F$1)),N(BASELINE!E687)),N(BASELINE!E687)))=INT(SIMOPS!$D$3),IFERROR(UPPER(TRIM(BASELINE!D687&amp;"")),"")&lt;&gt;"ENCERRADA"),1,0),0)</f>
        <v/>
      </c>
      <c r="B687">
        <f>B686+A687</f>
        <v/>
      </c>
    </row>
    <row r="688">
      <c r="A688">
        <f>IFERROR(IF(AND(BASELINE!I688&lt;&gt;"",INT(IF(CALC!$F$1&gt;0,IF(N(INDEX(BASELINE!$A688:$ZZ688,CALC!$F$1))&gt;0,N(INDEX(BASELINE!$A688:$ZZ688,CALC!$F$1)),N(BASELINE!E688)),N(BASELINE!E688)))=INT(SIMOPS!$D$3),IFERROR(UPPER(TRIM(BASELINE!D688&amp;"")),"")&lt;&gt;"ENCERRADA"),1,0),0)</f>
        <v/>
      </c>
      <c r="B688">
        <f>B687+A688</f>
        <v/>
      </c>
    </row>
    <row r="689">
      <c r="A689">
        <f>IFERROR(IF(AND(BASELINE!I689&lt;&gt;"",INT(IF(CALC!$F$1&gt;0,IF(N(INDEX(BASELINE!$A689:$ZZ689,CALC!$F$1))&gt;0,N(INDEX(BASELINE!$A689:$ZZ689,CALC!$F$1)),N(BASELINE!E689)),N(BASELINE!E689)))=INT(SIMOPS!$D$3),IFERROR(UPPER(TRIM(BASELINE!D689&amp;"")),"")&lt;&gt;"ENCERRADA"),1,0),0)</f>
        <v/>
      </c>
      <c r="B689">
        <f>B688+A689</f>
        <v/>
      </c>
    </row>
    <row r="690">
      <c r="A690">
        <f>IFERROR(IF(AND(BASELINE!I690&lt;&gt;"",INT(IF(CALC!$F$1&gt;0,IF(N(INDEX(BASELINE!$A690:$ZZ690,CALC!$F$1))&gt;0,N(INDEX(BASELINE!$A690:$ZZ690,CALC!$F$1)),N(BASELINE!E690)),N(BASELINE!E690)))=INT(SIMOPS!$D$3),IFERROR(UPPER(TRIM(BASELINE!D690&amp;"")),"")&lt;&gt;"ENCERRADA"),1,0),0)</f>
        <v/>
      </c>
      <c r="B690">
        <f>B689+A690</f>
        <v/>
      </c>
    </row>
    <row r="691">
      <c r="A691">
        <f>IFERROR(IF(AND(BASELINE!I691&lt;&gt;"",INT(IF(CALC!$F$1&gt;0,IF(N(INDEX(BASELINE!$A691:$ZZ691,CALC!$F$1))&gt;0,N(INDEX(BASELINE!$A691:$ZZ691,CALC!$F$1)),N(BASELINE!E691)),N(BASELINE!E691)))=INT(SIMOPS!$D$3),IFERROR(UPPER(TRIM(BASELINE!D691&amp;"")),"")&lt;&gt;"ENCERRADA"),1,0),0)</f>
        <v/>
      </c>
      <c r="B691">
        <f>B690+A691</f>
        <v/>
      </c>
    </row>
    <row r="692">
      <c r="A692">
        <f>IFERROR(IF(AND(BASELINE!I692&lt;&gt;"",INT(IF(CALC!$F$1&gt;0,IF(N(INDEX(BASELINE!$A692:$ZZ692,CALC!$F$1))&gt;0,N(INDEX(BASELINE!$A692:$ZZ692,CALC!$F$1)),N(BASELINE!E692)),N(BASELINE!E692)))=INT(SIMOPS!$D$3),IFERROR(UPPER(TRIM(BASELINE!D692&amp;"")),"")&lt;&gt;"ENCERRADA"),1,0),0)</f>
        <v/>
      </c>
      <c r="B692">
        <f>B691+A692</f>
        <v/>
      </c>
    </row>
    <row r="693">
      <c r="A693">
        <f>IFERROR(IF(AND(BASELINE!I693&lt;&gt;"",INT(IF(CALC!$F$1&gt;0,IF(N(INDEX(BASELINE!$A693:$ZZ693,CALC!$F$1))&gt;0,N(INDEX(BASELINE!$A693:$ZZ693,CALC!$F$1)),N(BASELINE!E693)),N(BASELINE!E693)))=INT(SIMOPS!$D$3),IFERROR(UPPER(TRIM(BASELINE!D693&amp;"")),"")&lt;&gt;"ENCERRADA"),1,0),0)</f>
        <v/>
      </c>
      <c r="B693">
        <f>B692+A693</f>
        <v/>
      </c>
    </row>
    <row r="694">
      <c r="A694">
        <f>IFERROR(IF(AND(BASELINE!I694&lt;&gt;"",INT(IF(CALC!$F$1&gt;0,IF(N(INDEX(BASELINE!$A694:$ZZ694,CALC!$F$1))&gt;0,N(INDEX(BASELINE!$A694:$ZZ694,CALC!$F$1)),N(BASELINE!E694)),N(BASELINE!E694)))=INT(SIMOPS!$D$3),IFERROR(UPPER(TRIM(BASELINE!D694&amp;"")),"")&lt;&gt;"ENCERRADA"),1,0),0)</f>
        <v/>
      </c>
      <c r="B694">
        <f>B693+A694</f>
        <v/>
      </c>
    </row>
    <row r="695">
      <c r="A695">
        <f>IFERROR(IF(AND(BASELINE!I695&lt;&gt;"",INT(IF(CALC!$F$1&gt;0,IF(N(INDEX(BASELINE!$A695:$ZZ695,CALC!$F$1))&gt;0,N(INDEX(BASELINE!$A695:$ZZ695,CALC!$F$1)),N(BASELINE!E695)),N(BASELINE!E695)))=INT(SIMOPS!$D$3),IFERROR(UPPER(TRIM(BASELINE!D695&amp;"")),"")&lt;&gt;"ENCERRADA"),1,0),0)</f>
        <v/>
      </c>
      <c r="B695">
        <f>B694+A695</f>
        <v/>
      </c>
    </row>
    <row r="696">
      <c r="A696">
        <f>IFERROR(IF(AND(BASELINE!I696&lt;&gt;"",INT(IF(CALC!$F$1&gt;0,IF(N(INDEX(BASELINE!$A696:$ZZ696,CALC!$F$1))&gt;0,N(INDEX(BASELINE!$A696:$ZZ696,CALC!$F$1)),N(BASELINE!E696)),N(BASELINE!E696)))=INT(SIMOPS!$D$3),IFERROR(UPPER(TRIM(BASELINE!D696&amp;"")),"")&lt;&gt;"ENCERRADA"),1,0),0)</f>
        <v/>
      </c>
      <c r="B696">
        <f>B695+A696</f>
        <v/>
      </c>
    </row>
    <row r="697">
      <c r="A697">
        <f>IFERROR(IF(AND(BASELINE!I697&lt;&gt;"",INT(IF(CALC!$F$1&gt;0,IF(N(INDEX(BASELINE!$A697:$ZZ697,CALC!$F$1))&gt;0,N(INDEX(BASELINE!$A697:$ZZ697,CALC!$F$1)),N(BASELINE!E697)),N(BASELINE!E697)))=INT(SIMOPS!$D$3),IFERROR(UPPER(TRIM(BASELINE!D697&amp;"")),"")&lt;&gt;"ENCERRADA"),1,0),0)</f>
        <v/>
      </c>
      <c r="B697">
        <f>B696+A697</f>
        <v/>
      </c>
    </row>
    <row r="698">
      <c r="A698">
        <f>IFERROR(IF(AND(BASELINE!I698&lt;&gt;"",INT(IF(CALC!$F$1&gt;0,IF(N(INDEX(BASELINE!$A698:$ZZ698,CALC!$F$1))&gt;0,N(INDEX(BASELINE!$A698:$ZZ698,CALC!$F$1)),N(BASELINE!E698)),N(BASELINE!E698)))=INT(SIMOPS!$D$3),IFERROR(UPPER(TRIM(BASELINE!D698&amp;"")),"")&lt;&gt;"ENCERRADA"),1,0),0)</f>
        <v/>
      </c>
      <c r="B698">
        <f>B697+A698</f>
        <v/>
      </c>
    </row>
    <row r="699">
      <c r="A699">
        <f>IFERROR(IF(AND(BASELINE!I699&lt;&gt;"",INT(IF(CALC!$F$1&gt;0,IF(N(INDEX(BASELINE!$A699:$ZZ699,CALC!$F$1))&gt;0,N(INDEX(BASELINE!$A699:$ZZ699,CALC!$F$1)),N(BASELINE!E699)),N(BASELINE!E699)))=INT(SIMOPS!$D$3),IFERROR(UPPER(TRIM(BASELINE!D699&amp;"")),"")&lt;&gt;"ENCERRADA"),1,0),0)</f>
        <v/>
      </c>
      <c r="B699">
        <f>B698+A699</f>
        <v/>
      </c>
    </row>
    <row r="700">
      <c r="A700">
        <f>IFERROR(IF(AND(BASELINE!I700&lt;&gt;"",INT(IF(CALC!$F$1&gt;0,IF(N(INDEX(BASELINE!$A700:$ZZ700,CALC!$F$1))&gt;0,N(INDEX(BASELINE!$A700:$ZZ700,CALC!$F$1)),N(BASELINE!E700)),N(BASELINE!E700)))=INT(SIMOPS!$D$3),IFERROR(UPPER(TRIM(BASELINE!D700&amp;"")),"")&lt;&gt;"ENCERRADA"),1,0),0)</f>
        <v/>
      </c>
      <c r="B700">
        <f>B699+A700</f>
        <v/>
      </c>
    </row>
    <row r="701">
      <c r="A701">
        <f>IFERROR(IF(AND(BASELINE!I701&lt;&gt;"",INT(IF(CALC!$F$1&gt;0,IF(N(INDEX(BASELINE!$A701:$ZZ701,CALC!$F$1))&gt;0,N(INDEX(BASELINE!$A701:$ZZ701,CALC!$F$1)),N(BASELINE!E701)),N(BASELINE!E701)))=INT(SIMOPS!$D$3),IFERROR(UPPER(TRIM(BASELINE!D701&amp;"")),"")&lt;&gt;"ENCERRADA"),1,0),0)</f>
        <v/>
      </c>
      <c r="B701">
        <f>B700+A701</f>
        <v/>
      </c>
    </row>
    <row r="702">
      <c r="A702">
        <f>IFERROR(IF(AND(BASELINE!I702&lt;&gt;"",INT(IF(CALC!$F$1&gt;0,IF(N(INDEX(BASELINE!$A702:$ZZ702,CALC!$F$1))&gt;0,N(INDEX(BASELINE!$A702:$ZZ702,CALC!$F$1)),N(BASELINE!E702)),N(BASELINE!E702)))=INT(SIMOPS!$D$3),IFERROR(UPPER(TRIM(BASELINE!D702&amp;"")),"")&lt;&gt;"ENCERRADA"),1,0),0)</f>
        <v/>
      </c>
      <c r="B702">
        <f>B701+A702</f>
        <v/>
      </c>
    </row>
    <row r="703">
      <c r="A703">
        <f>IFERROR(IF(AND(BASELINE!I703&lt;&gt;"",INT(IF(CALC!$F$1&gt;0,IF(N(INDEX(BASELINE!$A703:$ZZ703,CALC!$F$1))&gt;0,N(INDEX(BASELINE!$A703:$ZZ703,CALC!$F$1)),N(BASELINE!E703)),N(BASELINE!E703)))=INT(SIMOPS!$D$3),IFERROR(UPPER(TRIM(BASELINE!D703&amp;"")),"")&lt;&gt;"ENCERRADA"),1,0),0)</f>
        <v/>
      </c>
      <c r="B703">
        <f>B702+A703</f>
        <v/>
      </c>
    </row>
    <row r="704">
      <c r="A704">
        <f>IFERROR(IF(AND(BASELINE!I704&lt;&gt;"",INT(IF(CALC!$F$1&gt;0,IF(N(INDEX(BASELINE!$A704:$ZZ704,CALC!$F$1))&gt;0,N(INDEX(BASELINE!$A704:$ZZ704,CALC!$F$1)),N(BASELINE!E704)),N(BASELINE!E704)))=INT(SIMOPS!$D$3),IFERROR(UPPER(TRIM(BASELINE!D704&amp;"")),"")&lt;&gt;"ENCERRADA"),1,0),0)</f>
        <v/>
      </c>
      <c r="B704">
        <f>B703+A704</f>
        <v/>
      </c>
    </row>
    <row r="705">
      <c r="A705">
        <f>IFERROR(IF(AND(BASELINE!I705&lt;&gt;"",INT(IF(CALC!$F$1&gt;0,IF(N(INDEX(BASELINE!$A705:$ZZ705,CALC!$F$1))&gt;0,N(INDEX(BASELINE!$A705:$ZZ705,CALC!$F$1)),N(BASELINE!E705)),N(BASELINE!E705)))=INT(SIMOPS!$D$3),IFERROR(UPPER(TRIM(BASELINE!D705&amp;"")),"")&lt;&gt;"ENCERRADA"),1,0),0)</f>
        <v/>
      </c>
      <c r="B705">
        <f>B704+A705</f>
        <v/>
      </c>
    </row>
    <row r="706">
      <c r="A706">
        <f>IFERROR(IF(AND(BASELINE!I706&lt;&gt;"",INT(IF(CALC!$F$1&gt;0,IF(N(INDEX(BASELINE!$A706:$ZZ706,CALC!$F$1))&gt;0,N(INDEX(BASELINE!$A706:$ZZ706,CALC!$F$1)),N(BASELINE!E706)),N(BASELINE!E706)))=INT(SIMOPS!$D$3),IFERROR(UPPER(TRIM(BASELINE!D706&amp;"")),"")&lt;&gt;"ENCERRADA"),1,0),0)</f>
        <v/>
      </c>
      <c r="B706">
        <f>B705+A706</f>
        <v/>
      </c>
    </row>
    <row r="707">
      <c r="A707">
        <f>IFERROR(IF(AND(BASELINE!I707&lt;&gt;"",INT(IF(CALC!$F$1&gt;0,IF(N(INDEX(BASELINE!$A707:$ZZ707,CALC!$F$1))&gt;0,N(INDEX(BASELINE!$A707:$ZZ707,CALC!$F$1)),N(BASELINE!E707)),N(BASELINE!E707)))=INT(SIMOPS!$D$3),IFERROR(UPPER(TRIM(BASELINE!D707&amp;"")),"")&lt;&gt;"ENCERRADA"),1,0),0)</f>
        <v/>
      </c>
      <c r="B707">
        <f>B706+A707</f>
        <v/>
      </c>
    </row>
    <row r="708">
      <c r="A708">
        <f>IFERROR(IF(AND(BASELINE!I708&lt;&gt;"",INT(IF(CALC!$F$1&gt;0,IF(N(INDEX(BASELINE!$A708:$ZZ708,CALC!$F$1))&gt;0,N(INDEX(BASELINE!$A708:$ZZ708,CALC!$F$1)),N(BASELINE!E708)),N(BASELINE!E708)))=INT(SIMOPS!$D$3),IFERROR(UPPER(TRIM(BASELINE!D708&amp;"")),"")&lt;&gt;"ENCERRADA"),1,0),0)</f>
        <v/>
      </c>
      <c r="B708">
        <f>B707+A708</f>
        <v/>
      </c>
    </row>
    <row r="709">
      <c r="A709">
        <f>IFERROR(IF(AND(BASELINE!I709&lt;&gt;"",INT(IF(CALC!$F$1&gt;0,IF(N(INDEX(BASELINE!$A709:$ZZ709,CALC!$F$1))&gt;0,N(INDEX(BASELINE!$A709:$ZZ709,CALC!$F$1)),N(BASELINE!E709)),N(BASELINE!E709)))=INT(SIMOPS!$D$3),IFERROR(UPPER(TRIM(BASELINE!D709&amp;"")),"")&lt;&gt;"ENCERRADA"),1,0),0)</f>
        <v/>
      </c>
      <c r="B709">
        <f>B708+A709</f>
        <v/>
      </c>
    </row>
    <row r="710">
      <c r="A710">
        <f>IFERROR(IF(AND(BASELINE!I710&lt;&gt;"",INT(IF(CALC!$F$1&gt;0,IF(N(INDEX(BASELINE!$A710:$ZZ710,CALC!$F$1))&gt;0,N(INDEX(BASELINE!$A710:$ZZ710,CALC!$F$1)),N(BASELINE!E710)),N(BASELINE!E710)))=INT(SIMOPS!$D$3),IFERROR(UPPER(TRIM(BASELINE!D710&amp;"")),"")&lt;&gt;"ENCERRADA"),1,0),0)</f>
        <v/>
      </c>
      <c r="B710">
        <f>B709+A710</f>
        <v/>
      </c>
    </row>
    <row r="711">
      <c r="A711">
        <f>IFERROR(IF(AND(BASELINE!I711&lt;&gt;"",INT(IF(CALC!$F$1&gt;0,IF(N(INDEX(BASELINE!$A711:$ZZ711,CALC!$F$1))&gt;0,N(INDEX(BASELINE!$A711:$ZZ711,CALC!$F$1)),N(BASELINE!E711)),N(BASELINE!E711)))=INT(SIMOPS!$D$3),IFERROR(UPPER(TRIM(BASELINE!D711&amp;"")),"")&lt;&gt;"ENCERRADA"),1,0),0)</f>
        <v/>
      </c>
      <c r="B711">
        <f>B710+A711</f>
        <v/>
      </c>
    </row>
    <row r="712">
      <c r="A712">
        <f>IFERROR(IF(AND(BASELINE!I712&lt;&gt;"",INT(IF(CALC!$F$1&gt;0,IF(N(INDEX(BASELINE!$A712:$ZZ712,CALC!$F$1))&gt;0,N(INDEX(BASELINE!$A712:$ZZ712,CALC!$F$1)),N(BASELINE!E712)),N(BASELINE!E712)))=INT(SIMOPS!$D$3),IFERROR(UPPER(TRIM(BASELINE!D712&amp;"")),"")&lt;&gt;"ENCERRADA"),1,0),0)</f>
        <v/>
      </c>
      <c r="B712">
        <f>B711+A712</f>
        <v/>
      </c>
    </row>
    <row r="713">
      <c r="A713">
        <f>IFERROR(IF(AND(BASELINE!I713&lt;&gt;"",INT(IF(CALC!$F$1&gt;0,IF(N(INDEX(BASELINE!$A713:$ZZ713,CALC!$F$1))&gt;0,N(INDEX(BASELINE!$A713:$ZZ713,CALC!$F$1)),N(BASELINE!E713)),N(BASELINE!E713)))=INT(SIMOPS!$D$3),IFERROR(UPPER(TRIM(BASELINE!D713&amp;"")),"")&lt;&gt;"ENCERRADA"),1,0),0)</f>
        <v/>
      </c>
      <c r="B713">
        <f>B712+A713</f>
        <v/>
      </c>
    </row>
    <row r="714">
      <c r="A714">
        <f>IFERROR(IF(AND(BASELINE!I714&lt;&gt;"",INT(IF(CALC!$F$1&gt;0,IF(N(INDEX(BASELINE!$A714:$ZZ714,CALC!$F$1))&gt;0,N(INDEX(BASELINE!$A714:$ZZ714,CALC!$F$1)),N(BASELINE!E714)),N(BASELINE!E714)))=INT(SIMOPS!$D$3),IFERROR(UPPER(TRIM(BASELINE!D714&amp;"")),"")&lt;&gt;"ENCERRADA"),1,0),0)</f>
        <v/>
      </c>
      <c r="B714">
        <f>B713+A714</f>
        <v/>
      </c>
    </row>
    <row r="715">
      <c r="A715">
        <f>IFERROR(IF(AND(BASELINE!I715&lt;&gt;"",INT(IF(CALC!$F$1&gt;0,IF(N(INDEX(BASELINE!$A715:$ZZ715,CALC!$F$1))&gt;0,N(INDEX(BASELINE!$A715:$ZZ715,CALC!$F$1)),N(BASELINE!E715)),N(BASELINE!E715)))=INT(SIMOPS!$D$3),IFERROR(UPPER(TRIM(BASELINE!D715&amp;"")),"")&lt;&gt;"ENCERRADA"),1,0),0)</f>
        <v/>
      </c>
      <c r="B715">
        <f>B714+A715</f>
        <v/>
      </c>
    </row>
    <row r="716">
      <c r="A716">
        <f>IFERROR(IF(AND(BASELINE!I716&lt;&gt;"",INT(IF(CALC!$F$1&gt;0,IF(N(INDEX(BASELINE!$A716:$ZZ716,CALC!$F$1))&gt;0,N(INDEX(BASELINE!$A716:$ZZ716,CALC!$F$1)),N(BASELINE!E716)),N(BASELINE!E716)))=INT(SIMOPS!$D$3),IFERROR(UPPER(TRIM(BASELINE!D716&amp;"")),"")&lt;&gt;"ENCERRADA"),1,0),0)</f>
        <v/>
      </c>
      <c r="B716">
        <f>B715+A716</f>
        <v/>
      </c>
    </row>
    <row r="717">
      <c r="A717">
        <f>IFERROR(IF(AND(BASELINE!I717&lt;&gt;"",INT(IF(CALC!$F$1&gt;0,IF(N(INDEX(BASELINE!$A717:$ZZ717,CALC!$F$1))&gt;0,N(INDEX(BASELINE!$A717:$ZZ717,CALC!$F$1)),N(BASELINE!E717)),N(BASELINE!E717)))=INT(SIMOPS!$D$3),IFERROR(UPPER(TRIM(BASELINE!D717&amp;"")),"")&lt;&gt;"ENCERRADA"),1,0),0)</f>
        <v/>
      </c>
      <c r="B717">
        <f>B716+A717</f>
        <v/>
      </c>
    </row>
    <row r="718">
      <c r="A718">
        <f>IFERROR(IF(AND(BASELINE!I718&lt;&gt;"",INT(IF(CALC!$F$1&gt;0,IF(N(INDEX(BASELINE!$A718:$ZZ718,CALC!$F$1))&gt;0,N(INDEX(BASELINE!$A718:$ZZ718,CALC!$F$1)),N(BASELINE!E718)),N(BASELINE!E718)))=INT(SIMOPS!$D$3),IFERROR(UPPER(TRIM(BASELINE!D718&amp;"")),"")&lt;&gt;"ENCERRADA"),1,0),0)</f>
        <v/>
      </c>
      <c r="B718">
        <f>B717+A718</f>
        <v/>
      </c>
    </row>
    <row r="719">
      <c r="A719">
        <f>IFERROR(IF(AND(BASELINE!I719&lt;&gt;"",INT(IF(CALC!$F$1&gt;0,IF(N(INDEX(BASELINE!$A719:$ZZ719,CALC!$F$1))&gt;0,N(INDEX(BASELINE!$A719:$ZZ719,CALC!$F$1)),N(BASELINE!E719)),N(BASELINE!E719)))=INT(SIMOPS!$D$3),IFERROR(UPPER(TRIM(BASELINE!D719&amp;"")),"")&lt;&gt;"ENCERRADA"),1,0),0)</f>
        <v/>
      </c>
      <c r="B719">
        <f>B718+A719</f>
        <v/>
      </c>
    </row>
    <row r="720">
      <c r="A720">
        <f>IFERROR(IF(AND(BASELINE!I720&lt;&gt;"",INT(IF(CALC!$F$1&gt;0,IF(N(INDEX(BASELINE!$A720:$ZZ720,CALC!$F$1))&gt;0,N(INDEX(BASELINE!$A720:$ZZ720,CALC!$F$1)),N(BASELINE!E720)),N(BASELINE!E720)))=INT(SIMOPS!$D$3),IFERROR(UPPER(TRIM(BASELINE!D720&amp;"")),"")&lt;&gt;"ENCERRADA"),1,0),0)</f>
        <v/>
      </c>
      <c r="B720">
        <f>B719+A720</f>
        <v/>
      </c>
    </row>
    <row r="721">
      <c r="A721">
        <f>IFERROR(IF(AND(BASELINE!I721&lt;&gt;"",INT(IF(CALC!$F$1&gt;0,IF(N(INDEX(BASELINE!$A721:$ZZ721,CALC!$F$1))&gt;0,N(INDEX(BASELINE!$A721:$ZZ721,CALC!$F$1)),N(BASELINE!E721)),N(BASELINE!E721)))=INT(SIMOPS!$D$3),IFERROR(UPPER(TRIM(BASELINE!D721&amp;"")),"")&lt;&gt;"ENCERRADA"),1,0),0)</f>
        <v/>
      </c>
      <c r="B721">
        <f>B720+A721</f>
        <v/>
      </c>
    </row>
    <row r="722">
      <c r="A722">
        <f>IFERROR(IF(AND(BASELINE!I722&lt;&gt;"",INT(IF(CALC!$F$1&gt;0,IF(N(INDEX(BASELINE!$A722:$ZZ722,CALC!$F$1))&gt;0,N(INDEX(BASELINE!$A722:$ZZ722,CALC!$F$1)),N(BASELINE!E722)),N(BASELINE!E722)))=INT(SIMOPS!$D$3),IFERROR(UPPER(TRIM(BASELINE!D722&amp;"")),"")&lt;&gt;"ENCERRADA"),1,0),0)</f>
        <v/>
      </c>
      <c r="B722">
        <f>B721+A722</f>
        <v/>
      </c>
    </row>
    <row r="723">
      <c r="A723">
        <f>IFERROR(IF(AND(BASELINE!I723&lt;&gt;"",INT(IF(CALC!$F$1&gt;0,IF(N(INDEX(BASELINE!$A723:$ZZ723,CALC!$F$1))&gt;0,N(INDEX(BASELINE!$A723:$ZZ723,CALC!$F$1)),N(BASELINE!E723)),N(BASELINE!E723)))=INT(SIMOPS!$D$3),IFERROR(UPPER(TRIM(BASELINE!D723&amp;"")),"")&lt;&gt;"ENCERRADA"),1,0),0)</f>
        <v/>
      </c>
      <c r="B723">
        <f>B722+A723</f>
        <v/>
      </c>
    </row>
    <row r="724">
      <c r="A724">
        <f>IFERROR(IF(AND(BASELINE!I724&lt;&gt;"",INT(IF(CALC!$F$1&gt;0,IF(N(INDEX(BASELINE!$A724:$ZZ724,CALC!$F$1))&gt;0,N(INDEX(BASELINE!$A724:$ZZ724,CALC!$F$1)),N(BASELINE!E724)),N(BASELINE!E724)))=INT(SIMOPS!$D$3),IFERROR(UPPER(TRIM(BASELINE!D724&amp;"")),"")&lt;&gt;"ENCERRADA"),1,0),0)</f>
        <v/>
      </c>
      <c r="B724">
        <f>B723+A724</f>
        <v/>
      </c>
    </row>
    <row r="725">
      <c r="A725">
        <f>IFERROR(IF(AND(BASELINE!I725&lt;&gt;"",INT(IF(CALC!$F$1&gt;0,IF(N(INDEX(BASELINE!$A725:$ZZ725,CALC!$F$1))&gt;0,N(INDEX(BASELINE!$A725:$ZZ725,CALC!$F$1)),N(BASELINE!E725)),N(BASELINE!E725)))=INT(SIMOPS!$D$3),IFERROR(UPPER(TRIM(BASELINE!D725&amp;"")),"")&lt;&gt;"ENCERRADA"),1,0),0)</f>
        <v/>
      </c>
      <c r="B725">
        <f>B724+A725</f>
        <v/>
      </c>
    </row>
    <row r="726">
      <c r="A726">
        <f>IFERROR(IF(AND(BASELINE!I726&lt;&gt;"",INT(IF(CALC!$F$1&gt;0,IF(N(INDEX(BASELINE!$A726:$ZZ726,CALC!$F$1))&gt;0,N(INDEX(BASELINE!$A726:$ZZ726,CALC!$F$1)),N(BASELINE!E726)),N(BASELINE!E726)))=INT(SIMOPS!$D$3),IFERROR(UPPER(TRIM(BASELINE!D726&amp;"")),"")&lt;&gt;"ENCERRADA"),1,0),0)</f>
        <v/>
      </c>
      <c r="B726">
        <f>B725+A726</f>
        <v/>
      </c>
    </row>
    <row r="727">
      <c r="A727">
        <f>IFERROR(IF(AND(BASELINE!I727&lt;&gt;"",INT(IF(CALC!$F$1&gt;0,IF(N(INDEX(BASELINE!$A727:$ZZ727,CALC!$F$1))&gt;0,N(INDEX(BASELINE!$A727:$ZZ727,CALC!$F$1)),N(BASELINE!E727)),N(BASELINE!E727)))=INT(SIMOPS!$D$3),IFERROR(UPPER(TRIM(BASELINE!D727&amp;"")),"")&lt;&gt;"ENCERRADA"),1,0),0)</f>
        <v/>
      </c>
      <c r="B727">
        <f>B726+A727</f>
        <v/>
      </c>
    </row>
    <row r="728">
      <c r="A728">
        <f>IFERROR(IF(AND(BASELINE!I728&lt;&gt;"",INT(IF(CALC!$F$1&gt;0,IF(N(INDEX(BASELINE!$A728:$ZZ728,CALC!$F$1))&gt;0,N(INDEX(BASELINE!$A728:$ZZ728,CALC!$F$1)),N(BASELINE!E728)),N(BASELINE!E728)))=INT(SIMOPS!$D$3),IFERROR(UPPER(TRIM(BASELINE!D728&amp;"")),"")&lt;&gt;"ENCERRADA"),1,0),0)</f>
        <v/>
      </c>
      <c r="B728">
        <f>B727+A728</f>
        <v/>
      </c>
    </row>
    <row r="729">
      <c r="A729">
        <f>IFERROR(IF(AND(BASELINE!I729&lt;&gt;"",INT(IF(CALC!$F$1&gt;0,IF(N(INDEX(BASELINE!$A729:$ZZ729,CALC!$F$1))&gt;0,N(INDEX(BASELINE!$A729:$ZZ729,CALC!$F$1)),N(BASELINE!E729)),N(BASELINE!E729)))=INT(SIMOPS!$D$3),IFERROR(UPPER(TRIM(BASELINE!D729&amp;"")),"")&lt;&gt;"ENCERRADA"),1,0),0)</f>
        <v/>
      </c>
      <c r="B729">
        <f>B728+A729</f>
        <v/>
      </c>
    </row>
    <row r="730">
      <c r="A730">
        <f>IFERROR(IF(AND(BASELINE!I730&lt;&gt;"",INT(IF(CALC!$F$1&gt;0,IF(N(INDEX(BASELINE!$A730:$ZZ730,CALC!$F$1))&gt;0,N(INDEX(BASELINE!$A730:$ZZ730,CALC!$F$1)),N(BASELINE!E730)),N(BASELINE!E730)))=INT(SIMOPS!$D$3),IFERROR(UPPER(TRIM(BASELINE!D730&amp;"")),"")&lt;&gt;"ENCERRADA"),1,0),0)</f>
        <v/>
      </c>
      <c r="B730">
        <f>B729+A730</f>
        <v/>
      </c>
    </row>
    <row r="731">
      <c r="A731">
        <f>IFERROR(IF(AND(BASELINE!I731&lt;&gt;"",INT(IF(CALC!$F$1&gt;0,IF(N(INDEX(BASELINE!$A731:$ZZ731,CALC!$F$1))&gt;0,N(INDEX(BASELINE!$A731:$ZZ731,CALC!$F$1)),N(BASELINE!E731)),N(BASELINE!E731)))=INT(SIMOPS!$D$3),IFERROR(UPPER(TRIM(BASELINE!D731&amp;"")),"")&lt;&gt;"ENCERRADA"),1,0),0)</f>
        <v/>
      </c>
      <c r="B731">
        <f>B730+A731</f>
        <v/>
      </c>
    </row>
    <row r="732">
      <c r="A732">
        <f>IFERROR(IF(AND(BASELINE!I732&lt;&gt;"",INT(IF(CALC!$F$1&gt;0,IF(N(INDEX(BASELINE!$A732:$ZZ732,CALC!$F$1))&gt;0,N(INDEX(BASELINE!$A732:$ZZ732,CALC!$F$1)),N(BASELINE!E732)),N(BASELINE!E732)))=INT(SIMOPS!$D$3),IFERROR(UPPER(TRIM(BASELINE!D732&amp;"")),"")&lt;&gt;"ENCERRADA"),1,0),0)</f>
        <v/>
      </c>
      <c r="B732">
        <f>B731+A732</f>
        <v/>
      </c>
    </row>
    <row r="733">
      <c r="A733">
        <f>IFERROR(IF(AND(BASELINE!I733&lt;&gt;"",INT(IF(CALC!$F$1&gt;0,IF(N(INDEX(BASELINE!$A733:$ZZ733,CALC!$F$1))&gt;0,N(INDEX(BASELINE!$A733:$ZZ733,CALC!$F$1)),N(BASELINE!E733)),N(BASELINE!E733)))=INT(SIMOPS!$D$3),IFERROR(UPPER(TRIM(BASELINE!D733&amp;"")),"")&lt;&gt;"ENCERRADA"),1,0),0)</f>
        <v/>
      </c>
      <c r="B733">
        <f>B732+A733</f>
        <v/>
      </c>
    </row>
    <row r="734">
      <c r="A734">
        <f>IFERROR(IF(AND(BASELINE!I734&lt;&gt;"",INT(IF(CALC!$F$1&gt;0,IF(N(INDEX(BASELINE!$A734:$ZZ734,CALC!$F$1))&gt;0,N(INDEX(BASELINE!$A734:$ZZ734,CALC!$F$1)),N(BASELINE!E734)),N(BASELINE!E734)))=INT(SIMOPS!$D$3),IFERROR(UPPER(TRIM(BASELINE!D734&amp;"")),"")&lt;&gt;"ENCERRADA"),1,0),0)</f>
        <v/>
      </c>
      <c r="B734">
        <f>B733+A734</f>
        <v/>
      </c>
    </row>
    <row r="735">
      <c r="A735">
        <f>IFERROR(IF(AND(BASELINE!I735&lt;&gt;"",INT(IF(CALC!$F$1&gt;0,IF(N(INDEX(BASELINE!$A735:$ZZ735,CALC!$F$1))&gt;0,N(INDEX(BASELINE!$A735:$ZZ735,CALC!$F$1)),N(BASELINE!E735)),N(BASELINE!E735)))=INT(SIMOPS!$D$3),IFERROR(UPPER(TRIM(BASELINE!D735&amp;"")),"")&lt;&gt;"ENCERRADA"),1,0),0)</f>
        <v/>
      </c>
      <c r="B735">
        <f>B734+A735</f>
        <v/>
      </c>
    </row>
    <row r="736">
      <c r="A736">
        <f>IFERROR(IF(AND(BASELINE!I736&lt;&gt;"",INT(IF(CALC!$F$1&gt;0,IF(N(INDEX(BASELINE!$A736:$ZZ736,CALC!$F$1))&gt;0,N(INDEX(BASELINE!$A736:$ZZ736,CALC!$F$1)),N(BASELINE!E736)),N(BASELINE!E736)))=INT(SIMOPS!$D$3),IFERROR(UPPER(TRIM(BASELINE!D736&amp;"")),"")&lt;&gt;"ENCERRADA"),1,0),0)</f>
        <v/>
      </c>
      <c r="B736">
        <f>B735+A736</f>
        <v/>
      </c>
    </row>
    <row r="737">
      <c r="A737">
        <f>IFERROR(IF(AND(BASELINE!I737&lt;&gt;"",INT(IF(CALC!$F$1&gt;0,IF(N(INDEX(BASELINE!$A737:$ZZ737,CALC!$F$1))&gt;0,N(INDEX(BASELINE!$A737:$ZZ737,CALC!$F$1)),N(BASELINE!E737)),N(BASELINE!E737)))=INT(SIMOPS!$D$3),IFERROR(UPPER(TRIM(BASELINE!D737&amp;"")),"")&lt;&gt;"ENCERRADA"),1,0),0)</f>
        <v/>
      </c>
      <c r="B737">
        <f>B736+A737</f>
        <v/>
      </c>
    </row>
    <row r="738">
      <c r="A738">
        <f>IFERROR(IF(AND(BASELINE!I738&lt;&gt;"",INT(IF(CALC!$F$1&gt;0,IF(N(INDEX(BASELINE!$A738:$ZZ738,CALC!$F$1))&gt;0,N(INDEX(BASELINE!$A738:$ZZ738,CALC!$F$1)),N(BASELINE!E738)),N(BASELINE!E738)))=INT(SIMOPS!$D$3),IFERROR(UPPER(TRIM(BASELINE!D738&amp;"")),"")&lt;&gt;"ENCERRADA"),1,0),0)</f>
        <v/>
      </c>
      <c r="B738">
        <f>B737+A738</f>
        <v/>
      </c>
    </row>
    <row r="739">
      <c r="A739">
        <f>IFERROR(IF(AND(BASELINE!I739&lt;&gt;"",INT(IF(CALC!$F$1&gt;0,IF(N(INDEX(BASELINE!$A739:$ZZ739,CALC!$F$1))&gt;0,N(INDEX(BASELINE!$A739:$ZZ739,CALC!$F$1)),N(BASELINE!E739)),N(BASELINE!E739)))=INT(SIMOPS!$D$3),IFERROR(UPPER(TRIM(BASELINE!D739&amp;"")),"")&lt;&gt;"ENCERRADA"),1,0),0)</f>
        <v/>
      </c>
      <c r="B739">
        <f>B738+A739</f>
        <v/>
      </c>
    </row>
    <row r="740">
      <c r="A740">
        <f>IFERROR(IF(AND(BASELINE!I740&lt;&gt;"",INT(IF(CALC!$F$1&gt;0,IF(N(INDEX(BASELINE!$A740:$ZZ740,CALC!$F$1))&gt;0,N(INDEX(BASELINE!$A740:$ZZ740,CALC!$F$1)),N(BASELINE!E740)),N(BASELINE!E740)))=INT(SIMOPS!$D$3),IFERROR(UPPER(TRIM(BASELINE!D740&amp;"")),"")&lt;&gt;"ENCERRADA"),1,0),0)</f>
        <v/>
      </c>
      <c r="B740">
        <f>B739+A740</f>
        <v/>
      </c>
    </row>
    <row r="741">
      <c r="A741">
        <f>IFERROR(IF(AND(BASELINE!I741&lt;&gt;"",INT(IF(CALC!$F$1&gt;0,IF(N(INDEX(BASELINE!$A741:$ZZ741,CALC!$F$1))&gt;0,N(INDEX(BASELINE!$A741:$ZZ741,CALC!$F$1)),N(BASELINE!E741)),N(BASELINE!E741)))=INT(SIMOPS!$D$3),IFERROR(UPPER(TRIM(BASELINE!D741&amp;"")),"")&lt;&gt;"ENCERRADA"),1,0),0)</f>
        <v/>
      </c>
      <c r="B741">
        <f>B740+A741</f>
        <v/>
      </c>
    </row>
    <row r="742">
      <c r="A742">
        <f>IFERROR(IF(AND(BASELINE!I742&lt;&gt;"",INT(IF(CALC!$F$1&gt;0,IF(N(INDEX(BASELINE!$A742:$ZZ742,CALC!$F$1))&gt;0,N(INDEX(BASELINE!$A742:$ZZ742,CALC!$F$1)),N(BASELINE!E742)),N(BASELINE!E742)))=INT(SIMOPS!$D$3),IFERROR(UPPER(TRIM(BASELINE!D742&amp;"")),"")&lt;&gt;"ENCERRADA"),1,0),0)</f>
        <v/>
      </c>
      <c r="B742">
        <f>B741+A742</f>
        <v/>
      </c>
    </row>
    <row r="743">
      <c r="A743">
        <f>IFERROR(IF(AND(BASELINE!I743&lt;&gt;"",INT(IF(CALC!$F$1&gt;0,IF(N(INDEX(BASELINE!$A743:$ZZ743,CALC!$F$1))&gt;0,N(INDEX(BASELINE!$A743:$ZZ743,CALC!$F$1)),N(BASELINE!E743)),N(BASELINE!E743)))=INT(SIMOPS!$D$3),IFERROR(UPPER(TRIM(BASELINE!D743&amp;"")),"")&lt;&gt;"ENCERRADA"),1,0),0)</f>
        <v/>
      </c>
      <c r="B743">
        <f>B742+A743</f>
        <v/>
      </c>
    </row>
    <row r="744">
      <c r="A744">
        <f>IFERROR(IF(AND(BASELINE!I744&lt;&gt;"",INT(IF(CALC!$F$1&gt;0,IF(N(INDEX(BASELINE!$A744:$ZZ744,CALC!$F$1))&gt;0,N(INDEX(BASELINE!$A744:$ZZ744,CALC!$F$1)),N(BASELINE!E744)),N(BASELINE!E744)))=INT(SIMOPS!$D$3),IFERROR(UPPER(TRIM(BASELINE!D744&amp;"")),"")&lt;&gt;"ENCERRADA"),1,0),0)</f>
        <v/>
      </c>
      <c r="B744">
        <f>B743+A744</f>
        <v/>
      </c>
    </row>
    <row r="745">
      <c r="A745">
        <f>IFERROR(IF(AND(BASELINE!I745&lt;&gt;"",INT(IF(CALC!$F$1&gt;0,IF(N(INDEX(BASELINE!$A745:$ZZ745,CALC!$F$1))&gt;0,N(INDEX(BASELINE!$A745:$ZZ745,CALC!$F$1)),N(BASELINE!E745)),N(BASELINE!E745)))=INT(SIMOPS!$D$3),IFERROR(UPPER(TRIM(BASELINE!D745&amp;"")),"")&lt;&gt;"ENCERRADA"),1,0),0)</f>
        <v/>
      </c>
      <c r="B745">
        <f>B744+A745</f>
        <v/>
      </c>
    </row>
    <row r="746">
      <c r="A746">
        <f>IFERROR(IF(AND(BASELINE!I746&lt;&gt;"",INT(IF(CALC!$F$1&gt;0,IF(N(INDEX(BASELINE!$A746:$ZZ746,CALC!$F$1))&gt;0,N(INDEX(BASELINE!$A746:$ZZ746,CALC!$F$1)),N(BASELINE!E746)),N(BASELINE!E746)))=INT(SIMOPS!$D$3),IFERROR(UPPER(TRIM(BASELINE!D746&amp;"")),"")&lt;&gt;"ENCERRADA"),1,0),0)</f>
        <v/>
      </c>
      <c r="B746">
        <f>B745+A746</f>
        <v/>
      </c>
    </row>
    <row r="747">
      <c r="A747">
        <f>IFERROR(IF(AND(BASELINE!I747&lt;&gt;"",INT(IF(CALC!$F$1&gt;0,IF(N(INDEX(BASELINE!$A747:$ZZ747,CALC!$F$1))&gt;0,N(INDEX(BASELINE!$A747:$ZZ747,CALC!$F$1)),N(BASELINE!E747)),N(BASELINE!E747)))=INT(SIMOPS!$D$3),IFERROR(UPPER(TRIM(BASELINE!D747&amp;"")),"")&lt;&gt;"ENCERRADA"),1,0),0)</f>
        <v/>
      </c>
      <c r="B747">
        <f>B746+A747</f>
        <v/>
      </c>
    </row>
    <row r="748">
      <c r="A748">
        <f>IFERROR(IF(AND(BASELINE!I748&lt;&gt;"",INT(IF(CALC!$F$1&gt;0,IF(N(INDEX(BASELINE!$A748:$ZZ748,CALC!$F$1))&gt;0,N(INDEX(BASELINE!$A748:$ZZ748,CALC!$F$1)),N(BASELINE!E748)),N(BASELINE!E748)))=INT(SIMOPS!$D$3),IFERROR(UPPER(TRIM(BASELINE!D748&amp;"")),"")&lt;&gt;"ENCERRADA"),1,0),0)</f>
        <v/>
      </c>
      <c r="B748">
        <f>B747+A748</f>
        <v/>
      </c>
    </row>
    <row r="749">
      <c r="A749">
        <f>IFERROR(IF(AND(BASELINE!I749&lt;&gt;"",INT(IF(CALC!$F$1&gt;0,IF(N(INDEX(BASELINE!$A749:$ZZ749,CALC!$F$1))&gt;0,N(INDEX(BASELINE!$A749:$ZZ749,CALC!$F$1)),N(BASELINE!E749)),N(BASELINE!E749)))=INT(SIMOPS!$D$3),IFERROR(UPPER(TRIM(BASELINE!D749&amp;"")),"")&lt;&gt;"ENCERRADA"),1,0),0)</f>
        <v/>
      </c>
      <c r="B749">
        <f>B748+A749</f>
        <v/>
      </c>
    </row>
    <row r="750">
      <c r="A750">
        <f>IFERROR(IF(AND(BASELINE!I750&lt;&gt;"",INT(IF(CALC!$F$1&gt;0,IF(N(INDEX(BASELINE!$A750:$ZZ750,CALC!$F$1))&gt;0,N(INDEX(BASELINE!$A750:$ZZ750,CALC!$F$1)),N(BASELINE!E750)),N(BASELINE!E750)))=INT(SIMOPS!$D$3),IFERROR(UPPER(TRIM(BASELINE!D750&amp;"")),"")&lt;&gt;"ENCERRADA"),1,0),0)</f>
        <v/>
      </c>
      <c r="B750">
        <f>B749+A750</f>
        <v/>
      </c>
    </row>
    <row r="751">
      <c r="A751">
        <f>IFERROR(IF(AND(BASELINE!I751&lt;&gt;"",INT(IF(CALC!$F$1&gt;0,IF(N(INDEX(BASELINE!$A751:$ZZ751,CALC!$F$1))&gt;0,N(INDEX(BASELINE!$A751:$ZZ751,CALC!$F$1)),N(BASELINE!E751)),N(BASELINE!E751)))=INT(SIMOPS!$D$3),IFERROR(UPPER(TRIM(BASELINE!D751&amp;"")),"")&lt;&gt;"ENCERRADA"),1,0),0)</f>
        <v/>
      </c>
      <c r="B751">
        <f>B750+A751</f>
        <v/>
      </c>
    </row>
    <row r="752">
      <c r="A752">
        <f>IFERROR(IF(AND(BASELINE!I752&lt;&gt;"",INT(IF(CALC!$F$1&gt;0,IF(N(INDEX(BASELINE!$A752:$ZZ752,CALC!$F$1))&gt;0,N(INDEX(BASELINE!$A752:$ZZ752,CALC!$F$1)),N(BASELINE!E752)),N(BASELINE!E752)))=INT(SIMOPS!$D$3),IFERROR(UPPER(TRIM(BASELINE!D752&amp;"")),"")&lt;&gt;"ENCERRADA"),1,0),0)</f>
        <v/>
      </c>
      <c r="B752">
        <f>B751+A752</f>
        <v/>
      </c>
    </row>
    <row r="753">
      <c r="A753">
        <f>IFERROR(IF(AND(BASELINE!I753&lt;&gt;"",INT(IF(CALC!$F$1&gt;0,IF(N(INDEX(BASELINE!$A753:$ZZ753,CALC!$F$1))&gt;0,N(INDEX(BASELINE!$A753:$ZZ753,CALC!$F$1)),N(BASELINE!E753)),N(BASELINE!E753)))=INT(SIMOPS!$D$3),IFERROR(UPPER(TRIM(BASELINE!D753&amp;"")),"")&lt;&gt;"ENCERRADA"),1,0),0)</f>
        <v/>
      </c>
      <c r="B753">
        <f>B752+A753</f>
        <v/>
      </c>
    </row>
    <row r="754">
      <c r="A754">
        <f>IFERROR(IF(AND(BASELINE!I754&lt;&gt;"",INT(IF(CALC!$F$1&gt;0,IF(N(INDEX(BASELINE!$A754:$ZZ754,CALC!$F$1))&gt;0,N(INDEX(BASELINE!$A754:$ZZ754,CALC!$F$1)),N(BASELINE!E754)),N(BASELINE!E754)))=INT(SIMOPS!$D$3),IFERROR(UPPER(TRIM(BASELINE!D754&amp;"")),"")&lt;&gt;"ENCERRADA"),1,0),0)</f>
        <v/>
      </c>
      <c r="B754">
        <f>B753+A754</f>
        <v/>
      </c>
    </row>
    <row r="755">
      <c r="A755">
        <f>IFERROR(IF(AND(BASELINE!I755&lt;&gt;"",INT(IF(CALC!$F$1&gt;0,IF(N(INDEX(BASELINE!$A755:$ZZ755,CALC!$F$1))&gt;0,N(INDEX(BASELINE!$A755:$ZZ755,CALC!$F$1)),N(BASELINE!E755)),N(BASELINE!E755)))=INT(SIMOPS!$D$3),IFERROR(UPPER(TRIM(BASELINE!D755&amp;"")),"")&lt;&gt;"ENCERRADA"),1,0),0)</f>
        <v/>
      </c>
      <c r="B755">
        <f>B754+A755</f>
        <v/>
      </c>
    </row>
    <row r="756">
      <c r="A756">
        <f>IFERROR(IF(AND(BASELINE!I756&lt;&gt;"",INT(IF(CALC!$F$1&gt;0,IF(N(INDEX(BASELINE!$A756:$ZZ756,CALC!$F$1))&gt;0,N(INDEX(BASELINE!$A756:$ZZ756,CALC!$F$1)),N(BASELINE!E756)),N(BASELINE!E756)))=INT(SIMOPS!$D$3),IFERROR(UPPER(TRIM(BASELINE!D756&amp;"")),"")&lt;&gt;"ENCERRADA"),1,0),0)</f>
        <v/>
      </c>
      <c r="B756">
        <f>B755+A756</f>
        <v/>
      </c>
    </row>
    <row r="757">
      <c r="A757">
        <f>IFERROR(IF(AND(BASELINE!I757&lt;&gt;"",INT(IF(CALC!$F$1&gt;0,IF(N(INDEX(BASELINE!$A757:$ZZ757,CALC!$F$1))&gt;0,N(INDEX(BASELINE!$A757:$ZZ757,CALC!$F$1)),N(BASELINE!E757)),N(BASELINE!E757)))=INT(SIMOPS!$D$3),IFERROR(UPPER(TRIM(BASELINE!D757&amp;"")),"")&lt;&gt;"ENCERRADA"),1,0),0)</f>
        <v/>
      </c>
      <c r="B757">
        <f>B756+A757</f>
        <v/>
      </c>
    </row>
    <row r="758">
      <c r="A758">
        <f>IFERROR(IF(AND(BASELINE!I758&lt;&gt;"",INT(IF(CALC!$F$1&gt;0,IF(N(INDEX(BASELINE!$A758:$ZZ758,CALC!$F$1))&gt;0,N(INDEX(BASELINE!$A758:$ZZ758,CALC!$F$1)),N(BASELINE!E758)),N(BASELINE!E758)))=INT(SIMOPS!$D$3),IFERROR(UPPER(TRIM(BASELINE!D758&amp;"")),"")&lt;&gt;"ENCERRADA"),1,0),0)</f>
        <v/>
      </c>
      <c r="B758">
        <f>B757+A758</f>
        <v/>
      </c>
    </row>
    <row r="759">
      <c r="A759">
        <f>IFERROR(IF(AND(BASELINE!I759&lt;&gt;"",INT(IF(CALC!$F$1&gt;0,IF(N(INDEX(BASELINE!$A759:$ZZ759,CALC!$F$1))&gt;0,N(INDEX(BASELINE!$A759:$ZZ759,CALC!$F$1)),N(BASELINE!E759)),N(BASELINE!E759)))=INT(SIMOPS!$D$3),IFERROR(UPPER(TRIM(BASELINE!D759&amp;"")),"")&lt;&gt;"ENCERRADA"),1,0),0)</f>
        <v/>
      </c>
      <c r="B759">
        <f>B758+A759</f>
        <v/>
      </c>
    </row>
    <row r="760">
      <c r="A760">
        <f>IFERROR(IF(AND(BASELINE!I760&lt;&gt;"",INT(IF(CALC!$F$1&gt;0,IF(N(INDEX(BASELINE!$A760:$ZZ760,CALC!$F$1))&gt;0,N(INDEX(BASELINE!$A760:$ZZ760,CALC!$F$1)),N(BASELINE!E760)),N(BASELINE!E760)))=INT(SIMOPS!$D$3),IFERROR(UPPER(TRIM(BASELINE!D760&amp;"")),"")&lt;&gt;"ENCERRADA"),1,0),0)</f>
        <v/>
      </c>
      <c r="B760">
        <f>B759+A760</f>
        <v/>
      </c>
    </row>
    <row r="761">
      <c r="A761">
        <f>IFERROR(IF(AND(BASELINE!I761&lt;&gt;"",INT(IF(CALC!$F$1&gt;0,IF(N(INDEX(BASELINE!$A761:$ZZ761,CALC!$F$1))&gt;0,N(INDEX(BASELINE!$A761:$ZZ761,CALC!$F$1)),N(BASELINE!E761)),N(BASELINE!E761)))=INT(SIMOPS!$D$3),IFERROR(UPPER(TRIM(BASELINE!D761&amp;"")),"")&lt;&gt;"ENCERRADA"),1,0),0)</f>
        <v/>
      </c>
      <c r="B761">
        <f>B760+A761</f>
        <v/>
      </c>
    </row>
    <row r="762">
      <c r="A762">
        <f>IFERROR(IF(AND(BASELINE!I762&lt;&gt;"",INT(IF(CALC!$F$1&gt;0,IF(N(INDEX(BASELINE!$A762:$ZZ762,CALC!$F$1))&gt;0,N(INDEX(BASELINE!$A762:$ZZ762,CALC!$F$1)),N(BASELINE!E762)),N(BASELINE!E762)))=INT(SIMOPS!$D$3),IFERROR(UPPER(TRIM(BASELINE!D762&amp;"")),"")&lt;&gt;"ENCERRADA"),1,0),0)</f>
        <v/>
      </c>
      <c r="B762">
        <f>B761+A762</f>
        <v/>
      </c>
    </row>
    <row r="763">
      <c r="A763">
        <f>IFERROR(IF(AND(BASELINE!I763&lt;&gt;"",INT(IF(CALC!$F$1&gt;0,IF(N(INDEX(BASELINE!$A763:$ZZ763,CALC!$F$1))&gt;0,N(INDEX(BASELINE!$A763:$ZZ763,CALC!$F$1)),N(BASELINE!E763)),N(BASELINE!E763)))=INT(SIMOPS!$D$3),IFERROR(UPPER(TRIM(BASELINE!D763&amp;"")),"")&lt;&gt;"ENCERRADA"),1,0),0)</f>
        <v/>
      </c>
      <c r="B763">
        <f>B762+A763</f>
        <v/>
      </c>
    </row>
    <row r="764">
      <c r="A764">
        <f>IFERROR(IF(AND(BASELINE!I764&lt;&gt;"",INT(IF(CALC!$F$1&gt;0,IF(N(INDEX(BASELINE!$A764:$ZZ764,CALC!$F$1))&gt;0,N(INDEX(BASELINE!$A764:$ZZ764,CALC!$F$1)),N(BASELINE!E764)),N(BASELINE!E764)))=INT(SIMOPS!$D$3),IFERROR(UPPER(TRIM(BASELINE!D764&amp;"")),"")&lt;&gt;"ENCERRADA"),1,0),0)</f>
        <v/>
      </c>
      <c r="B764">
        <f>B763+A764</f>
        <v/>
      </c>
    </row>
    <row r="765">
      <c r="A765">
        <f>IFERROR(IF(AND(BASELINE!I765&lt;&gt;"",INT(IF(CALC!$F$1&gt;0,IF(N(INDEX(BASELINE!$A765:$ZZ765,CALC!$F$1))&gt;0,N(INDEX(BASELINE!$A765:$ZZ765,CALC!$F$1)),N(BASELINE!E765)),N(BASELINE!E765)))=INT(SIMOPS!$D$3),IFERROR(UPPER(TRIM(BASELINE!D765&amp;"")),"")&lt;&gt;"ENCERRADA"),1,0),0)</f>
        <v/>
      </c>
      <c r="B765">
        <f>B764+A765</f>
        <v/>
      </c>
    </row>
    <row r="766">
      <c r="A766">
        <f>IFERROR(IF(AND(BASELINE!I766&lt;&gt;"",INT(IF(CALC!$F$1&gt;0,IF(N(INDEX(BASELINE!$A766:$ZZ766,CALC!$F$1))&gt;0,N(INDEX(BASELINE!$A766:$ZZ766,CALC!$F$1)),N(BASELINE!E766)),N(BASELINE!E766)))=INT(SIMOPS!$D$3),IFERROR(UPPER(TRIM(BASELINE!D766&amp;"")),"")&lt;&gt;"ENCERRADA"),1,0),0)</f>
        <v/>
      </c>
      <c r="B766">
        <f>B765+A766</f>
        <v/>
      </c>
    </row>
    <row r="767">
      <c r="A767">
        <f>IFERROR(IF(AND(BASELINE!I767&lt;&gt;"",INT(IF(CALC!$F$1&gt;0,IF(N(INDEX(BASELINE!$A767:$ZZ767,CALC!$F$1))&gt;0,N(INDEX(BASELINE!$A767:$ZZ767,CALC!$F$1)),N(BASELINE!E767)),N(BASELINE!E767)))=INT(SIMOPS!$D$3),IFERROR(UPPER(TRIM(BASELINE!D767&amp;"")),"")&lt;&gt;"ENCERRADA"),1,0),0)</f>
        <v/>
      </c>
      <c r="B767">
        <f>B766+A767</f>
        <v/>
      </c>
    </row>
    <row r="768">
      <c r="A768">
        <f>IFERROR(IF(AND(BASELINE!I768&lt;&gt;"",INT(IF(CALC!$F$1&gt;0,IF(N(INDEX(BASELINE!$A768:$ZZ768,CALC!$F$1))&gt;0,N(INDEX(BASELINE!$A768:$ZZ768,CALC!$F$1)),N(BASELINE!E768)),N(BASELINE!E768)))=INT(SIMOPS!$D$3),IFERROR(UPPER(TRIM(BASELINE!D768&amp;"")),"")&lt;&gt;"ENCERRADA"),1,0),0)</f>
        <v/>
      </c>
      <c r="B768">
        <f>B767+A768</f>
        <v/>
      </c>
    </row>
    <row r="769">
      <c r="A769">
        <f>IFERROR(IF(AND(BASELINE!I769&lt;&gt;"",INT(IF(CALC!$F$1&gt;0,IF(N(INDEX(BASELINE!$A769:$ZZ769,CALC!$F$1))&gt;0,N(INDEX(BASELINE!$A769:$ZZ769,CALC!$F$1)),N(BASELINE!E769)),N(BASELINE!E769)))=INT(SIMOPS!$D$3),IFERROR(UPPER(TRIM(BASELINE!D769&amp;"")),"")&lt;&gt;"ENCERRADA"),1,0),0)</f>
        <v/>
      </c>
      <c r="B769">
        <f>B768+A769</f>
        <v/>
      </c>
    </row>
    <row r="770">
      <c r="A770">
        <f>IFERROR(IF(AND(BASELINE!I770&lt;&gt;"",INT(IF(CALC!$F$1&gt;0,IF(N(INDEX(BASELINE!$A770:$ZZ770,CALC!$F$1))&gt;0,N(INDEX(BASELINE!$A770:$ZZ770,CALC!$F$1)),N(BASELINE!E770)),N(BASELINE!E770)))=INT(SIMOPS!$D$3),IFERROR(UPPER(TRIM(BASELINE!D770&amp;"")),"")&lt;&gt;"ENCERRADA"),1,0),0)</f>
        <v/>
      </c>
      <c r="B770">
        <f>B769+A770</f>
        <v/>
      </c>
    </row>
    <row r="771">
      <c r="A771">
        <f>IFERROR(IF(AND(BASELINE!I771&lt;&gt;"",INT(IF(CALC!$F$1&gt;0,IF(N(INDEX(BASELINE!$A771:$ZZ771,CALC!$F$1))&gt;0,N(INDEX(BASELINE!$A771:$ZZ771,CALC!$F$1)),N(BASELINE!E771)),N(BASELINE!E771)))=INT(SIMOPS!$D$3),IFERROR(UPPER(TRIM(BASELINE!D771&amp;"")),"")&lt;&gt;"ENCERRADA"),1,0),0)</f>
        <v/>
      </c>
      <c r="B771">
        <f>B770+A771</f>
        <v/>
      </c>
    </row>
    <row r="772">
      <c r="A772">
        <f>IFERROR(IF(AND(BASELINE!I772&lt;&gt;"",INT(IF(CALC!$F$1&gt;0,IF(N(INDEX(BASELINE!$A772:$ZZ772,CALC!$F$1))&gt;0,N(INDEX(BASELINE!$A772:$ZZ772,CALC!$F$1)),N(BASELINE!E772)),N(BASELINE!E772)))=INT(SIMOPS!$D$3),IFERROR(UPPER(TRIM(BASELINE!D772&amp;"")),"")&lt;&gt;"ENCERRADA"),1,0),0)</f>
        <v/>
      </c>
      <c r="B772">
        <f>B771+A772</f>
        <v/>
      </c>
    </row>
    <row r="773">
      <c r="A773">
        <f>IFERROR(IF(AND(BASELINE!I773&lt;&gt;"",INT(IF(CALC!$F$1&gt;0,IF(N(INDEX(BASELINE!$A773:$ZZ773,CALC!$F$1))&gt;0,N(INDEX(BASELINE!$A773:$ZZ773,CALC!$F$1)),N(BASELINE!E773)),N(BASELINE!E773)))=INT(SIMOPS!$D$3),IFERROR(UPPER(TRIM(BASELINE!D773&amp;"")),"")&lt;&gt;"ENCERRADA"),1,0),0)</f>
        <v/>
      </c>
      <c r="B773">
        <f>B772+A773</f>
        <v/>
      </c>
    </row>
    <row r="774">
      <c r="A774">
        <f>IFERROR(IF(AND(BASELINE!I774&lt;&gt;"",INT(IF(CALC!$F$1&gt;0,IF(N(INDEX(BASELINE!$A774:$ZZ774,CALC!$F$1))&gt;0,N(INDEX(BASELINE!$A774:$ZZ774,CALC!$F$1)),N(BASELINE!E774)),N(BASELINE!E774)))=INT(SIMOPS!$D$3),IFERROR(UPPER(TRIM(BASELINE!D774&amp;"")),"")&lt;&gt;"ENCERRADA"),1,0),0)</f>
        <v/>
      </c>
      <c r="B774">
        <f>B773+A774</f>
        <v/>
      </c>
    </row>
    <row r="775">
      <c r="A775">
        <f>IFERROR(IF(AND(BASELINE!I775&lt;&gt;"",INT(IF(CALC!$F$1&gt;0,IF(N(INDEX(BASELINE!$A775:$ZZ775,CALC!$F$1))&gt;0,N(INDEX(BASELINE!$A775:$ZZ775,CALC!$F$1)),N(BASELINE!E775)),N(BASELINE!E775)))=INT(SIMOPS!$D$3),IFERROR(UPPER(TRIM(BASELINE!D775&amp;"")),"")&lt;&gt;"ENCERRADA"),1,0),0)</f>
        <v/>
      </c>
      <c r="B775">
        <f>B774+A775</f>
        <v/>
      </c>
    </row>
    <row r="776">
      <c r="A776">
        <f>IFERROR(IF(AND(BASELINE!I776&lt;&gt;"",INT(IF(CALC!$F$1&gt;0,IF(N(INDEX(BASELINE!$A776:$ZZ776,CALC!$F$1))&gt;0,N(INDEX(BASELINE!$A776:$ZZ776,CALC!$F$1)),N(BASELINE!E776)),N(BASELINE!E776)))=INT(SIMOPS!$D$3),IFERROR(UPPER(TRIM(BASELINE!D776&amp;"")),"")&lt;&gt;"ENCERRADA"),1,0),0)</f>
        <v/>
      </c>
      <c r="B776">
        <f>B775+A776</f>
        <v/>
      </c>
    </row>
    <row r="777">
      <c r="A777">
        <f>IFERROR(IF(AND(BASELINE!I777&lt;&gt;"",INT(IF(CALC!$F$1&gt;0,IF(N(INDEX(BASELINE!$A777:$ZZ777,CALC!$F$1))&gt;0,N(INDEX(BASELINE!$A777:$ZZ777,CALC!$F$1)),N(BASELINE!E777)),N(BASELINE!E777)))=INT(SIMOPS!$D$3),IFERROR(UPPER(TRIM(BASELINE!D777&amp;"")),"")&lt;&gt;"ENCERRADA"),1,0),0)</f>
        <v/>
      </c>
      <c r="B777">
        <f>B776+A777</f>
        <v/>
      </c>
    </row>
    <row r="778">
      <c r="A778">
        <f>IFERROR(IF(AND(BASELINE!I778&lt;&gt;"",INT(IF(CALC!$F$1&gt;0,IF(N(INDEX(BASELINE!$A778:$ZZ778,CALC!$F$1))&gt;0,N(INDEX(BASELINE!$A778:$ZZ778,CALC!$F$1)),N(BASELINE!E778)),N(BASELINE!E778)))=INT(SIMOPS!$D$3),IFERROR(UPPER(TRIM(BASELINE!D778&amp;"")),"")&lt;&gt;"ENCERRADA"),1,0),0)</f>
        <v/>
      </c>
      <c r="B778">
        <f>B777+A778</f>
        <v/>
      </c>
    </row>
    <row r="779">
      <c r="A779">
        <f>IFERROR(IF(AND(BASELINE!I779&lt;&gt;"",INT(IF(CALC!$F$1&gt;0,IF(N(INDEX(BASELINE!$A779:$ZZ779,CALC!$F$1))&gt;0,N(INDEX(BASELINE!$A779:$ZZ779,CALC!$F$1)),N(BASELINE!E779)),N(BASELINE!E779)))=INT(SIMOPS!$D$3),IFERROR(UPPER(TRIM(BASELINE!D779&amp;"")),"")&lt;&gt;"ENCERRADA"),1,0),0)</f>
        <v/>
      </c>
      <c r="B779">
        <f>B778+A779</f>
        <v/>
      </c>
    </row>
    <row r="780">
      <c r="A780">
        <f>IFERROR(IF(AND(BASELINE!I780&lt;&gt;"",INT(IF(CALC!$F$1&gt;0,IF(N(INDEX(BASELINE!$A780:$ZZ780,CALC!$F$1))&gt;0,N(INDEX(BASELINE!$A780:$ZZ780,CALC!$F$1)),N(BASELINE!E780)),N(BASELINE!E780)))=INT(SIMOPS!$D$3),IFERROR(UPPER(TRIM(BASELINE!D780&amp;"")),"")&lt;&gt;"ENCERRADA"),1,0),0)</f>
        <v/>
      </c>
      <c r="B780">
        <f>B779+A780</f>
        <v/>
      </c>
    </row>
    <row r="781">
      <c r="A781">
        <f>IFERROR(IF(AND(BASELINE!I781&lt;&gt;"",INT(IF(CALC!$F$1&gt;0,IF(N(INDEX(BASELINE!$A781:$ZZ781,CALC!$F$1))&gt;0,N(INDEX(BASELINE!$A781:$ZZ781,CALC!$F$1)),N(BASELINE!E781)),N(BASELINE!E781)))=INT(SIMOPS!$D$3),IFERROR(UPPER(TRIM(BASELINE!D781&amp;"")),"")&lt;&gt;"ENCERRADA"),1,0),0)</f>
        <v/>
      </c>
      <c r="B781">
        <f>B780+A781</f>
        <v/>
      </c>
    </row>
    <row r="782">
      <c r="A782">
        <f>IFERROR(IF(AND(BASELINE!I782&lt;&gt;"",INT(IF(CALC!$F$1&gt;0,IF(N(INDEX(BASELINE!$A782:$ZZ782,CALC!$F$1))&gt;0,N(INDEX(BASELINE!$A782:$ZZ782,CALC!$F$1)),N(BASELINE!E782)),N(BASELINE!E782)))=INT(SIMOPS!$D$3),IFERROR(UPPER(TRIM(BASELINE!D782&amp;"")),"")&lt;&gt;"ENCERRADA"),1,0),0)</f>
        <v/>
      </c>
      <c r="B782">
        <f>B781+A782</f>
        <v/>
      </c>
    </row>
    <row r="783">
      <c r="A783">
        <f>IFERROR(IF(AND(BASELINE!I783&lt;&gt;"",INT(IF(CALC!$F$1&gt;0,IF(N(INDEX(BASELINE!$A783:$ZZ783,CALC!$F$1))&gt;0,N(INDEX(BASELINE!$A783:$ZZ783,CALC!$F$1)),N(BASELINE!E783)),N(BASELINE!E783)))=INT(SIMOPS!$D$3),IFERROR(UPPER(TRIM(BASELINE!D783&amp;"")),"")&lt;&gt;"ENCERRADA"),1,0),0)</f>
        <v/>
      </c>
      <c r="B783">
        <f>B782+A783</f>
        <v/>
      </c>
    </row>
    <row r="784">
      <c r="A784">
        <f>IFERROR(IF(AND(BASELINE!I784&lt;&gt;"",INT(IF(CALC!$F$1&gt;0,IF(N(INDEX(BASELINE!$A784:$ZZ784,CALC!$F$1))&gt;0,N(INDEX(BASELINE!$A784:$ZZ784,CALC!$F$1)),N(BASELINE!E784)),N(BASELINE!E784)))=INT(SIMOPS!$D$3),IFERROR(UPPER(TRIM(BASELINE!D784&amp;"")),"")&lt;&gt;"ENCERRADA"),1,0),0)</f>
        <v/>
      </c>
      <c r="B784">
        <f>B783+A784</f>
        <v/>
      </c>
    </row>
    <row r="785">
      <c r="A785">
        <f>IFERROR(IF(AND(BASELINE!I785&lt;&gt;"",INT(IF(CALC!$F$1&gt;0,IF(N(INDEX(BASELINE!$A785:$ZZ785,CALC!$F$1))&gt;0,N(INDEX(BASELINE!$A785:$ZZ785,CALC!$F$1)),N(BASELINE!E785)),N(BASELINE!E785)))=INT(SIMOPS!$D$3),IFERROR(UPPER(TRIM(BASELINE!D785&amp;"")),"")&lt;&gt;"ENCERRADA"),1,0),0)</f>
        <v/>
      </c>
      <c r="B785">
        <f>B784+A785</f>
        <v/>
      </c>
    </row>
    <row r="786">
      <c r="A786">
        <f>IFERROR(IF(AND(BASELINE!I786&lt;&gt;"",INT(IF(CALC!$F$1&gt;0,IF(N(INDEX(BASELINE!$A786:$ZZ786,CALC!$F$1))&gt;0,N(INDEX(BASELINE!$A786:$ZZ786,CALC!$F$1)),N(BASELINE!E786)),N(BASELINE!E786)))=INT(SIMOPS!$D$3),IFERROR(UPPER(TRIM(BASELINE!D786&amp;"")),"")&lt;&gt;"ENCERRADA"),1,0),0)</f>
        <v/>
      </c>
      <c r="B786">
        <f>B785+A786</f>
        <v/>
      </c>
    </row>
    <row r="787">
      <c r="A787">
        <f>IFERROR(IF(AND(BASELINE!I787&lt;&gt;"",INT(IF(CALC!$F$1&gt;0,IF(N(INDEX(BASELINE!$A787:$ZZ787,CALC!$F$1))&gt;0,N(INDEX(BASELINE!$A787:$ZZ787,CALC!$F$1)),N(BASELINE!E787)),N(BASELINE!E787)))=INT(SIMOPS!$D$3),IFERROR(UPPER(TRIM(BASELINE!D787&amp;"")),"")&lt;&gt;"ENCERRADA"),1,0),0)</f>
        <v/>
      </c>
      <c r="B787">
        <f>B786+A787</f>
        <v/>
      </c>
    </row>
    <row r="788">
      <c r="A788">
        <f>IFERROR(IF(AND(BASELINE!I788&lt;&gt;"",INT(IF(CALC!$F$1&gt;0,IF(N(INDEX(BASELINE!$A788:$ZZ788,CALC!$F$1))&gt;0,N(INDEX(BASELINE!$A788:$ZZ788,CALC!$F$1)),N(BASELINE!E788)),N(BASELINE!E788)))=INT(SIMOPS!$D$3),IFERROR(UPPER(TRIM(BASELINE!D788&amp;"")),"")&lt;&gt;"ENCERRADA"),1,0),0)</f>
        <v/>
      </c>
      <c r="B788">
        <f>B787+A788</f>
        <v/>
      </c>
    </row>
    <row r="789">
      <c r="A789">
        <f>IFERROR(IF(AND(BASELINE!I789&lt;&gt;"",INT(IF(CALC!$F$1&gt;0,IF(N(INDEX(BASELINE!$A789:$ZZ789,CALC!$F$1))&gt;0,N(INDEX(BASELINE!$A789:$ZZ789,CALC!$F$1)),N(BASELINE!E789)),N(BASELINE!E789)))=INT(SIMOPS!$D$3),IFERROR(UPPER(TRIM(BASELINE!D789&amp;"")),"")&lt;&gt;"ENCERRADA"),1,0),0)</f>
        <v/>
      </c>
      <c r="B789">
        <f>B788+A789</f>
        <v/>
      </c>
    </row>
    <row r="790">
      <c r="A790">
        <f>IFERROR(IF(AND(BASELINE!I790&lt;&gt;"",INT(IF(CALC!$F$1&gt;0,IF(N(INDEX(BASELINE!$A790:$ZZ790,CALC!$F$1))&gt;0,N(INDEX(BASELINE!$A790:$ZZ790,CALC!$F$1)),N(BASELINE!E790)),N(BASELINE!E790)))=INT(SIMOPS!$D$3),IFERROR(UPPER(TRIM(BASELINE!D790&amp;"")),"")&lt;&gt;"ENCERRADA"),1,0),0)</f>
        <v/>
      </c>
      <c r="B790">
        <f>B789+A790</f>
        <v/>
      </c>
    </row>
    <row r="791">
      <c r="A791">
        <f>IFERROR(IF(AND(BASELINE!I791&lt;&gt;"",INT(IF(CALC!$F$1&gt;0,IF(N(INDEX(BASELINE!$A791:$ZZ791,CALC!$F$1))&gt;0,N(INDEX(BASELINE!$A791:$ZZ791,CALC!$F$1)),N(BASELINE!E791)),N(BASELINE!E791)))=INT(SIMOPS!$D$3),IFERROR(UPPER(TRIM(BASELINE!D791&amp;"")),"")&lt;&gt;"ENCERRADA"),1,0),0)</f>
        <v/>
      </c>
      <c r="B791">
        <f>B790+A791</f>
        <v/>
      </c>
    </row>
    <row r="792">
      <c r="A792">
        <f>IFERROR(IF(AND(BASELINE!I792&lt;&gt;"",INT(IF(CALC!$F$1&gt;0,IF(N(INDEX(BASELINE!$A792:$ZZ792,CALC!$F$1))&gt;0,N(INDEX(BASELINE!$A792:$ZZ792,CALC!$F$1)),N(BASELINE!E792)),N(BASELINE!E792)))=INT(SIMOPS!$D$3),IFERROR(UPPER(TRIM(BASELINE!D792&amp;"")),"")&lt;&gt;"ENCERRADA"),1,0),0)</f>
        <v/>
      </c>
      <c r="B792">
        <f>B791+A792</f>
        <v/>
      </c>
    </row>
    <row r="793">
      <c r="A793">
        <f>IFERROR(IF(AND(BASELINE!I793&lt;&gt;"",INT(IF(CALC!$F$1&gt;0,IF(N(INDEX(BASELINE!$A793:$ZZ793,CALC!$F$1))&gt;0,N(INDEX(BASELINE!$A793:$ZZ793,CALC!$F$1)),N(BASELINE!E793)),N(BASELINE!E793)))=INT(SIMOPS!$D$3),IFERROR(UPPER(TRIM(BASELINE!D793&amp;"")),"")&lt;&gt;"ENCERRADA"),1,0),0)</f>
        <v/>
      </c>
      <c r="B793">
        <f>B792+A793</f>
        <v/>
      </c>
    </row>
    <row r="794">
      <c r="A794">
        <f>IFERROR(IF(AND(BASELINE!I794&lt;&gt;"",INT(IF(CALC!$F$1&gt;0,IF(N(INDEX(BASELINE!$A794:$ZZ794,CALC!$F$1))&gt;0,N(INDEX(BASELINE!$A794:$ZZ794,CALC!$F$1)),N(BASELINE!E794)),N(BASELINE!E794)))=INT(SIMOPS!$D$3),IFERROR(UPPER(TRIM(BASELINE!D794&amp;"")),"")&lt;&gt;"ENCERRADA"),1,0),0)</f>
        <v/>
      </c>
      <c r="B794">
        <f>B793+A794</f>
        <v/>
      </c>
    </row>
    <row r="795">
      <c r="A795">
        <f>IFERROR(IF(AND(BASELINE!I795&lt;&gt;"",INT(IF(CALC!$F$1&gt;0,IF(N(INDEX(BASELINE!$A795:$ZZ795,CALC!$F$1))&gt;0,N(INDEX(BASELINE!$A795:$ZZ795,CALC!$F$1)),N(BASELINE!E795)),N(BASELINE!E795)))=INT(SIMOPS!$D$3),IFERROR(UPPER(TRIM(BASELINE!D795&amp;"")),"")&lt;&gt;"ENCERRADA"),1,0),0)</f>
        <v/>
      </c>
      <c r="B795">
        <f>B794+A795</f>
        <v/>
      </c>
    </row>
    <row r="796">
      <c r="A796">
        <f>IFERROR(IF(AND(BASELINE!I796&lt;&gt;"",INT(IF(CALC!$F$1&gt;0,IF(N(INDEX(BASELINE!$A796:$ZZ796,CALC!$F$1))&gt;0,N(INDEX(BASELINE!$A796:$ZZ796,CALC!$F$1)),N(BASELINE!E796)),N(BASELINE!E796)))=INT(SIMOPS!$D$3),IFERROR(UPPER(TRIM(BASELINE!D796&amp;"")),"")&lt;&gt;"ENCERRADA"),1,0),0)</f>
        <v/>
      </c>
      <c r="B796">
        <f>B795+A796</f>
        <v/>
      </c>
    </row>
    <row r="797">
      <c r="A797">
        <f>IFERROR(IF(AND(BASELINE!I797&lt;&gt;"",INT(IF(CALC!$F$1&gt;0,IF(N(INDEX(BASELINE!$A797:$ZZ797,CALC!$F$1))&gt;0,N(INDEX(BASELINE!$A797:$ZZ797,CALC!$F$1)),N(BASELINE!E797)),N(BASELINE!E797)))=INT(SIMOPS!$D$3),IFERROR(UPPER(TRIM(BASELINE!D797&amp;"")),"")&lt;&gt;"ENCERRADA"),1,0),0)</f>
        <v/>
      </c>
      <c r="B797">
        <f>B796+A797</f>
        <v/>
      </c>
    </row>
    <row r="798">
      <c r="A798">
        <f>IFERROR(IF(AND(BASELINE!I798&lt;&gt;"",INT(IF(CALC!$F$1&gt;0,IF(N(INDEX(BASELINE!$A798:$ZZ798,CALC!$F$1))&gt;0,N(INDEX(BASELINE!$A798:$ZZ798,CALC!$F$1)),N(BASELINE!E798)),N(BASELINE!E798)))=INT(SIMOPS!$D$3),IFERROR(UPPER(TRIM(BASELINE!D798&amp;"")),"")&lt;&gt;"ENCERRADA"),1,0),0)</f>
        <v/>
      </c>
      <c r="B798">
        <f>B797+A798</f>
        <v/>
      </c>
    </row>
    <row r="799">
      <c r="A799">
        <f>IFERROR(IF(AND(BASELINE!I799&lt;&gt;"",INT(IF(CALC!$F$1&gt;0,IF(N(INDEX(BASELINE!$A799:$ZZ799,CALC!$F$1))&gt;0,N(INDEX(BASELINE!$A799:$ZZ799,CALC!$F$1)),N(BASELINE!E799)),N(BASELINE!E799)))=INT(SIMOPS!$D$3),IFERROR(UPPER(TRIM(BASELINE!D799&amp;"")),"")&lt;&gt;"ENCERRADA"),1,0),0)</f>
        <v/>
      </c>
      <c r="B799">
        <f>B798+A799</f>
        <v/>
      </c>
    </row>
    <row r="800">
      <c r="A800">
        <f>IFERROR(IF(AND(BASELINE!I800&lt;&gt;"",INT(IF(CALC!$F$1&gt;0,IF(N(INDEX(BASELINE!$A800:$ZZ800,CALC!$F$1))&gt;0,N(INDEX(BASELINE!$A800:$ZZ800,CALC!$F$1)),N(BASELINE!E800)),N(BASELINE!E800)))=INT(SIMOPS!$D$3),IFERROR(UPPER(TRIM(BASELINE!D800&amp;"")),"")&lt;&gt;"ENCERRADA"),1,0),0)</f>
        <v/>
      </c>
      <c r="B800">
        <f>B799+A800</f>
        <v/>
      </c>
    </row>
    <row r="801">
      <c r="A801">
        <f>IFERROR(IF(AND(BASELINE!I801&lt;&gt;"",INT(IF(CALC!$F$1&gt;0,IF(N(INDEX(BASELINE!$A801:$ZZ801,CALC!$F$1))&gt;0,N(INDEX(BASELINE!$A801:$ZZ801,CALC!$F$1)),N(BASELINE!E801)),N(BASELINE!E801)))=INT(SIMOPS!$D$3),IFERROR(UPPER(TRIM(BASELINE!D801&amp;"")),"")&lt;&gt;"ENCERRADA"),1,0),0)</f>
        <v/>
      </c>
      <c r="B801">
        <f>B800+A801</f>
        <v/>
      </c>
    </row>
    <row r="802">
      <c r="A802">
        <f>IFERROR(IF(AND(BASELINE!I802&lt;&gt;"",INT(IF(CALC!$F$1&gt;0,IF(N(INDEX(BASELINE!$A802:$ZZ802,CALC!$F$1))&gt;0,N(INDEX(BASELINE!$A802:$ZZ802,CALC!$F$1)),N(BASELINE!E802)),N(BASELINE!E802)))=INT(SIMOPS!$D$3),IFERROR(UPPER(TRIM(BASELINE!D802&amp;"")),"")&lt;&gt;"ENCERRADA"),1,0),0)</f>
        <v/>
      </c>
      <c r="B802">
        <f>B801+A802</f>
        <v/>
      </c>
    </row>
    <row r="803">
      <c r="A803">
        <f>IFERROR(IF(AND(BASELINE!I803&lt;&gt;"",INT(IF(CALC!$F$1&gt;0,IF(N(INDEX(BASELINE!$A803:$ZZ803,CALC!$F$1))&gt;0,N(INDEX(BASELINE!$A803:$ZZ803,CALC!$F$1)),N(BASELINE!E803)),N(BASELINE!E803)))=INT(SIMOPS!$D$3),IFERROR(UPPER(TRIM(BASELINE!D803&amp;"")),"")&lt;&gt;"ENCERRADA"),1,0),0)</f>
        <v/>
      </c>
      <c r="B803">
        <f>B802+A803</f>
        <v/>
      </c>
    </row>
    <row r="804">
      <c r="A804">
        <f>IFERROR(IF(AND(BASELINE!I804&lt;&gt;"",INT(IF(CALC!$F$1&gt;0,IF(N(INDEX(BASELINE!$A804:$ZZ804,CALC!$F$1))&gt;0,N(INDEX(BASELINE!$A804:$ZZ804,CALC!$F$1)),N(BASELINE!E804)),N(BASELINE!E804)))=INT(SIMOPS!$D$3),IFERROR(UPPER(TRIM(BASELINE!D804&amp;"")),"")&lt;&gt;"ENCERRADA"),1,0),0)</f>
        <v/>
      </c>
      <c r="B804">
        <f>B803+A804</f>
        <v/>
      </c>
    </row>
    <row r="805">
      <c r="A805">
        <f>IFERROR(IF(AND(BASELINE!I805&lt;&gt;"",INT(IF(CALC!$F$1&gt;0,IF(N(INDEX(BASELINE!$A805:$ZZ805,CALC!$F$1))&gt;0,N(INDEX(BASELINE!$A805:$ZZ805,CALC!$F$1)),N(BASELINE!E805)),N(BASELINE!E805)))=INT(SIMOPS!$D$3),IFERROR(UPPER(TRIM(BASELINE!D805&amp;"")),"")&lt;&gt;"ENCERRADA"),1,0),0)</f>
        <v/>
      </c>
      <c r="B805">
        <f>B804+A805</f>
        <v/>
      </c>
    </row>
    <row r="806">
      <c r="A806">
        <f>IFERROR(IF(AND(BASELINE!I806&lt;&gt;"",INT(IF(CALC!$F$1&gt;0,IF(N(INDEX(BASELINE!$A806:$ZZ806,CALC!$F$1))&gt;0,N(INDEX(BASELINE!$A806:$ZZ806,CALC!$F$1)),N(BASELINE!E806)),N(BASELINE!E806)))=INT(SIMOPS!$D$3),IFERROR(UPPER(TRIM(BASELINE!D806&amp;"")),"")&lt;&gt;"ENCERRADA"),1,0),0)</f>
        <v/>
      </c>
      <c r="B806">
        <f>B805+A806</f>
        <v/>
      </c>
    </row>
    <row r="807">
      <c r="A807">
        <f>IFERROR(IF(AND(BASELINE!I807&lt;&gt;"",INT(IF(CALC!$F$1&gt;0,IF(N(INDEX(BASELINE!$A807:$ZZ807,CALC!$F$1))&gt;0,N(INDEX(BASELINE!$A807:$ZZ807,CALC!$F$1)),N(BASELINE!E807)),N(BASELINE!E807)))=INT(SIMOPS!$D$3),IFERROR(UPPER(TRIM(BASELINE!D807&amp;"")),"")&lt;&gt;"ENCERRADA"),1,0),0)</f>
        <v/>
      </c>
      <c r="B807">
        <f>B806+A807</f>
        <v/>
      </c>
    </row>
    <row r="808">
      <c r="A808">
        <f>IFERROR(IF(AND(BASELINE!I808&lt;&gt;"",INT(IF(CALC!$F$1&gt;0,IF(N(INDEX(BASELINE!$A808:$ZZ808,CALC!$F$1))&gt;0,N(INDEX(BASELINE!$A808:$ZZ808,CALC!$F$1)),N(BASELINE!E808)),N(BASELINE!E808)))=INT(SIMOPS!$D$3),IFERROR(UPPER(TRIM(BASELINE!D808&amp;"")),"")&lt;&gt;"ENCERRADA"),1,0),0)</f>
        <v/>
      </c>
      <c r="B808">
        <f>B807+A808</f>
        <v/>
      </c>
    </row>
    <row r="809">
      <c r="A809">
        <f>IFERROR(IF(AND(BASELINE!I809&lt;&gt;"",INT(IF(CALC!$F$1&gt;0,IF(N(INDEX(BASELINE!$A809:$ZZ809,CALC!$F$1))&gt;0,N(INDEX(BASELINE!$A809:$ZZ809,CALC!$F$1)),N(BASELINE!E809)),N(BASELINE!E809)))=INT(SIMOPS!$D$3),IFERROR(UPPER(TRIM(BASELINE!D809&amp;"")),"")&lt;&gt;"ENCERRADA"),1,0),0)</f>
        <v/>
      </c>
      <c r="B809">
        <f>B808+A809</f>
        <v/>
      </c>
    </row>
    <row r="810">
      <c r="A810">
        <f>IFERROR(IF(AND(BASELINE!I810&lt;&gt;"",INT(IF(CALC!$F$1&gt;0,IF(N(INDEX(BASELINE!$A810:$ZZ810,CALC!$F$1))&gt;0,N(INDEX(BASELINE!$A810:$ZZ810,CALC!$F$1)),N(BASELINE!E810)),N(BASELINE!E810)))=INT(SIMOPS!$D$3),IFERROR(UPPER(TRIM(BASELINE!D810&amp;"")),"")&lt;&gt;"ENCERRADA"),1,0),0)</f>
        <v/>
      </c>
      <c r="B810">
        <f>B809+A810</f>
        <v/>
      </c>
    </row>
    <row r="811">
      <c r="A811">
        <f>IFERROR(IF(AND(BASELINE!I811&lt;&gt;"",INT(IF(CALC!$F$1&gt;0,IF(N(INDEX(BASELINE!$A811:$ZZ811,CALC!$F$1))&gt;0,N(INDEX(BASELINE!$A811:$ZZ811,CALC!$F$1)),N(BASELINE!E811)),N(BASELINE!E811)))=INT(SIMOPS!$D$3),IFERROR(UPPER(TRIM(BASELINE!D811&amp;"")),"")&lt;&gt;"ENCERRADA"),1,0),0)</f>
        <v/>
      </c>
      <c r="B811">
        <f>B810+A811</f>
        <v/>
      </c>
    </row>
    <row r="812">
      <c r="A812">
        <f>IFERROR(IF(AND(BASELINE!I812&lt;&gt;"",INT(IF(CALC!$F$1&gt;0,IF(N(INDEX(BASELINE!$A812:$ZZ812,CALC!$F$1))&gt;0,N(INDEX(BASELINE!$A812:$ZZ812,CALC!$F$1)),N(BASELINE!E812)),N(BASELINE!E812)))=INT(SIMOPS!$D$3),IFERROR(UPPER(TRIM(BASELINE!D812&amp;"")),"")&lt;&gt;"ENCERRADA"),1,0),0)</f>
        <v/>
      </c>
      <c r="B812">
        <f>B811+A812</f>
        <v/>
      </c>
    </row>
    <row r="813">
      <c r="A813">
        <f>IFERROR(IF(AND(BASELINE!I813&lt;&gt;"",INT(IF(CALC!$F$1&gt;0,IF(N(INDEX(BASELINE!$A813:$ZZ813,CALC!$F$1))&gt;0,N(INDEX(BASELINE!$A813:$ZZ813,CALC!$F$1)),N(BASELINE!E813)),N(BASELINE!E813)))=INT(SIMOPS!$D$3),IFERROR(UPPER(TRIM(BASELINE!D813&amp;"")),"")&lt;&gt;"ENCERRADA"),1,0),0)</f>
        <v/>
      </c>
      <c r="B813">
        <f>B812+A813</f>
        <v/>
      </c>
    </row>
    <row r="814">
      <c r="A814">
        <f>IFERROR(IF(AND(BASELINE!I814&lt;&gt;"",INT(IF(CALC!$F$1&gt;0,IF(N(INDEX(BASELINE!$A814:$ZZ814,CALC!$F$1))&gt;0,N(INDEX(BASELINE!$A814:$ZZ814,CALC!$F$1)),N(BASELINE!E814)),N(BASELINE!E814)))=INT(SIMOPS!$D$3),IFERROR(UPPER(TRIM(BASELINE!D814&amp;"")),"")&lt;&gt;"ENCERRADA"),1,0),0)</f>
        <v/>
      </c>
      <c r="B814">
        <f>B813+A814</f>
        <v/>
      </c>
    </row>
    <row r="815">
      <c r="A815">
        <f>IFERROR(IF(AND(BASELINE!I815&lt;&gt;"",INT(IF(CALC!$F$1&gt;0,IF(N(INDEX(BASELINE!$A815:$ZZ815,CALC!$F$1))&gt;0,N(INDEX(BASELINE!$A815:$ZZ815,CALC!$F$1)),N(BASELINE!E815)),N(BASELINE!E815)))=INT(SIMOPS!$D$3),IFERROR(UPPER(TRIM(BASELINE!D815&amp;"")),"")&lt;&gt;"ENCERRADA"),1,0),0)</f>
        <v/>
      </c>
      <c r="B815">
        <f>B814+A815</f>
        <v/>
      </c>
    </row>
    <row r="816">
      <c r="A816">
        <f>IFERROR(IF(AND(BASELINE!I816&lt;&gt;"",INT(IF(CALC!$F$1&gt;0,IF(N(INDEX(BASELINE!$A816:$ZZ816,CALC!$F$1))&gt;0,N(INDEX(BASELINE!$A816:$ZZ816,CALC!$F$1)),N(BASELINE!E816)),N(BASELINE!E816)))=INT(SIMOPS!$D$3),IFERROR(UPPER(TRIM(BASELINE!D816&amp;"")),"")&lt;&gt;"ENCERRADA"),1,0),0)</f>
        <v/>
      </c>
      <c r="B816">
        <f>B815+A816</f>
        <v/>
      </c>
    </row>
    <row r="817">
      <c r="A817">
        <f>IFERROR(IF(AND(BASELINE!I817&lt;&gt;"",INT(IF(CALC!$F$1&gt;0,IF(N(INDEX(BASELINE!$A817:$ZZ817,CALC!$F$1))&gt;0,N(INDEX(BASELINE!$A817:$ZZ817,CALC!$F$1)),N(BASELINE!E817)),N(BASELINE!E817)))=INT(SIMOPS!$D$3),IFERROR(UPPER(TRIM(BASELINE!D817&amp;"")),"")&lt;&gt;"ENCERRADA"),1,0),0)</f>
        <v/>
      </c>
      <c r="B817">
        <f>B816+A817</f>
        <v/>
      </c>
    </row>
    <row r="818">
      <c r="A818">
        <f>IFERROR(IF(AND(BASELINE!I818&lt;&gt;"",INT(IF(CALC!$F$1&gt;0,IF(N(INDEX(BASELINE!$A818:$ZZ818,CALC!$F$1))&gt;0,N(INDEX(BASELINE!$A818:$ZZ818,CALC!$F$1)),N(BASELINE!E818)),N(BASELINE!E818)))=INT(SIMOPS!$D$3),IFERROR(UPPER(TRIM(BASELINE!D818&amp;"")),"")&lt;&gt;"ENCERRADA"),1,0),0)</f>
        <v/>
      </c>
      <c r="B818">
        <f>B817+A818</f>
        <v/>
      </c>
    </row>
    <row r="819">
      <c r="A819">
        <f>IFERROR(IF(AND(BASELINE!I819&lt;&gt;"",INT(IF(CALC!$F$1&gt;0,IF(N(INDEX(BASELINE!$A819:$ZZ819,CALC!$F$1))&gt;0,N(INDEX(BASELINE!$A819:$ZZ819,CALC!$F$1)),N(BASELINE!E819)),N(BASELINE!E819)))=INT(SIMOPS!$D$3),IFERROR(UPPER(TRIM(BASELINE!D819&amp;"")),"")&lt;&gt;"ENCERRADA"),1,0),0)</f>
        <v/>
      </c>
      <c r="B819">
        <f>B818+A819</f>
        <v/>
      </c>
    </row>
    <row r="820">
      <c r="A820">
        <f>IFERROR(IF(AND(BASELINE!I820&lt;&gt;"",INT(IF(CALC!$F$1&gt;0,IF(N(INDEX(BASELINE!$A820:$ZZ820,CALC!$F$1))&gt;0,N(INDEX(BASELINE!$A820:$ZZ820,CALC!$F$1)),N(BASELINE!E820)),N(BASELINE!E820)))=INT(SIMOPS!$D$3),IFERROR(UPPER(TRIM(BASELINE!D820&amp;"")),"")&lt;&gt;"ENCERRADA"),1,0),0)</f>
        <v/>
      </c>
      <c r="B820">
        <f>B819+A820</f>
        <v/>
      </c>
    </row>
    <row r="821">
      <c r="A821">
        <f>IFERROR(IF(AND(BASELINE!I821&lt;&gt;"",INT(IF(CALC!$F$1&gt;0,IF(N(INDEX(BASELINE!$A821:$ZZ821,CALC!$F$1))&gt;0,N(INDEX(BASELINE!$A821:$ZZ821,CALC!$F$1)),N(BASELINE!E821)),N(BASELINE!E821)))=INT(SIMOPS!$D$3),IFERROR(UPPER(TRIM(BASELINE!D821&amp;"")),"")&lt;&gt;"ENCERRADA"),1,0),0)</f>
        <v/>
      </c>
      <c r="B821">
        <f>B820+A821</f>
        <v/>
      </c>
    </row>
    <row r="822">
      <c r="A822">
        <f>IFERROR(IF(AND(BASELINE!I822&lt;&gt;"",INT(IF(CALC!$F$1&gt;0,IF(N(INDEX(BASELINE!$A822:$ZZ822,CALC!$F$1))&gt;0,N(INDEX(BASELINE!$A822:$ZZ822,CALC!$F$1)),N(BASELINE!E822)),N(BASELINE!E822)))=INT(SIMOPS!$D$3),IFERROR(UPPER(TRIM(BASELINE!D822&amp;"")),"")&lt;&gt;"ENCERRADA"),1,0),0)</f>
        <v/>
      </c>
      <c r="B822">
        <f>B821+A822</f>
        <v/>
      </c>
    </row>
    <row r="823">
      <c r="A823">
        <f>IFERROR(IF(AND(BASELINE!I823&lt;&gt;"",INT(IF(CALC!$F$1&gt;0,IF(N(INDEX(BASELINE!$A823:$ZZ823,CALC!$F$1))&gt;0,N(INDEX(BASELINE!$A823:$ZZ823,CALC!$F$1)),N(BASELINE!E823)),N(BASELINE!E823)))=INT(SIMOPS!$D$3),IFERROR(UPPER(TRIM(BASELINE!D823&amp;"")),"")&lt;&gt;"ENCERRADA"),1,0),0)</f>
        <v/>
      </c>
      <c r="B823">
        <f>B822+A823</f>
        <v/>
      </c>
    </row>
    <row r="824">
      <c r="A824">
        <f>IFERROR(IF(AND(BASELINE!I824&lt;&gt;"",INT(IF(CALC!$F$1&gt;0,IF(N(INDEX(BASELINE!$A824:$ZZ824,CALC!$F$1))&gt;0,N(INDEX(BASELINE!$A824:$ZZ824,CALC!$F$1)),N(BASELINE!E824)),N(BASELINE!E824)))=INT(SIMOPS!$D$3),IFERROR(UPPER(TRIM(BASELINE!D824&amp;"")),"")&lt;&gt;"ENCERRADA"),1,0),0)</f>
        <v/>
      </c>
      <c r="B824">
        <f>B823+A824</f>
        <v/>
      </c>
    </row>
    <row r="825">
      <c r="A825">
        <f>IFERROR(IF(AND(BASELINE!I825&lt;&gt;"",INT(IF(CALC!$F$1&gt;0,IF(N(INDEX(BASELINE!$A825:$ZZ825,CALC!$F$1))&gt;0,N(INDEX(BASELINE!$A825:$ZZ825,CALC!$F$1)),N(BASELINE!E825)),N(BASELINE!E825)))=INT(SIMOPS!$D$3),IFERROR(UPPER(TRIM(BASELINE!D825&amp;"")),"")&lt;&gt;"ENCERRADA"),1,0),0)</f>
        <v/>
      </c>
      <c r="B825">
        <f>B824+A825</f>
        <v/>
      </c>
    </row>
    <row r="826">
      <c r="A826">
        <f>IFERROR(IF(AND(BASELINE!I826&lt;&gt;"",INT(IF(CALC!$F$1&gt;0,IF(N(INDEX(BASELINE!$A826:$ZZ826,CALC!$F$1))&gt;0,N(INDEX(BASELINE!$A826:$ZZ826,CALC!$F$1)),N(BASELINE!E826)),N(BASELINE!E826)))=INT(SIMOPS!$D$3),IFERROR(UPPER(TRIM(BASELINE!D826&amp;"")),"")&lt;&gt;"ENCERRADA"),1,0),0)</f>
        <v/>
      </c>
      <c r="B826">
        <f>B825+A826</f>
        <v/>
      </c>
    </row>
    <row r="827">
      <c r="A827">
        <f>IFERROR(IF(AND(BASELINE!I827&lt;&gt;"",INT(IF(CALC!$F$1&gt;0,IF(N(INDEX(BASELINE!$A827:$ZZ827,CALC!$F$1))&gt;0,N(INDEX(BASELINE!$A827:$ZZ827,CALC!$F$1)),N(BASELINE!E827)),N(BASELINE!E827)))=INT(SIMOPS!$D$3),IFERROR(UPPER(TRIM(BASELINE!D827&amp;"")),"")&lt;&gt;"ENCERRADA"),1,0),0)</f>
        <v/>
      </c>
      <c r="B827">
        <f>B826+A827</f>
        <v/>
      </c>
    </row>
    <row r="828">
      <c r="A828">
        <f>IFERROR(IF(AND(BASELINE!I828&lt;&gt;"",INT(IF(CALC!$F$1&gt;0,IF(N(INDEX(BASELINE!$A828:$ZZ828,CALC!$F$1))&gt;0,N(INDEX(BASELINE!$A828:$ZZ828,CALC!$F$1)),N(BASELINE!E828)),N(BASELINE!E828)))=INT(SIMOPS!$D$3),IFERROR(UPPER(TRIM(BASELINE!D828&amp;"")),"")&lt;&gt;"ENCERRADA"),1,0),0)</f>
        <v/>
      </c>
      <c r="B828">
        <f>B827+A828</f>
        <v/>
      </c>
    </row>
    <row r="829">
      <c r="A829">
        <f>IFERROR(IF(AND(BASELINE!I829&lt;&gt;"",INT(IF(CALC!$F$1&gt;0,IF(N(INDEX(BASELINE!$A829:$ZZ829,CALC!$F$1))&gt;0,N(INDEX(BASELINE!$A829:$ZZ829,CALC!$F$1)),N(BASELINE!E829)),N(BASELINE!E829)))=INT(SIMOPS!$D$3),IFERROR(UPPER(TRIM(BASELINE!D829&amp;"")),"")&lt;&gt;"ENCERRADA"),1,0),0)</f>
        <v/>
      </c>
      <c r="B829">
        <f>B828+A829</f>
        <v/>
      </c>
    </row>
    <row r="830">
      <c r="A830">
        <f>IFERROR(IF(AND(BASELINE!I830&lt;&gt;"",INT(IF(CALC!$F$1&gt;0,IF(N(INDEX(BASELINE!$A830:$ZZ830,CALC!$F$1))&gt;0,N(INDEX(BASELINE!$A830:$ZZ830,CALC!$F$1)),N(BASELINE!E830)),N(BASELINE!E830)))=INT(SIMOPS!$D$3),IFERROR(UPPER(TRIM(BASELINE!D830&amp;"")),"")&lt;&gt;"ENCERRADA"),1,0),0)</f>
        <v/>
      </c>
      <c r="B830">
        <f>B829+A830</f>
        <v/>
      </c>
    </row>
    <row r="831">
      <c r="A831">
        <f>IFERROR(IF(AND(BASELINE!I831&lt;&gt;"",INT(IF(CALC!$F$1&gt;0,IF(N(INDEX(BASELINE!$A831:$ZZ831,CALC!$F$1))&gt;0,N(INDEX(BASELINE!$A831:$ZZ831,CALC!$F$1)),N(BASELINE!E831)),N(BASELINE!E831)))=INT(SIMOPS!$D$3),IFERROR(UPPER(TRIM(BASELINE!D831&amp;"")),"")&lt;&gt;"ENCERRADA"),1,0),0)</f>
        <v/>
      </c>
      <c r="B831">
        <f>B830+A831</f>
        <v/>
      </c>
    </row>
    <row r="832">
      <c r="A832">
        <f>IFERROR(IF(AND(BASELINE!I832&lt;&gt;"",INT(IF(CALC!$F$1&gt;0,IF(N(INDEX(BASELINE!$A832:$ZZ832,CALC!$F$1))&gt;0,N(INDEX(BASELINE!$A832:$ZZ832,CALC!$F$1)),N(BASELINE!E832)),N(BASELINE!E832)))=INT(SIMOPS!$D$3),IFERROR(UPPER(TRIM(BASELINE!D832&amp;"")),"")&lt;&gt;"ENCERRADA"),1,0),0)</f>
        <v/>
      </c>
      <c r="B832">
        <f>B831+A832</f>
        <v/>
      </c>
    </row>
    <row r="833">
      <c r="A833">
        <f>IFERROR(IF(AND(BASELINE!I833&lt;&gt;"",INT(IF(CALC!$F$1&gt;0,IF(N(INDEX(BASELINE!$A833:$ZZ833,CALC!$F$1))&gt;0,N(INDEX(BASELINE!$A833:$ZZ833,CALC!$F$1)),N(BASELINE!E833)),N(BASELINE!E833)))=INT(SIMOPS!$D$3),IFERROR(UPPER(TRIM(BASELINE!D833&amp;"")),"")&lt;&gt;"ENCERRADA"),1,0),0)</f>
        <v/>
      </c>
      <c r="B833">
        <f>B832+A833</f>
        <v/>
      </c>
    </row>
    <row r="834">
      <c r="A834">
        <f>IFERROR(IF(AND(BASELINE!I834&lt;&gt;"",INT(IF(CALC!$F$1&gt;0,IF(N(INDEX(BASELINE!$A834:$ZZ834,CALC!$F$1))&gt;0,N(INDEX(BASELINE!$A834:$ZZ834,CALC!$F$1)),N(BASELINE!E834)),N(BASELINE!E834)))=INT(SIMOPS!$D$3),IFERROR(UPPER(TRIM(BASELINE!D834&amp;"")),"")&lt;&gt;"ENCERRADA"),1,0),0)</f>
        <v/>
      </c>
      <c r="B834">
        <f>B833+A834</f>
        <v/>
      </c>
    </row>
    <row r="835">
      <c r="A835">
        <f>IFERROR(IF(AND(BASELINE!I835&lt;&gt;"",INT(IF(CALC!$F$1&gt;0,IF(N(INDEX(BASELINE!$A835:$ZZ835,CALC!$F$1))&gt;0,N(INDEX(BASELINE!$A835:$ZZ835,CALC!$F$1)),N(BASELINE!E835)),N(BASELINE!E835)))=INT(SIMOPS!$D$3),IFERROR(UPPER(TRIM(BASELINE!D835&amp;"")),"")&lt;&gt;"ENCERRADA"),1,0),0)</f>
        <v/>
      </c>
      <c r="B835">
        <f>B834+A835</f>
        <v/>
      </c>
    </row>
    <row r="836">
      <c r="A836">
        <f>IFERROR(IF(AND(BASELINE!I836&lt;&gt;"",INT(IF(CALC!$F$1&gt;0,IF(N(INDEX(BASELINE!$A836:$ZZ836,CALC!$F$1))&gt;0,N(INDEX(BASELINE!$A836:$ZZ836,CALC!$F$1)),N(BASELINE!E836)),N(BASELINE!E836)))=INT(SIMOPS!$D$3),IFERROR(UPPER(TRIM(BASELINE!D836&amp;"")),"")&lt;&gt;"ENCERRADA"),1,0),0)</f>
        <v/>
      </c>
      <c r="B836">
        <f>B835+A836</f>
        <v/>
      </c>
    </row>
    <row r="837">
      <c r="A837">
        <f>IFERROR(IF(AND(BASELINE!I837&lt;&gt;"",INT(IF(CALC!$F$1&gt;0,IF(N(INDEX(BASELINE!$A837:$ZZ837,CALC!$F$1))&gt;0,N(INDEX(BASELINE!$A837:$ZZ837,CALC!$F$1)),N(BASELINE!E837)),N(BASELINE!E837)))=INT(SIMOPS!$D$3),IFERROR(UPPER(TRIM(BASELINE!D837&amp;"")),"")&lt;&gt;"ENCERRADA"),1,0),0)</f>
        <v/>
      </c>
      <c r="B837">
        <f>B836+A837</f>
        <v/>
      </c>
    </row>
    <row r="838">
      <c r="A838">
        <f>IFERROR(IF(AND(BASELINE!I838&lt;&gt;"",INT(IF(CALC!$F$1&gt;0,IF(N(INDEX(BASELINE!$A838:$ZZ838,CALC!$F$1))&gt;0,N(INDEX(BASELINE!$A838:$ZZ838,CALC!$F$1)),N(BASELINE!E838)),N(BASELINE!E838)))=INT(SIMOPS!$D$3),IFERROR(UPPER(TRIM(BASELINE!D838&amp;"")),"")&lt;&gt;"ENCERRADA"),1,0),0)</f>
        <v/>
      </c>
      <c r="B838">
        <f>B837+A838</f>
        <v/>
      </c>
    </row>
    <row r="839">
      <c r="A839">
        <f>IFERROR(IF(AND(BASELINE!I839&lt;&gt;"",INT(IF(CALC!$F$1&gt;0,IF(N(INDEX(BASELINE!$A839:$ZZ839,CALC!$F$1))&gt;0,N(INDEX(BASELINE!$A839:$ZZ839,CALC!$F$1)),N(BASELINE!E839)),N(BASELINE!E839)))=INT(SIMOPS!$D$3),IFERROR(UPPER(TRIM(BASELINE!D839&amp;"")),"")&lt;&gt;"ENCERRADA"),1,0),0)</f>
        <v/>
      </c>
      <c r="B839">
        <f>B838+A839</f>
        <v/>
      </c>
    </row>
    <row r="840">
      <c r="A840">
        <f>IFERROR(IF(AND(BASELINE!I840&lt;&gt;"",INT(IF(CALC!$F$1&gt;0,IF(N(INDEX(BASELINE!$A840:$ZZ840,CALC!$F$1))&gt;0,N(INDEX(BASELINE!$A840:$ZZ840,CALC!$F$1)),N(BASELINE!E840)),N(BASELINE!E840)))=INT(SIMOPS!$D$3),IFERROR(UPPER(TRIM(BASELINE!D840&amp;"")),"")&lt;&gt;"ENCERRADA"),1,0),0)</f>
        <v/>
      </c>
      <c r="B840">
        <f>B839+A840</f>
        <v/>
      </c>
    </row>
    <row r="841">
      <c r="A841">
        <f>IFERROR(IF(AND(BASELINE!I841&lt;&gt;"",INT(IF(CALC!$F$1&gt;0,IF(N(INDEX(BASELINE!$A841:$ZZ841,CALC!$F$1))&gt;0,N(INDEX(BASELINE!$A841:$ZZ841,CALC!$F$1)),N(BASELINE!E841)),N(BASELINE!E841)))=INT(SIMOPS!$D$3),IFERROR(UPPER(TRIM(BASELINE!D841&amp;"")),"")&lt;&gt;"ENCERRADA"),1,0),0)</f>
        <v/>
      </c>
      <c r="B841">
        <f>B840+A841</f>
        <v/>
      </c>
    </row>
    <row r="842">
      <c r="A842">
        <f>IFERROR(IF(AND(BASELINE!I842&lt;&gt;"",INT(IF(CALC!$F$1&gt;0,IF(N(INDEX(BASELINE!$A842:$ZZ842,CALC!$F$1))&gt;0,N(INDEX(BASELINE!$A842:$ZZ842,CALC!$F$1)),N(BASELINE!E842)),N(BASELINE!E842)))=INT(SIMOPS!$D$3),IFERROR(UPPER(TRIM(BASELINE!D842&amp;"")),"")&lt;&gt;"ENCERRADA"),1,0),0)</f>
        <v/>
      </c>
      <c r="B842">
        <f>B841+A842</f>
        <v/>
      </c>
    </row>
    <row r="843">
      <c r="A843">
        <f>IFERROR(IF(AND(BASELINE!I843&lt;&gt;"",INT(IF(CALC!$F$1&gt;0,IF(N(INDEX(BASELINE!$A843:$ZZ843,CALC!$F$1))&gt;0,N(INDEX(BASELINE!$A843:$ZZ843,CALC!$F$1)),N(BASELINE!E843)),N(BASELINE!E843)))=INT(SIMOPS!$D$3),IFERROR(UPPER(TRIM(BASELINE!D843&amp;"")),"")&lt;&gt;"ENCERRADA"),1,0),0)</f>
        <v/>
      </c>
      <c r="B843">
        <f>B842+A843</f>
        <v/>
      </c>
    </row>
    <row r="844">
      <c r="A844">
        <f>IFERROR(IF(AND(BASELINE!I844&lt;&gt;"",INT(IF(CALC!$F$1&gt;0,IF(N(INDEX(BASELINE!$A844:$ZZ844,CALC!$F$1))&gt;0,N(INDEX(BASELINE!$A844:$ZZ844,CALC!$F$1)),N(BASELINE!E844)),N(BASELINE!E844)))=INT(SIMOPS!$D$3),IFERROR(UPPER(TRIM(BASELINE!D844&amp;"")),"")&lt;&gt;"ENCERRADA"),1,0),0)</f>
        <v/>
      </c>
      <c r="B844">
        <f>B843+A844</f>
        <v/>
      </c>
    </row>
    <row r="845">
      <c r="A845">
        <f>IFERROR(IF(AND(BASELINE!I845&lt;&gt;"",INT(IF(CALC!$F$1&gt;0,IF(N(INDEX(BASELINE!$A845:$ZZ845,CALC!$F$1))&gt;0,N(INDEX(BASELINE!$A845:$ZZ845,CALC!$F$1)),N(BASELINE!E845)),N(BASELINE!E845)))=INT(SIMOPS!$D$3),IFERROR(UPPER(TRIM(BASELINE!D845&amp;"")),"")&lt;&gt;"ENCERRADA"),1,0),0)</f>
        <v/>
      </c>
      <c r="B845">
        <f>B844+A845</f>
        <v/>
      </c>
    </row>
    <row r="846">
      <c r="A846">
        <f>IFERROR(IF(AND(BASELINE!I846&lt;&gt;"",INT(IF(CALC!$F$1&gt;0,IF(N(INDEX(BASELINE!$A846:$ZZ846,CALC!$F$1))&gt;0,N(INDEX(BASELINE!$A846:$ZZ846,CALC!$F$1)),N(BASELINE!E846)),N(BASELINE!E846)))=INT(SIMOPS!$D$3),IFERROR(UPPER(TRIM(BASELINE!D846&amp;"")),"")&lt;&gt;"ENCERRADA"),1,0),0)</f>
        <v/>
      </c>
      <c r="B846">
        <f>B845+A846</f>
        <v/>
      </c>
    </row>
    <row r="847">
      <c r="A847">
        <f>IFERROR(IF(AND(BASELINE!I847&lt;&gt;"",INT(IF(CALC!$F$1&gt;0,IF(N(INDEX(BASELINE!$A847:$ZZ847,CALC!$F$1))&gt;0,N(INDEX(BASELINE!$A847:$ZZ847,CALC!$F$1)),N(BASELINE!E847)),N(BASELINE!E847)))=INT(SIMOPS!$D$3),IFERROR(UPPER(TRIM(BASELINE!D847&amp;"")),"")&lt;&gt;"ENCERRADA"),1,0),0)</f>
        <v/>
      </c>
      <c r="B847">
        <f>B846+A847</f>
        <v/>
      </c>
    </row>
    <row r="848">
      <c r="A848">
        <f>IFERROR(IF(AND(BASELINE!I848&lt;&gt;"",INT(IF(CALC!$F$1&gt;0,IF(N(INDEX(BASELINE!$A848:$ZZ848,CALC!$F$1))&gt;0,N(INDEX(BASELINE!$A848:$ZZ848,CALC!$F$1)),N(BASELINE!E848)),N(BASELINE!E848)))=INT(SIMOPS!$D$3),IFERROR(UPPER(TRIM(BASELINE!D848&amp;"")),"")&lt;&gt;"ENCERRADA"),1,0),0)</f>
        <v/>
      </c>
      <c r="B848">
        <f>B847+A848</f>
        <v/>
      </c>
    </row>
    <row r="849">
      <c r="A849">
        <f>IFERROR(IF(AND(BASELINE!I849&lt;&gt;"",INT(IF(CALC!$F$1&gt;0,IF(N(INDEX(BASELINE!$A849:$ZZ849,CALC!$F$1))&gt;0,N(INDEX(BASELINE!$A849:$ZZ849,CALC!$F$1)),N(BASELINE!E849)),N(BASELINE!E849)))=INT(SIMOPS!$D$3),IFERROR(UPPER(TRIM(BASELINE!D849&amp;"")),"")&lt;&gt;"ENCERRADA"),1,0),0)</f>
        <v/>
      </c>
      <c r="B849">
        <f>B848+A849</f>
        <v/>
      </c>
    </row>
    <row r="850">
      <c r="A850">
        <f>IFERROR(IF(AND(BASELINE!I850&lt;&gt;"",INT(IF(CALC!$F$1&gt;0,IF(N(INDEX(BASELINE!$A850:$ZZ850,CALC!$F$1))&gt;0,N(INDEX(BASELINE!$A850:$ZZ850,CALC!$F$1)),N(BASELINE!E850)),N(BASELINE!E850)))=INT(SIMOPS!$D$3),IFERROR(UPPER(TRIM(BASELINE!D850&amp;"")),"")&lt;&gt;"ENCERRADA"),1,0),0)</f>
        <v/>
      </c>
      <c r="B850">
        <f>B849+A850</f>
        <v/>
      </c>
    </row>
    <row r="851">
      <c r="A851">
        <f>IFERROR(IF(AND(BASELINE!I851&lt;&gt;"",INT(IF(CALC!$F$1&gt;0,IF(N(INDEX(BASELINE!$A851:$ZZ851,CALC!$F$1))&gt;0,N(INDEX(BASELINE!$A851:$ZZ851,CALC!$F$1)),N(BASELINE!E851)),N(BASELINE!E851)))=INT(SIMOPS!$D$3),IFERROR(UPPER(TRIM(BASELINE!D851&amp;"")),"")&lt;&gt;"ENCERRADA"),1,0),0)</f>
        <v/>
      </c>
      <c r="B851">
        <f>B850+A851</f>
        <v/>
      </c>
    </row>
    <row r="852">
      <c r="A852">
        <f>IFERROR(IF(AND(BASELINE!I852&lt;&gt;"",INT(IF(CALC!$F$1&gt;0,IF(N(INDEX(BASELINE!$A852:$ZZ852,CALC!$F$1))&gt;0,N(INDEX(BASELINE!$A852:$ZZ852,CALC!$F$1)),N(BASELINE!E852)),N(BASELINE!E852)))=INT(SIMOPS!$D$3),IFERROR(UPPER(TRIM(BASELINE!D852&amp;"")),"")&lt;&gt;"ENCERRADA"),1,0),0)</f>
        <v/>
      </c>
      <c r="B852">
        <f>B851+A852</f>
        <v/>
      </c>
    </row>
    <row r="853">
      <c r="A853">
        <f>IFERROR(IF(AND(BASELINE!I853&lt;&gt;"",INT(IF(CALC!$F$1&gt;0,IF(N(INDEX(BASELINE!$A853:$ZZ853,CALC!$F$1))&gt;0,N(INDEX(BASELINE!$A853:$ZZ853,CALC!$F$1)),N(BASELINE!E853)),N(BASELINE!E853)))=INT(SIMOPS!$D$3),IFERROR(UPPER(TRIM(BASELINE!D853&amp;"")),"")&lt;&gt;"ENCERRADA"),1,0),0)</f>
        <v/>
      </c>
      <c r="B853">
        <f>B852+A853</f>
        <v/>
      </c>
    </row>
    <row r="854">
      <c r="A854">
        <f>IFERROR(IF(AND(BASELINE!I854&lt;&gt;"",INT(IF(CALC!$F$1&gt;0,IF(N(INDEX(BASELINE!$A854:$ZZ854,CALC!$F$1))&gt;0,N(INDEX(BASELINE!$A854:$ZZ854,CALC!$F$1)),N(BASELINE!E854)),N(BASELINE!E854)))=INT(SIMOPS!$D$3),IFERROR(UPPER(TRIM(BASELINE!D854&amp;"")),"")&lt;&gt;"ENCERRADA"),1,0),0)</f>
        <v/>
      </c>
      <c r="B854">
        <f>B853+A854</f>
        <v/>
      </c>
    </row>
    <row r="855">
      <c r="A855">
        <f>IFERROR(IF(AND(BASELINE!I855&lt;&gt;"",INT(IF(CALC!$F$1&gt;0,IF(N(INDEX(BASELINE!$A855:$ZZ855,CALC!$F$1))&gt;0,N(INDEX(BASELINE!$A855:$ZZ855,CALC!$F$1)),N(BASELINE!E855)),N(BASELINE!E855)))=INT(SIMOPS!$D$3),IFERROR(UPPER(TRIM(BASELINE!D855&amp;"")),"")&lt;&gt;"ENCERRADA"),1,0),0)</f>
        <v/>
      </c>
      <c r="B855">
        <f>B854+A855</f>
        <v/>
      </c>
    </row>
    <row r="856">
      <c r="A856">
        <f>IFERROR(IF(AND(BASELINE!I856&lt;&gt;"",INT(IF(CALC!$F$1&gt;0,IF(N(INDEX(BASELINE!$A856:$ZZ856,CALC!$F$1))&gt;0,N(INDEX(BASELINE!$A856:$ZZ856,CALC!$F$1)),N(BASELINE!E856)),N(BASELINE!E856)))=INT(SIMOPS!$D$3),IFERROR(UPPER(TRIM(BASELINE!D856&amp;"")),"")&lt;&gt;"ENCERRADA"),1,0),0)</f>
        <v/>
      </c>
      <c r="B856">
        <f>B855+A856</f>
        <v/>
      </c>
    </row>
    <row r="857">
      <c r="A857">
        <f>IFERROR(IF(AND(BASELINE!I857&lt;&gt;"",INT(IF(CALC!$F$1&gt;0,IF(N(INDEX(BASELINE!$A857:$ZZ857,CALC!$F$1))&gt;0,N(INDEX(BASELINE!$A857:$ZZ857,CALC!$F$1)),N(BASELINE!E857)),N(BASELINE!E857)))=INT(SIMOPS!$D$3),IFERROR(UPPER(TRIM(BASELINE!D857&amp;"")),"")&lt;&gt;"ENCERRADA"),1,0),0)</f>
        <v/>
      </c>
      <c r="B857">
        <f>B856+A857</f>
        <v/>
      </c>
    </row>
    <row r="858">
      <c r="A858">
        <f>IFERROR(IF(AND(BASELINE!I858&lt;&gt;"",INT(IF(CALC!$F$1&gt;0,IF(N(INDEX(BASELINE!$A858:$ZZ858,CALC!$F$1))&gt;0,N(INDEX(BASELINE!$A858:$ZZ858,CALC!$F$1)),N(BASELINE!E858)),N(BASELINE!E858)))=INT(SIMOPS!$D$3),IFERROR(UPPER(TRIM(BASELINE!D858&amp;"")),"")&lt;&gt;"ENCERRADA"),1,0),0)</f>
        <v/>
      </c>
      <c r="B858">
        <f>B857+A858</f>
        <v/>
      </c>
    </row>
    <row r="859">
      <c r="A859">
        <f>IFERROR(IF(AND(BASELINE!I859&lt;&gt;"",INT(IF(CALC!$F$1&gt;0,IF(N(INDEX(BASELINE!$A859:$ZZ859,CALC!$F$1))&gt;0,N(INDEX(BASELINE!$A859:$ZZ859,CALC!$F$1)),N(BASELINE!E859)),N(BASELINE!E859)))=INT(SIMOPS!$D$3),IFERROR(UPPER(TRIM(BASELINE!D859&amp;"")),"")&lt;&gt;"ENCERRADA"),1,0),0)</f>
        <v/>
      </c>
      <c r="B859">
        <f>B858+A859</f>
        <v/>
      </c>
    </row>
    <row r="860">
      <c r="A860">
        <f>IFERROR(IF(AND(BASELINE!I860&lt;&gt;"",INT(IF(CALC!$F$1&gt;0,IF(N(INDEX(BASELINE!$A860:$ZZ860,CALC!$F$1))&gt;0,N(INDEX(BASELINE!$A860:$ZZ860,CALC!$F$1)),N(BASELINE!E860)),N(BASELINE!E860)))=INT(SIMOPS!$D$3),IFERROR(UPPER(TRIM(BASELINE!D860&amp;"")),"")&lt;&gt;"ENCERRADA"),1,0),0)</f>
        <v/>
      </c>
      <c r="B860">
        <f>B859+A860</f>
        <v/>
      </c>
    </row>
    <row r="861">
      <c r="A861">
        <f>IFERROR(IF(AND(BASELINE!I861&lt;&gt;"",INT(IF(CALC!$F$1&gt;0,IF(N(INDEX(BASELINE!$A861:$ZZ861,CALC!$F$1))&gt;0,N(INDEX(BASELINE!$A861:$ZZ861,CALC!$F$1)),N(BASELINE!E861)),N(BASELINE!E861)))=INT(SIMOPS!$D$3),IFERROR(UPPER(TRIM(BASELINE!D861&amp;"")),"")&lt;&gt;"ENCERRADA"),1,0),0)</f>
        <v/>
      </c>
      <c r="B861">
        <f>B860+A861</f>
        <v/>
      </c>
    </row>
    <row r="862">
      <c r="A862">
        <f>IFERROR(IF(AND(BASELINE!I862&lt;&gt;"",INT(IF(CALC!$F$1&gt;0,IF(N(INDEX(BASELINE!$A862:$ZZ862,CALC!$F$1))&gt;0,N(INDEX(BASELINE!$A862:$ZZ862,CALC!$F$1)),N(BASELINE!E862)),N(BASELINE!E862)))=INT(SIMOPS!$D$3),IFERROR(UPPER(TRIM(BASELINE!D862&amp;"")),"")&lt;&gt;"ENCERRADA"),1,0),0)</f>
        <v/>
      </c>
      <c r="B862">
        <f>B861+A862</f>
        <v/>
      </c>
    </row>
    <row r="863">
      <c r="A863">
        <f>IFERROR(IF(AND(BASELINE!I863&lt;&gt;"",INT(IF(CALC!$F$1&gt;0,IF(N(INDEX(BASELINE!$A863:$ZZ863,CALC!$F$1))&gt;0,N(INDEX(BASELINE!$A863:$ZZ863,CALC!$F$1)),N(BASELINE!E863)),N(BASELINE!E863)))=INT(SIMOPS!$D$3),IFERROR(UPPER(TRIM(BASELINE!D863&amp;"")),"")&lt;&gt;"ENCERRADA"),1,0),0)</f>
        <v/>
      </c>
      <c r="B863">
        <f>B862+A863</f>
        <v/>
      </c>
    </row>
    <row r="864">
      <c r="A864">
        <f>IFERROR(IF(AND(BASELINE!I864&lt;&gt;"",INT(IF(CALC!$F$1&gt;0,IF(N(INDEX(BASELINE!$A864:$ZZ864,CALC!$F$1))&gt;0,N(INDEX(BASELINE!$A864:$ZZ864,CALC!$F$1)),N(BASELINE!E864)),N(BASELINE!E864)))=INT(SIMOPS!$D$3),IFERROR(UPPER(TRIM(BASELINE!D864&amp;"")),"")&lt;&gt;"ENCERRADA"),1,0),0)</f>
        <v/>
      </c>
      <c r="B864">
        <f>B863+A864</f>
        <v/>
      </c>
    </row>
    <row r="865">
      <c r="A865">
        <f>IFERROR(IF(AND(BASELINE!I865&lt;&gt;"",INT(IF(CALC!$F$1&gt;0,IF(N(INDEX(BASELINE!$A865:$ZZ865,CALC!$F$1))&gt;0,N(INDEX(BASELINE!$A865:$ZZ865,CALC!$F$1)),N(BASELINE!E865)),N(BASELINE!E865)))=INT(SIMOPS!$D$3),IFERROR(UPPER(TRIM(BASELINE!D865&amp;"")),"")&lt;&gt;"ENCERRADA"),1,0),0)</f>
        <v/>
      </c>
      <c r="B865">
        <f>B864+A865</f>
        <v/>
      </c>
    </row>
    <row r="866">
      <c r="A866">
        <f>IFERROR(IF(AND(BASELINE!I866&lt;&gt;"",INT(IF(CALC!$F$1&gt;0,IF(N(INDEX(BASELINE!$A866:$ZZ866,CALC!$F$1))&gt;0,N(INDEX(BASELINE!$A866:$ZZ866,CALC!$F$1)),N(BASELINE!E866)),N(BASELINE!E866)))=INT(SIMOPS!$D$3),IFERROR(UPPER(TRIM(BASELINE!D866&amp;"")),"")&lt;&gt;"ENCERRADA"),1,0),0)</f>
        <v/>
      </c>
      <c r="B866">
        <f>B865+A866</f>
        <v/>
      </c>
    </row>
    <row r="867">
      <c r="A867">
        <f>IFERROR(IF(AND(BASELINE!I867&lt;&gt;"",INT(IF(CALC!$F$1&gt;0,IF(N(INDEX(BASELINE!$A867:$ZZ867,CALC!$F$1))&gt;0,N(INDEX(BASELINE!$A867:$ZZ867,CALC!$F$1)),N(BASELINE!E867)),N(BASELINE!E867)))=INT(SIMOPS!$D$3),IFERROR(UPPER(TRIM(BASELINE!D867&amp;"")),"")&lt;&gt;"ENCERRADA"),1,0),0)</f>
        <v/>
      </c>
      <c r="B867">
        <f>B866+A867</f>
        <v/>
      </c>
    </row>
    <row r="868">
      <c r="A868">
        <f>IFERROR(IF(AND(BASELINE!I868&lt;&gt;"",INT(IF(CALC!$F$1&gt;0,IF(N(INDEX(BASELINE!$A868:$ZZ868,CALC!$F$1))&gt;0,N(INDEX(BASELINE!$A868:$ZZ868,CALC!$F$1)),N(BASELINE!E868)),N(BASELINE!E868)))=INT(SIMOPS!$D$3),IFERROR(UPPER(TRIM(BASELINE!D868&amp;"")),"")&lt;&gt;"ENCERRADA"),1,0),0)</f>
        <v/>
      </c>
      <c r="B868">
        <f>B867+A868</f>
        <v/>
      </c>
    </row>
    <row r="869">
      <c r="A869">
        <f>IFERROR(IF(AND(BASELINE!I869&lt;&gt;"",INT(IF(CALC!$F$1&gt;0,IF(N(INDEX(BASELINE!$A869:$ZZ869,CALC!$F$1))&gt;0,N(INDEX(BASELINE!$A869:$ZZ869,CALC!$F$1)),N(BASELINE!E869)),N(BASELINE!E869)))=INT(SIMOPS!$D$3),IFERROR(UPPER(TRIM(BASELINE!D869&amp;"")),"")&lt;&gt;"ENCERRADA"),1,0),0)</f>
        <v/>
      </c>
      <c r="B869">
        <f>B868+A869</f>
        <v/>
      </c>
    </row>
    <row r="870">
      <c r="A870">
        <f>IFERROR(IF(AND(BASELINE!I870&lt;&gt;"",INT(IF(CALC!$F$1&gt;0,IF(N(INDEX(BASELINE!$A870:$ZZ870,CALC!$F$1))&gt;0,N(INDEX(BASELINE!$A870:$ZZ870,CALC!$F$1)),N(BASELINE!E870)),N(BASELINE!E870)))=INT(SIMOPS!$D$3),IFERROR(UPPER(TRIM(BASELINE!D870&amp;"")),"")&lt;&gt;"ENCERRADA"),1,0),0)</f>
        <v/>
      </c>
      <c r="B870">
        <f>B869+A870</f>
        <v/>
      </c>
    </row>
    <row r="871">
      <c r="A871">
        <f>IFERROR(IF(AND(BASELINE!I871&lt;&gt;"",INT(IF(CALC!$F$1&gt;0,IF(N(INDEX(BASELINE!$A871:$ZZ871,CALC!$F$1))&gt;0,N(INDEX(BASELINE!$A871:$ZZ871,CALC!$F$1)),N(BASELINE!E871)),N(BASELINE!E871)))=INT(SIMOPS!$D$3),IFERROR(UPPER(TRIM(BASELINE!D871&amp;"")),"")&lt;&gt;"ENCERRADA"),1,0),0)</f>
        <v/>
      </c>
      <c r="B871">
        <f>B870+A871</f>
        <v/>
      </c>
    </row>
    <row r="872">
      <c r="A872">
        <f>IFERROR(IF(AND(BASELINE!I872&lt;&gt;"",INT(IF(CALC!$F$1&gt;0,IF(N(INDEX(BASELINE!$A872:$ZZ872,CALC!$F$1))&gt;0,N(INDEX(BASELINE!$A872:$ZZ872,CALC!$F$1)),N(BASELINE!E872)),N(BASELINE!E872)))=INT(SIMOPS!$D$3),IFERROR(UPPER(TRIM(BASELINE!D872&amp;"")),"")&lt;&gt;"ENCERRADA"),1,0),0)</f>
        <v/>
      </c>
      <c r="B872">
        <f>B871+A872</f>
        <v/>
      </c>
    </row>
    <row r="873">
      <c r="A873">
        <f>IFERROR(IF(AND(BASELINE!I873&lt;&gt;"",INT(IF(CALC!$F$1&gt;0,IF(N(INDEX(BASELINE!$A873:$ZZ873,CALC!$F$1))&gt;0,N(INDEX(BASELINE!$A873:$ZZ873,CALC!$F$1)),N(BASELINE!E873)),N(BASELINE!E873)))=INT(SIMOPS!$D$3),IFERROR(UPPER(TRIM(BASELINE!D873&amp;"")),"")&lt;&gt;"ENCERRADA"),1,0),0)</f>
        <v/>
      </c>
      <c r="B873">
        <f>B872+A873</f>
        <v/>
      </c>
    </row>
    <row r="874">
      <c r="A874">
        <f>IFERROR(IF(AND(BASELINE!I874&lt;&gt;"",INT(IF(CALC!$F$1&gt;0,IF(N(INDEX(BASELINE!$A874:$ZZ874,CALC!$F$1))&gt;0,N(INDEX(BASELINE!$A874:$ZZ874,CALC!$F$1)),N(BASELINE!E874)),N(BASELINE!E874)))=INT(SIMOPS!$D$3),IFERROR(UPPER(TRIM(BASELINE!D874&amp;"")),"")&lt;&gt;"ENCERRADA"),1,0),0)</f>
        <v/>
      </c>
      <c r="B874">
        <f>B873+A874</f>
        <v/>
      </c>
    </row>
    <row r="875">
      <c r="A875">
        <f>IFERROR(IF(AND(BASELINE!I875&lt;&gt;"",INT(IF(CALC!$F$1&gt;0,IF(N(INDEX(BASELINE!$A875:$ZZ875,CALC!$F$1))&gt;0,N(INDEX(BASELINE!$A875:$ZZ875,CALC!$F$1)),N(BASELINE!E875)),N(BASELINE!E875)))=INT(SIMOPS!$D$3),IFERROR(UPPER(TRIM(BASELINE!D875&amp;"")),"")&lt;&gt;"ENCERRADA"),1,0),0)</f>
        <v/>
      </c>
      <c r="B875">
        <f>B874+A875</f>
        <v/>
      </c>
    </row>
    <row r="876">
      <c r="A876">
        <f>IFERROR(IF(AND(BASELINE!I876&lt;&gt;"",INT(IF(CALC!$F$1&gt;0,IF(N(INDEX(BASELINE!$A876:$ZZ876,CALC!$F$1))&gt;0,N(INDEX(BASELINE!$A876:$ZZ876,CALC!$F$1)),N(BASELINE!E876)),N(BASELINE!E876)))=INT(SIMOPS!$D$3),IFERROR(UPPER(TRIM(BASELINE!D876&amp;"")),"")&lt;&gt;"ENCERRADA"),1,0),0)</f>
        <v/>
      </c>
      <c r="B876">
        <f>B875+A876</f>
        <v/>
      </c>
    </row>
    <row r="877">
      <c r="A877">
        <f>IFERROR(IF(AND(BASELINE!I877&lt;&gt;"",INT(IF(CALC!$F$1&gt;0,IF(N(INDEX(BASELINE!$A877:$ZZ877,CALC!$F$1))&gt;0,N(INDEX(BASELINE!$A877:$ZZ877,CALC!$F$1)),N(BASELINE!E877)),N(BASELINE!E877)))=INT(SIMOPS!$D$3),IFERROR(UPPER(TRIM(BASELINE!D877&amp;"")),"")&lt;&gt;"ENCERRADA"),1,0),0)</f>
        <v/>
      </c>
      <c r="B877">
        <f>B876+A877</f>
        <v/>
      </c>
    </row>
    <row r="878">
      <c r="A878">
        <f>IFERROR(IF(AND(BASELINE!I878&lt;&gt;"",INT(IF(CALC!$F$1&gt;0,IF(N(INDEX(BASELINE!$A878:$ZZ878,CALC!$F$1))&gt;0,N(INDEX(BASELINE!$A878:$ZZ878,CALC!$F$1)),N(BASELINE!E878)),N(BASELINE!E878)))=INT(SIMOPS!$D$3),IFERROR(UPPER(TRIM(BASELINE!D878&amp;"")),"")&lt;&gt;"ENCERRADA"),1,0),0)</f>
        <v/>
      </c>
      <c r="B878">
        <f>B877+A878</f>
        <v/>
      </c>
    </row>
    <row r="879">
      <c r="A879">
        <f>IFERROR(IF(AND(BASELINE!I879&lt;&gt;"",INT(IF(CALC!$F$1&gt;0,IF(N(INDEX(BASELINE!$A879:$ZZ879,CALC!$F$1))&gt;0,N(INDEX(BASELINE!$A879:$ZZ879,CALC!$F$1)),N(BASELINE!E879)),N(BASELINE!E879)))=INT(SIMOPS!$D$3),IFERROR(UPPER(TRIM(BASELINE!D879&amp;"")),"")&lt;&gt;"ENCERRADA"),1,0),0)</f>
        <v/>
      </c>
      <c r="B879">
        <f>B878+A879</f>
        <v/>
      </c>
    </row>
    <row r="880">
      <c r="A880">
        <f>IFERROR(IF(AND(BASELINE!I880&lt;&gt;"",INT(IF(CALC!$F$1&gt;0,IF(N(INDEX(BASELINE!$A880:$ZZ880,CALC!$F$1))&gt;0,N(INDEX(BASELINE!$A880:$ZZ880,CALC!$F$1)),N(BASELINE!E880)),N(BASELINE!E880)))=INT(SIMOPS!$D$3),IFERROR(UPPER(TRIM(BASELINE!D880&amp;"")),"")&lt;&gt;"ENCERRADA"),1,0),0)</f>
        <v/>
      </c>
      <c r="B880">
        <f>B879+A880</f>
        <v/>
      </c>
    </row>
    <row r="881">
      <c r="A881">
        <f>IFERROR(IF(AND(BASELINE!I881&lt;&gt;"",INT(IF(CALC!$F$1&gt;0,IF(N(INDEX(BASELINE!$A881:$ZZ881,CALC!$F$1))&gt;0,N(INDEX(BASELINE!$A881:$ZZ881,CALC!$F$1)),N(BASELINE!E881)),N(BASELINE!E881)))=INT(SIMOPS!$D$3),IFERROR(UPPER(TRIM(BASELINE!D881&amp;"")),"")&lt;&gt;"ENCERRADA"),1,0),0)</f>
        <v/>
      </c>
      <c r="B881">
        <f>B880+A881</f>
        <v/>
      </c>
    </row>
    <row r="882">
      <c r="A882">
        <f>IFERROR(IF(AND(BASELINE!I882&lt;&gt;"",INT(IF(CALC!$F$1&gt;0,IF(N(INDEX(BASELINE!$A882:$ZZ882,CALC!$F$1))&gt;0,N(INDEX(BASELINE!$A882:$ZZ882,CALC!$F$1)),N(BASELINE!E882)),N(BASELINE!E882)))=INT(SIMOPS!$D$3),IFERROR(UPPER(TRIM(BASELINE!D882&amp;"")),"")&lt;&gt;"ENCERRADA"),1,0),0)</f>
        <v/>
      </c>
      <c r="B882">
        <f>B881+A882</f>
        <v/>
      </c>
    </row>
    <row r="883">
      <c r="A883">
        <f>IFERROR(IF(AND(BASELINE!I883&lt;&gt;"",INT(IF(CALC!$F$1&gt;0,IF(N(INDEX(BASELINE!$A883:$ZZ883,CALC!$F$1))&gt;0,N(INDEX(BASELINE!$A883:$ZZ883,CALC!$F$1)),N(BASELINE!E883)),N(BASELINE!E883)))=INT(SIMOPS!$D$3),IFERROR(UPPER(TRIM(BASELINE!D883&amp;"")),"")&lt;&gt;"ENCERRADA"),1,0),0)</f>
        <v/>
      </c>
      <c r="B883">
        <f>B882+A883</f>
        <v/>
      </c>
    </row>
    <row r="884">
      <c r="A884">
        <f>IFERROR(IF(AND(BASELINE!I884&lt;&gt;"",INT(IF(CALC!$F$1&gt;0,IF(N(INDEX(BASELINE!$A884:$ZZ884,CALC!$F$1))&gt;0,N(INDEX(BASELINE!$A884:$ZZ884,CALC!$F$1)),N(BASELINE!E884)),N(BASELINE!E884)))=INT(SIMOPS!$D$3),IFERROR(UPPER(TRIM(BASELINE!D884&amp;"")),"")&lt;&gt;"ENCERRADA"),1,0),0)</f>
        <v/>
      </c>
      <c r="B884">
        <f>B883+A884</f>
        <v/>
      </c>
    </row>
    <row r="885">
      <c r="A885">
        <f>IFERROR(IF(AND(BASELINE!I885&lt;&gt;"",INT(IF(CALC!$F$1&gt;0,IF(N(INDEX(BASELINE!$A885:$ZZ885,CALC!$F$1))&gt;0,N(INDEX(BASELINE!$A885:$ZZ885,CALC!$F$1)),N(BASELINE!E885)),N(BASELINE!E885)))=INT(SIMOPS!$D$3),IFERROR(UPPER(TRIM(BASELINE!D885&amp;"")),"")&lt;&gt;"ENCERRADA"),1,0),0)</f>
        <v/>
      </c>
      <c r="B885">
        <f>B884+A885</f>
        <v/>
      </c>
    </row>
    <row r="886">
      <c r="A886">
        <f>IFERROR(IF(AND(BASELINE!I886&lt;&gt;"",INT(IF(CALC!$F$1&gt;0,IF(N(INDEX(BASELINE!$A886:$ZZ886,CALC!$F$1))&gt;0,N(INDEX(BASELINE!$A886:$ZZ886,CALC!$F$1)),N(BASELINE!E886)),N(BASELINE!E886)))=INT(SIMOPS!$D$3),IFERROR(UPPER(TRIM(BASELINE!D886&amp;"")),"")&lt;&gt;"ENCERRADA"),1,0),0)</f>
        <v/>
      </c>
      <c r="B886">
        <f>B885+A886</f>
        <v/>
      </c>
    </row>
    <row r="887">
      <c r="A887">
        <f>IFERROR(IF(AND(BASELINE!I887&lt;&gt;"",INT(IF(CALC!$F$1&gt;0,IF(N(INDEX(BASELINE!$A887:$ZZ887,CALC!$F$1))&gt;0,N(INDEX(BASELINE!$A887:$ZZ887,CALC!$F$1)),N(BASELINE!E887)),N(BASELINE!E887)))=INT(SIMOPS!$D$3),IFERROR(UPPER(TRIM(BASELINE!D887&amp;"")),"")&lt;&gt;"ENCERRADA"),1,0),0)</f>
        <v/>
      </c>
      <c r="B887">
        <f>B886+A887</f>
        <v/>
      </c>
    </row>
    <row r="888">
      <c r="A888">
        <f>IFERROR(IF(AND(BASELINE!I888&lt;&gt;"",INT(IF(CALC!$F$1&gt;0,IF(N(INDEX(BASELINE!$A888:$ZZ888,CALC!$F$1))&gt;0,N(INDEX(BASELINE!$A888:$ZZ888,CALC!$F$1)),N(BASELINE!E888)),N(BASELINE!E888)))=INT(SIMOPS!$D$3),IFERROR(UPPER(TRIM(BASELINE!D888&amp;"")),"")&lt;&gt;"ENCERRADA"),1,0),0)</f>
        <v/>
      </c>
      <c r="B888">
        <f>B887+A888</f>
        <v/>
      </c>
    </row>
    <row r="889">
      <c r="A889">
        <f>IFERROR(IF(AND(BASELINE!I889&lt;&gt;"",INT(IF(CALC!$F$1&gt;0,IF(N(INDEX(BASELINE!$A889:$ZZ889,CALC!$F$1))&gt;0,N(INDEX(BASELINE!$A889:$ZZ889,CALC!$F$1)),N(BASELINE!E889)),N(BASELINE!E889)))=INT(SIMOPS!$D$3),IFERROR(UPPER(TRIM(BASELINE!D889&amp;"")),"")&lt;&gt;"ENCERRADA"),1,0),0)</f>
        <v/>
      </c>
      <c r="B889">
        <f>B888+A889</f>
        <v/>
      </c>
    </row>
    <row r="890">
      <c r="A890">
        <f>IFERROR(IF(AND(BASELINE!I890&lt;&gt;"",INT(IF(CALC!$F$1&gt;0,IF(N(INDEX(BASELINE!$A890:$ZZ890,CALC!$F$1))&gt;0,N(INDEX(BASELINE!$A890:$ZZ890,CALC!$F$1)),N(BASELINE!E890)),N(BASELINE!E890)))=INT(SIMOPS!$D$3),IFERROR(UPPER(TRIM(BASELINE!D890&amp;"")),"")&lt;&gt;"ENCERRADA"),1,0),0)</f>
        <v/>
      </c>
      <c r="B890">
        <f>B889+A890</f>
        <v/>
      </c>
    </row>
    <row r="891">
      <c r="A891">
        <f>IFERROR(IF(AND(BASELINE!I891&lt;&gt;"",INT(IF(CALC!$F$1&gt;0,IF(N(INDEX(BASELINE!$A891:$ZZ891,CALC!$F$1))&gt;0,N(INDEX(BASELINE!$A891:$ZZ891,CALC!$F$1)),N(BASELINE!E891)),N(BASELINE!E891)))=INT(SIMOPS!$D$3),IFERROR(UPPER(TRIM(BASELINE!D891&amp;"")),"")&lt;&gt;"ENCERRADA"),1,0),0)</f>
        <v/>
      </c>
      <c r="B891">
        <f>B890+A891</f>
        <v/>
      </c>
    </row>
    <row r="892">
      <c r="A892">
        <f>IFERROR(IF(AND(BASELINE!I892&lt;&gt;"",INT(IF(CALC!$F$1&gt;0,IF(N(INDEX(BASELINE!$A892:$ZZ892,CALC!$F$1))&gt;0,N(INDEX(BASELINE!$A892:$ZZ892,CALC!$F$1)),N(BASELINE!E892)),N(BASELINE!E892)))=INT(SIMOPS!$D$3),IFERROR(UPPER(TRIM(BASELINE!D892&amp;"")),"")&lt;&gt;"ENCERRADA"),1,0),0)</f>
        <v/>
      </c>
      <c r="B892">
        <f>B891+A892</f>
        <v/>
      </c>
    </row>
    <row r="893">
      <c r="A893">
        <f>IFERROR(IF(AND(BASELINE!I893&lt;&gt;"",INT(IF(CALC!$F$1&gt;0,IF(N(INDEX(BASELINE!$A893:$ZZ893,CALC!$F$1))&gt;0,N(INDEX(BASELINE!$A893:$ZZ893,CALC!$F$1)),N(BASELINE!E893)),N(BASELINE!E893)))=INT(SIMOPS!$D$3),IFERROR(UPPER(TRIM(BASELINE!D893&amp;"")),"")&lt;&gt;"ENCERRADA"),1,0),0)</f>
        <v/>
      </c>
      <c r="B893">
        <f>B892+A893</f>
        <v/>
      </c>
    </row>
    <row r="894">
      <c r="A894">
        <f>IFERROR(IF(AND(BASELINE!I894&lt;&gt;"",INT(IF(CALC!$F$1&gt;0,IF(N(INDEX(BASELINE!$A894:$ZZ894,CALC!$F$1))&gt;0,N(INDEX(BASELINE!$A894:$ZZ894,CALC!$F$1)),N(BASELINE!E894)),N(BASELINE!E894)))=INT(SIMOPS!$D$3),IFERROR(UPPER(TRIM(BASELINE!D894&amp;"")),"")&lt;&gt;"ENCERRADA"),1,0),0)</f>
        <v/>
      </c>
      <c r="B894">
        <f>B893+A894</f>
        <v/>
      </c>
    </row>
    <row r="895">
      <c r="A895">
        <f>IFERROR(IF(AND(BASELINE!I895&lt;&gt;"",INT(IF(CALC!$F$1&gt;0,IF(N(INDEX(BASELINE!$A895:$ZZ895,CALC!$F$1))&gt;0,N(INDEX(BASELINE!$A895:$ZZ895,CALC!$F$1)),N(BASELINE!E895)),N(BASELINE!E895)))=INT(SIMOPS!$D$3),IFERROR(UPPER(TRIM(BASELINE!D895&amp;"")),"")&lt;&gt;"ENCERRADA"),1,0),0)</f>
        <v/>
      </c>
      <c r="B895">
        <f>B894+A895</f>
        <v/>
      </c>
    </row>
    <row r="896">
      <c r="A896">
        <f>IFERROR(IF(AND(BASELINE!I896&lt;&gt;"",INT(IF(CALC!$F$1&gt;0,IF(N(INDEX(BASELINE!$A896:$ZZ896,CALC!$F$1))&gt;0,N(INDEX(BASELINE!$A896:$ZZ896,CALC!$F$1)),N(BASELINE!E896)),N(BASELINE!E896)))=INT(SIMOPS!$D$3),IFERROR(UPPER(TRIM(BASELINE!D896&amp;"")),"")&lt;&gt;"ENCERRADA"),1,0),0)</f>
        <v/>
      </c>
      <c r="B896">
        <f>B895+A896</f>
        <v/>
      </c>
    </row>
    <row r="897">
      <c r="A897">
        <f>IFERROR(IF(AND(BASELINE!I897&lt;&gt;"",INT(IF(CALC!$F$1&gt;0,IF(N(INDEX(BASELINE!$A897:$ZZ897,CALC!$F$1))&gt;0,N(INDEX(BASELINE!$A897:$ZZ897,CALC!$F$1)),N(BASELINE!E897)),N(BASELINE!E897)))=INT(SIMOPS!$D$3),IFERROR(UPPER(TRIM(BASELINE!D897&amp;"")),"")&lt;&gt;"ENCERRADA"),1,0),0)</f>
        <v/>
      </c>
      <c r="B897">
        <f>B896+A897</f>
        <v/>
      </c>
    </row>
    <row r="898">
      <c r="A898">
        <f>IFERROR(IF(AND(BASELINE!I898&lt;&gt;"",INT(IF(CALC!$F$1&gt;0,IF(N(INDEX(BASELINE!$A898:$ZZ898,CALC!$F$1))&gt;0,N(INDEX(BASELINE!$A898:$ZZ898,CALC!$F$1)),N(BASELINE!E898)),N(BASELINE!E898)))=INT(SIMOPS!$D$3),IFERROR(UPPER(TRIM(BASELINE!D898&amp;"")),"")&lt;&gt;"ENCERRADA"),1,0),0)</f>
        <v/>
      </c>
      <c r="B898">
        <f>B897+A898</f>
        <v/>
      </c>
    </row>
    <row r="899">
      <c r="A899">
        <f>IFERROR(IF(AND(BASELINE!I899&lt;&gt;"",INT(IF(CALC!$F$1&gt;0,IF(N(INDEX(BASELINE!$A899:$ZZ899,CALC!$F$1))&gt;0,N(INDEX(BASELINE!$A899:$ZZ899,CALC!$F$1)),N(BASELINE!E899)),N(BASELINE!E899)))=INT(SIMOPS!$D$3),IFERROR(UPPER(TRIM(BASELINE!D899&amp;"")),"")&lt;&gt;"ENCERRADA"),1,0),0)</f>
        <v/>
      </c>
      <c r="B899">
        <f>B898+A899</f>
        <v/>
      </c>
    </row>
    <row r="900">
      <c r="A900">
        <f>IFERROR(IF(AND(BASELINE!I900&lt;&gt;"",INT(IF(CALC!$F$1&gt;0,IF(N(INDEX(BASELINE!$A900:$ZZ900,CALC!$F$1))&gt;0,N(INDEX(BASELINE!$A900:$ZZ900,CALC!$F$1)),N(BASELINE!E900)),N(BASELINE!E900)))=INT(SIMOPS!$D$3),IFERROR(UPPER(TRIM(BASELINE!D900&amp;"")),"")&lt;&gt;"ENCERRADA"),1,0),0)</f>
        <v/>
      </c>
      <c r="B900">
        <f>B899+A900</f>
        <v/>
      </c>
    </row>
    <row r="901">
      <c r="A901">
        <f>IFERROR(IF(AND(BASELINE!I901&lt;&gt;"",INT(IF(CALC!$F$1&gt;0,IF(N(INDEX(BASELINE!$A901:$ZZ901,CALC!$F$1))&gt;0,N(INDEX(BASELINE!$A901:$ZZ901,CALC!$F$1)),N(BASELINE!E901)),N(BASELINE!E901)))=INT(SIMOPS!$D$3),IFERROR(UPPER(TRIM(BASELINE!D901&amp;"")),"")&lt;&gt;"ENCERRADA"),1,0),0)</f>
        <v/>
      </c>
      <c r="B901">
        <f>B900+A901</f>
        <v/>
      </c>
    </row>
    <row r="902">
      <c r="A902">
        <f>IFERROR(IF(AND(BASELINE!I902&lt;&gt;"",INT(IF(CALC!$F$1&gt;0,IF(N(INDEX(BASELINE!$A902:$ZZ902,CALC!$F$1))&gt;0,N(INDEX(BASELINE!$A902:$ZZ902,CALC!$F$1)),N(BASELINE!E902)),N(BASELINE!E902)))=INT(SIMOPS!$D$3),IFERROR(UPPER(TRIM(BASELINE!D902&amp;"")),"")&lt;&gt;"ENCERRADA"),1,0),0)</f>
        <v/>
      </c>
      <c r="B902">
        <f>B901+A902</f>
        <v/>
      </c>
    </row>
    <row r="903">
      <c r="A903">
        <f>IFERROR(IF(AND(BASELINE!I903&lt;&gt;"",INT(IF(CALC!$F$1&gt;0,IF(N(INDEX(BASELINE!$A903:$ZZ903,CALC!$F$1))&gt;0,N(INDEX(BASELINE!$A903:$ZZ903,CALC!$F$1)),N(BASELINE!E903)),N(BASELINE!E903)))=INT(SIMOPS!$D$3),IFERROR(UPPER(TRIM(BASELINE!D903&amp;"")),"")&lt;&gt;"ENCERRADA"),1,0),0)</f>
        <v/>
      </c>
      <c r="B903">
        <f>B902+A903</f>
        <v/>
      </c>
    </row>
    <row r="904">
      <c r="A904">
        <f>IFERROR(IF(AND(BASELINE!I904&lt;&gt;"",INT(IF(CALC!$F$1&gt;0,IF(N(INDEX(BASELINE!$A904:$ZZ904,CALC!$F$1))&gt;0,N(INDEX(BASELINE!$A904:$ZZ904,CALC!$F$1)),N(BASELINE!E904)),N(BASELINE!E904)))=INT(SIMOPS!$D$3),IFERROR(UPPER(TRIM(BASELINE!D904&amp;"")),"")&lt;&gt;"ENCERRADA"),1,0),0)</f>
        <v/>
      </c>
      <c r="B904">
        <f>B903+A904</f>
        <v/>
      </c>
    </row>
    <row r="905">
      <c r="A905">
        <f>IFERROR(IF(AND(BASELINE!I905&lt;&gt;"",INT(IF(CALC!$F$1&gt;0,IF(N(INDEX(BASELINE!$A905:$ZZ905,CALC!$F$1))&gt;0,N(INDEX(BASELINE!$A905:$ZZ905,CALC!$F$1)),N(BASELINE!E905)),N(BASELINE!E905)))=INT(SIMOPS!$D$3),IFERROR(UPPER(TRIM(BASELINE!D905&amp;"")),"")&lt;&gt;"ENCERRADA"),1,0),0)</f>
        <v/>
      </c>
      <c r="B905">
        <f>B904+A905</f>
        <v/>
      </c>
    </row>
    <row r="906">
      <c r="A906">
        <f>IFERROR(IF(AND(BASELINE!I906&lt;&gt;"",INT(IF(CALC!$F$1&gt;0,IF(N(INDEX(BASELINE!$A906:$ZZ906,CALC!$F$1))&gt;0,N(INDEX(BASELINE!$A906:$ZZ906,CALC!$F$1)),N(BASELINE!E906)),N(BASELINE!E906)))=INT(SIMOPS!$D$3),IFERROR(UPPER(TRIM(BASELINE!D906&amp;"")),"")&lt;&gt;"ENCERRADA"),1,0),0)</f>
        <v/>
      </c>
      <c r="B906">
        <f>B905+A906</f>
        <v/>
      </c>
    </row>
    <row r="907">
      <c r="A907">
        <f>IFERROR(IF(AND(BASELINE!I907&lt;&gt;"",INT(IF(CALC!$F$1&gt;0,IF(N(INDEX(BASELINE!$A907:$ZZ907,CALC!$F$1))&gt;0,N(INDEX(BASELINE!$A907:$ZZ907,CALC!$F$1)),N(BASELINE!E907)),N(BASELINE!E907)))=INT(SIMOPS!$D$3),IFERROR(UPPER(TRIM(BASELINE!D907&amp;"")),"")&lt;&gt;"ENCERRADA"),1,0),0)</f>
        <v/>
      </c>
      <c r="B907">
        <f>B906+A907</f>
        <v/>
      </c>
    </row>
    <row r="908">
      <c r="A908">
        <f>IFERROR(IF(AND(BASELINE!I908&lt;&gt;"",INT(IF(CALC!$F$1&gt;0,IF(N(INDEX(BASELINE!$A908:$ZZ908,CALC!$F$1))&gt;0,N(INDEX(BASELINE!$A908:$ZZ908,CALC!$F$1)),N(BASELINE!E908)),N(BASELINE!E908)))=INT(SIMOPS!$D$3),IFERROR(UPPER(TRIM(BASELINE!D908&amp;"")),"")&lt;&gt;"ENCERRADA"),1,0),0)</f>
        <v/>
      </c>
      <c r="B908">
        <f>B907+A908</f>
        <v/>
      </c>
    </row>
    <row r="909">
      <c r="A909">
        <f>IFERROR(IF(AND(BASELINE!I909&lt;&gt;"",INT(IF(CALC!$F$1&gt;0,IF(N(INDEX(BASELINE!$A909:$ZZ909,CALC!$F$1))&gt;0,N(INDEX(BASELINE!$A909:$ZZ909,CALC!$F$1)),N(BASELINE!E909)),N(BASELINE!E909)))=INT(SIMOPS!$D$3),IFERROR(UPPER(TRIM(BASELINE!D909&amp;"")),"")&lt;&gt;"ENCERRADA"),1,0),0)</f>
        <v/>
      </c>
      <c r="B909">
        <f>B908+A909</f>
        <v/>
      </c>
    </row>
    <row r="910">
      <c r="A910">
        <f>IFERROR(IF(AND(BASELINE!I910&lt;&gt;"",INT(IF(CALC!$F$1&gt;0,IF(N(INDEX(BASELINE!$A910:$ZZ910,CALC!$F$1))&gt;0,N(INDEX(BASELINE!$A910:$ZZ910,CALC!$F$1)),N(BASELINE!E910)),N(BASELINE!E910)))=INT(SIMOPS!$D$3),IFERROR(UPPER(TRIM(BASELINE!D910&amp;"")),"")&lt;&gt;"ENCERRADA"),1,0),0)</f>
        <v/>
      </c>
      <c r="B910">
        <f>B909+A910</f>
        <v/>
      </c>
    </row>
    <row r="911">
      <c r="A911">
        <f>IFERROR(IF(AND(BASELINE!I911&lt;&gt;"",INT(IF(CALC!$F$1&gt;0,IF(N(INDEX(BASELINE!$A911:$ZZ911,CALC!$F$1))&gt;0,N(INDEX(BASELINE!$A911:$ZZ911,CALC!$F$1)),N(BASELINE!E911)),N(BASELINE!E911)))=INT(SIMOPS!$D$3),IFERROR(UPPER(TRIM(BASELINE!D911&amp;"")),"")&lt;&gt;"ENCERRADA"),1,0),0)</f>
        <v/>
      </c>
      <c r="B911">
        <f>B910+A911</f>
        <v/>
      </c>
    </row>
    <row r="912">
      <c r="A912">
        <f>IFERROR(IF(AND(BASELINE!I912&lt;&gt;"",INT(IF(CALC!$F$1&gt;0,IF(N(INDEX(BASELINE!$A912:$ZZ912,CALC!$F$1))&gt;0,N(INDEX(BASELINE!$A912:$ZZ912,CALC!$F$1)),N(BASELINE!E912)),N(BASELINE!E912)))=INT(SIMOPS!$D$3),IFERROR(UPPER(TRIM(BASELINE!D912&amp;"")),"")&lt;&gt;"ENCERRADA"),1,0),0)</f>
        <v/>
      </c>
      <c r="B912">
        <f>B911+A912</f>
        <v/>
      </c>
    </row>
    <row r="913">
      <c r="A913">
        <f>IFERROR(IF(AND(BASELINE!I913&lt;&gt;"",INT(IF(CALC!$F$1&gt;0,IF(N(INDEX(BASELINE!$A913:$ZZ913,CALC!$F$1))&gt;0,N(INDEX(BASELINE!$A913:$ZZ913,CALC!$F$1)),N(BASELINE!E913)),N(BASELINE!E913)))=INT(SIMOPS!$D$3),IFERROR(UPPER(TRIM(BASELINE!D913&amp;"")),"")&lt;&gt;"ENCERRADA"),1,0),0)</f>
        <v/>
      </c>
      <c r="B913">
        <f>B912+A913</f>
        <v/>
      </c>
    </row>
    <row r="914">
      <c r="A914">
        <f>IFERROR(IF(AND(BASELINE!I914&lt;&gt;"",INT(IF(CALC!$F$1&gt;0,IF(N(INDEX(BASELINE!$A914:$ZZ914,CALC!$F$1))&gt;0,N(INDEX(BASELINE!$A914:$ZZ914,CALC!$F$1)),N(BASELINE!E914)),N(BASELINE!E914)))=INT(SIMOPS!$D$3),IFERROR(UPPER(TRIM(BASELINE!D914&amp;"")),"")&lt;&gt;"ENCERRADA"),1,0),0)</f>
        <v/>
      </c>
      <c r="B914">
        <f>B913+A914</f>
        <v/>
      </c>
    </row>
    <row r="915">
      <c r="A915">
        <f>IFERROR(IF(AND(BASELINE!I915&lt;&gt;"",INT(IF(CALC!$F$1&gt;0,IF(N(INDEX(BASELINE!$A915:$ZZ915,CALC!$F$1))&gt;0,N(INDEX(BASELINE!$A915:$ZZ915,CALC!$F$1)),N(BASELINE!E915)),N(BASELINE!E915)))=INT(SIMOPS!$D$3),IFERROR(UPPER(TRIM(BASELINE!D915&amp;"")),"")&lt;&gt;"ENCERRADA"),1,0),0)</f>
        <v/>
      </c>
      <c r="B915">
        <f>B914+A915</f>
        <v/>
      </c>
    </row>
    <row r="916">
      <c r="A916">
        <f>IFERROR(IF(AND(BASELINE!I916&lt;&gt;"",INT(IF(CALC!$F$1&gt;0,IF(N(INDEX(BASELINE!$A916:$ZZ916,CALC!$F$1))&gt;0,N(INDEX(BASELINE!$A916:$ZZ916,CALC!$F$1)),N(BASELINE!E916)),N(BASELINE!E916)))=INT(SIMOPS!$D$3),IFERROR(UPPER(TRIM(BASELINE!D916&amp;"")),"")&lt;&gt;"ENCERRADA"),1,0),0)</f>
        <v/>
      </c>
      <c r="B916">
        <f>B915+A916</f>
        <v/>
      </c>
    </row>
    <row r="917">
      <c r="A917">
        <f>IFERROR(IF(AND(BASELINE!I917&lt;&gt;"",INT(IF(CALC!$F$1&gt;0,IF(N(INDEX(BASELINE!$A917:$ZZ917,CALC!$F$1))&gt;0,N(INDEX(BASELINE!$A917:$ZZ917,CALC!$F$1)),N(BASELINE!E917)),N(BASELINE!E917)))=INT(SIMOPS!$D$3),IFERROR(UPPER(TRIM(BASELINE!D917&amp;"")),"")&lt;&gt;"ENCERRADA"),1,0),0)</f>
        <v/>
      </c>
      <c r="B917">
        <f>B916+A917</f>
        <v/>
      </c>
    </row>
    <row r="918">
      <c r="A918">
        <f>IFERROR(IF(AND(BASELINE!I918&lt;&gt;"",INT(IF(CALC!$F$1&gt;0,IF(N(INDEX(BASELINE!$A918:$ZZ918,CALC!$F$1))&gt;0,N(INDEX(BASELINE!$A918:$ZZ918,CALC!$F$1)),N(BASELINE!E918)),N(BASELINE!E918)))=INT(SIMOPS!$D$3),IFERROR(UPPER(TRIM(BASELINE!D918&amp;"")),"")&lt;&gt;"ENCERRADA"),1,0),0)</f>
        <v/>
      </c>
      <c r="B918">
        <f>B917+A918</f>
        <v/>
      </c>
    </row>
    <row r="919">
      <c r="A919">
        <f>IFERROR(IF(AND(BASELINE!I919&lt;&gt;"",INT(IF(CALC!$F$1&gt;0,IF(N(INDEX(BASELINE!$A919:$ZZ919,CALC!$F$1))&gt;0,N(INDEX(BASELINE!$A919:$ZZ919,CALC!$F$1)),N(BASELINE!E919)),N(BASELINE!E919)))=INT(SIMOPS!$D$3),IFERROR(UPPER(TRIM(BASELINE!D919&amp;"")),"")&lt;&gt;"ENCERRADA"),1,0),0)</f>
        <v/>
      </c>
      <c r="B919">
        <f>B918+A919</f>
        <v/>
      </c>
    </row>
    <row r="920">
      <c r="A920">
        <f>IFERROR(IF(AND(BASELINE!I920&lt;&gt;"",INT(IF(CALC!$F$1&gt;0,IF(N(INDEX(BASELINE!$A920:$ZZ920,CALC!$F$1))&gt;0,N(INDEX(BASELINE!$A920:$ZZ920,CALC!$F$1)),N(BASELINE!E920)),N(BASELINE!E920)))=INT(SIMOPS!$D$3),IFERROR(UPPER(TRIM(BASELINE!D920&amp;"")),"")&lt;&gt;"ENCERRADA"),1,0),0)</f>
        <v/>
      </c>
      <c r="B920">
        <f>B919+A920</f>
        <v/>
      </c>
    </row>
    <row r="921">
      <c r="A921">
        <f>IFERROR(IF(AND(BASELINE!I921&lt;&gt;"",INT(IF(CALC!$F$1&gt;0,IF(N(INDEX(BASELINE!$A921:$ZZ921,CALC!$F$1))&gt;0,N(INDEX(BASELINE!$A921:$ZZ921,CALC!$F$1)),N(BASELINE!E921)),N(BASELINE!E921)))=INT(SIMOPS!$D$3),IFERROR(UPPER(TRIM(BASELINE!D921&amp;"")),"")&lt;&gt;"ENCERRADA"),1,0),0)</f>
        <v/>
      </c>
      <c r="B921">
        <f>B920+A921</f>
        <v/>
      </c>
    </row>
    <row r="922">
      <c r="A922">
        <f>IFERROR(IF(AND(BASELINE!I922&lt;&gt;"",INT(IF(CALC!$F$1&gt;0,IF(N(INDEX(BASELINE!$A922:$ZZ922,CALC!$F$1))&gt;0,N(INDEX(BASELINE!$A922:$ZZ922,CALC!$F$1)),N(BASELINE!E922)),N(BASELINE!E922)))=INT(SIMOPS!$D$3),IFERROR(UPPER(TRIM(BASELINE!D922&amp;"")),"")&lt;&gt;"ENCERRADA"),1,0),0)</f>
        <v/>
      </c>
      <c r="B922">
        <f>B921+A922</f>
        <v/>
      </c>
    </row>
    <row r="923">
      <c r="A923">
        <f>IFERROR(IF(AND(BASELINE!I923&lt;&gt;"",INT(IF(CALC!$F$1&gt;0,IF(N(INDEX(BASELINE!$A923:$ZZ923,CALC!$F$1))&gt;0,N(INDEX(BASELINE!$A923:$ZZ923,CALC!$F$1)),N(BASELINE!E923)),N(BASELINE!E923)))=INT(SIMOPS!$D$3),IFERROR(UPPER(TRIM(BASELINE!D923&amp;"")),"")&lt;&gt;"ENCERRADA"),1,0),0)</f>
        <v/>
      </c>
      <c r="B923">
        <f>B922+A923</f>
        <v/>
      </c>
    </row>
    <row r="924">
      <c r="A924">
        <f>IFERROR(IF(AND(BASELINE!I924&lt;&gt;"",INT(IF(CALC!$F$1&gt;0,IF(N(INDEX(BASELINE!$A924:$ZZ924,CALC!$F$1))&gt;0,N(INDEX(BASELINE!$A924:$ZZ924,CALC!$F$1)),N(BASELINE!E924)),N(BASELINE!E924)))=INT(SIMOPS!$D$3),IFERROR(UPPER(TRIM(BASELINE!D924&amp;"")),"")&lt;&gt;"ENCERRADA"),1,0),0)</f>
        <v/>
      </c>
      <c r="B924">
        <f>B923+A924</f>
        <v/>
      </c>
    </row>
    <row r="925">
      <c r="A925">
        <f>IFERROR(IF(AND(BASELINE!I925&lt;&gt;"",INT(IF(CALC!$F$1&gt;0,IF(N(INDEX(BASELINE!$A925:$ZZ925,CALC!$F$1))&gt;0,N(INDEX(BASELINE!$A925:$ZZ925,CALC!$F$1)),N(BASELINE!E925)),N(BASELINE!E925)))=INT(SIMOPS!$D$3),IFERROR(UPPER(TRIM(BASELINE!D925&amp;"")),"")&lt;&gt;"ENCERRADA"),1,0),0)</f>
        <v/>
      </c>
      <c r="B925">
        <f>B924+A925</f>
        <v/>
      </c>
    </row>
    <row r="926">
      <c r="A926">
        <f>IFERROR(IF(AND(BASELINE!I926&lt;&gt;"",INT(IF(CALC!$F$1&gt;0,IF(N(INDEX(BASELINE!$A926:$ZZ926,CALC!$F$1))&gt;0,N(INDEX(BASELINE!$A926:$ZZ926,CALC!$F$1)),N(BASELINE!E926)),N(BASELINE!E926)))=INT(SIMOPS!$D$3),IFERROR(UPPER(TRIM(BASELINE!D926&amp;"")),"")&lt;&gt;"ENCERRADA"),1,0),0)</f>
        <v/>
      </c>
      <c r="B926">
        <f>B925+A926</f>
        <v/>
      </c>
    </row>
    <row r="927">
      <c r="A927">
        <f>IFERROR(IF(AND(BASELINE!I927&lt;&gt;"",INT(IF(CALC!$F$1&gt;0,IF(N(INDEX(BASELINE!$A927:$ZZ927,CALC!$F$1))&gt;0,N(INDEX(BASELINE!$A927:$ZZ927,CALC!$F$1)),N(BASELINE!E927)),N(BASELINE!E927)))=INT(SIMOPS!$D$3),IFERROR(UPPER(TRIM(BASELINE!D927&amp;"")),"")&lt;&gt;"ENCERRADA"),1,0),0)</f>
        <v/>
      </c>
      <c r="B927">
        <f>B926+A927</f>
        <v/>
      </c>
    </row>
    <row r="928">
      <c r="A928">
        <f>IFERROR(IF(AND(BASELINE!I928&lt;&gt;"",INT(IF(CALC!$F$1&gt;0,IF(N(INDEX(BASELINE!$A928:$ZZ928,CALC!$F$1))&gt;0,N(INDEX(BASELINE!$A928:$ZZ928,CALC!$F$1)),N(BASELINE!E928)),N(BASELINE!E928)))=INT(SIMOPS!$D$3),IFERROR(UPPER(TRIM(BASELINE!D928&amp;"")),"")&lt;&gt;"ENCERRADA"),1,0),0)</f>
        <v/>
      </c>
      <c r="B928">
        <f>B927+A928</f>
        <v/>
      </c>
    </row>
    <row r="929">
      <c r="A929">
        <f>IFERROR(IF(AND(BASELINE!I929&lt;&gt;"",INT(IF(CALC!$F$1&gt;0,IF(N(INDEX(BASELINE!$A929:$ZZ929,CALC!$F$1))&gt;0,N(INDEX(BASELINE!$A929:$ZZ929,CALC!$F$1)),N(BASELINE!E929)),N(BASELINE!E929)))=INT(SIMOPS!$D$3),IFERROR(UPPER(TRIM(BASELINE!D929&amp;"")),"")&lt;&gt;"ENCERRADA"),1,0),0)</f>
        <v/>
      </c>
      <c r="B929">
        <f>B928+A929</f>
        <v/>
      </c>
    </row>
    <row r="930">
      <c r="A930">
        <f>IFERROR(IF(AND(BASELINE!I930&lt;&gt;"",INT(IF(CALC!$F$1&gt;0,IF(N(INDEX(BASELINE!$A930:$ZZ930,CALC!$F$1))&gt;0,N(INDEX(BASELINE!$A930:$ZZ930,CALC!$F$1)),N(BASELINE!E930)),N(BASELINE!E930)))=INT(SIMOPS!$D$3),IFERROR(UPPER(TRIM(BASELINE!D930&amp;"")),"")&lt;&gt;"ENCERRADA"),1,0),0)</f>
        <v/>
      </c>
      <c r="B930">
        <f>B929+A930</f>
        <v/>
      </c>
    </row>
    <row r="931">
      <c r="A931">
        <f>IFERROR(IF(AND(BASELINE!I931&lt;&gt;"",INT(IF(CALC!$F$1&gt;0,IF(N(INDEX(BASELINE!$A931:$ZZ931,CALC!$F$1))&gt;0,N(INDEX(BASELINE!$A931:$ZZ931,CALC!$F$1)),N(BASELINE!E931)),N(BASELINE!E931)))=INT(SIMOPS!$D$3),IFERROR(UPPER(TRIM(BASELINE!D931&amp;"")),"")&lt;&gt;"ENCERRADA"),1,0),0)</f>
        <v/>
      </c>
      <c r="B931">
        <f>B930+A931</f>
        <v/>
      </c>
    </row>
    <row r="932">
      <c r="A932">
        <f>IFERROR(IF(AND(BASELINE!I932&lt;&gt;"",INT(IF(CALC!$F$1&gt;0,IF(N(INDEX(BASELINE!$A932:$ZZ932,CALC!$F$1))&gt;0,N(INDEX(BASELINE!$A932:$ZZ932,CALC!$F$1)),N(BASELINE!E932)),N(BASELINE!E932)))=INT(SIMOPS!$D$3),IFERROR(UPPER(TRIM(BASELINE!D932&amp;"")),"")&lt;&gt;"ENCERRADA"),1,0),0)</f>
        <v/>
      </c>
      <c r="B932">
        <f>B931+A932</f>
        <v/>
      </c>
    </row>
    <row r="933">
      <c r="A933">
        <f>IFERROR(IF(AND(BASELINE!I933&lt;&gt;"",INT(IF(CALC!$F$1&gt;0,IF(N(INDEX(BASELINE!$A933:$ZZ933,CALC!$F$1))&gt;0,N(INDEX(BASELINE!$A933:$ZZ933,CALC!$F$1)),N(BASELINE!E933)),N(BASELINE!E933)))=INT(SIMOPS!$D$3),IFERROR(UPPER(TRIM(BASELINE!D933&amp;"")),"")&lt;&gt;"ENCERRADA"),1,0),0)</f>
        <v/>
      </c>
      <c r="B933">
        <f>B932+A933</f>
        <v/>
      </c>
    </row>
    <row r="934">
      <c r="A934">
        <f>IFERROR(IF(AND(BASELINE!I934&lt;&gt;"",INT(IF(CALC!$F$1&gt;0,IF(N(INDEX(BASELINE!$A934:$ZZ934,CALC!$F$1))&gt;0,N(INDEX(BASELINE!$A934:$ZZ934,CALC!$F$1)),N(BASELINE!E934)),N(BASELINE!E934)))=INT(SIMOPS!$D$3),IFERROR(UPPER(TRIM(BASELINE!D934&amp;"")),"")&lt;&gt;"ENCERRADA"),1,0),0)</f>
        <v/>
      </c>
      <c r="B934">
        <f>B933+A934</f>
        <v/>
      </c>
    </row>
    <row r="935">
      <c r="A935">
        <f>IFERROR(IF(AND(BASELINE!I935&lt;&gt;"",INT(IF(CALC!$F$1&gt;0,IF(N(INDEX(BASELINE!$A935:$ZZ935,CALC!$F$1))&gt;0,N(INDEX(BASELINE!$A935:$ZZ935,CALC!$F$1)),N(BASELINE!E935)),N(BASELINE!E935)))=INT(SIMOPS!$D$3),IFERROR(UPPER(TRIM(BASELINE!D935&amp;"")),"")&lt;&gt;"ENCERRADA"),1,0),0)</f>
        <v/>
      </c>
      <c r="B935">
        <f>B934+A935</f>
        <v/>
      </c>
    </row>
    <row r="936">
      <c r="A936">
        <f>IFERROR(IF(AND(BASELINE!I936&lt;&gt;"",INT(IF(CALC!$F$1&gt;0,IF(N(INDEX(BASELINE!$A936:$ZZ936,CALC!$F$1))&gt;0,N(INDEX(BASELINE!$A936:$ZZ936,CALC!$F$1)),N(BASELINE!E936)),N(BASELINE!E936)))=INT(SIMOPS!$D$3),IFERROR(UPPER(TRIM(BASELINE!D936&amp;"")),"")&lt;&gt;"ENCERRADA"),1,0),0)</f>
        <v/>
      </c>
      <c r="B936">
        <f>B935+A936</f>
        <v/>
      </c>
    </row>
    <row r="937">
      <c r="A937">
        <f>IFERROR(IF(AND(BASELINE!I937&lt;&gt;"",INT(IF(CALC!$F$1&gt;0,IF(N(INDEX(BASELINE!$A937:$ZZ937,CALC!$F$1))&gt;0,N(INDEX(BASELINE!$A937:$ZZ937,CALC!$F$1)),N(BASELINE!E937)),N(BASELINE!E937)))=INT(SIMOPS!$D$3),IFERROR(UPPER(TRIM(BASELINE!D937&amp;"")),"")&lt;&gt;"ENCERRADA"),1,0),0)</f>
        <v/>
      </c>
      <c r="B937">
        <f>B936+A937</f>
        <v/>
      </c>
    </row>
    <row r="938">
      <c r="A938">
        <f>IFERROR(IF(AND(BASELINE!I938&lt;&gt;"",INT(IF(CALC!$F$1&gt;0,IF(N(INDEX(BASELINE!$A938:$ZZ938,CALC!$F$1))&gt;0,N(INDEX(BASELINE!$A938:$ZZ938,CALC!$F$1)),N(BASELINE!E938)),N(BASELINE!E938)))=INT(SIMOPS!$D$3),IFERROR(UPPER(TRIM(BASELINE!D938&amp;"")),"")&lt;&gt;"ENCERRADA"),1,0),0)</f>
        <v/>
      </c>
      <c r="B938">
        <f>B937+A938</f>
        <v/>
      </c>
    </row>
    <row r="939">
      <c r="A939">
        <f>IFERROR(IF(AND(BASELINE!I939&lt;&gt;"",INT(IF(CALC!$F$1&gt;0,IF(N(INDEX(BASELINE!$A939:$ZZ939,CALC!$F$1))&gt;0,N(INDEX(BASELINE!$A939:$ZZ939,CALC!$F$1)),N(BASELINE!E939)),N(BASELINE!E939)))=INT(SIMOPS!$D$3),IFERROR(UPPER(TRIM(BASELINE!D939&amp;"")),"")&lt;&gt;"ENCERRADA"),1,0),0)</f>
        <v/>
      </c>
      <c r="B939">
        <f>B938+A939</f>
        <v/>
      </c>
    </row>
    <row r="940">
      <c r="A940">
        <f>IFERROR(IF(AND(BASELINE!I940&lt;&gt;"",INT(IF(CALC!$F$1&gt;0,IF(N(INDEX(BASELINE!$A940:$ZZ940,CALC!$F$1))&gt;0,N(INDEX(BASELINE!$A940:$ZZ940,CALC!$F$1)),N(BASELINE!E940)),N(BASELINE!E940)))=INT(SIMOPS!$D$3),IFERROR(UPPER(TRIM(BASELINE!D940&amp;"")),"")&lt;&gt;"ENCERRADA"),1,0),0)</f>
        <v/>
      </c>
      <c r="B940">
        <f>B939+A940</f>
        <v/>
      </c>
    </row>
    <row r="941">
      <c r="A941">
        <f>IFERROR(IF(AND(BASELINE!I941&lt;&gt;"",INT(IF(CALC!$F$1&gt;0,IF(N(INDEX(BASELINE!$A941:$ZZ941,CALC!$F$1))&gt;0,N(INDEX(BASELINE!$A941:$ZZ941,CALC!$F$1)),N(BASELINE!E941)),N(BASELINE!E941)))=INT(SIMOPS!$D$3),IFERROR(UPPER(TRIM(BASELINE!D941&amp;"")),"")&lt;&gt;"ENCERRADA"),1,0),0)</f>
        <v/>
      </c>
      <c r="B941">
        <f>B940+A941</f>
        <v/>
      </c>
    </row>
    <row r="942">
      <c r="A942">
        <f>IFERROR(IF(AND(BASELINE!I942&lt;&gt;"",INT(IF(CALC!$F$1&gt;0,IF(N(INDEX(BASELINE!$A942:$ZZ942,CALC!$F$1))&gt;0,N(INDEX(BASELINE!$A942:$ZZ942,CALC!$F$1)),N(BASELINE!E942)),N(BASELINE!E942)))=INT(SIMOPS!$D$3),IFERROR(UPPER(TRIM(BASELINE!D942&amp;"")),"")&lt;&gt;"ENCERRADA"),1,0),0)</f>
        <v/>
      </c>
      <c r="B942">
        <f>B941+A942</f>
        <v/>
      </c>
    </row>
    <row r="943">
      <c r="A943">
        <f>IFERROR(IF(AND(BASELINE!I943&lt;&gt;"",INT(IF(CALC!$F$1&gt;0,IF(N(INDEX(BASELINE!$A943:$ZZ943,CALC!$F$1))&gt;0,N(INDEX(BASELINE!$A943:$ZZ943,CALC!$F$1)),N(BASELINE!E943)),N(BASELINE!E943)))=INT(SIMOPS!$D$3),IFERROR(UPPER(TRIM(BASELINE!D943&amp;"")),"")&lt;&gt;"ENCERRADA"),1,0),0)</f>
        <v/>
      </c>
      <c r="B943">
        <f>B942+A943</f>
        <v/>
      </c>
    </row>
    <row r="944">
      <c r="A944">
        <f>IFERROR(IF(AND(BASELINE!I944&lt;&gt;"",INT(IF(CALC!$F$1&gt;0,IF(N(INDEX(BASELINE!$A944:$ZZ944,CALC!$F$1))&gt;0,N(INDEX(BASELINE!$A944:$ZZ944,CALC!$F$1)),N(BASELINE!E944)),N(BASELINE!E944)))=INT(SIMOPS!$D$3),IFERROR(UPPER(TRIM(BASELINE!D944&amp;"")),"")&lt;&gt;"ENCERRADA"),1,0),0)</f>
        <v/>
      </c>
      <c r="B944">
        <f>B943+A944</f>
        <v/>
      </c>
    </row>
    <row r="945">
      <c r="A945">
        <f>IFERROR(IF(AND(BASELINE!I945&lt;&gt;"",INT(IF(CALC!$F$1&gt;0,IF(N(INDEX(BASELINE!$A945:$ZZ945,CALC!$F$1))&gt;0,N(INDEX(BASELINE!$A945:$ZZ945,CALC!$F$1)),N(BASELINE!E945)),N(BASELINE!E945)))=INT(SIMOPS!$D$3),IFERROR(UPPER(TRIM(BASELINE!D945&amp;"")),"")&lt;&gt;"ENCERRADA"),1,0),0)</f>
        <v/>
      </c>
      <c r="B945">
        <f>B944+A945</f>
        <v/>
      </c>
    </row>
    <row r="946">
      <c r="A946">
        <f>IFERROR(IF(AND(BASELINE!I946&lt;&gt;"",INT(IF(CALC!$F$1&gt;0,IF(N(INDEX(BASELINE!$A946:$ZZ946,CALC!$F$1))&gt;0,N(INDEX(BASELINE!$A946:$ZZ946,CALC!$F$1)),N(BASELINE!E946)),N(BASELINE!E946)))=INT(SIMOPS!$D$3),IFERROR(UPPER(TRIM(BASELINE!D946&amp;"")),"")&lt;&gt;"ENCERRADA"),1,0),0)</f>
        <v/>
      </c>
      <c r="B946">
        <f>B945+A946</f>
        <v/>
      </c>
    </row>
    <row r="947">
      <c r="A947">
        <f>IFERROR(IF(AND(BASELINE!I947&lt;&gt;"",INT(IF(CALC!$F$1&gt;0,IF(N(INDEX(BASELINE!$A947:$ZZ947,CALC!$F$1))&gt;0,N(INDEX(BASELINE!$A947:$ZZ947,CALC!$F$1)),N(BASELINE!E947)),N(BASELINE!E947)))=INT(SIMOPS!$D$3),IFERROR(UPPER(TRIM(BASELINE!D947&amp;"")),"")&lt;&gt;"ENCERRADA"),1,0),0)</f>
        <v/>
      </c>
      <c r="B947">
        <f>B946+A947</f>
        <v/>
      </c>
    </row>
    <row r="948">
      <c r="A948">
        <f>IFERROR(IF(AND(BASELINE!I948&lt;&gt;"",INT(IF(CALC!$F$1&gt;0,IF(N(INDEX(BASELINE!$A948:$ZZ948,CALC!$F$1))&gt;0,N(INDEX(BASELINE!$A948:$ZZ948,CALC!$F$1)),N(BASELINE!E948)),N(BASELINE!E948)))=INT(SIMOPS!$D$3),IFERROR(UPPER(TRIM(BASELINE!D948&amp;"")),"")&lt;&gt;"ENCERRADA"),1,0),0)</f>
        <v/>
      </c>
      <c r="B948">
        <f>B947+A948</f>
        <v/>
      </c>
    </row>
    <row r="949">
      <c r="A949">
        <f>IFERROR(IF(AND(BASELINE!I949&lt;&gt;"",INT(IF(CALC!$F$1&gt;0,IF(N(INDEX(BASELINE!$A949:$ZZ949,CALC!$F$1))&gt;0,N(INDEX(BASELINE!$A949:$ZZ949,CALC!$F$1)),N(BASELINE!E949)),N(BASELINE!E949)))=INT(SIMOPS!$D$3),IFERROR(UPPER(TRIM(BASELINE!D949&amp;"")),"")&lt;&gt;"ENCERRADA"),1,0),0)</f>
        <v/>
      </c>
      <c r="B949">
        <f>B948+A949</f>
        <v/>
      </c>
    </row>
    <row r="950">
      <c r="A950">
        <f>IFERROR(IF(AND(BASELINE!I950&lt;&gt;"",INT(IF(CALC!$F$1&gt;0,IF(N(INDEX(BASELINE!$A950:$ZZ950,CALC!$F$1))&gt;0,N(INDEX(BASELINE!$A950:$ZZ950,CALC!$F$1)),N(BASELINE!E950)),N(BASELINE!E950)))=INT(SIMOPS!$D$3),IFERROR(UPPER(TRIM(BASELINE!D950&amp;"")),"")&lt;&gt;"ENCERRADA"),1,0),0)</f>
        <v/>
      </c>
      <c r="B950">
        <f>B949+A950</f>
        <v/>
      </c>
    </row>
    <row r="951">
      <c r="A951">
        <f>IFERROR(IF(AND(BASELINE!I951&lt;&gt;"",INT(IF(CALC!$F$1&gt;0,IF(N(INDEX(BASELINE!$A951:$ZZ951,CALC!$F$1))&gt;0,N(INDEX(BASELINE!$A951:$ZZ951,CALC!$F$1)),N(BASELINE!E951)),N(BASELINE!E951)))=INT(SIMOPS!$D$3),IFERROR(UPPER(TRIM(BASELINE!D951&amp;"")),"")&lt;&gt;"ENCERRADA"),1,0),0)</f>
        <v/>
      </c>
      <c r="B951">
        <f>B950+A951</f>
        <v/>
      </c>
    </row>
    <row r="952">
      <c r="A952">
        <f>IFERROR(IF(AND(BASELINE!I952&lt;&gt;"",INT(IF(CALC!$F$1&gt;0,IF(N(INDEX(BASELINE!$A952:$ZZ952,CALC!$F$1))&gt;0,N(INDEX(BASELINE!$A952:$ZZ952,CALC!$F$1)),N(BASELINE!E952)),N(BASELINE!E952)))=INT(SIMOPS!$D$3),IFERROR(UPPER(TRIM(BASELINE!D952&amp;"")),"")&lt;&gt;"ENCERRADA"),1,0),0)</f>
        <v/>
      </c>
      <c r="B952">
        <f>B951+A952</f>
        <v/>
      </c>
    </row>
    <row r="953">
      <c r="A953">
        <f>IFERROR(IF(AND(BASELINE!I953&lt;&gt;"",INT(IF(CALC!$F$1&gt;0,IF(N(INDEX(BASELINE!$A953:$ZZ953,CALC!$F$1))&gt;0,N(INDEX(BASELINE!$A953:$ZZ953,CALC!$F$1)),N(BASELINE!E953)),N(BASELINE!E953)))=INT(SIMOPS!$D$3),IFERROR(UPPER(TRIM(BASELINE!D953&amp;"")),"")&lt;&gt;"ENCERRADA"),1,0),0)</f>
        <v/>
      </c>
      <c r="B953">
        <f>B952+A953</f>
        <v/>
      </c>
    </row>
    <row r="954">
      <c r="A954">
        <f>IFERROR(IF(AND(BASELINE!I954&lt;&gt;"",INT(IF(CALC!$F$1&gt;0,IF(N(INDEX(BASELINE!$A954:$ZZ954,CALC!$F$1))&gt;0,N(INDEX(BASELINE!$A954:$ZZ954,CALC!$F$1)),N(BASELINE!E954)),N(BASELINE!E954)))=INT(SIMOPS!$D$3),IFERROR(UPPER(TRIM(BASELINE!D954&amp;"")),"")&lt;&gt;"ENCERRADA"),1,0),0)</f>
        <v/>
      </c>
      <c r="B954">
        <f>B953+A954</f>
        <v/>
      </c>
    </row>
    <row r="955">
      <c r="A955">
        <f>IFERROR(IF(AND(BASELINE!I955&lt;&gt;"",INT(IF(CALC!$F$1&gt;0,IF(N(INDEX(BASELINE!$A955:$ZZ955,CALC!$F$1))&gt;0,N(INDEX(BASELINE!$A955:$ZZ955,CALC!$F$1)),N(BASELINE!E955)),N(BASELINE!E955)))=INT(SIMOPS!$D$3),IFERROR(UPPER(TRIM(BASELINE!D955&amp;"")),"")&lt;&gt;"ENCERRADA"),1,0),0)</f>
        <v/>
      </c>
      <c r="B955">
        <f>B954+A955</f>
        <v/>
      </c>
    </row>
    <row r="956">
      <c r="A956">
        <f>IFERROR(IF(AND(BASELINE!I956&lt;&gt;"",INT(IF(CALC!$F$1&gt;0,IF(N(INDEX(BASELINE!$A956:$ZZ956,CALC!$F$1))&gt;0,N(INDEX(BASELINE!$A956:$ZZ956,CALC!$F$1)),N(BASELINE!E956)),N(BASELINE!E956)))=INT(SIMOPS!$D$3),IFERROR(UPPER(TRIM(BASELINE!D956&amp;"")),"")&lt;&gt;"ENCERRADA"),1,0),0)</f>
        <v/>
      </c>
      <c r="B956">
        <f>B955+A956</f>
        <v/>
      </c>
    </row>
    <row r="957">
      <c r="A957">
        <f>IFERROR(IF(AND(BASELINE!I957&lt;&gt;"",INT(IF(CALC!$F$1&gt;0,IF(N(INDEX(BASELINE!$A957:$ZZ957,CALC!$F$1))&gt;0,N(INDEX(BASELINE!$A957:$ZZ957,CALC!$F$1)),N(BASELINE!E957)),N(BASELINE!E957)))=INT(SIMOPS!$D$3),IFERROR(UPPER(TRIM(BASELINE!D957&amp;"")),"")&lt;&gt;"ENCERRADA"),1,0),0)</f>
        <v/>
      </c>
      <c r="B957">
        <f>B956+A957</f>
        <v/>
      </c>
    </row>
    <row r="958">
      <c r="A958">
        <f>IFERROR(IF(AND(BASELINE!I958&lt;&gt;"",INT(IF(CALC!$F$1&gt;0,IF(N(INDEX(BASELINE!$A958:$ZZ958,CALC!$F$1))&gt;0,N(INDEX(BASELINE!$A958:$ZZ958,CALC!$F$1)),N(BASELINE!E958)),N(BASELINE!E958)))=INT(SIMOPS!$D$3),IFERROR(UPPER(TRIM(BASELINE!D958&amp;"")),"")&lt;&gt;"ENCERRADA"),1,0),0)</f>
        <v/>
      </c>
      <c r="B958">
        <f>B957+A958</f>
        <v/>
      </c>
    </row>
    <row r="959">
      <c r="A959">
        <f>IFERROR(IF(AND(BASELINE!I959&lt;&gt;"",INT(IF(CALC!$F$1&gt;0,IF(N(INDEX(BASELINE!$A959:$ZZ959,CALC!$F$1))&gt;0,N(INDEX(BASELINE!$A959:$ZZ959,CALC!$F$1)),N(BASELINE!E959)),N(BASELINE!E959)))=INT(SIMOPS!$D$3),IFERROR(UPPER(TRIM(BASELINE!D959&amp;"")),"")&lt;&gt;"ENCERRADA"),1,0),0)</f>
        <v/>
      </c>
      <c r="B959">
        <f>B958+A959</f>
        <v/>
      </c>
    </row>
    <row r="960">
      <c r="A960">
        <f>IFERROR(IF(AND(BASELINE!I960&lt;&gt;"",INT(IF(CALC!$F$1&gt;0,IF(N(INDEX(BASELINE!$A960:$ZZ960,CALC!$F$1))&gt;0,N(INDEX(BASELINE!$A960:$ZZ960,CALC!$F$1)),N(BASELINE!E960)),N(BASELINE!E960)))=INT(SIMOPS!$D$3),IFERROR(UPPER(TRIM(BASELINE!D960&amp;"")),"")&lt;&gt;"ENCERRADA"),1,0),0)</f>
        <v/>
      </c>
      <c r="B960">
        <f>B959+A960</f>
        <v/>
      </c>
    </row>
    <row r="961">
      <c r="A961">
        <f>IFERROR(IF(AND(BASELINE!I961&lt;&gt;"",INT(IF(CALC!$F$1&gt;0,IF(N(INDEX(BASELINE!$A961:$ZZ961,CALC!$F$1))&gt;0,N(INDEX(BASELINE!$A961:$ZZ961,CALC!$F$1)),N(BASELINE!E961)),N(BASELINE!E961)))=INT(SIMOPS!$D$3),IFERROR(UPPER(TRIM(BASELINE!D961&amp;"")),"")&lt;&gt;"ENCERRADA"),1,0),0)</f>
        <v/>
      </c>
      <c r="B961">
        <f>B960+A961</f>
        <v/>
      </c>
    </row>
    <row r="962">
      <c r="A962">
        <f>IFERROR(IF(AND(BASELINE!I962&lt;&gt;"",INT(IF(CALC!$F$1&gt;0,IF(N(INDEX(BASELINE!$A962:$ZZ962,CALC!$F$1))&gt;0,N(INDEX(BASELINE!$A962:$ZZ962,CALC!$F$1)),N(BASELINE!E962)),N(BASELINE!E962)))=INT(SIMOPS!$D$3),IFERROR(UPPER(TRIM(BASELINE!D962&amp;"")),"")&lt;&gt;"ENCERRADA"),1,0),0)</f>
        <v/>
      </c>
      <c r="B962">
        <f>B961+A962</f>
        <v/>
      </c>
    </row>
    <row r="963">
      <c r="A963">
        <f>IFERROR(IF(AND(BASELINE!I963&lt;&gt;"",INT(IF(CALC!$F$1&gt;0,IF(N(INDEX(BASELINE!$A963:$ZZ963,CALC!$F$1))&gt;0,N(INDEX(BASELINE!$A963:$ZZ963,CALC!$F$1)),N(BASELINE!E963)),N(BASELINE!E963)))=INT(SIMOPS!$D$3),IFERROR(UPPER(TRIM(BASELINE!D963&amp;"")),"")&lt;&gt;"ENCERRADA"),1,0),0)</f>
        <v/>
      </c>
      <c r="B963">
        <f>B962+A963</f>
        <v/>
      </c>
    </row>
    <row r="964">
      <c r="A964">
        <f>IFERROR(IF(AND(BASELINE!I964&lt;&gt;"",INT(IF(CALC!$F$1&gt;0,IF(N(INDEX(BASELINE!$A964:$ZZ964,CALC!$F$1))&gt;0,N(INDEX(BASELINE!$A964:$ZZ964,CALC!$F$1)),N(BASELINE!E964)),N(BASELINE!E964)))=INT(SIMOPS!$D$3),IFERROR(UPPER(TRIM(BASELINE!D964&amp;"")),"")&lt;&gt;"ENCERRADA"),1,0),0)</f>
        <v/>
      </c>
      <c r="B964">
        <f>B963+A964</f>
        <v/>
      </c>
    </row>
    <row r="965">
      <c r="A965">
        <f>IFERROR(IF(AND(BASELINE!I965&lt;&gt;"",INT(IF(CALC!$F$1&gt;0,IF(N(INDEX(BASELINE!$A965:$ZZ965,CALC!$F$1))&gt;0,N(INDEX(BASELINE!$A965:$ZZ965,CALC!$F$1)),N(BASELINE!E965)),N(BASELINE!E965)))=INT(SIMOPS!$D$3),IFERROR(UPPER(TRIM(BASELINE!D965&amp;"")),"")&lt;&gt;"ENCERRADA"),1,0),0)</f>
        <v/>
      </c>
      <c r="B965">
        <f>B964+A965</f>
        <v/>
      </c>
    </row>
    <row r="966">
      <c r="A966">
        <f>IFERROR(IF(AND(BASELINE!I966&lt;&gt;"",INT(IF(CALC!$F$1&gt;0,IF(N(INDEX(BASELINE!$A966:$ZZ966,CALC!$F$1))&gt;0,N(INDEX(BASELINE!$A966:$ZZ966,CALC!$F$1)),N(BASELINE!E966)),N(BASELINE!E966)))=INT(SIMOPS!$D$3),IFERROR(UPPER(TRIM(BASELINE!D966&amp;"")),"")&lt;&gt;"ENCERRADA"),1,0),0)</f>
        <v/>
      </c>
      <c r="B966">
        <f>B965+A966</f>
        <v/>
      </c>
    </row>
    <row r="967">
      <c r="A967">
        <f>IFERROR(IF(AND(BASELINE!I967&lt;&gt;"",INT(IF(CALC!$F$1&gt;0,IF(N(INDEX(BASELINE!$A967:$ZZ967,CALC!$F$1))&gt;0,N(INDEX(BASELINE!$A967:$ZZ967,CALC!$F$1)),N(BASELINE!E967)),N(BASELINE!E967)))=INT(SIMOPS!$D$3),IFERROR(UPPER(TRIM(BASELINE!D967&amp;"")),"")&lt;&gt;"ENCERRADA"),1,0),0)</f>
        <v/>
      </c>
      <c r="B967">
        <f>B966+A967</f>
        <v/>
      </c>
    </row>
    <row r="968">
      <c r="A968">
        <f>IFERROR(IF(AND(BASELINE!I968&lt;&gt;"",INT(IF(CALC!$F$1&gt;0,IF(N(INDEX(BASELINE!$A968:$ZZ968,CALC!$F$1))&gt;0,N(INDEX(BASELINE!$A968:$ZZ968,CALC!$F$1)),N(BASELINE!E968)),N(BASELINE!E968)))=INT(SIMOPS!$D$3),IFERROR(UPPER(TRIM(BASELINE!D968&amp;"")),"")&lt;&gt;"ENCERRADA"),1,0),0)</f>
        <v/>
      </c>
      <c r="B968">
        <f>B967+A968</f>
        <v/>
      </c>
    </row>
    <row r="969">
      <c r="A969">
        <f>IFERROR(IF(AND(BASELINE!I969&lt;&gt;"",INT(IF(CALC!$F$1&gt;0,IF(N(INDEX(BASELINE!$A969:$ZZ969,CALC!$F$1))&gt;0,N(INDEX(BASELINE!$A969:$ZZ969,CALC!$F$1)),N(BASELINE!E969)),N(BASELINE!E969)))=INT(SIMOPS!$D$3),IFERROR(UPPER(TRIM(BASELINE!D969&amp;"")),"")&lt;&gt;"ENCERRADA"),1,0),0)</f>
        <v/>
      </c>
      <c r="B969">
        <f>B968+A969</f>
        <v/>
      </c>
    </row>
    <row r="970">
      <c r="A970">
        <f>IFERROR(IF(AND(BASELINE!I970&lt;&gt;"",INT(IF(CALC!$F$1&gt;0,IF(N(INDEX(BASELINE!$A970:$ZZ970,CALC!$F$1))&gt;0,N(INDEX(BASELINE!$A970:$ZZ970,CALC!$F$1)),N(BASELINE!E970)),N(BASELINE!E970)))=INT(SIMOPS!$D$3),IFERROR(UPPER(TRIM(BASELINE!D970&amp;"")),"")&lt;&gt;"ENCERRADA"),1,0),0)</f>
        <v/>
      </c>
      <c r="B970">
        <f>B969+A970</f>
        <v/>
      </c>
    </row>
    <row r="971">
      <c r="A971">
        <f>IFERROR(IF(AND(BASELINE!I971&lt;&gt;"",INT(IF(CALC!$F$1&gt;0,IF(N(INDEX(BASELINE!$A971:$ZZ971,CALC!$F$1))&gt;0,N(INDEX(BASELINE!$A971:$ZZ971,CALC!$F$1)),N(BASELINE!E971)),N(BASELINE!E971)))=INT(SIMOPS!$D$3),IFERROR(UPPER(TRIM(BASELINE!D971&amp;"")),"")&lt;&gt;"ENCERRADA"),1,0),0)</f>
        <v/>
      </c>
      <c r="B971">
        <f>B970+A971</f>
        <v/>
      </c>
    </row>
    <row r="972">
      <c r="A972">
        <f>IFERROR(IF(AND(BASELINE!I972&lt;&gt;"",INT(IF(CALC!$F$1&gt;0,IF(N(INDEX(BASELINE!$A972:$ZZ972,CALC!$F$1))&gt;0,N(INDEX(BASELINE!$A972:$ZZ972,CALC!$F$1)),N(BASELINE!E972)),N(BASELINE!E972)))=INT(SIMOPS!$D$3),IFERROR(UPPER(TRIM(BASELINE!D972&amp;"")),"")&lt;&gt;"ENCERRADA"),1,0),0)</f>
        <v/>
      </c>
      <c r="B972">
        <f>B971+A972</f>
        <v/>
      </c>
    </row>
    <row r="973">
      <c r="A973">
        <f>IFERROR(IF(AND(BASELINE!I973&lt;&gt;"",INT(IF(CALC!$F$1&gt;0,IF(N(INDEX(BASELINE!$A973:$ZZ973,CALC!$F$1))&gt;0,N(INDEX(BASELINE!$A973:$ZZ973,CALC!$F$1)),N(BASELINE!E973)),N(BASELINE!E973)))=INT(SIMOPS!$D$3),IFERROR(UPPER(TRIM(BASELINE!D973&amp;"")),"")&lt;&gt;"ENCERRADA"),1,0),0)</f>
        <v/>
      </c>
      <c r="B973">
        <f>B972+A973</f>
        <v/>
      </c>
    </row>
    <row r="974">
      <c r="A974">
        <f>IFERROR(IF(AND(BASELINE!I974&lt;&gt;"",INT(IF(CALC!$F$1&gt;0,IF(N(INDEX(BASELINE!$A974:$ZZ974,CALC!$F$1))&gt;0,N(INDEX(BASELINE!$A974:$ZZ974,CALC!$F$1)),N(BASELINE!E974)),N(BASELINE!E974)))=INT(SIMOPS!$D$3),IFERROR(UPPER(TRIM(BASELINE!D974&amp;"")),"")&lt;&gt;"ENCERRADA"),1,0),0)</f>
        <v/>
      </c>
      <c r="B974">
        <f>B973+A974</f>
        <v/>
      </c>
    </row>
    <row r="975">
      <c r="A975">
        <f>IFERROR(IF(AND(BASELINE!I975&lt;&gt;"",INT(IF(CALC!$F$1&gt;0,IF(N(INDEX(BASELINE!$A975:$ZZ975,CALC!$F$1))&gt;0,N(INDEX(BASELINE!$A975:$ZZ975,CALC!$F$1)),N(BASELINE!E975)),N(BASELINE!E975)))=INT(SIMOPS!$D$3),IFERROR(UPPER(TRIM(BASELINE!D975&amp;"")),"")&lt;&gt;"ENCERRADA"),1,0),0)</f>
        <v/>
      </c>
      <c r="B975">
        <f>B974+A975</f>
        <v/>
      </c>
    </row>
    <row r="976">
      <c r="A976">
        <f>IFERROR(IF(AND(BASELINE!I976&lt;&gt;"",INT(IF(CALC!$F$1&gt;0,IF(N(INDEX(BASELINE!$A976:$ZZ976,CALC!$F$1))&gt;0,N(INDEX(BASELINE!$A976:$ZZ976,CALC!$F$1)),N(BASELINE!E976)),N(BASELINE!E976)))=INT(SIMOPS!$D$3),IFERROR(UPPER(TRIM(BASELINE!D976&amp;"")),"")&lt;&gt;"ENCERRADA"),1,0),0)</f>
        <v/>
      </c>
      <c r="B976">
        <f>B975+A976</f>
        <v/>
      </c>
    </row>
    <row r="977">
      <c r="A977">
        <f>IFERROR(IF(AND(BASELINE!I977&lt;&gt;"",INT(IF(CALC!$F$1&gt;0,IF(N(INDEX(BASELINE!$A977:$ZZ977,CALC!$F$1))&gt;0,N(INDEX(BASELINE!$A977:$ZZ977,CALC!$F$1)),N(BASELINE!E977)),N(BASELINE!E977)))=INT(SIMOPS!$D$3),IFERROR(UPPER(TRIM(BASELINE!D977&amp;"")),"")&lt;&gt;"ENCERRADA"),1,0),0)</f>
        <v/>
      </c>
      <c r="B977">
        <f>B976+A977</f>
        <v/>
      </c>
    </row>
    <row r="978">
      <c r="A978">
        <f>IFERROR(IF(AND(BASELINE!I978&lt;&gt;"",INT(IF(CALC!$F$1&gt;0,IF(N(INDEX(BASELINE!$A978:$ZZ978,CALC!$F$1))&gt;0,N(INDEX(BASELINE!$A978:$ZZ978,CALC!$F$1)),N(BASELINE!E978)),N(BASELINE!E978)))=INT(SIMOPS!$D$3),IFERROR(UPPER(TRIM(BASELINE!D978&amp;"")),"")&lt;&gt;"ENCERRADA"),1,0),0)</f>
        <v/>
      </c>
      <c r="B978">
        <f>B977+A978</f>
        <v/>
      </c>
    </row>
    <row r="979">
      <c r="A979">
        <f>IFERROR(IF(AND(BASELINE!I979&lt;&gt;"",INT(IF(CALC!$F$1&gt;0,IF(N(INDEX(BASELINE!$A979:$ZZ979,CALC!$F$1))&gt;0,N(INDEX(BASELINE!$A979:$ZZ979,CALC!$F$1)),N(BASELINE!E979)),N(BASELINE!E979)))=INT(SIMOPS!$D$3),IFERROR(UPPER(TRIM(BASELINE!D979&amp;"")),"")&lt;&gt;"ENCERRADA"),1,0),0)</f>
        <v/>
      </c>
      <c r="B979">
        <f>B978+A979</f>
        <v/>
      </c>
    </row>
    <row r="980">
      <c r="A980">
        <f>IFERROR(IF(AND(BASELINE!I980&lt;&gt;"",INT(IF(CALC!$F$1&gt;0,IF(N(INDEX(BASELINE!$A980:$ZZ980,CALC!$F$1))&gt;0,N(INDEX(BASELINE!$A980:$ZZ980,CALC!$F$1)),N(BASELINE!E980)),N(BASELINE!E980)))=INT(SIMOPS!$D$3),IFERROR(UPPER(TRIM(BASELINE!D980&amp;"")),"")&lt;&gt;"ENCERRADA"),1,0),0)</f>
        <v/>
      </c>
      <c r="B980">
        <f>B979+A980</f>
        <v/>
      </c>
    </row>
    <row r="981">
      <c r="A981">
        <f>IFERROR(IF(AND(BASELINE!I981&lt;&gt;"",INT(IF(CALC!$F$1&gt;0,IF(N(INDEX(BASELINE!$A981:$ZZ981,CALC!$F$1))&gt;0,N(INDEX(BASELINE!$A981:$ZZ981,CALC!$F$1)),N(BASELINE!E981)),N(BASELINE!E981)))=INT(SIMOPS!$D$3),IFERROR(UPPER(TRIM(BASELINE!D981&amp;"")),"")&lt;&gt;"ENCERRADA"),1,0),0)</f>
        <v/>
      </c>
      <c r="B981">
        <f>B980+A981</f>
        <v/>
      </c>
    </row>
    <row r="982">
      <c r="A982">
        <f>IFERROR(IF(AND(BASELINE!I982&lt;&gt;"",INT(IF(CALC!$F$1&gt;0,IF(N(INDEX(BASELINE!$A982:$ZZ982,CALC!$F$1))&gt;0,N(INDEX(BASELINE!$A982:$ZZ982,CALC!$F$1)),N(BASELINE!E982)),N(BASELINE!E982)))=INT(SIMOPS!$D$3),IFERROR(UPPER(TRIM(BASELINE!D982&amp;"")),"")&lt;&gt;"ENCERRADA"),1,0),0)</f>
        <v/>
      </c>
      <c r="B982">
        <f>B981+A982</f>
        <v/>
      </c>
    </row>
    <row r="983">
      <c r="A983">
        <f>IFERROR(IF(AND(BASELINE!I983&lt;&gt;"",INT(IF(CALC!$F$1&gt;0,IF(N(INDEX(BASELINE!$A983:$ZZ983,CALC!$F$1))&gt;0,N(INDEX(BASELINE!$A983:$ZZ983,CALC!$F$1)),N(BASELINE!E983)),N(BASELINE!E983)))=INT(SIMOPS!$D$3),IFERROR(UPPER(TRIM(BASELINE!D983&amp;"")),"")&lt;&gt;"ENCERRADA"),1,0),0)</f>
        <v/>
      </c>
      <c r="B983">
        <f>B982+A983</f>
        <v/>
      </c>
    </row>
    <row r="984">
      <c r="A984">
        <f>IFERROR(IF(AND(BASELINE!I984&lt;&gt;"",INT(IF(CALC!$F$1&gt;0,IF(N(INDEX(BASELINE!$A984:$ZZ984,CALC!$F$1))&gt;0,N(INDEX(BASELINE!$A984:$ZZ984,CALC!$F$1)),N(BASELINE!E984)),N(BASELINE!E984)))=INT(SIMOPS!$D$3),IFERROR(UPPER(TRIM(BASELINE!D984&amp;"")),"")&lt;&gt;"ENCERRADA"),1,0),0)</f>
        <v/>
      </c>
      <c r="B984">
        <f>B983+A984</f>
        <v/>
      </c>
    </row>
    <row r="985">
      <c r="A985">
        <f>IFERROR(IF(AND(BASELINE!I985&lt;&gt;"",INT(IF(CALC!$F$1&gt;0,IF(N(INDEX(BASELINE!$A985:$ZZ985,CALC!$F$1))&gt;0,N(INDEX(BASELINE!$A985:$ZZ985,CALC!$F$1)),N(BASELINE!E985)),N(BASELINE!E985)))=INT(SIMOPS!$D$3),IFERROR(UPPER(TRIM(BASELINE!D985&amp;"")),"")&lt;&gt;"ENCERRADA"),1,0),0)</f>
        <v/>
      </c>
      <c r="B985">
        <f>B984+A985</f>
        <v/>
      </c>
    </row>
    <row r="986">
      <c r="A986">
        <f>IFERROR(IF(AND(BASELINE!I986&lt;&gt;"",INT(IF(CALC!$F$1&gt;0,IF(N(INDEX(BASELINE!$A986:$ZZ986,CALC!$F$1))&gt;0,N(INDEX(BASELINE!$A986:$ZZ986,CALC!$F$1)),N(BASELINE!E986)),N(BASELINE!E986)))=INT(SIMOPS!$D$3),IFERROR(UPPER(TRIM(BASELINE!D986&amp;"")),"")&lt;&gt;"ENCERRADA"),1,0),0)</f>
        <v/>
      </c>
      <c r="B986">
        <f>B985+A986</f>
        <v/>
      </c>
    </row>
    <row r="987">
      <c r="A987">
        <f>IFERROR(IF(AND(BASELINE!I987&lt;&gt;"",INT(IF(CALC!$F$1&gt;0,IF(N(INDEX(BASELINE!$A987:$ZZ987,CALC!$F$1))&gt;0,N(INDEX(BASELINE!$A987:$ZZ987,CALC!$F$1)),N(BASELINE!E987)),N(BASELINE!E987)))=INT(SIMOPS!$D$3),IFERROR(UPPER(TRIM(BASELINE!D987&amp;"")),"")&lt;&gt;"ENCERRADA"),1,0),0)</f>
        <v/>
      </c>
      <c r="B987">
        <f>B986+A987</f>
        <v/>
      </c>
    </row>
    <row r="988">
      <c r="A988">
        <f>IFERROR(IF(AND(BASELINE!I988&lt;&gt;"",INT(IF(CALC!$F$1&gt;0,IF(N(INDEX(BASELINE!$A988:$ZZ988,CALC!$F$1))&gt;0,N(INDEX(BASELINE!$A988:$ZZ988,CALC!$F$1)),N(BASELINE!E988)),N(BASELINE!E988)))=INT(SIMOPS!$D$3),IFERROR(UPPER(TRIM(BASELINE!D988&amp;"")),"")&lt;&gt;"ENCERRADA"),1,0),0)</f>
        <v/>
      </c>
      <c r="B988">
        <f>B987+A988</f>
        <v/>
      </c>
    </row>
    <row r="989">
      <c r="A989">
        <f>IFERROR(IF(AND(BASELINE!I989&lt;&gt;"",INT(IF(CALC!$F$1&gt;0,IF(N(INDEX(BASELINE!$A989:$ZZ989,CALC!$F$1))&gt;0,N(INDEX(BASELINE!$A989:$ZZ989,CALC!$F$1)),N(BASELINE!E989)),N(BASELINE!E989)))=INT(SIMOPS!$D$3),IFERROR(UPPER(TRIM(BASELINE!D989&amp;"")),"")&lt;&gt;"ENCERRADA"),1,0),0)</f>
        <v/>
      </c>
      <c r="B989">
        <f>B988+A989</f>
        <v/>
      </c>
    </row>
    <row r="990">
      <c r="A990">
        <f>IFERROR(IF(AND(BASELINE!I990&lt;&gt;"",INT(IF(CALC!$F$1&gt;0,IF(N(INDEX(BASELINE!$A990:$ZZ990,CALC!$F$1))&gt;0,N(INDEX(BASELINE!$A990:$ZZ990,CALC!$F$1)),N(BASELINE!E990)),N(BASELINE!E990)))=INT(SIMOPS!$D$3),IFERROR(UPPER(TRIM(BASELINE!D990&amp;"")),"")&lt;&gt;"ENCERRADA"),1,0),0)</f>
        <v/>
      </c>
      <c r="B990">
        <f>B989+A990</f>
        <v/>
      </c>
    </row>
    <row r="991">
      <c r="A991">
        <f>IFERROR(IF(AND(BASELINE!I991&lt;&gt;"",INT(IF(CALC!$F$1&gt;0,IF(N(INDEX(BASELINE!$A991:$ZZ991,CALC!$F$1))&gt;0,N(INDEX(BASELINE!$A991:$ZZ991,CALC!$F$1)),N(BASELINE!E991)),N(BASELINE!E991)))=INT(SIMOPS!$D$3),IFERROR(UPPER(TRIM(BASELINE!D991&amp;"")),"")&lt;&gt;"ENCERRADA"),1,0),0)</f>
        <v/>
      </c>
      <c r="B991">
        <f>B990+A991</f>
        <v/>
      </c>
    </row>
    <row r="992">
      <c r="A992">
        <f>IFERROR(IF(AND(BASELINE!I992&lt;&gt;"",INT(IF(CALC!$F$1&gt;0,IF(N(INDEX(BASELINE!$A992:$ZZ992,CALC!$F$1))&gt;0,N(INDEX(BASELINE!$A992:$ZZ992,CALC!$F$1)),N(BASELINE!E992)),N(BASELINE!E992)))=INT(SIMOPS!$D$3),IFERROR(UPPER(TRIM(BASELINE!D992&amp;"")),"")&lt;&gt;"ENCERRADA"),1,0),0)</f>
        <v/>
      </c>
      <c r="B992">
        <f>B991+A992</f>
        <v/>
      </c>
    </row>
    <row r="993">
      <c r="A993">
        <f>IFERROR(IF(AND(BASELINE!I993&lt;&gt;"",INT(IF(CALC!$F$1&gt;0,IF(N(INDEX(BASELINE!$A993:$ZZ993,CALC!$F$1))&gt;0,N(INDEX(BASELINE!$A993:$ZZ993,CALC!$F$1)),N(BASELINE!E993)),N(BASELINE!E993)))=INT(SIMOPS!$D$3),IFERROR(UPPER(TRIM(BASELINE!D993&amp;"")),"")&lt;&gt;"ENCERRADA"),1,0),0)</f>
        <v/>
      </c>
      <c r="B993">
        <f>B992+A993</f>
        <v/>
      </c>
    </row>
    <row r="994">
      <c r="A994">
        <f>IFERROR(IF(AND(BASELINE!I994&lt;&gt;"",INT(IF(CALC!$F$1&gt;0,IF(N(INDEX(BASELINE!$A994:$ZZ994,CALC!$F$1))&gt;0,N(INDEX(BASELINE!$A994:$ZZ994,CALC!$F$1)),N(BASELINE!E994)),N(BASELINE!E994)))=INT(SIMOPS!$D$3),IFERROR(UPPER(TRIM(BASELINE!D994&amp;"")),"")&lt;&gt;"ENCERRADA"),1,0),0)</f>
        <v/>
      </c>
      <c r="B994">
        <f>B993+A994</f>
        <v/>
      </c>
    </row>
    <row r="995">
      <c r="A995">
        <f>IFERROR(IF(AND(BASELINE!I995&lt;&gt;"",INT(IF(CALC!$F$1&gt;0,IF(N(INDEX(BASELINE!$A995:$ZZ995,CALC!$F$1))&gt;0,N(INDEX(BASELINE!$A995:$ZZ995,CALC!$F$1)),N(BASELINE!E995)),N(BASELINE!E995)))=INT(SIMOPS!$D$3),IFERROR(UPPER(TRIM(BASELINE!D995&amp;"")),"")&lt;&gt;"ENCERRADA"),1,0),0)</f>
        <v/>
      </c>
      <c r="B995">
        <f>B994+A995</f>
        <v/>
      </c>
    </row>
    <row r="996">
      <c r="A996">
        <f>IFERROR(IF(AND(BASELINE!I996&lt;&gt;"",INT(IF(CALC!$F$1&gt;0,IF(N(INDEX(BASELINE!$A996:$ZZ996,CALC!$F$1))&gt;0,N(INDEX(BASELINE!$A996:$ZZ996,CALC!$F$1)),N(BASELINE!E996)),N(BASELINE!E996)))=INT(SIMOPS!$D$3),IFERROR(UPPER(TRIM(BASELINE!D996&amp;"")),"")&lt;&gt;"ENCERRADA"),1,0),0)</f>
        <v/>
      </c>
      <c r="B996">
        <f>B995+A996</f>
        <v/>
      </c>
    </row>
    <row r="997">
      <c r="A997">
        <f>IFERROR(IF(AND(BASELINE!I997&lt;&gt;"",INT(IF(CALC!$F$1&gt;0,IF(N(INDEX(BASELINE!$A997:$ZZ997,CALC!$F$1))&gt;0,N(INDEX(BASELINE!$A997:$ZZ997,CALC!$F$1)),N(BASELINE!E997)),N(BASELINE!E997)))=INT(SIMOPS!$D$3),IFERROR(UPPER(TRIM(BASELINE!D997&amp;"")),"")&lt;&gt;"ENCERRADA"),1,0),0)</f>
        <v/>
      </c>
      <c r="B997">
        <f>B996+A997</f>
        <v/>
      </c>
    </row>
    <row r="998">
      <c r="A998">
        <f>IFERROR(IF(AND(BASELINE!I998&lt;&gt;"",INT(IF(CALC!$F$1&gt;0,IF(N(INDEX(BASELINE!$A998:$ZZ998,CALC!$F$1))&gt;0,N(INDEX(BASELINE!$A998:$ZZ998,CALC!$F$1)),N(BASELINE!E998)),N(BASELINE!E998)))=INT(SIMOPS!$D$3),IFERROR(UPPER(TRIM(BASELINE!D998&amp;"")),"")&lt;&gt;"ENCERRADA"),1,0),0)</f>
        <v/>
      </c>
      <c r="B998">
        <f>B997+A998</f>
        <v/>
      </c>
    </row>
    <row r="999">
      <c r="A999">
        <f>IFERROR(IF(AND(BASELINE!I999&lt;&gt;"",INT(IF(CALC!$F$1&gt;0,IF(N(INDEX(BASELINE!$A999:$ZZ999,CALC!$F$1))&gt;0,N(INDEX(BASELINE!$A999:$ZZ999,CALC!$F$1)),N(BASELINE!E999)),N(BASELINE!E999)))=INT(SIMOPS!$D$3),IFERROR(UPPER(TRIM(BASELINE!D999&amp;"")),"")&lt;&gt;"ENCERRADA"),1,0),0)</f>
        <v/>
      </c>
      <c r="B999">
        <f>B998+A999</f>
        <v/>
      </c>
    </row>
    <row r="1000">
      <c r="A1000">
        <f>IFERROR(IF(AND(BASELINE!I1000&lt;&gt;"",INT(IF(CALC!$F$1&gt;0,IF(N(INDEX(BASELINE!$A1000:$ZZ1000,CALC!$F$1))&gt;0,N(INDEX(BASELINE!$A1000:$ZZ1000,CALC!$F$1)),N(BASELINE!E1000)),N(BASELINE!E1000)))=INT(SIMOPS!$D$3),IFERROR(UPPER(TRIM(BASELINE!D1000&amp;"")),"")&lt;&gt;"ENCERRADA"),1,0),0)</f>
        <v/>
      </c>
      <c r="B1000">
        <f>B999+A1000</f>
        <v/>
      </c>
    </row>
    <row r="1001">
      <c r="A1001">
        <f>IFERROR(IF(AND(BASELINE!I1001&lt;&gt;"",INT(IF(CALC!$F$1&gt;0,IF(N(INDEX(BASELINE!$A1001:$ZZ1001,CALC!$F$1))&gt;0,N(INDEX(BASELINE!$A1001:$ZZ1001,CALC!$F$1)),N(BASELINE!E1001)),N(BASELINE!E1001)))=INT(SIMOPS!$D$3),IFERROR(UPPER(TRIM(BASELINE!D1001&amp;"")),"")&lt;&gt;"ENCERRADA"),1,0),0)</f>
        <v/>
      </c>
      <c r="B1001">
        <f>B1000+A1001</f>
        <v/>
      </c>
    </row>
    <row r="1002">
      <c r="A1002">
        <f>IFERROR(IF(AND(BASELINE!I1002&lt;&gt;"",INT(IF(CALC!$F$1&gt;0,IF(N(INDEX(BASELINE!$A1002:$ZZ1002,CALC!$F$1))&gt;0,N(INDEX(BASELINE!$A1002:$ZZ1002,CALC!$F$1)),N(BASELINE!E1002)),N(BASELINE!E1002)))=INT(SIMOPS!$D$3),IFERROR(UPPER(TRIM(BASELINE!D1002&amp;"")),"")&lt;&gt;"ENCERRADA"),1,0),0)</f>
        <v/>
      </c>
      <c r="B1002">
        <f>B1001+A1002</f>
        <v/>
      </c>
    </row>
    <row r="1003">
      <c r="A1003">
        <f>IFERROR(IF(AND(BASELINE!I1003&lt;&gt;"",INT(IF(CALC!$F$1&gt;0,IF(N(INDEX(BASELINE!$A1003:$ZZ1003,CALC!$F$1))&gt;0,N(INDEX(BASELINE!$A1003:$ZZ1003,CALC!$F$1)),N(BASELINE!E1003)),N(BASELINE!E1003)))=INT(SIMOPS!$D$3),IFERROR(UPPER(TRIM(BASELINE!D1003&amp;"")),"")&lt;&gt;"ENCERRADA"),1,0),0)</f>
        <v/>
      </c>
      <c r="B1003">
        <f>B1002+A1003</f>
        <v/>
      </c>
    </row>
    <row r="1004">
      <c r="A1004">
        <f>IFERROR(IF(AND(BASELINE!I1004&lt;&gt;"",INT(IF(CALC!$F$1&gt;0,IF(N(INDEX(BASELINE!$A1004:$ZZ1004,CALC!$F$1))&gt;0,N(INDEX(BASELINE!$A1004:$ZZ1004,CALC!$F$1)),N(BASELINE!E1004)),N(BASELINE!E1004)))=INT(SIMOPS!$D$3),IFERROR(UPPER(TRIM(BASELINE!D1004&amp;"")),"")&lt;&gt;"ENCERRADA"),1,0),0)</f>
        <v/>
      </c>
      <c r="B1004">
        <f>B1003+A1004</f>
        <v/>
      </c>
    </row>
    <row r="1005">
      <c r="A1005">
        <f>IFERROR(IF(AND(BASELINE!I1005&lt;&gt;"",INT(IF(CALC!$F$1&gt;0,IF(N(INDEX(BASELINE!$A1005:$ZZ1005,CALC!$F$1))&gt;0,N(INDEX(BASELINE!$A1005:$ZZ1005,CALC!$F$1)),N(BASELINE!E1005)),N(BASELINE!E1005)))=INT(SIMOPS!$D$3),IFERROR(UPPER(TRIM(BASELINE!D1005&amp;"")),"")&lt;&gt;"ENCERRADA"),1,0),0)</f>
        <v/>
      </c>
      <c r="B1005">
        <f>B1004+A1005</f>
        <v/>
      </c>
    </row>
    <row r="1006">
      <c r="A1006">
        <f>IFERROR(IF(AND(BASELINE!I1006&lt;&gt;"",INT(IF(CALC!$F$1&gt;0,IF(N(INDEX(BASELINE!$A1006:$ZZ1006,CALC!$F$1))&gt;0,N(INDEX(BASELINE!$A1006:$ZZ1006,CALC!$F$1)),N(BASELINE!E1006)),N(BASELINE!E1006)))=INT(SIMOPS!$D$3),IFERROR(UPPER(TRIM(BASELINE!D1006&amp;"")),"")&lt;&gt;"ENCERRADA"),1,0),0)</f>
        <v/>
      </c>
      <c r="B1006">
        <f>B1005+A1006</f>
        <v/>
      </c>
    </row>
    <row r="1007">
      <c r="A1007">
        <f>IFERROR(IF(AND(BASELINE!I1007&lt;&gt;"",INT(IF(CALC!$F$1&gt;0,IF(N(INDEX(BASELINE!$A1007:$ZZ1007,CALC!$F$1))&gt;0,N(INDEX(BASELINE!$A1007:$ZZ1007,CALC!$F$1)),N(BASELINE!E1007)),N(BASELINE!E1007)))=INT(SIMOPS!$D$3),IFERROR(UPPER(TRIM(BASELINE!D1007&amp;"")),"")&lt;&gt;"ENCERRADA"),1,0),0)</f>
        <v/>
      </c>
      <c r="B1007">
        <f>B1006+A1007</f>
        <v/>
      </c>
    </row>
    <row r="1008">
      <c r="A1008">
        <f>IFERROR(IF(AND(BASELINE!I1008&lt;&gt;"",INT(IF(CALC!$F$1&gt;0,IF(N(INDEX(BASELINE!$A1008:$ZZ1008,CALC!$F$1))&gt;0,N(INDEX(BASELINE!$A1008:$ZZ1008,CALC!$F$1)),N(BASELINE!E1008)),N(BASELINE!E1008)))=INT(SIMOPS!$D$3),IFERROR(UPPER(TRIM(BASELINE!D1008&amp;"")),"")&lt;&gt;"ENCERRADA"),1,0),0)</f>
        <v/>
      </c>
      <c r="B1008">
        <f>B1007+A1008</f>
        <v/>
      </c>
    </row>
    <row r="1009">
      <c r="A1009">
        <f>IFERROR(IF(AND(BASELINE!I1009&lt;&gt;"",INT(IF(CALC!$F$1&gt;0,IF(N(INDEX(BASELINE!$A1009:$ZZ1009,CALC!$F$1))&gt;0,N(INDEX(BASELINE!$A1009:$ZZ1009,CALC!$F$1)),N(BASELINE!E1009)),N(BASELINE!E1009)))=INT(SIMOPS!$D$3),IFERROR(UPPER(TRIM(BASELINE!D1009&amp;"")),"")&lt;&gt;"ENCERRADA"),1,0),0)</f>
        <v/>
      </c>
      <c r="B1009">
        <f>B1008+A1009</f>
        <v/>
      </c>
    </row>
    <row r="1010">
      <c r="A1010">
        <f>IFERROR(IF(AND(BASELINE!I1010&lt;&gt;"",INT(IF(CALC!$F$1&gt;0,IF(N(INDEX(BASELINE!$A1010:$ZZ1010,CALC!$F$1))&gt;0,N(INDEX(BASELINE!$A1010:$ZZ1010,CALC!$F$1)),N(BASELINE!E1010)),N(BASELINE!E1010)))=INT(SIMOPS!$D$3),IFERROR(UPPER(TRIM(BASELINE!D1010&amp;"")),"")&lt;&gt;"ENCERRADA"),1,0),0)</f>
        <v/>
      </c>
      <c r="B1010">
        <f>B1009+A1010</f>
        <v/>
      </c>
    </row>
    <row r="1011">
      <c r="A1011">
        <f>IFERROR(IF(AND(BASELINE!I1011&lt;&gt;"",INT(IF(CALC!$F$1&gt;0,IF(N(INDEX(BASELINE!$A1011:$ZZ1011,CALC!$F$1))&gt;0,N(INDEX(BASELINE!$A1011:$ZZ1011,CALC!$F$1)),N(BASELINE!E1011)),N(BASELINE!E1011)))=INT(SIMOPS!$D$3),IFERROR(UPPER(TRIM(BASELINE!D1011&amp;"")),"")&lt;&gt;"ENCERRADA"),1,0),0)</f>
        <v/>
      </c>
      <c r="B1011">
        <f>B1010+A1011</f>
        <v/>
      </c>
    </row>
    <row r="1012">
      <c r="A1012">
        <f>IFERROR(IF(AND(BASELINE!I1012&lt;&gt;"",INT(IF(CALC!$F$1&gt;0,IF(N(INDEX(BASELINE!$A1012:$ZZ1012,CALC!$F$1))&gt;0,N(INDEX(BASELINE!$A1012:$ZZ1012,CALC!$F$1)),N(BASELINE!E1012)),N(BASELINE!E1012)))=INT(SIMOPS!$D$3),IFERROR(UPPER(TRIM(BASELINE!D1012&amp;"")),"")&lt;&gt;"ENCERRADA"),1,0),0)</f>
        <v/>
      </c>
      <c r="B1012">
        <f>B1011+A1012</f>
        <v/>
      </c>
    </row>
    <row r="1013">
      <c r="A1013">
        <f>IFERROR(IF(AND(BASELINE!I1013&lt;&gt;"",INT(IF(CALC!$F$1&gt;0,IF(N(INDEX(BASELINE!$A1013:$ZZ1013,CALC!$F$1))&gt;0,N(INDEX(BASELINE!$A1013:$ZZ1013,CALC!$F$1)),N(BASELINE!E1013)),N(BASELINE!E1013)))=INT(SIMOPS!$D$3),IFERROR(UPPER(TRIM(BASELINE!D1013&amp;"")),"")&lt;&gt;"ENCERRADA"),1,0),0)</f>
        <v/>
      </c>
      <c r="B1013">
        <f>B1012+A1013</f>
        <v/>
      </c>
    </row>
    <row r="1014">
      <c r="A1014">
        <f>IFERROR(IF(AND(BASELINE!I1014&lt;&gt;"",INT(IF(CALC!$F$1&gt;0,IF(N(INDEX(BASELINE!$A1014:$ZZ1014,CALC!$F$1))&gt;0,N(INDEX(BASELINE!$A1014:$ZZ1014,CALC!$F$1)),N(BASELINE!E1014)),N(BASELINE!E1014)))=INT(SIMOPS!$D$3),IFERROR(UPPER(TRIM(BASELINE!D1014&amp;"")),"")&lt;&gt;"ENCERRADA"),1,0),0)</f>
        <v/>
      </c>
      <c r="B1014">
        <f>B1013+A1014</f>
        <v/>
      </c>
    </row>
    <row r="1015">
      <c r="A1015">
        <f>IFERROR(IF(AND(BASELINE!I1015&lt;&gt;"",INT(IF(CALC!$F$1&gt;0,IF(N(INDEX(BASELINE!$A1015:$ZZ1015,CALC!$F$1))&gt;0,N(INDEX(BASELINE!$A1015:$ZZ1015,CALC!$F$1)),N(BASELINE!E1015)),N(BASELINE!E1015)))=INT(SIMOPS!$D$3),IFERROR(UPPER(TRIM(BASELINE!D1015&amp;"")),"")&lt;&gt;"ENCERRADA"),1,0),0)</f>
        <v/>
      </c>
      <c r="B1015">
        <f>B1014+A1015</f>
        <v/>
      </c>
    </row>
    <row r="1016">
      <c r="A1016">
        <f>IFERROR(IF(AND(BASELINE!I1016&lt;&gt;"",INT(IF(CALC!$F$1&gt;0,IF(N(INDEX(BASELINE!$A1016:$ZZ1016,CALC!$F$1))&gt;0,N(INDEX(BASELINE!$A1016:$ZZ1016,CALC!$F$1)),N(BASELINE!E1016)),N(BASELINE!E1016)))=INT(SIMOPS!$D$3),IFERROR(UPPER(TRIM(BASELINE!D1016&amp;"")),"")&lt;&gt;"ENCERRADA"),1,0),0)</f>
        <v/>
      </c>
      <c r="B1016">
        <f>B1015+A1016</f>
        <v/>
      </c>
    </row>
    <row r="1017">
      <c r="A1017">
        <f>IFERROR(IF(AND(BASELINE!I1017&lt;&gt;"",INT(IF(CALC!$F$1&gt;0,IF(N(INDEX(BASELINE!$A1017:$ZZ1017,CALC!$F$1))&gt;0,N(INDEX(BASELINE!$A1017:$ZZ1017,CALC!$F$1)),N(BASELINE!E1017)),N(BASELINE!E1017)))=INT(SIMOPS!$D$3),IFERROR(UPPER(TRIM(BASELINE!D1017&amp;"")),"")&lt;&gt;"ENCERRADA"),1,0),0)</f>
        <v/>
      </c>
      <c r="B1017">
        <f>B1016+A1017</f>
        <v/>
      </c>
    </row>
    <row r="1018">
      <c r="A1018">
        <f>IFERROR(IF(AND(BASELINE!I1018&lt;&gt;"",INT(IF(CALC!$F$1&gt;0,IF(N(INDEX(BASELINE!$A1018:$ZZ1018,CALC!$F$1))&gt;0,N(INDEX(BASELINE!$A1018:$ZZ1018,CALC!$F$1)),N(BASELINE!E1018)),N(BASELINE!E1018)))=INT(SIMOPS!$D$3),IFERROR(UPPER(TRIM(BASELINE!D1018&amp;"")),"")&lt;&gt;"ENCERRADA"),1,0),0)</f>
        <v/>
      </c>
      <c r="B1018">
        <f>B1017+A1018</f>
        <v/>
      </c>
    </row>
    <row r="1019">
      <c r="A1019">
        <f>IFERROR(IF(AND(BASELINE!I1019&lt;&gt;"",INT(IF(CALC!$F$1&gt;0,IF(N(INDEX(BASELINE!$A1019:$ZZ1019,CALC!$F$1))&gt;0,N(INDEX(BASELINE!$A1019:$ZZ1019,CALC!$F$1)),N(BASELINE!E1019)),N(BASELINE!E1019)))=INT(SIMOPS!$D$3),IFERROR(UPPER(TRIM(BASELINE!D1019&amp;"")),"")&lt;&gt;"ENCERRADA"),1,0),0)</f>
        <v/>
      </c>
      <c r="B1019">
        <f>B1018+A1019</f>
        <v/>
      </c>
    </row>
    <row r="1020">
      <c r="A1020">
        <f>IFERROR(IF(AND(BASELINE!I1020&lt;&gt;"",INT(IF(CALC!$F$1&gt;0,IF(N(INDEX(BASELINE!$A1020:$ZZ1020,CALC!$F$1))&gt;0,N(INDEX(BASELINE!$A1020:$ZZ1020,CALC!$F$1)),N(BASELINE!E1020)),N(BASELINE!E1020)))=INT(SIMOPS!$D$3),IFERROR(UPPER(TRIM(BASELINE!D1020&amp;"")),"")&lt;&gt;"ENCERRADA"),1,0),0)</f>
        <v/>
      </c>
      <c r="B1020">
        <f>B1019+A1020</f>
        <v/>
      </c>
    </row>
    <row r="1021">
      <c r="A1021">
        <f>IFERROR(IF(AND(BASELINE!I1021&lt;&gt;"",INT(IF(CALC!$F$1&gt;0,IF(N(INDEX(BASELINE!$A1021:$ZZ1021,CALC!$F$1))&gt;0,N(INDEX(BASELINE!$A1021:$ZZ1021,CALC!$F$1)),N(BASELINE!E1021)),N(BASELINE!E1021)))=INT(SIMOPS!$D$3),IFERROR(UPPER(TRIM(BASELINE!D1021&amp;"")),"")&lt;&gt;"ENCERRADA"),1,0),0)</f>
        <v/>
      </c>
      <c r="B1021">
        <f>B1020+A1021</f>
        <v/>
      </c>
    </row>
    <row r="1022">
      <c r="A1022">
        <f>IFERROR(IF(AND(BASELINE!I1022&lt;&gt;"",INT(IF(CALC!$F$1&gt;0,IF(N(INDEX(BASELINE!$A1022:$ZZ1022,CALC!$F$1))&gt;0,N(INDEX(BASELINE!$A1022:$ZZ1022,CALC!$F$1)),N(BASELINE!E1022)),N(BASELINE!E1022)))=INT(SIMOPS!$D$3),IFERROR(UPPER(TRIM(BASELINE!D1022&amp;"")),"")&lt;&gt;"ENCERRADA"),1,0),0)</f>
        <v/>
      </c>
      <c r="B1022">
        <f>B1021+A1022</f>
        <v/>
      </c>
    </row>
    <row r="1023">
      <c r="A1023">
        <f>IFERROR(IF(AND(BASELINE!I1023&lt;&gt;"",INT(IF(CALC!$F$1&gt;0,IF(N(INDEX(BASELINE!$A1023:$ZZ1023,CALC!$F$1))&gt;0,N(INDEX(BASELINE!$A1023:$ZZ1023,CALC!$F$1)),N(BASELINE!E1023)),N(BASELINE!E1023)))=INT(SIMOPS!$D$3),IFERROR(UPPER(TRIM(BASELINE!D1023&amp;"")),"")&lt;&gt;"ENCERRADA"),1,0),0)</f>
        <v/>
      </c>
      <c r="B1023">
        <f>B1022+A1023</f>
        <v/>
      </c>
    </row>
    <row r="1024">
      <c r="A1024">
        <f>IFERROR(IF(AND(BASELINE!I1024&lt;&gt;"",INT(IF(CALC!$F$1&gt;0,IF(N(INDEX(BASELINE!$A1024:$ZZ1024,CALC!$F$1))&gt;0,N(INDEX(BASELINE!$A1024:$ZZ1024,CALC!$F$1)),N(BASELINE!E1024)),N(BASELINE!E1024)))=INT(SIMOPS!$D$3),IFERROR(UPPER(TRIM(BASELINE!D1024&amp;"")),"")&lt;&gt;"ENCERRADA"),1,0),0)</f>
        <v/>
      </c>
      <c r="B1024">
        <f>B1023+A1024</f>
        <v/>
      </c>
    </row>
    <row r="1025">
      <c r="A1025">
        <f>IFERROR(IF(AND(BASELINE!I1025&lt;&gt;"",INT(IF(CALC!$F$1&gt;0,IF(N(INDEX(BASELINE!$A1025:$ZZ1025,CALC!$F$1))&gt;0,N(INDEX(BASELINE!$A1025:$ZZ1025,CALC!$F$1)),N(BASELINE!E1025)),N(BASELINE!E1025)))=INT(SIMOPS!$D$3),IFERROR(UPPER(TRIM(BASELINE!D1025&amp;"")),"")&lt;&gt;"ENCERRADA"),1,0),0)</f>
        <v/>
      </c>
      <c r="B1025">
        <f>B1024+A1025</f>
        <v/>
      </c>
    </row>
    <row r="1026">
      <c r="A1026">
        <f>IFERROR(IF(AND(BASELINE!I1026&lt;&gt;"",INT(IF(CALC!$F$1&gt;0,IF(N(INDEX(BASELINE!$A1026:$ZZ1026,CALC!$F$1))&gt;0,N(INDEX(BASELINE!$A1026:$ZZ1026,CALC!$F$1)),N(BASELINE!E1026)),N(BASELINE!E1026)))=INT(SIMOPS!$D$3),IFERROR(UPPER(TRIM(BASELINE!D1026&amp;"")),"")&lt;&gt;"ENCERRADA"),1,0),0)</f>
        <v/>
      </c>
      <c r="B1026">
        <f>B1025+A1026</f>
        <v/>
      </c>
    </row>
    <row r="1027">
      <c r="A1027">
        <f>IFERROR(IF(AND(BASELINE!I1027&lt;&gt;"",INT(IF(CALC!$F$1&gt;0,IF(N(INDEX(BASELINE!$A1027:$ZZ1027,CALC!$F$1))&gt;0,N(INDEX(BASELINE!$A1027:$ZZ1027,CALC!$F$1)),N(BASELINE!E1027)),N(BASELINE!E1027)))=INT(SIMOPS!$D$3),IFERROR(UPPER(TRIM(BASELINE!D1027&amp;"")),"")&lt;&gt;"ENCERRADA"),1,0),0)</f>
        <v/>
      </c>
      <c r="B1027">
        <f>B1026+A1027</f>
        <v/>
      </c>
    </row>
    <row r="1028">
      <c r="A1028">
        <f>IFERROR(IF(AND(BASELINE!I1028&lt;&gt;"",INT(IF(CALC!$F$1&gt;0,IF(N(INDEX(BASELINE!$A1028:$ZZ1028,CALC!$F$1))&gt;0,N(INDEX(BASELINE!$A1028:$ZZ1028,CALC!$F$1)),N(BASELINE!E1028)),N(BASELINE!E1028)))=INT(SIMOPS!$D$3),IFERROR(UPPER(TRIM(BASELINE!D1028&amp;"")),"")&lt;&gt;"ENCERRADA"),1,0),0)</f>
        <v/>
      </c>
      <c r="B1028">
        <f>B1027+A1028</f>
        <v/>
      </c>
    </row>
    <row r="1029">
      <c r="A1029">
        <f>IFERROR(IF(AND(BASELINE!I1029&lt;&gt;"",INT(IF(CALC!$F$1&gt;0,IF(N(INDEX(BASELINE!$A1029:$ZZ1029,CALC!$F$1))&gt;0,N(INDEX(BASELINE!$A1029:$ZZ1029,CALC!$F$1)),N(BASELINE!E1029)),N(BASELINE!E1029)))=INT(SIMOPS!$D$3),IFERROR(UPPER(TRIM(BASELINE!D1029&amp;"")),"")&lt;&gt;"ENCERRADA"),1,0),0)</f>
        <v/>
      </c>
      <c r="B1029">
        <f>B1028+A1029</f>
        <v/>
      </c>
    </row>
    <row r="1030">
      <c r="A1030">
        <f>IFERROR(IF(AND(BASELINE!I1030&lt;&gt;"",INT(IF(CALC!$F$1&gt;0,IF(N(INDEX(BASELINE!$A1030:$ZZ1030,CALC!$F$1))&gt;0,N(INDEX(BASELINE!$A1030:$ZZ1030,CALC!$F$1)),N(BASELINE!E1030)),N(BASELINE!E1030)))=INT(SIMOPS!$D$3),IFERROR(UPPER(TRIM(BASELINE!D1030&amp;"")),"")&lt;&gt;"ENCERRADA"),1,0),0)</f>
        <v/>
      </c>
      <c r="B1030">
        <f>B1029+A1030</f>
        <v/>
      </c>
    </row>
    <row r="1031">
      <c r="A1031">
        <f>IFERROR(IF(AND(BASELINE!I1031&lt;&gt;"",INT(IF(CALC!$F$1&gt;0,IF(N(INDEX(BASELINE!$A1031:$ZZ1031,CALC!$F$1))&gt;0,N(INDEX(BASELINE!$A1031:$ZZ1031,CALC!$F$1)),N(BASELINE!E1031)),N(BASELINE!E1031)))=INT(SIMOPS!$D$3),IFERROR(UPPER(TRIM(BASELINE!D1031&amp;"")),"")&lt;&gt;"ENCERRADA"),1,0),0)</f>
        <v/>
      </c>
      <c r="B1031">
        <f>B1030+A1031</f>
        <v/>
      </c>
    </row>
    <row r="1032">
      <c r="A1032">
        <f>IFERROR(IF(AND(BASELINE!I1032&lt;&gt;"",INT(IF(CALC!$F$1&gt;0,IF(N(INDEX(BASELINE!$A1032:$ZZ1032,CALC!$F$1))&gt;0,N(INDEX(BASELINE!$A1032:$ZZ1032,CALC!$F$1)),N(BASELINE!E1032)),N(BASELINE!E1032)))=INT(SIMOPS!$D$3),IFERROR(UPPER(TRIM(BASELINE!D1032&amp;"")),"")&lt;&gt;"ENCERRADA"),1,0),0)</f>
        <v/>
      </c>
      <c r="B1032">
        <f>B1031+A1032</f>
        <v/>
      </c>
    </row>
    <row r="1033">
      <c r="A1033">
        <f>IFERROR(IF(AND(BASELINE!I1033&lt;&gt;"",INT(IF(CALC!$F$1&gt;0,IF(N(INDEX(BASELINE!$A1033:$ZZ1033,CALC!$F$1))&gt;0,N(INDEX(BASELINE!$A1033:$ZZ1033,CALC!$F$1)),N(BASELINE!E1033)),N(BASELINE!E1033)))=INT(SIMOPS!$D$3),IFERROR(UPPER(TRIM(BASELINE!D1033&amp;"")),"")&lt;&gt;"ENCERRADA"),1,0),0)</f>
        <v/>
      </c>
      <c r="B1033">
        <f>B1032+A1033</f>
        <v/>
      </c>
    </row>
    <row r="1034">
      <c r="A1034">
        <f>IFERROR(IF(AND(BASELINE!I1034&lt;&gt;"",INT(IF(CALC!$F$1&gt;0,IF(N(INDEX(BASELINE!$A1034:$ZZ1034,CALC!$F$1))&gt;0,N(INDEX(BASELINE!$A1034:$ZZ1034,CALC!$F$1)),N(BASELINE!E1034)),N(BASELINE!E1034)))=INT(SIMOPS!$D$3),IFERROR(UPPER(TRIM(BASELINE!D1034&amp;"")),"")&lt;&gt;"ENCERRADA"),1,0),0)</f>
        <v/>
      </c>
      <c r="B1034">
        <f>B1033+A1034</f>
        <v/>
      </c>
    </row>
    <row r="1035">
      <c r="A1035">
        <f>IFERROR(IF(AND(BASELINE!I1035&lt;&gt;"",INT(IF(CALC!$F$1&gt;0,IF(N(INDEX(BASELINE!$A1035:$ZZ1035,CALC!$F$1))&gt;0,N(INDEX(BASELINE!$A1035:$ZZ1035,CALC!$F$1)),N(BASELINE!E1035)),N(BASELINE!E1035)))=INT(SIMOPS!$D$3),IFERROR(UPPER(TRIM(BASELINE!D1035&amp;"")),"")&lt;&gt;"ENCERRADA"),1,0),0)</f>
        <v/>
      </c>
      <c r="B1035">
        <f>B1034+A1035</f>
        <v/>
      </c>
    </row>
    <row r="1036">
      <c r="A1036">
        <f>IFERROR(IF(AND(BASELINE!I1036&lt;&gt;"",INT(IF(CALC!$F$1&gt;0,IF(N(INDEX(BASELINE!$A1036:$ZZ1036,CALC!$F$1))&gt;0,N(INDEX(BASELINE!$A1036:$ZZ1036,CALC!$F$1)),N(BASELINE!E1036)),N(BASELINE!E1036)))=INT(SIMOPS!$D$3),IFERROR(UPPER(TRIM(BASELINE!D1036&amp;"")),"")&lt;&gt;"ENCERRADA"),1,0),0)</f>
        <v/>
      </c>
      <c r="B1036">
        <f>B1035+A1036</f>
        <v/>
      </c>
    </row>
    <row r="1037">
      <c r="A1037">
        <f>IFERROR(IF(AND(BASELINE!I1037&lt;&gt;"",INT(IF(CALC!$F$1&gt;0,IF(N(INDEX(BASELINE!$A1037:$ZZ1037,CALC!$F$1))&gt;0,N(INDEX(BASELINE!$A1037:$ZZ1037,CALC!$F$1)),N(BASELINE!E1037)),N(BASELINE!E1037)))=INT(SIMOPS!$D$3),IFERROR(UPPER(TRIM(BASELINE!D1037&amp;"")),"")&lt;&gt;"ENCERRADA"),1,0),0)</f>
        <v/>
      </c>
      <c r="B1037">
        <f>B1036+A1037</f>
        <v/>
      </c>
    </row>
    <row r="1038">
      <c r="A1038">
        <f>IFERROR(IF(AND(BASELINE!I1038&lt;&gt;"",INT(IF(CALC!$F$1&gt;0,IF(N(INDEX(BASELINE!$A1038:$ZZ1038,CALC!$F$1))&gt;0,N(INDEX(BASELINE!$A1038:$ZZ1038,CALC!$F$1)),N(BASELINE!E1038)),N(BASELINE!E1038)))=INT(SIMOPS!$D$3),IFERROR(UPPER(TRIM(BASELINE!D1038&amp;"")),"")&lt;&gt;"ENCERRADA"),1,0),0)</f>
        <v/>
      </c>
      <c r="B1038">
        <f>B1037+A1038</f>
        <v/>
      </c>
    </row>
    <row r="1039">
      <c r="A1039">
        <f>IFERROR(IF(AND(BASELINE!I1039&lt;&gt;"",INT(IF(CALC!$F$1&gt;0,IF(N(INDEX(BASELINE!$A1039:$ZZ1039,CALC!$F$1))&gt;0,N(INDEX(BASELINE!$A1039:$ZZ1039,CALC!$F$1)),N(BASELINE!E1039)),N(BASELINE!E1039)))=INT(SIMOPS!$D$3),IFERROR(UPPER(TRIM(BASELINE!D1039&amp;"")),"")&lt;&gt;"ENCERRADA"),1,0),0)</f>
        <v/>
      </c>
      <c r="B1039">
        <f>B1038+A1039</f>
        <v/>
      </c>
    </row>
    <row r="1040">
      <c r="A1040">
        <f>IFERROR(IF(AND(BASELINE!I1040&lt;&gt;"",INT(IF(CALC!$F$1&gt;0,IF(N(INDEX(BASELINE!$A1040:$ZZ1040,CALC!$F$1))&gt;0,N(INDEX(BASELINE!$A1040:$ZZ1040,CALC!$F$1)),N(BASELINE!E1040)),N(BASELINE!E1040)))=INT(SIMOPS!$D$3),IFERROR(UPPER(TRIM(BASELINE!D1040&amp;"")),"")&lt;&gt;"ENCERRADA"),1,0),0)</f>
        <v/>
      </c>
      <c r="B1040">
        <f>B1039+A1040</f>
        <v/>
      </c>
    </row>
    <row r="1041">
      <c r="A1041">
        <f>IFERROR(IF(AND(BASELINE!I1041&lt;&gt;"",INT(IF(CALC!$F$1&gt;0,IF(N(INDEX(BASELINE!$A1041:$ZZ1041,CALC!$F$1))&gt;0,N(INDEX(BASELINE!$A1041:$ZZ1041,CALC!$F$1)),N(BASELINE!E1041)),N(BASELINE!E1041)))=INT(SIMOPS!$D$3),IFERROR(UPPER(TRIM(BASELINE!D1041&amp;"")),"")&lt;&gt;"ENCERRADA"),1,0),0)</f>
        <v/>
      </c>
      <c r="B1041">
        <f>B1040+A1041</f>
        <v/>
      </c>
    </row>
    <row r="1042">
      <c r="A1042">
        <f>IFERROR(IF(AND(BASELINE!I1042&lt;&gt;"",INT(IF(CALC!$F$1&gt;0,IF(N(INDEX(BASELINE!$A1042:$ZZ1042,CALC!$F$1))&gt;0,N(INDEX(BASELINE!$A1042:$ZZ1042,CALC!$F$1)),N(BASELINE!E1042)),N(BASELINE!E1042)))=INT(SIMOPS!$D$3),IFERROR(UPPER(TRIM(BASELINE!D1042&amp;"")),"")&lt;&gt;"ENCERRADA"),1,0),0)</f>
        <v/>
      </c>
      <c r="B1042">
        <f>B1041+A1042</f>
        <v/>
      </c>
    </row>
    <row r="1043">
      <c r="A1043">
        <f>IFERROR(IF(AND(BASELINE!I1043&lt;&gt;"",INT(IF(CALC!$F$1&gt;0,IF(N(INDEX(BASELINE!$A1043:$ZZ1043,CALC!$F$1))&gt;0,N(INDEX(BASELINE!$A1043:$ZZ1043,CALC!$F$1)),N(BASELINE!E1043)),N(BASELINE!E1043)))=INT(SIMOPS!$D$3),IFERROR(UPPER(TRIM(BASELINE!D1043&amp;"")),"")&lt;&gt;"ENCERRADA"),1,0),0)</f>
        <v/>
      </c>
      <c r="B1043">
        <f>B1042+A1043</f>
        <v/>
      </c>
    </row>
    <row r="1044">
      <c r="A1044">
        <f>IFERROR(IF(AND(BASELINE!I1044&lt;&gt;"",INT(IF(CALC!$F$1&gt;0,IF(N(INDEX(BASELINE!$A1044:$ZZ1044,CALC!$F$1))&gt;0,N(INDEX(BASELINE!$A1044:$ZZ1044,CALC!$F$1)),N(BASELINE!E1044)),N(BASELINE!E1044)))=INT(SIMOPS!$D$3),IFERROR(UPPER(TRIM(BASELINE!D1044&amp;"")),"")&lt;&gt;"ENCERRADA"),1,0),0)</f>
        <v/>
      </c>
      <c r="B1044">
        <f>B1043+A1044</f>
        <v/>
      </c>
    </row>
    <row r="1045">
      <c r="A1045">
        <f>IFERROR(IF(AND(BASELINE!I1045&lt;&gt;"",INT(IF(CALC!$F$1&gt;0,IF(N(INDEX(BASELINE!$A1045:$ZZ1045,CALC!$F$1))&gt;0,N(INDEX(BASELINE!$A1045:$ZZ1045,CALC!$F$1)),N(BASELINE!E1045)),N(BASELINE!E1045)))=INT(SIMOPS!$D$3),IFERROR(UPPER(TRIM(BASELINE!D1045&amp;"")),"")&lt;&gt;"ENCERRADA"),1,0),0)</f>
        <v/>
      </c>
      <c r="B1045">
        <f>B1044+A1045</f>
        <v/>
      </c>
    </row>
    <row r="1046">
      <c r="A1046">
        <f>IFERROR(IF(AND(BASELINE!I1046&lt;&gt;"",INT(IF(CALC!$F$1&gt;0,IF(N(INDEX(BASELINE!$A1046:$ZZ1046,CALC!$F$1))&gt;0,N(INDEX(BASELINE!$A1046:$ZZ1046,CALC!$F$1)),N(BASELINE!E1046)),N(BASELINE!E1046)))=INT(SIMOPS!$D$3),IFERROR(UPPER(TRIM(BASELINE!D1046&amp;"")),"")&lt;&gt;"ENCERRADA"),1,0),0)</f>
        <v/>
      </c>
      <c r="B1046">
        <f>B1045+A1046</f>
        <v/>
      </c>
    </row>
    <row r="1047">
      <c r="A1047">
        <f>IFERROR(IF(AND(BASELINE!I1047&lt;&gt;"",INT(IF(CALC!$F$1&gt;0,IF(N(INDEX(BASELINE!$A1047:$ZZ1047,CALC!$F$1))&gt;0,N(INDEX(BASELINE!$A1047:$ZZ1047,CALC!$F$1)),N(BASELINE!E1047)),N(BASELINE!E1047)))=INT(SIMOPS!$D$3),IFERROR(UPPER(TRIM(BASELINE!D1047&amp;"")),"")&lt;&gt;"ENCERRADA"),1,0),0)</f>
        <v/>
      </c>
      <c r="B1047">
        <f>B1046+A1047</f>
        <v/>
      </c>
    </row>
    <row r="1048">
      <c r="A1048">
        <f>IFERROR(IF(AND(BASELINE!I1048&lt;&gt;"",INT(IF(CALC!$F$1&gt;0,IF(N(INDEX(BASELINE!$A1048:$ZZ1048,CALC!$F$1))&gt;0,N(INDEX(BASELINE!$A1048:$ZZ1048,CALC!$F$1)),N(BASELINE!E1048)),N(BASELINE!E1048)))=INT(SIMOPS!$D$3),IFERROR(UPPER(TRIM(BASELINE!D1048&amp;"")),"")&lt;&gt;"ENCERRADA"),1,0),0)</f>
        <v/>
      </c>
      <c r="B1048">
        <f>B1047+A1048</f>
        <v/>
      </c>
    </row>
    <row r="1049">
      <c r="A1049">
        <f>IFERROR(IF(AND(BASELINE!I1049&lt;&gt;"",INT(IF(CALC!$F$1&gt;0,IF(N(INDEX(BASELINE!$A1049:$ZZ1049,CALC!$F$1))&gt;0,N(INDEX(BASELINE!$A1049:$ZZ1049,CALC!$F$1)),N(BASELINE!E1049)),N(BASELINE!E1049)))=INT(SIMOPS!$D$3),IFERROR(UPPER(TRIM(BASELINE!D1049&amp;"")),"")&lt;&gt;"ENCERRADA"),1,0),0)</f>
        <v/>
      </c>
      <c r="B1049">
        <f>B1048+A1049</f>
        <v/>
      </c>
    </row>
    <row r="1050">
      <c r="A1050">
        <f>IFERROR(IF(AND(BASELINE!I1050&lt;&gt;"",INT(IF(CALC!$F$1&gt;0,IF(N(INDEX(BASELINE!$A1050:$ZZ1050,CALC!$F$1))&gt;0,N(INDEX(BASELINE!$A1050:$ZZ1050,CALC!$F$1)),N(BASELINE!E1050)),N(BASELINE!E1050)))=INT(SIMOPS!$D$3),IFERROR(UPPER(TRIM(BASELINE!D1050&amp;"")),"")&lt;&gt;"ENCERRADA"),1,0),0)</f>
        <v/>
      </c>
      <c r="B1050">
        <f>B1049+A1050</f>
        <v/>
      </c>
    </row>
    <row r="1051">
      <c r="A1051">
        <f>IFERROR(IF(AND(BASELINE!I1051&lt;&gt;"",INT(IF(CALC!$F$1&gt;0,IF(N(INDEX(BASELINE!$A1051:$ZZ1051,CALC!$F$1))&gt;0,N(INDEX(BASELINE!$A1051:$ZZ1051,CALC!$F$1)),N(BASELINE!E1051)),N(BASELINE!E1051)))=INT(SIMOPS!$D$3),IFERROR(UPPER(TRIM(BASELINE!D1051&amp;"")),"")&lt;&gt;"ENCERRADA"),1,0),0)</f>
        <v/>
      </c>
      <c r="B1051">
        <f>B1050+A1051</f>
        <v/>
      </c>
    </row>
    <row r="1052">
      <c r="A1052">
        <f>IFERROR(IF(AND(BASELINE!I1052&lt;&gt;"",INT(IF(CALC!$F$1&gt;0,IF(N(INDEX(BASELINE!$A1052:$ZZ1052,CALC!$F$1))&gt;0,N(INDEX(BASELINE!$A1052:$ZZ1052,CALC!$F$1)),N(BASELINE!E1052)),N(BASELINE!E1052)))=INT(SIMOPS!$D$3),IFERROR(UPPER(TRIM(BASELINE!D1052&amp;"")),"")&lt;&gt;"ENCERRADA"),1,0),0)</f>
        <v/>
      </c>
      <c r="B1052">
        <f>B1051+A1052</f>
        <v/>
      </c>
    </row>
    <row r="1053">
      <c r="A1053">
        <f>IFERROR(IF(AND(BASELINE!I1053&lt;&gt;"",INT(IF(CALC!$F$1&gt;0,IF(N(INDEX(BASELINE!$A1053:$ZZ1053,CALC!$F$1))&gt;0,N(INDEX(BASELINE!$A1053:$ZZ1053,CALC!$F$1)),N(BASELINE!E1053)),N(BASELINE!E1053)))=INT(SIMOPS!$D$3),IFERROR(UPPER(TRIM(BASELINE!D1053&amp;"")),"")&lt;&gt;"ENCERRADA"),1,0),0)</f>
        <v/>
      </c>
      <c r="B1053">
        <f>B1052+A1053</f>
        <v/>
      </c>
    </row>
    <row r="1054">
      <c r="A1054">
        <f>IFERROR(IF(AND(BASELINE!I1054&lt;&gt;"",INT(IF(CALC!$F$1&gt;0,IF(N(INDEX(BASELINE!$A1054:$ZZ1054,CALC!$F$1))&gt;0,N(INDEX(BASELINE!$A1054:$ZZ1054,CALC!$F$1)),N(BASELINE!E1054)),N(BASELINE!E1054)))=INT(SIMOPS!$D$3),IFERROR(UPPER(TRIM(BASELINE!D1054&amp;"")),"")&lt;&gt;"ENCERRADA"),1,0),0)</f>
        <v/>
      </c>
      <c r="B1054">
        <f>B1053+A1054</f>
        <v/>
      </c>
    </row>
    <row r="1055">
      <c r="A1055">
        <f>IFERROR(IF(AND(BASELINE!I1055&lt;&gt;"",INT(IF(CALC!$F$1&gt;0,IF(N(INDEX(BASELINE!$A1055:$ZZ1055,CALC!$F$1))&gt;0,N(INDEX(BASELINE!$A1055:$ZZ1055,CALC!$F$1)),N(BASELINE!E1055)),N(BASELINE!E1055)))=INT(SIMOPS!$D$3),IFERROR(UPPER(TRIM(BASELINE!D1055&amp;"")),"")&lt;&gt;"ENCERRADA"),1,0),0)</f>
        <v/>
      </c>
      <c r="B1055">
        <f>B1054+A1055</f>
        <v/>
      </c>
    </row>
    <row r="1056">
      <c r="A1056">
        <f>IFERROR(IF(AND(BASELINE!I1056&lt;&gt;"",INT(IF(CALC!$F$1&gt;0,IF(N(INDEX(BASELINE!$A1056:$ZZ1056,CALC!$F$1))&gt;0,N(INDEX(BASELINE!$A1056:$ZZ1056,CALC!$F$1)),N(BASELINE!E1056)),N(BASELINE!E1056)))=INT(SIMOPS!$D$3),IFERROR(UPPER(TRIM(BASELINE!D1056&amp;"")),"")&lt;&gt;"ENCERRADA"),1,0),0)</f>
        <v/>
      </c>
      <c r="B1056">
        <f>B1055+A1056</f>
        <v/>
      </c>
    </row>
    <row r="1057">
      <c r="A1057">
        <f>IFERROR(IF(AND(BASELINE!I1057&lt;&gt;"",INT(IF(CALC!$F$1&gt;0,IF(N(INDEX(BASELINE!$A1057:$ZZ1057,CALC!$F$1))&gt;0,N(INDEX(BASELINE!$A1057:$ZZ1057,CALC!$F$1)),N(BASELINE!E1057)),N(BASELINE!E1057)))=INT(SIMOPS!$D$3),IFERROR(UPPER(TRIM(BASELINE!D1057&amp;"")),"")&lt;&gt;"ENCERRADA"),1,0),0)</f>
        <v/>
      </c>
      <c r="B1057">
        <f>B1056+A1057</f>
        <v/>
      </c>
    </row>
    <row r="1058">
      <c r="A1058">
        <f>IFERROR(IF(AND(BASELINE!I1058&lt;&gt;"",INT(IF(CALC!$F$1&gt;0,IF(N(INDEX(BASELINE!$A1058:$ZZ1058,CALC!$F$1))&gt;0,N(INDEX(BASELINE!$A1058:$ZZ1058,CALC!$F$1)),N(BASELINE!E1058)),N(BASELINE!E1058)))=INT(SIMOPS!$D$3),IFERROR(UPPER(TRIM(BASELINE!D1058&amp;"")),"")&lt;&gt;"ENCERRADA"),1,0),0)</f>
        <v/>
      </c>
      <c r="B1058">
        <f>B1057+A1058</f>
        <v/>
      </c>
    </row>
    <row r="1059">
      <c r="A1059">
        <f>IFERROR(IF(AND(BASELINE!I1059&lt;&gt;"",INT(IF(CALC!$F$1&gt;0,IF(N(INDEX(BASELINE!$A1059:$ZZ1059,CALC!$F$1))&gt;0,N(INDEX(BASELINE!$A1059:$ZZ1059,CALC!$F$1)),N(BASELINE!E1059)),N(BASELINE!E1059)))=INT(SIMOPS!$D$3),IFERROR(UPPER(TRIM(BASELINE!D1059&amp;"")),"")&lt;&gt;"ENCERRADA"),1,0),0)</f>
        <v/>
      </c>
      <c r="B1059">
        <f>B1058+A1059</f>
        <v/>
      </c>
    </row>
    <row r="1060">
      <c r="A1060">
        <f>IFERROR(IF(AND(BASELINE!I1060&lt;&gt;"",INT(IF(CALC!$F$1&gt;0,IF(N(INDEX(BASELINE!$A1060:$ZZ1060,CALC!$F$1))&gt;0,N(INDEX(BASELINE!$A1060:$ZZ1060,CALC!$F$1)),N(BASELINE!E1060)),N(BASELINE!E1060)))=INT(SIMOPS!$D$3),IFERROR(UPPER(TRIM(BASELINE!D1060&amp;"")),"")&lt;&gt;"ENCERRADA"),1,0),0)</f>
        <v/>
      </c>
      <c r="B1060">
        <f>B1059+A1060</f>
        <v/>
      </c>
    </row>
    <row r="1061">
      <c r="A1061">
        <f>IFERROR(IF(AND(BASELINE!I1061&lt;&gt;"",INT(IF(CALC!$F$1&gt;0,IF(N(INDEX(BASELINE!$A1061:$ZZ1061,CALC!$F$1))&gt;0,N(INDEX(BASELINE!$A1061:$ZZ1061,CALC!$F$1)),N(BASELINE!E1061)),N(BASELINE!E1061)))=INT(SIMOPS!$D$3),IFERROR(UPPER(TRIM(BASELINE!D1061&amp;"")),"")&lt;&gt;"ENCERRADA"),1,0),0)</f>
        <v/>
      </c>
      <c r="B1061">
        <f>B1060+A1061</f>
        <v/>
      </c>
    </row>
    <row r="1062">
      <c r="A1062">
        <f>IFERROR(IF(AND(BASELINE!I1062&lt;&gt;"",INT(IF(CALC!$F$1&gt;0,IF(N(INDEX(BASELINE!$A1062:$ZZ1062,CALC!$F$1))&gt;0,N(INDEX(BASELINE!$A1062:$ZZ1062,CALC!$F$1)),N(BASELINE!E1062)),N(BASELINE!E1062)))=INT(SIMOPS!$D$3),IFERROR(UPPER(TRIM(BASELINE!D1062&amp;"")),"")&lt;&gt;"ENCERRADA"),1,0),0)</f>
        <v/>
      </c>
      <c r="B1062">
        <f>B1061+A1062</f>
        <v/>
      </c>
    </row>
    <row r="1063">
      <c r="A1063">
        <f>IFERROR(IF(AND(BASELINE!I1063&lt;&gt;"",INT(IF(CALC!$F$1&gt;0,IF(N(INDEX(BASELINE!$A1063:$ZZ1063,CALC!$F$1))&gt;0,N(INDEX(BASELINE!$A1063:$ZZ1063,CALC!$F$1)),N(BASELINE!E1063)),N(BASELINE!E1063)))=INT(SIMOPS!$D$3),IFERROR(UPPER(TRIM(BASELINE!D1063&amp;"")),"")&lt;&gt;"ENCERRADA"),1,0),0)</f>
        <v/>
      </c>
      <c r="B1063">
        <f>B1062+A1063</f>
        <v/>
      </c>
    </row>
    <row r="1064">
      <c r="A1064">
        <f>IFERROR(IF(AND(BASELINE!I1064&lt;&gt;"",INT(IF(CALC!$F$1&gt;0,IF(N(INDEX(BASELINE!$A1064:$ZZ1064,CALC!$F$1))&gt;0,N(INDEX(BASELINE!$A1064:$ZZ1064,CALC!$F$1)),N(BASELINE!E1064)),N(BASELINE!E1064)))=INT(SIMOPS!$D$3),IFERROR(UPPER(TRIM(BASELINE!D1064&amp;"")),"")&lt;&gt;"ENCERRADA"),1,0),0)</f>
        <v/>
      </c>
      <c r="B1064">
        <f>B1063+A1064</f>
        <v/>
      </c>
    </row>
    <row r="1065">
      <c r="A1065">
        <f>IFERROR(IF(AND(BASELINE!I1065&lt;&gt;"",INT(IF(CALC!$F$1&gt;0,IF(N(INDEX(BASELINE!$A1065:$ZZ1065,CALC!$F$1))&gt;0,N(INDEX(BASELINE!$A1065:$ZZ1065,CALC!$F$1)),N(BASELINE!E1065)),N(BASELINE!E1065)))=INT(SIMOPS!$D$3),IFERROR(UPPER(TRIM(BASELINE!D1065&amp;"")),"")&lt;&gt;"ENCERRADA"),1,0),0)</f>
        <v/>
      </c>
      <c r="B1065">
        <f>B1064+A1065</f>
        <v/>
      </c>
    </row>
    <row r="1066">
      <c r="A1066">
        <f>IFERROR(IF(AND(BASELINE!I1066&lt;&gt;"",INT(IF(CALC!$F$1&gt;0,IF(N(INDEX(BASELINE!$A1066:$ZZ1066,CALC!$F$1))&gt;0,N(INDEX(BASELINE!$A1066:$ZZ1066,CALC!$F$1)),N(BASELINE!E1066)),N(BASELINE!E1066)))=INT(SIMOPS!$D$3),IFERROR(UPPER(TRIM(BASELINE!D1066&amp;"")),"")&lt;&gt;"ENCERRADA"),1,0),0)</f>
        <v/>
      </c>
      <c r="B1066">
        <f>B1065+A1066</f>
        <v/>
      </c>
    </row>
    <row r="1067">
      <c r="A1067">
        <f>IFERROR(IF(AND(BASELINE!I1067&lt;&gt;"",INT(IF(CALC!$F$1&gt;0,IF(N(INDEX(BASELINE!$A1067:$ZZ1067,CALC!$F$1))&gt;0,N(INDEX(BASELINE!$A1067:$ZZ1067,CALC!$F$1)),N(BASELINE!E1067)),N(BASELINE!E1067)))=INT(SIMOPS!$D$3),IFERROR(UPPER(TRIM(BASELINE!D1067&amp;"")),"")&lt;&gt;"ENCERRADA"),1,0),0)</f>
        <v/>
      </c>
      <c r="B1067">
        <f>B1066+A1067</f>
        <v/>
      </c>
    </row>
    <row r="1068">
      <c r="A1068">
        <f>IFERROR(IF(AND(BASELINE!I1068&lt;&gt;"",INT(IF(CALC!$F$1&gt;0,IF(N(INDEX(BASELINE!$A1068:$ZZ1068,CALC!$F$1))&gt;0,N(INDEX(BASELINE!$A1068:$ZZ1068,CALC!$F$1)),N(BASELINE!E1068)),N(BASELINE!E1068)))=INT(SIMOPS!$D$3),IFERROR(UPPER(TRIM(BASELINE!D1068&amp;"")),"")&lt;&gt;"ENCERRADA"),1,0),0)</f>
        <v/>
      </c>
      <c r="B1068">
        <f>B1067+A1068</f>
        <v/>
      </c>
    </row>
    <row r="1069">
      <c r="A1069">
        <f>IFERROR(IF(AND(BASELINE!I1069&lt;&gt;"",INT(IF(CALC!$F$1&gt;0,IF(N(INDEX(BASELINE!$A1069:$ZZ1069,CALC!$F$1))&gt;0,N(INDEX(BASELINE!$A1069:$ZZ1069,CALC!$F$1)),N(BASELINE!E1069)),N(BASELINE!E1069)))=INT(SIMOPS!$D$3),IFERROR(UPPER(TRIM(BASELINE!D1069&amp;"")),"")&lt;&gt;"ENCERRADA"),1,0),0)</f>
        <v/>
      </c>
      <c r="B1069">
        <f>B1068+A1069</f>
        <v/>
      </c>
    </row>
    <row r="1070">
      <c r="A1070">
        <f>IFERROR(IF(AND(BASELINE!I1070&lt;&gt;"",INT(IF(CALC!$F$1&gt;0,IF(N(INDEX(BASELINE!$A1070:$ZZ1070,CALC!$F$1))&gt;0,N(INDEX(BASELINE!$A1070:$ZZ1070,CALC!$F$1)),N(BASELINE!E1070)),N(BASELINE!E1070)))=INT(SIMOPS!$D$3),IFERROR(UPPER(TRIM(BASELINE!D1070&amp;"")),"")&lt;&gt;"ENCERRADA"),1,0),0)</f>
        <v/>
      </c>
      <c r="B1070">
        <f>B1069+A1070</f>
        <v/>
      </c>
    </row>
    <row r="1071">
      <c r="A1071">
        <f>IFERROR(IF(AND(BASELINE!I1071&lt;&gt;"",INT(IF(CALC!$F$1&gt;0,IF(N(INDEX(BASELINE!$A1071:$ZZ1071,CALC!$F$1))&gt;0,N(INDEX(BASELINE!$A1071:$ZZ1071,CALC!$F$1)),N(BASELINE!E1071)),N(BASELINE!E1071)))=INT(SIMOPS!$D$3),IFERROR(UPPER(TRIM(BASELINE!D1071&amp;"")),"")&lt;&gt;"ENCERRADA"),1,0),0)</f>
        <v/>
      </c>
      <c r="B1071">
        <f>B1070+A1071</f>
        <v/>
      </c>
    </row>
    <row r="1072">
      <c r="A1072">
        <f>IFERROR(IF(AND(BASELINE!I1072&lt;&gt;"",INT(IF(CALC!$F$1&gt;0,IF(N(INDEX(BASELINE!$A1072:$ZZ1072,CALC!$F$1))&gt;0,N(INDEX(BASELINE!$A1072:$ZZ1072,CALC!$F$1)),N(BASELINE!E1072)),N(BASELINE!E1072)))=INT(SIMOPS!$D$3),IFERROR(UPPER(TRIM(BASELINE!D1072&amp;"")),"")&lt;&gt;"ENCERRADA"),1,0),0)</f>
        <v/>
      </c>
      <c r="B1072">
        <f>B1071+A1072</f>
        <v/>
      </c>
    </row>
    <row r="1073">
      <c r="A1073">
        <f>IFERROR(IF(AND(BASELINE!I1073&lt;&gt;"",INT(IF(CALC!$F$1&gt;0,IF(N(INDEX(BASELINE!$A1073:$ZZ1073,CALC!$F$1))&gt;0,N(INDEX(BASELINE!$A1073:$ZZ1073,CALC!$F$1)),N(BASELINE!E1073)),N(BASELINE!E1073)))=INT(SIMOPS!$D$3),IFERROR(UPPER(TRIM(BASELINE!D1073&amp;"")),"")&lt;&gt;"ENCERRADA"),1,0),0)</f>
        <v/>
      </c>
      <c r="B1073">
        <f>B1072+A1073</f>
        <v/>
      </c>
    </row>
    <row r="1074">
      <c r="A1074">
        <f>IFERROR(IF(AND(BASELINE!I1074&lt;&gt;"",INT(IF(CALC!$F$1&gt;0,IF(N(INDEX(BASELINE!$A1074:$ZZ1074,CALC!$F$1))&gt;0,N(INDEX(BASELINE!$A1074:$ZZ1074,CALC!$F$1)),N(BASELINE!E1074)),N(BASELINE!E1074)))=INT(SIMOPS!$D$3),IFERROR(UPPER(TRIM(BASELINE!D1074&amp;"")),"")&lt;&gt;"ENCERRADA"),1,0),0)</f>
        <v/>
      </c>
      <c r="B1074">
        <f>B1073+A1074</f>
        <v/>
      </c>
    </row>
    <row r="1075">
      <c r="A1075">
        <f>IFERROR(IF(AND(BASELINE!I1075&lt;&gt;"",INT(IF(CALC!$F$1&gt;0,IF(N(INDEX(BASELINE!$A1075:$ZZ1075,CALC!$F$1))&gt;0,N(INDEX(BASELINE!$A1075:$ZZ1075,CALC!$F$1)),N(BASELINE!E1075)),N(BASELINE!E1075)))=INT(SIMOPS!$D$3),IFERROR(UPPER(TRIM(BASELINE!D1075&amp;"")),"")&lt;&gt;"ENCERRADA"),1,0),0)</f>
        <v/>
      </c>
      <c r="B1075">
        <f>B1074+A1075</f>
        <v/>
      </c>
    </row>
    <row r="1076">
      <c r="A1076">
        <f>IFERROR(IF(AND(BASELINE!I1076&lt;&gt;"",INT(IF(CALC!$F$1&gt;0,IF(N(INDEX(BASELINE!$A1076:$ZZ1076,CALC!$F$1))&gt;0,N(INDEX(BASELINE!$A1076:$ZZ1076,CALC!$F$1)),N(BASELINE!E1076)),N(BASELINE!E1076)))=INT(SIMOPS!$D$3),IFERROR(UPPER(TRIM(BASELINE!D1076&amp;"")),"")&lt;&gt;"ENCERRADA"),1,0),0)</f>
        <v/>
      </c>
      <c r="B1076">
        <f>B1075+A1076</f>
        <v/>
      </c>
    </row>
    <row r="1077">
      <c r="A1077">
        <f>IFERROR(IF(AND(BASELINE!I1077&lt;&gt;"",INT(IF(CALC!$F$1&gt;0,IF(N(INDEX(BASELINE!$A1077:$ZZ1077,CALC!$F$1))&gt;0,N(INDEX(BASELINE!$A1077:$ZZ1077,CALC!$F$1)),N(BASELINE!E1077)),N(BASELINE!E1077)))=INT(SIMOPS!$D$3),IFERROR(UPPER(TRIM(BASELINE!D1077&amp;"")),"")&lt;&gt;"ENCERRADA"),1,0),0)</f>
        <v/>
      </c>
      <c r="B1077">
        <f>B1076+A1077</f>
        <v/>
      </c>
    </row>
    <row r="1078">
      <c r="A1078">
        <f>IFERROR(IF(AND(BASELINE!I1078&lt;&gt;"",INT(IF(CALC!$F$1&gt;0,IF(N(INDEX(BASELINE!$A1078:$ZZ1078,CALC!$F$1))&gt;0,N(INDEX(BASELINE!$A1078:$ZZ1078,CALC!$F$1)),N(BASELINE!E1078)),N(BASELINE!E1078)))=INT(SIMOPS!$D$3),IFERROR(UPPER(TRIM(BASELINE!D1078&amp;"")),"")&lt;&gt;"ENCERRADA"),1,0),0)</f>
        <v/>
      </c>
      <c r="B1078">
        <f>B1077+A1078</f>
        <v/>
      </c>
    </row>
    <row r="1079">
      <c r="A1079">
        <f>IFERROR(IF(AND(BASELINE!I1079&lt;&gt;"",INT(IF(CALC!$F$1&gt;0,IF(N(INDEX(BASELINE!$A1079:$ZZ1079,CALC!$F$1))&gt;0,N(INDEX(BASELINE!$A1079:$ZZ1079,CALC!$F$1)),N(BASELINE!E1079)),N(BASELINE!E1079)))=INT(SIMOPS!$D$3),IFERROR(UPPER(TRIM(BASELINE!D1079&amp;"")),"")&lt;&gt;"ENCERRADA"),1,0),0)</f>
        <v/>
      </c>
      <c r="B1079">
        <f>B1078+A1079</f>
        <v/>
      </c>
    </row>
    <row r="1080">
      <c r="A1080">
        <f>IFERROR(IF(AND(BASELINE!I1080&lt;&gt;"",INT(IF(CALC!$F$1&gt;0,IF(N(INDEX(BASELINE!$A1080:$ZZ1080,CALC!$F$1))&gt;0,N(INDEX(BASELINE!$A1080:$ZZ1080,CALC!$F$1)),N(BASELINE!E1080)),N(BASELINE!E1080)))=INT(SIMOPS!$D$3),IFERROR(UPPER(TRIM(BASELINE!D1080&amp;"")),"")&lt;&gt;"ENCERRADA"),1,0),0)</f>
        <v/>
      </c>
      <c r="B1080">
        <f>B1079+A1080</f>
        <v/>
      </c>
    </row>
    <row r="1081">
      <c r="A1081">
        <f>IFERROR(IF(AND(BASELINE!I1081&lt;&gt;"",INT(IF(CALC!$F$1&gt;0,IF(N(INDEX(BASELINE!$A1081:$ZZ1081,CALC!$F$1))&gt;0,N(INDEX(BASELINE!$A1081:$ZZ1081,CALC!$F$1)),N(BASELINE!E1081)),N(BASELINE!E1081)))=INT(SIMOPS!$D$3),IFERROR(UPPER(TRIM(BASELINE!D1081&amp;"")),"")&lt;&gt;"ENCERRADA"),1,0),0)</f>
        <v/>
      </c>
      <c r="B1081">
        <f>B1080+A1081</f>
        <v/>
      </c>
    </row>
    <row r="1082">
      <c r="A1082">
        <f>IFERROR(IF(AND(BASELINE!I1082&lt;&gt;"",INT(IF(CALC!$F$1&gt;0,IF(N(INDEX(BASELINE!$A1082:$ZZ1082,CALC!$F$1))&gt;0,N(INDEX(BASELINE!$A1082:$ZZ1082,CALC!$F$1)),N(BASELINE!E1082)),N(BASELINE!E1082)))=INT(SIMOPS!$D$3),IFERROR(UPPER(TRIM(BASELINE!D1082&amp;"")),"")&lt;&gt;"ENCERRADA"),1,0),0)</f>
        <v/>
      </c>
      <c r="B1082">
        <f>B1081+A1082</f>
        <v/>
      </c>
    </row>
    <row r="1083">
      <c r="A1083">
        <f>IFERROR(IF(AND(BASELINE!I1083&lt;&gt;"",INT(IF(CALC!$F$1&gt;0,IF(N(INDEX(BASELINE!$A1083:$ZZ1083,CALC!$F$1))&gt;0,N(INDEX(BASELINE!$A1083:$ZZ1083,CALC!$F$1)),N(BASELINE!E1083)),N(BASELINE!E1083)))=INT(SIMOPS!$D$3),IFERROR(UPPER(TRIM(BASELINE!D1083&amp;"")),"")&lt;&gt;"ENCERRADA"),1,0),0)</f>
        <v/>
      </c>
      <c r="B1083">
        <f>B1082+A1083</f>
        <v/>
      </c>
    </row>
    <row r="1084">
      <c r="A1084">
        <f>IFERROR(IF(AND(BASELINE!I1084&lt;&gt;"",INT(IF(CALC!$F$1&gt;0,IF(N(INDEX(BASELINE!$A1084:$ZZ1084,CALC!$F$1))&gt;0,N(INDEX(BASELINE!$A1084:$ZZ1084,CALC!$F$1)),N(BASELINE!E1084)),N(BASELINE!E1084)))=INT(SIMOPS!$D$3),IFERROR(UPPER(TRIM(BASELINE!D1084&amp;"")),"")&lt;&gt;"ENCERRADA"),1,0),0)</f>
        <v/>
      </c>
      <c r="B1084">
        <f>B1083+A1084</f>
        <v/>
      </c>
    </row>
    <row r="1085">
      <c r="A1085">
        <f>IFERROR(IF(AND(BASELINE!I1085&lt;&gt;"",INT(IF(CALC!$F$1&gt;0,IF(N(INDEX(BASELINE!$A1085:$ZZ1085,CALC!$F$1))&gt;0,N(INDEX(BASELINE!$A1085:$ZZ1085,CALC!$F$1)),N(BASELINE!E1085)),N(BASELINE!E1085)))=INT(SIMOPS!$D$3),IFERROR(UPPER(TRIM(BASELINE!D1085&amp;"")),"")&lt;&gt;"ENCERRADA"),1,0),0)</f>
        <v/>
      </c>
      <c r="B1085">
        <f>B1084+A1085</f>
        <v/>
      </c>
    </row>
    <row r="1086">
      <c r="A1086">
        <f>IFERROR(IF(AND(BASELINE!I1086&lt;&gt;"",INT(IF(CALC!$F$1&gt;0,IF(N(INDEX(BASELINE!$A1086:$ZZ1086,CALC!$F$1))&gt;0,N(INDEX(BASELINE!$A1086:$ZZ1086,CALC!$F$1)),N(BASELINE!E1086)),N(BASELINE!E1086)))=INT(SIMOPS!$D$3),IFERROR(UPPER(TRIM(BASELINE!D1086&amp;"")),"")&lt;&gt;"ENCERRADA"),1,0),0)</f>
        <v/>
      </c>
      <c r="B1086">
        <f>B1085+A1086</f>
        <v/>
      </c>
    </row>
    <row r="1087">
      <c r="A1087">
        <f>IFERROR(IF(AND(BASELINE!I1087&lt;&gt;"",INT(IF(CALC!$F$1&gt;0,IF(N(INDEX(BASELINE!$A1087:$ZZ1087,CALC!$F$1))&gt;0,N(INDEX(BASELINE!$A1087:$ZZ1087,CALC!$F$1)),N(BASELINE!E1087)),N(BASELINE!E1087)))=INT(SIMOPS!$D$3),IFERROR(UPPER(TRIM(BASELINE!D1087&amp;"")),"")&lt;&gt;"ENCERRADA"),1,0),0)</f>
        <v/>
      </c>
      <c r="B1087">
        <f>B1086+A1087</f>
        <v/>
      </c>
    </row>
    <row r="1088">
      <c r="A1088">
        <f>IFERROR(IF(AND(BASELINE!I1088&lt;&gt;"",INT(IF(CALC!$F$1&gt;0,IF(N(INDEX(BASELINE!$A1088:$ZZ1088,CALC!$F$1))&gt;0,N(INDEX(BASELINE!$A1088:$ZZ1088,CALC!$F$1)),N(BASELINE!E1088)),N(BASELINE!E1088)))=INT(SIMOPS!$D$3),IFERROR(UPPER(TRIM(BASELINE!D1088&amp;"")),"")&lt;&gt;"ENCERRADA"),1,0),0)</f>
        <v/>
      </c>
      <c r="B1088">
        <f>B1087+A1088</f>
        <v/>
      </c>
    </row>
    <row r="1089">
      <c r="A1089">
        <f>IFERROR(IF(AND(BASELINE!I1089&lt;&gt;"",INT(IF(CALC!$F$1&gt;0,IF(N(INDEX(BASELINE!$A1089:$ZZ1089,CALC!$F$1))&gt;0,N(INDEX(BASELINE!$A1089:$ZZ1089,CALC!$F$1)),N(BASELINE!E1089)),N(BASELINE!E1089)))=INT(SIMOPS!$D$3),IFERROR(UPPER(TRIM(BASELINE!D1089&amp;"")),"")&lt;&gt;"ENCERRADA"),1,0),0)</f>
        <v/>
      </c>
      <c r="B1089">
        <f>B1088+A1089</f>
        <v/>
      </c>
    </row>
    <row r="1090">
      <c r="A1090">
        <f>IFERROR(IF(AND(BASELINE!I1090&lt;&gt;"",INT(IF(CALC!$F$1&gt;0,IF(N(INDEX(BASELINE!$A1090:$ZZ1090,CALC!$F$1))&gt;0,N(INDEX(BASELINE!$A1090:$ZZ1090,CALC!$F$1)),N(BASELINE!E1090)),N(BASELINE!E1090)))=INT(SIMOPS!$D$3),IFERROR(UPPER(TRIM(BASELINE!D1090&amp;"")),"")&lt;&gt;"ENCERRADA"),1,0),0)</f>
        <v/>
      </c>
      <c r="B1090">
        <f>B1089+A1090</f>
        <v/>
      </c>
    </row>
    <row r="1091">
      <c r="A1091">
        <f>IFERROR(IF(AND(BASELINE!I1091&lt;&gt;"",INT(IF(CALC!$F$1&gt;0,IF(N(INDEX(BASELINE!$A1091:$ZZ1091,CALC!$F$1))&gt;0,N(INDEX(BASELINE!$A1091:$ZZ1091,CALC!$F$1)),N(BASELINE!E1091)),N(BASELINE!E1091)))=INT(SIMOPS!$D$3),IFERROR(UPPER(TRIM(BASELINE!D1091&amp;"")),"")&lt;&gt;"ENCERRADA"),1,0),0)</f>
        <v/>
      </c>
      <c r="B1091">
        <f>B1090+A1091</f>
        <v/>
      </c>
    </row>
    <row r="1092">
      <c r="A1092">
        <f>IFERROR(IF(AND(BASELINE!I1092&lt;&gt;"",INT(IF(CALC!$F$1&gt;0,IF(N(INDEX(BASELINE!$A1092:$ZZ1092,CALC!$F$1))&gt;0,N(INDEX(BASELINE!$A1092:$ZZ1092,CALC!$F$1)),N(BASELINE!E1092)),N(BASELINE!E1092)))=INT(SIMOPS!$D$3),IFERROR(UPPER(TRIM(BASELINE!D1092&amp;"")),"")&lt;&gt;"ENCERRADA"),1,0),0)</f>
        <v/>
      </c>
      <c r="B1092">
        <f>B1091+A1092</f>
        <v/>
      </c>
    </row>
    <row r="1093">
      <c r="A1093">
        <f>IFERROR(IF(AND(BASELINE!I1093&lt;&gt;"",INT(IF(CALC!$F$1&gt;0,IF(N(INDEX(BASELINE!$A1093:$ZZ1093,CALC!$F$1))&gt;0,N(INDEX(BASELINE!$A1093:$ZZ1093,CALC!$F$1)),N(BASELINE!E1093)),N(BASELINE!E1093)))=INT(SIMOPS!$D$3),IFERROR(UPPER(TRIM(BASELINE!D1093&amp;"")),"")&lt;&gt;"ENCERRADA"),1,0),0)</f>
        <v/>
      </c>
      <c r="B1093">
        <f>B1092+A1093</f>
        <v/>
      </c>
    </row>
    <row r="1094">
      <c r="A1094">
        <f>IFERROR(IF(AND(BASELINE!I1094&lt;&gt;"",INT(IF(CALC!$F$1&gt;0,IF(N(INDEX(BASELINE!$A1094:$ZZ1094,CALC!$F$1))&gt;0,N(INDEX(BASELINE!$A1094:$ZZ1094,CALC!$F$1)),N(BASELINE!E1094)),N(BASELINE!E1094)))=INT(SIMOPS!$D$3),IFERROR(UPPER(TRIM(BASELINE!D1094&amp;"")),"")&lt;&gt;"ENCERRADA"),1,0),0)</f>
        <v/>
      </c>
      <c r="B1094">
        <f>B1093+A1094</f>
        <v/>
      </c>
    </row>
    <row r="1095">
      <c r="A1095">
        <f>IFERROR(IF(AND(BASELINE!I1095&lt;&gt;"",INT(IF(CALC!$F$1&gt;0,IF(N(INDEX(BASELINE!$A1095:$ZZ1095,CALC!$F$1))&gt;0,N(INDEX(BASELINE!$A1095:$ZZ1095,CALC!$F$1)),N(BASELINE!E1095)),N(BASELINE!E1095)))=INT(SIMOPS!$D$3),IFERROR(UPPER(TRIM(BASELINE!D1095&amp;"")),"")&lt;&gt;"ENCERRADA"),1,0),0)</f>
        <v/>
      </c>
      <c r="B1095">
        <f>B1094+A1095</f>
        <v/>
      </c>
    </row>
    <row r="1096">
      <c r="A1096">
        <f>IFERROR(IF(AND(BASELINE!I1096&lt;&gt;"",INT(IF(CALC!$F$1&gt;0,IF(N(INDEX(BASELINE!$A1096:$ZZ1096,CALC!$F$1))&gt;0,N(INDEX(BASELINE!$A1096:$ZZ1096,CALC!$F$1)),N(BASELINE!E1096)),N(BASELINE!E1096)))=INT(SIMOPS!$D$3),IFERROR(UPPER(TRIM(BASELINE!D1096&amp;"")),"")&lt;&gt;"ENCERRADA"),1,0),0)</f>
        <v/>
      </c>
      <c r="B1096">
        <f>B1095+A1096</f>
        <v/>
      </c>
    </row>
    <row r="1097">
      <c r="A1097">
        <f>IFERROR(IF(AND(BASELINE!I1097&lt;&gt;"",INT(IF(CALC!$F$1&gt;0,IF(N(INDEX(BASELINE!$A1097:$ZZ1097,CALC!$F$1))&gt;0,N(INDEX(BASELINE!$A1097:$ZZ1097,CALC!$F$1)),N(BASELINE!E1097)),N(BASELINE!E1097)))=INT(SIMOPS!$D$3),IFERROR(UPPER(TRIM(BASELINE!D1097&amp;"")),"")&lt;&gt;"ENCERRADA"),1,0),0)</f>
        <v/>
      </c>
      <c r="B1097">
        <f>B1096+A1097</f>
        <v/>
      </c>
    </row>
    <row r="1098">
      <c r="A1098">
        <f>IFERROR(IF(AND(BASELINE!I1098&lt;&gt;"",INT(IF(CALC!$F$1&gt;0,IF(N(INDEX(BASELINE!$A1098:$ZZ1098,CALC!$F$1))&gt;0,N(INDEX(BASELINE!$A1098:$ZZ1098,CALC!$F$1)),N(BASELINE!E1098)),N(BASELINE!E1098)))=INT(SIMOPS!$D$3),IFERROR(UPPER(TRIM(BASELINE!D1098&amp;"")),"")&lt;&gt;"ENCERRADA"),1,0),0)</f>
        <v/>
      </c>
      <c r="B1098">
        <f>B1097+A1098</f>
        <v/>
      </c>
    </row>
    <row r="1099">
      <c r="A1099">
        <f>IFERROR(IF(AND(BASELINE!I1099&lt;&gt;"",INT(IF(CALC!$F$1&gt;0,IF(N(INDEX(BASELINE!$A1099:$ZZ1099,CALC!$F$1))&gt;0,N(INDEX(BASELINE!$A1099:$ZZ1099,CALC!$F$1)),N(BASELINE!E1099)),N(BASELINE!E1099)))=INT(SIMOPS!$D$3),IFERROR(UPPER(TRIM(BASELINE!D1099&amp;"")),"")&lt;&gt;"ENCERRADA"),1,0),0)</f>
        <v/>
      </c>
      <c r="B1099">
        <f>B1098+A1099</f>
        <v/>
      </c>
    </row>
    <row r="1100">
      <c r="A1100">
        <f>IFERROR(IF(AND(BASELINE!I1100&lt;&gt;"",INT(IF(CALC!$F$1&gt;0,IF(N(INDEX(BASELINE!$A1100:$ZZ1100,CALC!$F$1))&gt;0,N(INDEX(BASELINE!$A1100:$ZZ1100,CALC!$F$1)),N(BASELINE!E1100)),N(BASELINE!E1100)))=INT(SIMOPS!$D$3),IFERROR(UPPER(TRIM(BASELINE!D1100&amp;"")),"")&lt;&gt;"ENCERRADA"),1,0),0)</f>
        <v/>
      </c>
      <c r="B1100">
        <f>B1099+A1100</f>
        <v/>
      </c>
    </row>
    <row r="1101">
      <c r="A1101">
        <f>IFERROR(IF(AND(BASELINE!I1101&lt;&gt;"",INT(IF(CALC!$F$1&gt;0,IF(N(INDEX(BASELINE!$A1101:$ZZ1101,CALC!$F$1))&gt;0,N(INDEX(BASELINE!$A1101:$ZZ1101,CALC!$F$1)),N(BASELINE!E1101)),N(BASELINE!E1101)))=INT(SIMOPS!$D$3),IFERROR(UPPER(TRIM(BASELINE!D1101&amp;"")),"")&lt;&gt;"ENCERRADA"),1,0),0)</f>
        <v/>
      </c>
      <c r="B1101">
        <f>B1100+A1101</f>
        <v/>
      </c>
    </row>
    <row r="1102">
      <c r="A1102">
        <f>IFERROR(IF(AND(BASELINE!I1102&lt;&gt;"",INT(IF(CALC!$F$1&gt;0,IF(N(INDEX(BASELINE!$A1102:$ZZ1102,CALC!$F$1))&gt;0,N(INDEX(BASELINE!$A1102:$ZZ1102,CALC!$F$1)),N(BASELINE!E1102)),N(BASELINE!E1102)))=INT(SIMOPS!$D$3),IFERROR(UPPER(TRIM(BASELINE!D1102&amp;"")),"")&lt;&gt;"ENCERRADA"),1,0),0)</f>
        <v/>
      </c>
      <c r="B1102">
        <f>B1101+A1102</f>
        <v/>
      </c>
    </row>
    <row r="1103">
      <c r="A1103">
        <f>IFERROR(IF(AND(BASELINE!I1103&lt;&gt;"",INT(IF(CALC!$F$1&gt;0,IF(N(INDEX(BASELINE!$A1103:$ZZ1103,CALC!$F$1))&gt;0,N(INDEX(BASELINE!$A1103:$ZZ1103,CALC!$F$1)),N(BASELINE!E1103)),N(BASELINE!E1103)))=INT(SIMOPS!$D$3),IFERROR(UPPER(TRIM(BASELINE!D1103&amp;"")),"")&lt;&gt;"ENCERRADA"),1,0),0)</f>
        <v/>
      </c>
      <c r="B1103">
        <f>B1102+A1103</f>
        <v/>
      </c>
    </row>
    <row r="1104">
      <c r="A1104">
        <f>IFERROR(IF(AND(BASELINE!I1104&lt;&gt;"",INT(IF(CALC!$F$1&gt;0,IF(N(INDEX(BASELINE!$A1104:$ZZ1104,CALC!$F$1))&gt;0,N(INDEX(BASELINE!$A1104:$ZZ1104,CALC!$F$1)),N(BASELINE!E1104)),N(BASELINE!E1104)))=INT(SIMOPS!$D$3),IFERROR(UPPER(TRIM(BASELINE!D1104&amp;"")),"")&lt;&gt;"ENCERRADA"),1,0),0)</f>
        <v/>
      </c>
      <c r="B1104">
        <f>B1103+A1104</f>
        <v/>
      </c>
    </row>
    <row r="1105">
      <c r="A1105">
        <f>IFERROR(IF(AND(BASELINE!I1105&lt;&gt;"",INT(IF(CALC!$F$1&gt;0,IF(N(INDEX(BASELINE!$A1105:$ZZ1105,CALC!$F$1))&gt;0,N(INDEX(BASELINE!$A1105:$ZZ1105,CALC!$F$1)),N(BASELINE!E1105)),N(BASELINE!E1105)))=INT(SIMOPS!$D$3),IFERROR(UPPER(TRIM(BASELINE!D1105&amp;"")),"")&lt;&gt;"ENCERRADA"),1,0),0)</f>
        <v/>
      </c>
      <c r="B1105">
        <f>B1104+A1105</f>
        <v/>
      </c>
    </row>
    <row r="1106">
      <c r="A1106">
        <f>IFERROR(IF(AND(BASELINE!I1106&lt;&gt;"",INT(IF(CALC!$F$1&gt;0,IF(N(INDEX(BASELINE!$A1106:$ZZ1106,CALC!$F$1))&gt;0,N(INDEX(BASELINE!$A1106:$ZZ1106,CALC!$F$1)),N(BASELINE!E1106)),N(BASELINE!E1106)))=INT(SIMOPS!$D$3),IFERROR(UPPER(TRIM(BASELINE!D1106&amp;"")),"")&lt;&gt;"ENCERRADA"),1,0),0)</f>
        <v/>
      </c>
      <c r="B1106">
        <f>B1105+A1106</f>
        <v/>
      </c>
    </row>
    <row r="1107">
      <c r="A1107">
        <f>IFERROR(IF(AND(BASELINE!I1107&lt;&gt;"",INT(IF(CALC!$F$1&gt;0,IF(N(INDEX(BASELINE!$A1107:$ZZ1107,CALC!$F$1))&gt;0,N(INDEX(BASELINE!$A1107:$ZZ1107,CALC!$F$1)),N(BASELINE!E1107)),N(BASELINE!E1107)))=INT(SIMOPS!$D$3),IFERROR(UPPER(TRIM(BASELINE!D1107&amp;"")),"")&lt;&gt;"ENCERRADA"),1,0),0)</f>
        <v/>
      </c>
      <c r="B1107">
        <f>B1106+A1107</f>
        <v/>
      </c>
    </row>
    <row r="1108">
      <c r="A1108">
        <f>IFERROR(IF(AND(BASELINE!I1108&lt;&gt;"",INT(IF(CALC!$F$1&gt;0,IF(N(INDEX(BASELINE!$A1108:$ZZ1108,CALC!$F$1))&gt;0,N(INDEX(BASELINE!$A1108:$ZZ1108,CALC!$F$1)),N(BASELINE!E1108)),N(BASELINE!E1108)))=INT(SIMOPS!$D$3),IFERROR(UPPER(TRIM(BASELINE!D1108&amp;"")),"")&lt;&gt;"ENCERRADA"),1,0),0)</f>
        <v/>
      </c>
      <c r="B1108">
        <f>B1107+A1108</f>
        <v/>
      </c>
    </row>
    <row r="1109">
      <c r="A1109">
        <f>IFERROR(IF(AND(BASELINE!I1109&lt;&gt;"",INT(IF(CALC!$F$1&gt;0,IF(N(INDEX(BASELINE!$A1109:$ZZ1109,CALC!$F$1))&gt;0,N(INDEX(BASELINE!$A1109:$ZZ1109,CALC!$F$1)),N(BASELINE!E1109)),N(BASELINE!E1109)))=INT(SIMOPS!$D$3),IFERROR(UPPER(TRIM(BASELINE!D1109&amp;"")),"")&lt;&gt;"ENCERRADA"),1,0),0)</f>
        <v/>
      </c>
      <c r="B1109">
        <f>B1108+A1109</f>
        <v/>
      </c>
    </row>
    <row r="1110">
      <c r="A1110">
        <f>IFERROR(IF(AND(BASELINE!I1110&lt;&gt;"",INT(IF(CALC!$F$1&gt;0,IF(N(INDEX(BASELINE!$A1110:$ZZ1110,CALC!$F$1))&gt;0,N(INDEX(BASELINE!$A1110:$ZZ1110,CALC!$F$1)),N(BASELINE!E1110)),N(BASELINE!E1110)))=INT(SIMOPS!$D$3),IFERROR(UPPER(TRIM(BASELINE!D1110&amp;"")),"")&lt;&gt;"ENCERRADA"),1,0),0)</f>
        <v/>
      </c>
      <c r="B1110">
        <f>B1109+A1110</f>
        <v/>
      </c>
    </row>
    <row r="1111">
      <c r="A1111">
        <f>IFERROR(IF(AND(BASELINE!I1111&lt;&gt;"",INT(IF(CALC!$F$1&gt;0,IF(N(INDEX(BASELINE!$A1111:$ZZ1111,CALC!$F$1))&gt;0,N(INDEX(BASELINE!$A1111:$ZZ1111,CALC!$F$1)),N(BASELINE!E1111)),N(BASELINE!E1111)))=INT(SIMOPS!$D$3),IFERROR(UPPER(TRIM(BASELINE!D1111&amp;"")),"")&lt;&gt;"ENCERRADA"),1,0),0)</f>
        <v/>
      </c>
      <c r="B1111">
        <f>B1110+A1111</f>
        <v/>
      </c>
    </row>
    <row r="1112">
      <c r="A1112">
        <f>IFERROR(IF(AND(BASELINE!I1112&lt;&gt;"",INT(IF(CALC!$F$1&gt;0,IF(N(INDEX(BASELINE!$A1112:$ZZ1112,CALC!$F$1))&gt;0,N(INDEX(BASELINE!$A1112:$ZZ1112,CALC!$F$1)),N(BASELINE!E1112)),N(BASELINE!E1112)))=INT(SIMOPS!$D$3),IFERROR(UPPER(TRIM(BASELINE!D1112&amp;"")),"")&lt;&gt;"ENCERRADA"),1,0),0)</f>
        <v/>
      </c>
      <c r="B1112">
        <f>B1111+A1112</f>
        <v/>
      </c>
    </row>
    <row r="1113">
      <c r="A1113">
        <f>IFERROR(IF(AND(BASELINE!I1113&lt;&gt;"",INT(IF(CALC!$F$1&gt;0,IF(N(INDEX(BASELINE!$A1113:$ZZ1113,CALC!$F$1))&gt;0,N(INDEX(BASELINE!$A1113:$ZZ1113,CALC!$F$1)),N(BASELINE!E1113)),N(BASELINE!E1113)))=INT(SIMOPS!$D$3),IFERROR(UPPER(TRIM(BASELINE!D1113&amp;"")),"")&lt;&gt;"ENCERRADA"),1,0),0)</f>
        <v/>
      </c>
      <c r="B1113">
        <f>B1112+A1113</f>
        <v/>
      </c>
    </row>
    <row r="1114">
      <c r="A1114">
        <f>IFERROR(IF(AND(BASELINE!I1114&lt;&gt;"",INT(IF(CALC!$F$1&gt;0,IF(N(INDEX(BASELINE!$A1114:$ZZ1114,CALC!$F$1))&gt;0,N(INDEX(BASELINE!$A1114:$ZZ1114,CALC!$F$1)),N(BASELINE!E1114)),N(BASELINE!E1114)))=INT(SIMOPS!$D$3),IFERROR(UPPER(TRIM(BASELINE!D1114&amp;"")),"")&lt;&gt;"ENCERRADA"),1,0),0)</f>
        <v/>
      </c>
      <c r="B1114">
        <f>B1113+A1114</f>
        <v/>
      </c>
    </row>
    <row r="1115">
      <c r="A1115">
        <f>IFERROR(IF(AND(BASELINE!I1115&lt;&gt;"",INT(IF(CALC!$F$1&gt;0,IF(N(INDEX(BASELINE!$A1115:$ZZ1115,CALC!$F$1))&gt;0,N(INDEX(BASELINE!$A1115:$ZZ1115,CALC!$F$1)),N(BASELINE!E1115)),N(BASELINE!E1115)))=INT(SIMOPS!$D$3),IFERROR(UPPER(TRIM(BASELINE!D1115&amp;"")),"")&lt;&gt;"ENCERRADA"),1,0),0)</f>
        <v/>
      </c>
      <c r="B1115">
        <f>B1114+A1115</f>
        <v/>
      </c>
    </row>
    <row r="1116">
      <c r="A1116">
        <f>IFERROR(IF(AND(BASELINE!I1116&lt;&gt;"",INT(IF(CALC!$F$1&gt;0,IF(N(INDEX(BASELINE!$A1116:$ZZ1116,CALC!$F$1))&gt;0,N(INDEX(BASELINE!$A1116:$ZZ1116,CALC!$F$1)),N(BASELINE!E1116)),N(BASELINE!E1116)))=INT(SIMOPS!$D$3),IFERROR(UPPER(TRIM(BASELINE!D1116&amp;"")),"")&lt;&gt;"ENCERRADA"),1,0),0)</f>
        <v/>
      </c>
      <c r="B1116">
        <f>B1115+A1116</f>
        <v/>
      </c>
    </row>
    <row r="1117">
      <c r="A1117">
        <f>IFERROR(IF(AND(BASELINE!I1117&lt;&gt;"",INT(IF(CALC!$F$1&gt;0,IF(N(INDEX(BASELINE!$A1117:$ZZ1117,CALC!$F$1))&gt;0,N(INDEX(BASELINE!$A1117:$ZZ1117,CALC!$F$1)),N(BASELINE!E1117)),N(BASELINE!E1117)))=INT(SIMOPS!$D$3),IFERROR(UPPER(TRIM(BASELINE!D1117&amp;"")),"")&lt;&gt;"ENCERRADA"),1,0),0)</f>
        <v/>
      </c>
      <c r="B1117">
        <f>B1116+A1117</f>
        <v/>
      </c>
    </row>
    <row r="1118">
      <c r="A1118">
        <f>IFERROR(IF(AND(BASELINE!I1118&lt;&gt;"",INT(IF(CALC!$F$1&gt;0,IF(N(INDEX(BASELINE!$A1118:$ZZ1118,CALC!$F$1))&gt;0,N(INDEX(BASELINE!$A1118:$ZZ1118,CALC!$F$1)),N(BASELINE!E1118)),N(BASELINE!E1118)))=INT(SIMOPS!$D$3),IFERROR(UPPER(TRIM(BASELINE!D1118&amp;"")),"")&lt;&gt;"ENCERRADA"),1,0),0)</f>
        <v/>
      </c>
      <c r="B1118">
        <f>B1117+A1118</f>
        <v/>
      </c>
    </row>
    <row r="1119">
      <c r="A1119">
        <f>IFERROR(IF(AND(BASELINE!I1119&lt;&gt;"",INT(IF(CALC!$F$1&gt;0,IF(N(INDEX(BASELINE!$A1119:$ZZ1119,CALC!$F$1))&gt;0,N(INDEX(BASELINE!$A1119:$ZZ1119,CALC!$F$1)),N(BASELINE!E1119)),N(BASELINE!E1119)))=INT(SIMOPS!$D$3),IFERROR(UPPER(TRIM(BASELINE!D1119&amp;"")),"")&lt;&gt;"ENCERRADA"),1,0),0)</f>
        <v/>
      </c>
      <c r="B1119">
        <f>B1118+A1119</f>
        <v/>
      </c>
    </row>
    <row r="1120">
      <c r="A1120">
        <f>IFERROR(IF(AND(BASELINE!I1120&lt;&gt;"",INT(IF(CALC!$F$1&gt;0,IF(N(INDEX(BASELINE!$A1120:$ZZ1120,CALC!$F$1))&gt;0,N(INDEX(BASELINE!$A1120:$ZZ1120,CALC!$F$1)),N(BASELINE!E1120)),N(BASELINE!E1120)))=INT(SIMOPS!$D$3),IFERROR(UPPER(TRIM(BASELINE!D1120&amp;"")),"")&lt;&gt;"ENCERRADA"),1,0),0)</f>
        <v/>
      </c>
      <c r="B1120">
        <f>B1119+A1120</f>
        <v/>
      </c>
    </row>
    <row r="1121">
      <c r="A1121">
        <f>IFERROR(IF(AND(BASELINE!I1121&lt;&gt;"",INT(IF(CALC!$F$1&gt;0,IF(N(INDEX(BASELINE!$A1121:$ZZ1121,CALC!$F$1))&gt;0,N(INDEX(BASELINE!$A1121:$ZZ1121,CALC!$F$1)),N(BASELINE!E1121)),N(BASELINE!E1121)))=INT(SIMOPS!$D$3),IFERROR(UPPER(TRIM(BASELINE!D1121&amp;"")),"")&lt;&gt;"ENCERRADA"),1,0),0)</f>
        <v/>
      </c>
      <c r="B1121">
        <f>B1120+A1121</f>
        <v/>
      </c>
    </row>
    <row r="1122">
      <c r="A1122">
        <f>IFERROR(IF(AND(BASELINE!I1122&lt;&gt;"",INT(IF(CALC!$F$1&gt;0,IF(N(INDEX(BASELINE!$A1122:$ZZ1122,CALC!$F$1))&gt;0,N(INDEX(BASELINE!$A1122:$ZZ1122,CALC!$F$1)),N(BASELINE!E1122)),N(BASELINE!E1122)))=INT(SIMOPS!$D$3),IFERROR(UPPER(TRIM(BASELINE!D1122&amp;"")),"")&lt;&gt;"ENCERRADA"),1,0),0)</f>
        <v/>
      </c>
      <c r="B1122">
        <f>B1121+A1122</f>
        <v/>
      </c>
    </row>
    <row r="1123">
      <c r="A1123">
        <f>IFERROR(IF(AND(BASELINE!I1123&lt;&gt;"",INT(IF(CALC!$F$1&gt;0,IF(N(INDEX(BASELINE!$A1123:$ZZ1123,CALC!$F$1))&gt;0,N(INDEX(BASELINE!$A1123:$ZZ1123,CALC!$F$1)),N(BASELINE!E1123)),N(BASELINE!E1123)))=INT(SIMOPS!$D$3),IFERROR(UPPER(TRIM(BASELINE!D1123&amp;"")),"")&lt;&gt;"ENCERRADA"),1,0),0)</f>
        <v/>
      </c>
      <c r="B1123">
        <f>B1122+A1123</f>
        <v/>
      </c>
    </row>
    <row r="1124">
      <c r="A1124">
        <f>IFERROR(IF(AND(BASELINE!I1124&lt;&gt;"",INT(IF(CALC!$F$1&gt;0,IF(N(INDEX(BASELINE!$A1124:$ZZ1124,CALC!$F$1))&gt;0,N(INDEX(BASELINE!$A1124:$ZZ1124,CALC!$F$1)),N(BASELINE!E1124)),N(BASELINE!E1124)))=INT(SIMOPS!$D$3),IFERROR(UPPER(TRIM(BASELINE!D1124&amp;"")),"")&lt;&gt;"ENCERRADA"),1,0),0)</f>
        <v/>
      </c>
      <c r="B1124">
        <f>B1123+A1124</f>
        <v/>
      </c>
    </row>
    <row r="1125">
      <c r="A1125">
        <f>IFERROR(IF(AND(BASELINE!I1125&lt;&gt;"",INT(IF(CALC!$F$1&gt;0,IF(N(INDEX(BASELINE!$A1125:$ZZ1125,CALC!$F$1))&gt;0,N(INDEX(BASELINE!$A1125:$ZZ1125,CALC!$F$1)),N(BASELINE!E1125)),N(BASELINE!E1125)))=INT(SIMOPS!$D$3),IFERROR(UPPER(TRIM(BASELINE!D1125&amp;"")),"")&lt;&gt;"ENCERRADA"),1,0),0)</f>
        <v/>
      </c>
      <c r="B1125">
        <f>B1124+A1125</f>
        <v/>
      </c>
    </row>
    <row r="1126">
      <c r="A1126">
        <f>IFERROR(IF(AND(BASELINE!I1126&lt;&gt;"",INT(IF(CALC!$F$1&gt;0,IF(N(INDEX(BASELINE!$A1126:$ZZ1126,CALC!$F$1))&gt;0,N(INDEX(BASELINE!$A1126:$ZZ1126,CALC!$F$1)),N(BASELINE!E1126)),N(BASELINE!E1126)))=INT(SIMOPS!$D$3),IFERROR(UPPER(TRIM(BASELINE!D1126&amp;"")),"")&lt;&gt;"ENCERRADA"),1,0),0)</f>
        <v/>
      </c>
      <c r="B1126">
        <f>B1125+A1126</f>
        <v/>
      </c>
    </row>
    <row r="1127">
      <c r="A1127">
        <f>IFERROR(IF(AND(BASELINE!I1127&lt;&gt;"",INT(IF(CALC!$F$1&gt;0,IF(N(INDEX(BASELINE!$A1127:$ZZ1127,CALC!$F$1))&gt;0,N(INDEX(BASELINE!$A1127:$ZZ1127,CALC!$F$1)),N(BASELINE!E1127)),N(BASELINE!E1127)))=INT(SIMOPS!$D$3),IFERROR(UPPER(TRIM(BASELINE!D1127&amp;"")),"")&lt;&gt;"ENCERRADA"),1,0),0)</f>
        <v/>
      </c>
      <c r="B1127">
        <f>B1126+A1127</f>
        <v/>
      </c>
    </row>
    <row r="1128">
      <c r="A1128">
        <f>IFERROR(IF(AND(BASELINE!I1128&lt;&gt;"",INT(IF(CALC!$F$1&gt;0,IF(N(INDEX(BASELINE!$A1128:$ZZ1128,CALC!$F$1))&gt;0,N(INDEX(BASELINE!$A1128:$ZZ1128,CALC!$F$1)),N(BASELINE!E1128)),N(BASELINE!E1128)))=INT(SIMOPS!$D$3),IFERROR(UPPER(TRIM(BASELINE!D1128&amp;"")),"")&lt;&gt;"ENCERRADA"),1,0),0)</f>
        <v/>
      </c>
      <c r="B1128">
        <f>B1127+A1128</f>
        <v/>
      </c>
    </row>
    <row r="1129">
      <c r="A1129">
        <f>IFERROR(IF(AND(BASELINE!I1129&lt;&gt;"",INT(IF(CALC!$F$1&gt;0,IF(N(INDEX(BASELINE!$A1129:$ZZ1129,CALC!$F$1))&gt;0,N(INDEX(BASELINE!$A1129:$ZZ1129,CALC!$F$1)),N(BASELINE!E1129)),N(BASELINE!E1129)))=INT(SIMOPS!$D$3),IFERROR(UPPER(TRIM(BASELINE!D1129&amp;"")),"")&lt;&gt;"ENCERRADA"),1,0),0)</f>
        <v/>
      </c>
      <c r="B1129">
        <f>B1128+A1129</f>
        <v/>
      </c>
    </row>
    <row r="1130">
      <c r="A1130">
        <f>IFERROR(IF(AND(BASELINE!I1130&lt;&gt;"",INT(IF(CALC!$F$1&gt;0,IF(N(INDEX(BASELINE!$A1130:$ZZ1130,CALC!$F$1))&gt;0,N(INDEX(BASELINE!$A1130:$ZZ1130,CALC!$F$1)),N(BASELINE!E1130)),N(BASELINE!E1130)))=INT(SIMOPS!$D$3),IFERROR(UPPER(TRIM(BASELINE!D1130&amp;"")),"")&lt;&gt;"ENCERRADA"),1,0),0)</f>
        <v/>
      </c>
      <c r="B1130">
        <f>B1129+A1130</f>
        <v/>
      </c>
    </row>
    <row r="1131">
      <c r="A1131">
        <f>IFERROR(IF(AND(BASELINE!I1131&lt;&gt;"",INT(IF(CALC!$F$1&gt;0,IF(N(INDEX(BASELINE!$A1131:$ZZ1131,CALC!$F$1))&gt;0,N(INDEX(BASELINE!$A1131:$ZZ1131,CALC!$F$1)),N(BASELINE!E1131)),N(BASELINE!E1131)))=INT(SIMOPS!$D$3),IFERROR(UPPER(TRIM(BASELINE!D1131&amp;"")),"")&lt;&gt;"ENCERRADA"),1,0),0)</f>
        <v/>
      </c>
      <c r="B1131">
        <f>B1130+A1131</f>
        <v/>
      </c>
    </row>
    <row r="1132">
      <c r="A1132">
        <f>IFERROR(IF(AND(BASELINE!I1132&lt;&gt;"",INT(IF(CALC!$F$1&gt;0,IF(N(INDEX(BASELINE!$A1132:$ZZ1132,CALC!$F$1))&gt;0,N(INDEX(BASELINE!$A1132:$ZZ1132,CALC!$F$1)),N(BASELINE!E1132)),N(BASELINE!E1132)))=INT(SIMOPS!$D$3),IFERROR(UPPER(TRIM(BASELINE!D1132&amp;"")),"")&lt;&gt;"ENCERRADA"),1,0),0)</f>
        <v/>
      </c>
      <c r="B1132">
        <f>B1131+A1132</f>
        <v/>
      </c>
    </row>
    <row r="1133">
      <c r="A1133">
        <f>IFERROR(IF(AND(BASELINE!I1133&lt;&gt;"",INT(IF(CALC!$F$1&gt;0,IF(N(INDEX(BASELINE!$A1133:$ZZ1133,CALC!$F$1))&gt;0,N(INDEX(BASELINE!$A1133:$ZZ1133,CALC!$F$1)),N(BASELINE!E1133)),N(BASELINE!E1133)))=INT(SIMOPS!$D$3),IFERROR(UPPER(TRIM(BASELINE!D1133&amp;"")),"")&lt;&gt;"ENCERRADA"),1,0),0)</f>
        <v/>
      </c>
      <c r="B1133">
        <f>B1132+A1133</f>
        <v/>
      </c>
    </row>
    <row r="1134">
      <c r="A1134">
        <f>IFERROR(IF(AND(BASELINE!I1134&lt;&gt;"",INT(IF(CALC!$F$1&gt;0,IF(N(INDEX(BASELINE!$A1134:$ZZ1134,CALC!$F$1))&gt;0,N(INDEX(BASELINE!$A1134:$ZZ1134,CALC!$F$1)),N(BASELINE!E1134)),N(BASELINE!E1134)))=INT(SIMOPS!$D$3),IFERROR(UPPER(TRIM(BASELINE!D1134&amp;"")),"")&lt;&gt;"ENCERRADA"),1,0),0)</f>
        <v/>
      </c>
      <c r="B1134">
        <f>B1133+A1134</f>
        <v/>
      </c>
    </row>
    <row r="1135">
      <c r="A1135">
        <f>IFERROR(IF(AND(BASELINE!I1135&lt;&gt;"",INT(IF(CALC!$F$1&gt;0,IF(N(INDEX(BASELINE!$A1135:$ZZ1135,CALC!$F$1))&gt;0,N(INDEX(BASELINE!$A1135:$ZZ1135,CALC!$F$1)),N(BASELINE!E1135)),N(BASELINE!E1135)))=INT(SIMOPS!$D$3),IFERROR(UPPER(TRIM(BASELINE!D1135&amp;"")),"")&lt;&gt;"ENCERRADA"),1,0),0)</f>
        <v/>
      </c>
      <c r="B1135">
        <f>B1134+A1135</f>
        <v/>
      </c>
    </row>
    <row r="1136">
      <c r="A1136">
        <f>IFERROR(IF(AND(BASELINE!I1136&lt;&gt;"",INT(IF(CALC!$F$1&gt;0,IF(N(INDEX(BASELINE!$A1136:$ZZ1136,CALC!$F$1))&gt;0,N(INDEX(BASELINE!$A1136:$ZZ1136,CALC!$F$1)),N(BASELINE!E1136)),N(BASELINE!E1136)))=INT(SIMOPS!$D$3),IFERROR(UPPER(TRIM(BASELINE!D1136&amp;"")),"")&lt;&gt;"ENCERRADA"),1,0),0)</f>
        <v/>
      </c>
      <c r="B1136">
        <f>B1135+A1136</f>
        <v/>
      </c>
    </row>
    <row r="1137">
      <c r="A1137">
        <f>IFERROR(IF(AND(BASELINE!I1137&lt;&gt;"",INT(IF(CALC!$F$1&gt;0,IF(N(INDEX(BASELINE!$A1137:$ZZ1137,CALC!$F$1))&gt;0,N(INDEX(BASELINE!$A1137:$ZZ1137,CALC!$F$1)),N(BASELINE!E1137)),N(BASELINE!E1137)))=INT(SIMOPS!$D$3),IFERROR(UPPER(TRIM(BASELINE!D1137&amp;"")),"")&lt;&gt;"ENCERRADA"),1,0),0)</f>
        <v/>
      </c>
      <c r="B1137">
        <f>B1136+A1137</f>
        <v/>
      </c>
    </row>
    <row r="1138">
      <c r="A1138">
        <f>IFERROR(IF(AND(BASELINE!I1138&lt;&gt;"",INT(IF(CALC!$F$1&gt;0,IF(N(INDEX(BASELINE!$A1138:$ZZ1138,CALC!$F$1))&gt;0,N(INDEX(BASELINE!$A1138:$ZZ1138,CALC!$F$1)),N(BASELINE!E1138)),N(BASELINE!E1138)))=INT(SIMOPS!$D$3),IFERROR(UPPER(TRIM(BASELINE!D1138&amp;"")),"")&lt;&gt;"ENCERRADA"),1,0),0)</f>
        <v/>
      </c>
      <c r="B1138">
        <f>B1137+A1138</f>
        <v/>
      </c>
    </row>
    <row r="1139">
      <c r="A1139">
        <f>IFERROR(IF(AND(BASELINE!I1139&lt;&gt;"",INT(IF(CALC!$F$1&gt;0,IF(N(INDEX(BASELINE!$A1139:$ZZ1139,CALC!$F$1))&gt;0,N(INDEX(BASELINE!$A1139:$ZZ1139,CALC!$F$1)),N(BASELINE!E1139)),N(BASELINE!E1139)))=INT(SIMOPS!$D$3),IFERROR(UPPER(TRIM(BASELINE!D1139&amp;"")),"")&lt;&gt;"ENCERRADA"),1,0),0)</f>
        <v/>
      </c>
      <c r="B1139">
        <f>B1138+A1139</f>
        <v/>
      </c>
    </row>
    <row r="1140">
      <c r="A1140">
        <f>IFERROR(IF(AND(BASELINE!I1140&lt;&gt;"",INT(IF(CALC!$F$1&gt;0,IF(N(INDEX(BASELINE!$A1140:$ZZ1140,CALC!$F$1))&gt;0,N(INDEX(BASELINE!$A1140:$ZZ1140,CALC!$F$1)),N(BASELINE!E1140)),N(BASELINE!E1140)))=INT(SIMOPS!$D$3),IFERROR(UPPER(TRIM(BASELINE!D1140&amp;"")),"")&lt;&gt;"ENCERRADA"),1,0),0)</f>
        <v/>
      </c>
      <c r="B1140">
        <f>B1139+A1140</f>
        <v/>
      </c>
    </row>
    <row r="1141">
      <c r="A1141">
        <f>IFERROR(IF(AND(BASELINE!I1141&lt;&gt;"",INT(IF(CALC!$F$1&gt;0,IF(N(INDEX(BASELINE!$A1141:$ZZ1141,CALC!$F$1))&gt;0,N(INDEX(BASELINE!$A1141:$ZZ1141,CALC!$F$1)),N(BASELINE!E1141)),N(BASELINE!E1141)))=INT(SIMOPS!$D$3),IFERROR(UPPER(TRIM(BASELINE!D1141&amp;"")),"")&lt;&gt;"ENCERRADA"),1,0),0)</f>
        <v/>
      </c>
      <c r="B1141">
        <f>B1140+A1141</f>
        <v/>
      </c>
    </row>
    <row r="1142">
      <c r="A1142">
        <f>IFERROR(IF(AND(BASELINE!I1142&lt;&gt;"",INT(IF(CALC!$F$1&gt;0,IF(N(INDEX(BASELINE!$A1142:$ZZ1142,CALC!$F$1))&gt;0,N(INDEX(BASELINE!$A1142:$ZZ1142,CALC!$F$1)),N(BASELINE!E1142)),N(BASELINE!E1142)))=INT(SIMOPS!$D$3),IFERROR(UPPER(TRIM(BASELINE!D1142&amp;"")),"")&lt;&gt;"ENCERRADA"),1,0),0)</f>
        <v/>
      </c>
      <c r="B1142">
        <f>B1141+A1142</f>
        <v/>
      </c>
    </row>
    <row r="1143">
      <c r="A1143">
        <f>IFERROR(IF(AND(BASELINE!I1143&lt;&gt;"",INT(IF(CALC!$F$1&gt;0,IF(N(INDEX(BASELINE!$A1143:$ZZ1143,CALC!$F$1))&gt;0,N(INDEX(BASELINE!$A1143:$ZZ1143,CALC!$F$1)),N(BASELINE!E1143)),N(BASELINE!E1143)))=INT(SIMOPS!$D$3),IFERROR(UPPER(TRIM(BASELINE!D1143&amp;"")),"")&lt;&gt;"ENCERRADA"),1,0),0)</f>
        <v/>
      </c>
      <c r="B1143">
        <f>B1142+A1143</f>
        <v/>
      </c>
    </row>
    <row r="1144">
      <c r="A1144">
        <f>IFERROR(IF(AND(BASELINE!I1144&lt;&gt;"",INT(IF(CALC!$F$1&gt;0,IF(N(INDEX(BASELINE!$A1144:$ZZ1144,CALC!$F$1))&gt;0,N(INDEX(BASELINE!$A1144:$ZZ1144,CALC!$F$1)),N(BASELINE!E1144)),N(BASELINE!E1144)))=INT(SIMOPS!$D$3),IFERROR(UPPER(TRIM(BASELINE!D1144&amp;"")),"")&lt;&gt;"ENCERRADA"),1,0),0)</f>
        <v/>
      </c>
      <c r="B1144">
        <f>B1143+A1144</f>
        <v/>
      </c>
    </row>
    <row r="1145">
      <c r="A1145">
        <f>IFERROR(IF(AND(BASELINE!I1145&lt;&gt;"",INT(IF(CALC!$F$1&gt;0,IF(N(INDEX(BASELINE!$A1145:$ZZ1145,CALC!$F$1))&gt;0,N(INDEX(BASELINE!$A1145:$ZZ1145,CALC!$F$1)),N(BASELINE!E1145)),N(BASELINE!E1145)))=INT(SIMOPS!$D$3),IFERROR(UPPER(TRIM(BASELINE!D1145&amp;"")),"")&lt;&gt;"ENCERRADA"),1,0),0)</f>
        <v/>
      </c>
      <c r="B1145">
        <f>B1144+A1145</f>
        <v/>
      </c>
    </row>
    <row r="1146">
      <c r="A1146">
        <f>IFERROR(IF(AND(BASELINE!I1146&lt;&gt;"",INT(IF(CALC!$F$1&gt;0,IF(N(INDEX(BASELINE!$A1146:$ZZ1146,CALC!$F$1))&gt;0,N(INDEX(BASELINE!$A1146:$ZZ1146,CALC!$F$1)),N(BASELINE!E1146)),N(BASELINE!E1146)))=INT(SIMOPS!$D$3),IFERROR(UPPER(TRIM(BASELINE!D1146&amp;"")),"")&lt;&gt;"ENCERRADA"),1,0),0)</f>
        <v/>
      </c>
      <c r="B1146">
        <f>B1145+A1146</f>
        <v/>
      </c>
    </row>
    <row r="1147">
      <c r="A1147">
        <f>IFERROR(IF(AND(BASELINE!I1147&lt;&gt;"",INT(IF(CALC!$F$1&gt;0,IF(N(INDEX(BASELINE!$A1147:$ZZ1147,CALC!$F$1))&gt;0,N(INDEX(BASELINE!$A1147:$ZZ1147,CALC!$F$1)),N(BASELINE!E1147)),N(BASELINE!E1147)))=INT(SIMOPS!$D$3),IFERROR(UPPER(TRIM(BASELINE!D1147&amp;"")),"")&lt;&gt;"ENCERRADA"),1,0),0)</f>
        <v/>
      </c>
      <c r="B1147">
        <f>B1146+A1147</f>
        <v/>
      </c>
    </row>
    <row r="1148">
      <c r="A1148">
        <f>IFERROR(IF(AND(BASELINE!I1148&lt;&gt;"",INT(IF(CALC!$F$1&gt;0,IF(N(INDEX(BASELINE!$A1148:$ZZ1148,CALC!$F$1))&gt;0,N(INDEX(BASELINE!$A1148:$ZZ1148,CALC!$F$1)),N(BASELINE!E1148)),N(BASELINE!E1148)))=INT(SIMOPS!$D$3),IFERROR(UPPER(TRIM(BASELINE!D1148&amp;"")),"")&lt;&gt;"ENCERRADA"),1,0),0)</f>
        <v/>
      </c>
      <c r="B1148">
        <f>B1147+A1148</f>
        <v/>
      </c>
    </row>
    <row r="1149">
      <c r="A1149">
        <f>IFERROR(IF(AND(BASELINE!I1149&lt;&gt;"",INT(IF(CALC!$F$1&gt;0,IF(N(INDEX(BASELINE!$A1149:$ZZ1149,CALC!$F$1))&gt;0,N(INDEX(BASELINE!$A1149:$ZZ1149,CALC!$F$1)),N(BASELINE!E1149)),N(BASELINE!E1149)))=INT(SIMOPS!$D$3),IFERROR(UPPER(TRIM(BASELINE!D1149&amp;"")),"")&lt;&gt;"ENCERRADA"),1,0),0)</f>
        <v/>
      </c>
      <c r="B1149">
        <f>B1148+A1149</f>
        <v/>
      </c>
    </row>
    <row r="1150">
      <c r="A1150">
        <f>IFERROR(IF(AND(BASELINE!I1150&lt;&gt;"",INT(IF(CALC!$F$1&gt;0,IF(N(INDEX(BASELINE!$A1150:$ZZ1150,CALC!$F$1))&gt;0,N(INDEX(BASELINE!$A1150:$ZZ1150,CALC!$F$1)),N(BASELINE!E1150)),N(BASELINE!E1150)))=INT(SIMOPS!$D$3),IFERROR(UPPER(TRIM(BASELINE!D1150&amp;"")),"")&lt;&gt;"ENCERRADA"),1,0),0)</f>
        <v/>
      </c>
      <c r="B1150">
        <f>B1149+A1150</f>
        <v/>
      </c>
    </row>
    <row r="1151">
      <c r="A1151">
        <f>IFERROR(IF(AND(BASELINE!I1151&lt;&gt;"",INT(IF(CALC!$F$1&gt;0,IF(N(INDEX(BASELINE!$A1151:$ZZ1151,CALC!$F$1))&gt;0,N(INDEX(BASELINE!$A1151:$ZZ1151,CALC!$F$1)),N(BASELINE!E1151)),N(BASELINE!E1151)))=INT(SIMOPS!$D$3),IFERROR(UPPER(TRIM(BASELINE!D1151&amp;"")),"")&lt;&gt;"ENCERRADA"),1,0),0)</f>
        <v/>
      </c>
      <c r="B1151">
        <f>B1150+A1151</f>
        <v/>
      </c>
    </row>
    <row r="1152">
      <c r="A1152">
        <f>IFERROR(IF(AND(BASELINE!I1152&lt;&gt;"",INT(IF(CALC!$F$1&gt;0,IF(N(INDEX(BASELINE!$A1152:$ZZ1152,CALC!$F$1))&gt;0,N(INDEX(BASELINE!$A1152:$ZZ1152,CALC!$F$1)),N(BASELINE!E1152)),N(BASELINE!E1152)))=INT(SIMOPS!$D$3),IFERROR(UPPER(TRIM(BASELINE!D1152&amp;"")),"")&lt;&gt;"ENCERRADA"),1,0),0)</f>
        <v/>
      </c>
      <c r="B1152">
        <f>B1151+A1152</f>
        <v/>
      </c>
    </row>
    <row r="1153">
      <c r="A1153">
        <f>IFERROR(IF(AND(BASELINE!I1153&lt;&gt;"",INT(IF(CALC!$F$1&gt;0,IF(N(INDEX(BASELINE!$A1153:$ZZ1153,CALC!$F$1))&gt;0,N(INDEX(BASELINE!$A1153:$ZZ1153,CALC!$F$1)),N(BASELINE!E1153)),N(BASELINE!E1153)))=INT(SIMOPS!$D$3),IFERROR(UPPER(TRIM(BASELINE!D1153&amp;"")),"")&lt;&gt;"ENCERRADA"),1,0),0)</f>
        <v/>
      </c>
      <c r="B1153">
        <f>B1152+A1153</f>
        <v/>
      </c>
    </row>
    <row r="1154">
      <c r="A1154">
        <f>IFERROR(IF(AND(BASELINE!I1154&lt;&gt;"",INT(IF(CALC!$F$1&gt;0,IF(N(INDEX(BASELINE!$A1154:$ZZ1154,CALC!$F$1))&gt;0,N(INDEX(BASELINE!$A1154:$ZZ1154,CALC!$F$1)),N(BASELINE!E1154)),N(BASELINE!E1154)))=INT(SIMOPS!$D$3),IFERROR(UPPER(TRIM(BASELINE!D1154&amp;"")),"")&lt;&gt;"ENCERRADA"),1,0),0)</f>
        <v/>
      </c>
      <c r="B1154">
        <f>B1153+A1154</f>
        <v/>
      </c>
    </row>
    <row r="1155">
      <c r="A1155">
        <f>IFERROR(IF(AND(BASELINE!I1155&lt;&gt;"",INT(IF(CALC!$F$1&gt;0,IF(N(INDEX(BASELINE!$A1155:$ZZ1155,CALC!$F$1))&gt;0,N(INDEX(BASELINE!$A1155:$ZZ1155,CALC!$F$1)),N(BASELINE!E1155)),N(BASELINE!E1155)))=INT(SIMOPS!$D$3),IFERROR(UPPER(TRIM(BASELINE!D1155&amp;"")),"")&lt;&gt;"ENCERRADA"),1,0),0)</f>
        <v/>
      </c>
      <c r="B1155">
        <f>B1154+A1155</f>
        <v/>
      </c>
    </row>
    <row r="1156">
      <c r="A1156">
        <f>IFERROR(IF(AND(BASELINE!I1156&lt;&gt;"",INT(IF(CALC!$F$1&gt;0,IF(N(INDEX(BASELINE!$A1156:$ZZ1156,CALC!$F$1))&gt;0,N(INDEX(BASELINE!$A1156:$ZZ1156,CALC!$F$1)),N(BASELINE!E1156)),N(BASELINE!E1156)))=INT(SIMOPS!$D$3),IFERROR(UPPER(TRIM(BASELINE!D1156&amp;"")),"")&lt;&gt;"ENCERRADA"),1,0),0)</f>
        <v/>
      </c>
      <c r="B1156">
        <f>B1155+A1156</f>
        <v/>
      </c>
    </row>
    <row r="1157">
      <c r="A1157">
        <f>IFERROR(IF(AND(BASELINE!I1157&lt;&gt;"",INT(IF(CALC!$F$1&gt;0,IF(N(INDEX(BASELINE!$A1157:$ZZ1157,CALC!$F$1))&gt;0,N(INDEX(BASELINE!$A1157:$ZZ1157,CALC!$F$1)),N(BASELINE!E1157)),N(BASELINE!E1157)))=INT(SIMOPS!$D$3),IFERROR(UPPER(TRIM(BASELINE!D1157&amp;"")),"")&lt;&gt;"ENCERRADA"),1,0),0)</f>
        <v/>
      </c>
      <c r="B1157">
        <f>B1156+A1157</f>
        <v/>
      </c>
    </row>
    <row r="1158">
      <c r="A1158">
        <f>IFERROR(IF(AND(BASELINE!I1158&lt;&gt;"",INT(IF(CALC!$F$1&gt;0,IF(N(INDEX(BASELINE!$A1158:$ZZ1158,CALC!$F$1))&gt;0,N(INDEX(BASELINE!$A1158:$ZZ1158,CALC!$F$1)),N(BASELINE!E1158)),N(BASELINE!E1158)))=INT(SIMOPS!$D$3),IFERROR(UPPER(TRIM(BASELINE!D1158&amp;"")),"")&lt;&gt;"ENCERRADA"),1,0),0)</f>
        <v/>
      </c>
      <c r="B1158">
        <f>B1157+A1158</f>
        <v/>
      </c>
    </row>
    <row r="1159">
      <c r="A1159">
        <f>IFERROR(IF(AND(BASELINE!I1159&lt;&gt;"",INT(IF(CALC!$F$1&gt;0,IF(N(INDEX(BASELINE!$A1159:$ZZ1159,CALC!$F$1))&gt;0,N(INDEX(BASELINE!$A1159:$ZZ1159,CALC!$F$1)),N(BASELINE!E1159)),N(BASELINE!E1159)))=INT(SIMOPS!$D$3),IFERROR(UPPER(TRIM(BASELINE!D1159&amp;"")),"")&lt;&gt;"ENCERRADA"),1,0),0)</f>
        <v/>
      </c>
      <c r="B1159">
        <f>B1158+A1159</f>
        <v/>
      </c>
    </row>
    <row r="1160">
      <c r="A1160">
        <f>IFERROR(IF(AND(BASELINE!I1160&lt;&gt;"",INT(IF(CALC!$F$1&gt;0,IF(N(INDEX(BASELINE!$A1160:$ZZ1160,CALC!$F$1))&gt;0,N(INDEX(BASELINE!$A1160:$ZZ1160,CALC!$F$1)),N(BASELINE!E1160)),N(BASELINE!E1160)))=INT(SIMOPS!$D$3),IFERROR(UPPER(TRIM(BASELINE!D1160&amp;"")),"")&lt;&gt;"ENCERRADA"),1,0),0)</f>
        <v/>
      </c>
      <c r="B1160">
        <f>B1159+A1160</f>
        <v/>
      </c>
    </row>
    <row r="1161">
      <c r="A1161">
        <f>IFERROR(IF(AND(BASELINE!I1161&lt;&gt;"",INT(IF(CALC!$F$1&gt;0,IF(N(INDEX(BASELINE!$A1161:$ZZ1161,CALC!$F$1))&gt;0,N(INDEX(BASELINE!$A1161:$ZZ1161,CALC!$F$1)),N(BASELINE!E1161)),N(BASELINE!E1161)))=INT(SIMOPS!$D$3),IFERROR(UPPER(TRIM(BASELINE!D1161&amp;"")),"")&lt;&gt;"ENCERRADA"),1,0),0)</f>
        <v/>
      </c>
      <c r="B1161">
        <f>B1160+A1161</f>
        <v/>
      </c>
    </row>
    <row r="1162">
      <c r="A1162">
        <f>IFERROR(IF(AND(BASELINE!I1162&lt;&gt;"",INT(IF(CALC!$F$1&gt;0,IF(N(INDEX(BASELINE!$A1162:$ZZ1162,CALC!$F$1))&gt;0,N(INDEX(BASELINE!$A1162:$ZZ1162,CALC!$F$1)),N(BASELINE!E1162)),N(BASELINE!E1162)))=INT(SIMOPS!$D$3),IFERROR(UPPER(TRIM(BASELINE!D1162&amp;"")),"")&lt;&gt;"ENCERRADA"),1,0),0)</f>
        <v/>
      </c>
      <c r="B1162">
        <f>B1161+A1162</f>
        <v/>
      </c>
    </row>
    <row r="1163">
      <c r="A1163">
        <f>IFERROR(IF(AND(BASELINE!I1163&lt;&gt;"",INT(IF(CALC!$F$1&gt;0,IF(N(INDEX(BASELINE!$A1163:$ZZ1163,CALC!$F$1))&gt;0,N(INDEX(BASELINE!$A1163:$ZZ1163,CALC!$F$1)),N(BASELINE!E1163)),N(BASELINE!E1163)))=INT(SIMOPS!$D$3),IFERROR(UPPER(TRIM(BASELINE!D1163&amp;"")),"")&lt;&gt;"ENCERRADA"),1,0),0)</f>
        <v/>
      </c>
      <c r="B1163">
        <f>B1162+A1163</f>
        <v/>
      </c>
    </row>
    <row r="1164">
      <c r="A1164">
        <f>IFERROR(IF(AND(BASELINE!I1164&lt;&gt;"",INT(IF(CALC!$F$1&gt;0,IF(N(INDEX(BASELINE!$A1164:$ZZ1164,CALC!$F$1))&gt;0,N(INDEX(BASELINE!$A1164:$ZZ1164,CALC!$F$1)),N(BASELINE!E1164)),N(BASELINE!E1164)))=INT(SIMOPS!$D$3),IFERROR(UPPER(TRIM(BASELINE!D1164&amp;"")),"")&lt;&gt;"ENCERRADA"),1,0),0)</f>
        <v/>
      </c>
      <c r="B1164">
        <f>B1163+A1164</f>
        <v/>
      </c>
    </row>
    <row r="1165">
      <c r="A1165">
        <f>IFERROR(IF(AND(BASELINE!I1165&lt;&gt;"",INT(IF(CALC!$F$1&gt;0,IF(N(INDEX(BASELINE!$A1165:$ZZ1165,CALC!$F$1))&gt;0,N(INDEX(BASELINE!$A1165:$ZZ1165,CALC!$F$1)),N(BASELINE!E1165)),N(BASELINE!E1165)))=INT(SIMOPS!$D$3),IFERROR(UPPER(TRIM(BASELINE!D1165&amp;"")),"")&lt;&gt;"ENCERRADA"),1,0),0)</f>
        <v/>
      </c>
      <c r="B1165">
        <f>B1164+A1165</f>
        <v/>
      </c>
    </row>
    <row r="1166">
      <c r="A1166">
        <f>IFERROR(IF(AND(BASELINE!I1166&lt;&gt;"",INT(IF(CALC!$F$1&gt;0,IF(N(INDEX(BASELINE!$A1166:$ZZ1166,CALC!$F$1))&gt;0,N(INDEX(BASELINE!$A1166:$ZZ1166,CALC!$F$1)),N(BASELINE!E1166)),N(BASELINE!E1166)))=INT(SIMOPS!$D$3),IFERROR(UPPER(TRIM(BASELINE!D1166&amp;"")),"")&lt;&gt;"ENCERRADA"),1,0),0)</f>
        <v/>
      </c>
      <c r="B1166">
        <f>B1165+A1166</f>
        <v/>
      </c>
    </row>
    <row r="1167">
      <c r="A1167">
        <f>IFERROR(IF(AND(BASELINE!I1167&lt;&gt;"",INT(IF(CALC!$F$1&gt;0,IF(N(INDEX(BASELINE!$A1167:$ZZ1167,CALC!$F$1))&gt;0,N(INDEX(BASELINE!$A1167:$ZZ1167,CALC!$F$1)),N(BASELINE!E1167)),N(BASELINE!E1167)))=INT(SIMOPS!$D$3),IFERROR(UPPER(TRIM(BASELINE!D1167&amp;"")),"")&lt;&gt;"ENCERRADA"),1,0),0)</f>
        <v/>
      </c>
      <c r="B1167">
        <f>B1166+A1167</f>
        <v/>
      </c>
    </row>
    <row r="1168">
      <c r="A1168">
        <f>IFERROR(IF(AND(BASELINE!I1168&lt;&gt;"",INT(IF(CALC!$F$1&gt;0,IF(N(INDEX(BASELINE!$A1168:$ZZ1168,CALC!$F$1))&gt;0,N(INDEX(BASELINE!$A1168:$ZZ1168,CALC!$F$1)),N(BASELINE!E1168)),N(BASELINE!E1168)))=INT(SIMOPS!$D$3),IFERROR(UPPER(TRIM(BASELINE!D1168&amp;"")),"")&lt;&gt;"ENCERRADA"),1,0),0)</f>
        <v/>
      </c>
      <c r="B1168">
        <f>B1167+A1168</f>
        <v/>
      </c>
    </row>
    <row r="1169">
      <c r="A1169">
        <f>IFERROR(IF(AND(BASELINE!I1169&lt;&gt;"",INT(IF(CALC!$F$1&gt;0,IF(N(INDEX(BASELINE!$A1169:$ZZ1169,CALC!$F$1))&gt;0,N(INDEX(BASELINE!$A1169:$ZZ1169,CALC!$F$1)),N(BASELINE!E1169)),N(BASELINE!E1169)))=INT(SIMOPS!$D$3),IFERROR(UPPER(TRIM(BASELINE!D1169&amp;"")),"")&lt;&gt;"ENCERRADA"),1,0),0)</f>
        <v/>
      </c>
      <c r="B1169">
        <f>B1168+A1169</f>
        <v/>
      </c>
    </row>
    <row r="1170">
      <c r="A1170">
        <f>IFERROR(IF(AND(BASELINE!I1170&lt;&gt;"",INT(IF(CALC!$F$1&gt;0,IF(N(INDEX(BASELINE!$A1170:$ZZ1170,CALC!$F$1))&gt;0,N(INDEX(BASELINE!$A1170:$ZZ1170,CALC!$F$1)),N(BASELINE!E1170)),N(BASELINE!E1170)))=INT(SIMOPS!$D$3),IFERROR(UPPER(TRIM(BASELINE!D1170&amp;"")),"")&lt;&gt;"ENCERRADA"),1,0),0)</f>
        <v/>
      </c>
      <c r="B1170">
        <f>B1169+A1170</f>
        <v/>
      </c>
    </row>
    <row r="1171">
      <c r="A1171">
        <f>IFERROR(IF(AND(BASELINE!I1171&lt;&gt;"",INT(IF(CALC!$F$1&gt;0,IF(N(INDEX(BASELINE!$A1171:$ZZ1171,CALC!$F$1))&gt;0,N(INDEX(BASELINE!$A1171:$ZZ1171,CALC!$F$1)),N(BASELINE!E1171)),N(BASELINE!E1171)))=INT(SIMOPS!$D$3),IFERROR(UPPER(TRIM(BASELINE!D1171&amp;"")),"")&lt;&gt;"ENCERRADA"),1,0),0)</f>
        <v/>
      </c>
      <c r="B1171">
        <f>B1170+A1171</f>
        <v/>
      </c>
    </row>
    <row r="1172">
      <c r="A1172">
        <f>IFERROR(IF(AND(BASELINE!I1172&lt;&gt;"",INT(IF(CALC!$F$1&gt;0,IF(N(INDEX(BASELINE!$A1172:$ZZ1172,CALC!$F$1))&gt;0,N(INDEX(BASELINE!$A1172:$ZZ1172,CALC!$F$1)),N(BASELINE!E1172)),N(BASELINE!E1172)))=INT(SIMOPS!$D$3),IFERROR(UPPER(TRIM(BASELINE!D1172&amp;"")),"")&lt;&gt;"ENCERRADA"),1,0),0)</f>
        <v/>
      </c>
      <c r="B1172">
        <f>B1171+A1172</f>
        <v/>
      </c>
    </row>
    <row r="1173">
      <c r="A1173">
        <f>IFERROR(IF(AND(BASELINE!I1173&lt;&gt;"",INT(IF(CALC!$F$1&gt;0,IF(N(INDEX(BASELINE!$A1173:$ZZ1173,CALC!$F$1))&gt;0,N(INDEX(BASELINE!$A1173:$ZZ1173,CALC!$F$1)),N(BASELINE!E1173)),N(BASELINE!E1173)))=INT(SIMOPS!$D$3),IFERROR(UPPER(TRIM(BASELINE!D1173&amp;"")),"")&lt;&gt;"ENCERRADA"),1,0),0)</f>
        <v/>
      </c>
      <c r="B1173">
        <f>B1172+A1173</f>
        <v/>
      </c>
    </row>
    <row r="1174">
      <c r="A1174">
        <f>IFERROR(IF(AND(BASELINE!I1174&lt;&gt;"",INT(IF(CALC!$F$1&gt;0,IF(N(INDEX(BASELINE!$A1174:$ZZ1174,CALC!$F$1))&gt;0,N(INDEX(BASELINE!$A1174:$ZZ1174,CALC!$F$1)),N(BASELINE!E1174)),N(BASELINE!E1174)))=INT(SIMOPS!$D$3),IFERROR(UPPER(TRIM(BASELINE!D1174&amp;"")),"")&lt;&gt;"ENCERRADA"),1,0),0)</f>
        <v/>
      </c>
      <c r="B1174">
        <f>B1173+A1174</f>
        <v/>
      </c>
    </row>
    <row r="1175">
      <c r="A1175">
        <f>IFERROR(IF(AND(BASELINE!I1175&lt;&gt;"",INT(IF(CALC!$F$1&gt;0,IF(N(INDEX(BASELINE!$A1175:$ZZ1175,CALC!$F$1))&gt;0,N(INDEX(BASELINE!$A1175:$ZZ1175,CALC!$F$1)),N(BASELINE!E1175)),N(BASELINE!E1175)))=INT(SIMOPS!$D$3),IFERROR(UPPER(TRIM(BASELINE!D1175&amp;"")),"")&lt;&gt;"ENCERRADA"),1,0),0)</f>
        <v/>
      </c>
      <c r="B1175">
        <f>B1174+A1175</f>
        <v/>
      </c>
    </row>
    <row r="1176">
      <c r="A1176">
        <f>IFERROR(IF(AND(BASELINE!I1176&lt;&gt;"",INT(IF(CALC!$F$1&gt;0,IF(N(INDEX(BASELINE!$A1176:$ZZ1176,CALC!$F$1))&gt;0,N(INDEX(BASELINE!$A1176:$ZZ1176,CALC!$F$1)),N(BASELINE!E1176)),N(BASELINE!E1176)))=INT(SIMOPS!$D$3),IFERROR(UPPER(TRIM(BASELINE!D1176&amp;"")),"")&lt;&gt;"ENCERRADA"),1,0),0)</f>
        <v/>
      </c>
      <c r="B1176">
        <f>B1175+A1176</f>
        <v/>
      </c>
    </row>
    <row r="1177">
      <c r="A1177">
        <f>IFERROR(IF(AND(BASELINE!I1177&lt;&gt;"",INT(IF(CALC!$F$1&gt;0,IF(N(INDEX(BASELINE!$A1177:$ZZ1177,CALC!$F$1))&gt;0,N(INDEX(BASELINE!$A1177:$ZZ1177,CALC!$F$1)),N(BASELINE!E1177)),N(BASELINE!E1177)))=INT(SIMOPS!$D$3),IFERROR(UPPER(TRIM(BASELINE!D1177&amp;"")),"")&lt;&gt;"ENCERRADA"),1,0),0)</f>
        <v/>
      </c>
      <c r="B1177">
        <f>B1176+A1177</f>
        <v/>
      </c>
    </row>
    <row r="1178">
      <c r="A1178">
        <f>IFERROR(IF(AND(BASELINE!I1178&lt;&gt;"",INT(IF(CALC!$F$1&gt;0,IF(N(INDEX(BASELINE!$A1178:$ZZ1178,CALC!$F$1))&gt;0,N(INDEX(BASELINE!$A1178:$ZZ1178,CALC!$F$1)),N(BASELINE!E1178)),N(BASELINE!E1178)))=INT(SIMOPS!$D$3),IFERROR(UPPER(TRIM(BASELINE!D1178&amp;"")),"")&lt;&gt;"ENCERRADA"),1,0),0)</f>
        <v/>
      </c>
      <c r="B1178">
        <f>B1177+A1178</f>
        <v/>
      </c>
    </row>
    <row r="1179">
      <c r="A1179">
        <f>IFERROR(IF(AND(BASELINE!I1179&lt;&gt;"",INT(IF(CALC!$F$1&gt;0,IF(N(INDEX(BASELINE!$A1179:$ZZ1179,CALC!$F$1))&gt;0,N(INDEX(BASELINE!$A1179:$ZZ1179,CALC!$F$1)),N(BASELINE!E1179)),N(BASELINE!E1179)))=INT(SIMOPS!$D$3),IFERROR(UPPER(TRIM(BASELINE!D1179&amp;"")),"")&lt;&gt;"ENCERRADA"),1,0),0)</f>
        <v/>
      </c>
      <c r="B1179">
        <f>B1178+A1179</f>
        <v/>
      </c>
    </row>
    <row r="1180">
      <c r="A1180">
        <f>IFERROR(IF(AND(BASELINE!I1180&lt;&gt;"",INT(IF(CALC!$F$1&gt;0,IF(N(INDEX(BASELINE!$A1180:$ZZ1180,CALC!$F$1))&gt;0,N(INDEX(BASELINE!$A1180:$ZZ1180,CALC!$F$1)),N(BASELINE!E1180)),N(BASELINE!E1180)))=INT(SIMOPS!$D$3),IFERROR(UPPER(TRIM(BASELINE!D1180&amp;"")),"")&lt;&gt;"ENCERRADA"),1,0),0)</f>
        <v/>
      </c>
      <c r="B1180">
        <f>B1179+A1180</f>
        <v/>
      </c>
    </row>
    <row r="1181">
      <c r="A1181">
        <f>IFERROR(IF(AND(BASELINE!I1181&lt;&gt;"",INT(IF(CALC!$F$1&gt;0,IF(N(INDEX(BASELINE!$A1181:$ZZ1181,CALC!$F$1))&gt;0,N(INDEX(BASELINE!$A1181:$ZZ1181,CALC!$F$1)),N(BASELINE!E1181)),N(BASELINE!E1181)))=INT(SIMOPS!$D$3),IFERROR(UPPER(TRIM(BASELINE!D1181&amp;"")),"")&lt;&gt;"ENCERRADA"),1,0),0)</f>
        <v/>
      </c>
      <c r="B1181">
        <f>B1180+A1181</f>
        <v/>
      </c>
    </row>
    <row r="1182">
      <c r="A1182">
        <f>IFERROR(IF(AND(BASELINE!I1182&lt;&gt;"",INT(IF(CALC!$F$1&gt;0,IF(N(INDEX(BASELINE!$A1182:$ZZ1182,CALC!$F$1))&gt;0,N(INDEX(BASELINE!$A1182:$ZZ1182,CALC!$F$1)),N(BASELINE!E1182)),N(BASELINE!E1182)))=INT(SIMOPS!$D$3),IFERROR(UPPER(TRIM(BASELINE!D1182&amp;"")),"")&lt;&gt;"ENCERRADA"),1,0),0)</f>
        <v/>
      </c>
      <c r="B1182">
        <f>B1181+A1182</f>
        <v/>
      </c>
    </row>
    <row r="1183">
      <c r="A1183">
        <f>IFERROR(IF(AND(BASELINE!I1183&lt;&gt;"",INT(IF(CALC!$F$1&gt;0,IF(N(INDEX(BASELINE!$A1183:$ZZ1183,CALC!$F$1))&gt;0,N(INDEX(BASELINE!$A1183:$ZZ1183,CALC!$F$1)),N(BASELINE!E1183)),N(BASELINE!E1183)))=INT(SIMOPS!$D$3),IFERROR(UPPER(TRIM(BASELINE!D1183&amp;"")),"")&lt;&gt;"ENCERRADA"),1,0),0)</f>
        <v/>
      </c>
      <c r="B1183">
        <f>B1182+A1183</f>
        <v/>
      </c>
    </row>
    <row r="1184">
      <c r="A1184">
        <f>IFERROR(IF(AND(BASELINE!I1184&lt;&gt;"",INT(IF(CALC!$F$1&gt;0,IF(N(INDEX(BASELINE!$A1184:$ZZ1184,CALC!$F$1))&gt;0,N(INDEX(BASELINE!$A1184:$ZZ1184,CALC!$F$1)),N(BASELINE!E1184)),N(BASELINE!E1184)))=INT(SIMOPS!$D$3),IFERROR(UPPER(TRIM(BASELINE!D1184&amp;"")),"")&lt;&gt;"ENCERRADA"),1,0),0)</f>
        <v/>
      </c>
      <c r="B1184">
        <f>B1183+A1184</f>
        <v/>
      </c>
    </row>
    <row r="1185">
      <c r="A1185">
        <f>IFERROR(IF(AND(BASELINE!I1185&lt;&gt;"",INT(IF(CALC!$F$1&gt;0,IF(N(INDEX(BASELINE!$A1185:$ZZ1185,CALC!$F$1))&gt;0,N(INDEX(BASELINE!$A1185:$ZZ1185,CALC!$F$1)),N(BASELINE!E1185)),N(BASELINE!E1185)))=INT(SIMOPS!$D$3),IFERROR(UPPER(TRIM(BASELINE!D1185&amp;"")),"")&lt;&gt;"ENCERRADA"),1,0),0)</f>
        <v/>
      </c>
      <c r="B1185">
        <f>B1184+A1185</f>
        <v/>
      </c>
    </row>
    <row r="1186">
      <c r="A1186">
        <f>IFERROR(IF(AND(BASELINE!I1186&lt;&gt;"",INT(IF(CALC!$F$1&gt;0,IF(N(INDEX(BASELINE!$A1186:$ZZ1186,CALC!$F$1))&gt;0,N(INDEX(BASELINE!$A1186:$ZZ1186,CALC!$F$1)),N(BASELINE!E1186)),N(BASELINE!E1186)))=INT(SIMOPS!$D$3),IFERROR(UPPER(TRIM(BASELINE!D1186&amp;"")),"")&lt;&gt;"ENCERRADA"),1,0),0)</f>
        <v/>
      </c>
      <c r="B1186">
        <f>B1185+A1186</f>
        <v/>
      </c>
    </row>
    <row r="1187">
      <c r="A1187">
        <f>IFERROR(IF(AND(BASELINE!I1187&lt;&gt;"",INT(IF(CALC!$F$1&gt;0,IF(N(INDEX(BASELINE!$A1187:$ZZ1187,CALC!$F$1))&gt;0,N(INDEX(BASELINE!$A1187:$ZZ1187,CALC!$F$1)),N(BASELINE!E1187)),N(BASELINE!E1187)))=INT(SIMOPS!$D$3),IFERROR(UPPER(TRIM(BASELINE!D1187&amp;"")),"")&lt;&gt;"ENCERRADA"),1,0),0)</f>
        <v/>
      </c>
      <c r="B1187">
        <f>B1186+A1187</f>
        <v/>
      </c>
    </row>
    <row r="1188">
      <c r="A1188">
        <f>IFERROR(IF(AND(BASELINE!I1188&lt;&gt;"",INT(IF(CALC!$F$1&gt;0,IF(N(INDEX(BASELINE!$A1188:$ZZ1188,CALC!$F$1))&gt;0,N(INDEX(BASELINE!$A1188:$ZZ1188,CALC!$F$1)),N(BASELINE!E1188)),N(BASELINE!E1188)))=INT(SIMOPS!$D$3),IFERROR(UPPER(TRIM(BASELINE!D1188&amp;"")),"")&lt;&gt;"ENCERRADA"),1,0),0)</f>
        <v/>
      </c>
      <c r="B1188">
        <f>B1187+A1188</f>
        <v/>
      </c>
    </row>
    <row r="1189">
      <c r="A1189">
        <f>IFERROR(IF(AND(BASELINE!I1189&lt;&gt;"",INT(IF(CALC!$F$1&gt;0,IF(N(INDEX(BASELINE!$A1189:$ZZ1189,CALC!$F$1))&gt;0,N(INDEX(BASELINE!$A1189:$ZZ1189,CALC!$F$1)),N(BASELINE!E1189)),N(BASELINE!E1189)))=INT(SIMOPS!$D$3),IFERROR(UPPER(TRIM(BASELINE!D1189&amp;"")),"")&lt;&gt;"ENCERRADA"),1,0),0)</f>
        <v/>
      </c>
      <c r="B1189">
        <f>B1188+A1189</f>
        <v/>
      </c>
    </row>
    <row r="1190">
      <c r="A1190">
        <f>IFERROR(IF(AND(BASELINE!I1190&lt;&gt;"",INT(IF(CALC!$F$1&gt;0,IF(N(INDEX(BASELINE!$A1190:$ZZ1190,CALC!$F$1))&gt;0,N(INDEX(BASELINE!$A1190:$ZZ1190,CALC!$F$1)),N(BASELINE!E1190)),N(BASELINE!E1190)))=INT(SIMOPS!$D$3),IFERROR(UPPER(TRIM(BASELINE!D1190&amp;"")),"")&lt;&gt;"ENCERRADA"),1,0),0)</f>
        <v/>
      </c>
      <c r="B1190">
        <f>B1189+A1190</f>
        <v/>
      </c>
    </row>
    <row r="1191">
      <c r="A1191">
        <f>IFERROR(IF(AND(BASELINE!I1191&lt;&gt;"",INT(IF(CALC!$F$1&gt;0,IF(N(INDEX(BASELINE!$A1191:$ZZ1191,CALC!$F$1))&gt;0,N(INDEX(BASELINE!$A1191:$ZZ1191,CALC!$F$1)),N(BASELINE!E1191)),N(BASELINE!E1191)))=INT(SIMOPS!$D$3),IFERROR(UPPER(TRIM(BASELINE!D1191&amp;"")),"")&lt;&gt;"ENCERRADA"),1,0),0)</f>
        <v/>
      </c>
      <c r="B1191">
        <f>B1190+A1191</f>
        <v/>
      </c>
    </row>
    <row r="1192">
      <c r="A1192">
        <f>IFERROR(IF(AND(BASELINE!I1192&lt;&gt;"",INT(IF(CALC!$F$1&gt;0,IF(N(INDEX(BASELINE!$A1192:$ZZ1192,CALC!$F$1))&gt;0,N(INDEX(BASELINE!$A1192:$ZZ1192,CALC!$F$1)),N(BASELINE!E1192)),N(BASELINE!E1192)))=INT(SIMOPS!$D$3),IFERROR(UPPER(TRIM(BASELINE!D1192&amp;"")),"")&lt;&gt;"ENCERRADA"),1,0),0)</f>
        <v/>
      </c>
      <c r="B1192">
        <f>B1191+A1192</f>
        <v/>
      </c>
    </row>
    <row r="1193">
      <c r="A1193">
        <f>IFERROR(IF(AND(BASELINE!I1193&lt;&gt;"",INT(IF(CALC!$F$1&gt;0,IF(N(INDEX(BASELINE!$A1193:$ZZ1193,CALC!$F$1))&gt;0,N(INDEX(BASELINE!$A1193:$ZZ1193,CALC!$F$1)),N(BASELINE!E1193)),N(BASELINE!E1193)))=INT(SIMOPS!$D$3),IFERROR(UPPER(TRIM(BASELINE!D1193&amp;"")),"")&lt;&gt;"ENCERRADA"),1,0),0)</f>
        <v/>
      </c>
      <c r="B1193">
        <f>B1192+A1193</f>
        <v/>
      </c>
    </row>
    <row r="1194">
      <c r="A1194">
        <f>IFERROR(IF(AND(BASELINE!I1194&lt;&gt;"",INT(IF(CALC!$F$1&gt;0,IF(N(INDEX(BASELINE!$A1194:$ZZ1194,CALC!$F$1))&gt;0,N(INDEX(BASELINE!$A1194:$ZZ1194,CALC!$F$1)),N(BASELINE!E1194)),N(BASELINE!E1194)))=INT(SIMOPS!$D$3),IFERROR(UPPER(TRIM(BASELINE!D1194&amp;"")),"")&lt;&gt;"ENCERRADA"),1,0),0)</f>
        <v/>
      </c>
      <c r="B1194">
        <f>B1193+A1194</f>
        <v/>
      </c>
    </row>
    <row r="1195">
      <c r="A1195">
        <f>IFERROR(IF(AND(BASELINE!I1195&lt;&gt;"",INT(IF(CALC!$F$1&gt;0,IF(N(INDEX(BASELINE!$A1195:$ZZ1195,CALC!$F$1))&gt;0,N(INDEX(BASELINE!$A1195:$ZZ1195,CALC!$F$1)),N(BASELINE!E1195)),N(BASELINE!E1195)))=INT(SIMOPS!$D$3),IFERROR(UPPER(TRIM(BASELINE!D1195&amp;"")),"")&lt;&gt;"ENCERRADA"),1,0),0)</f>
        <v/>
      </c>
      <c r="B1195">
        <f>B1194+A1195</f>
        <v/>
      </c>
    </row>
    <row r="1196">
      <c r="A1196">
        <f>IFERROR(IF(AND(BASELINE!I1196&lt;&gt;"",INT(IF(CALC!$F$1&gt;0,IF(N(INDEX(BASELINE!$A1196:$ZZ1196,CALC!$F$1))&gt;0,N(INDEX(BASELINE!$A1196:$ZZ1196,CALC!$F$1)),N(BASELINE!E1196)),N(BASELINE!E1196)))=INT(SIMOPS!$D$3),IFERROR(UPPER(TRIM(BASELINE!D1196&amp;"")),"")&lt;&gt;"ENCERRADA"),1,0),0)</f>
        <v/>
      </c>
      <c r="B1196">
        <f>B1195+A1196</f>
        <v/>
      </c>
    </row>
    <row r="1197">
      <c r="A1197">
        <f>IFERROR(IF(AND(BASELINE!I1197&lt;&gt;"",INT(IF(CALC!$F$1&gt;0,IF(N(INDEX(BASELINE!$A1197:$ZZ1197,CALC!$F$1))&gt;0,N(INDEX(BASELINE!$A1197:$ZZ1197,CALC!$F$1)),N(BASELINE!E1197)),N(BASELINE!E1197)))=INT(SIMOPS!$D$3),IFERROR(UPPER(TRIM(BASELINE!D1197&amp;"")),"")&lt;&gt;"ENCERRADA"),1,0),0)</f>
        <v/>
      </c>
      <c r="B1197">
        <f>B1196+A1197</f>
        <v/>
      </c>
    </row>
    <row r="1198">
      <c r="A1198">
        <f>IFERROR(IF(AND(BASELINE!I1198&lt;&gt;"",INT(IF(CALC!$F$1&gt;0,IF(N(INDEX(BASELINE!$A1198:$ZZ1198,CALC!$F$1))&gt;0,N(INDEX(BASELINE!$A1198:$ZZ1198,CALC!$F$1)),N(BASELINE!E1198)),N(BASELINE!E1198)))=INT(SIMOPS!$D$3),IFERROR(UPPER(TRIM(BASELINE!D1198&amp;"")),"")&lt;&gt;"ENCERRADA"),1,0),0)</f>
        <v/>
      </c>
      <c r="B1198">
        <f>B1197+A1198</f>
        <v/>
      </c>
    </row>
    <row r="1199">
      <c r="A1199">
        <f>IFERROR(IF(AND(BASELINE!I1199&lt;&gt;"",INT(IF(CALC!$F$1&gt;0,IF(N(INDEX(BASELINE!$A1199:$ZZ1199,CALC!$F$1))&gt;0,N(INDEX(BASELINE!$A1199:$ZZ1199,CALC!$F$1)),N(BASELINE!E1199)),N(BASELINE!E1199)))=INT(SIMOPS!$D$3),IFERROR(UPPER(TRIM(BASELINE!D1199&amp;"")),"")&lt;&gt;"ENCERRADA"),1,0),0)</f>
        <v/>
      </c>
      <c r="B1199">
        <f>B1198+A1199</f>
        <v/>
      </c>
    </row>
    <row r="1200">
      <c r="A1200">
        <f>IFERROR(IF(AND(BASELINE!I1200&lt;&gt;"",INT(IF(CALC!$F$1&gt;0,IF(N(INDEX(BASELINE!$A1200:$ZZ1200,CALC!$F$1))&gt;0,N(INDEX(BASELINE!$A1200:$ZZ1200,CALC!$F$1)),N(BASELINE!E1200)),N(BASELINE!E1200)))=INT(SIMOPS!$D$3),IFERROR(UPPER(TRIM(BASELINE!D1200&amp;"")),"")&lt;&gt;"ENCERRADA"),1,0),0)</f>
        <v/>
      </c>
      <c r="B1200">
        <f>B1199+A1200</f>
        <v/>
      </c>
    </row>
    <row r="1201">
      <c r="A1201">
        <f>IFERROR(IF(AND(BASELINE!I1201&lt;&gt;"",INT(IF(CALC!$F$1&gt;0,IF(N(INDEX(BASELINE!$A1201:$ZZ1201,CALC!$F$1))&gt;0,N(INDEX(BASELINE!$A1201:$ZZ1201,CALC!$F$1)),N(BASELINE!E1201)),N(BASELINE!E1201)))=INT(SIMOPS!$D$3),IFERROR(UPPER(TRIM(BASELINE!D1201&amp;"")),"")&lt;&gt;"ENCERRADA"),1,0),0)</f>
        <v/>
      </c>
      <c r="B1201">
        <f>B1200+A1201</f>
        <v/>
      </c>
    </row>
    <row r="1202">
      <c r="A1202">
        <f>IFERROR(IF(AND(BASELINE!I1202&lt;&gt;"",INT(IF(CALC!$F$1&gt;0,IF(N(INDEX(BASELINE!$A1202:$ZZ1202,CALC!$F$1))&gt;0,N(INDEX(BASELINE!$A1202:$ZZ1202,CALC!$F$1)),N(BASELINE!E1202)),N(BASELINE!E1202)))=INT(SIMOPS!$D$3),IFERROR(UPPER(TRIM(BASELINE!D1202&amp;"")),"")&lt;&gt;"ENCERRADA"),1,0),0)</f>
        <v/>
      </c>
      <c r="B1202">
        <f>B1201+A1202</f>
        <v/>
      </c>
    </row>
    <row r="1203">
      <c r="A1203">
        <f>IFERROR(IF(AND(BASELINE!I1203&lt;&gt;"",INT(IF(CALC!$F$1&gt;0,IF(N(INDEX(BASELINE!$A1203:$ZZ1203,CALC!$F$1))&gt;0,N(INDEX(BASELINE!$A1203:$ZZ1203,CALC!$F$1)),N(BASELINE!E1203)),N(BASELINE!E1203)))=INT(SIMOPS!$D$3),IFERROR(UPPER(TRIM(BASELINE!D1203&amp;"")),"")&lt;&gt;"ENCERRADA"),1,0),0)</f>
        <v/>
      </c>
      <c r="B1203">
        <f>B1202+A1203</f>
        <v/>
      </c>
    </row>
    <row r="1204">
      <c r="A1204">
        <f>IFERROR(IF(AND(BASELINE!I1204&lt;&gt;"",INT(IF(CALC!$F$1&gt;0,IF(N(INDEX(BASELINE!$A1204:$ZZ1204,CALC!$F$1))&gt;0,N(INDEX(BASELINE!$A1204:$ZZ1204,CALC!$F$1)),N(BASELINE!E1204)),N(BASELINE!E1204)))=INT(SIMOPS!$D$3),IFERROR(UPPER(TRIM(BASELINE!D1204&amp;"")),"")&lt;&gt;"ENCERRADA"),1,0),0)</f>
        <v/>
      </c>
      <c r="B1204">
        <f>B1203+A1204</f>
        <v/>
      </c>
    </row>
    <row r="1205">
      <c r="A1205">
        <f>IFERROR(IF(AND(BASELINE!I1205&lt;&gt;"",INT(IF(CALC!$F$1&gt;0,IF(N(INDEX(BASELINE!$A1205:$ZZ1205,CALC!$F$1))&gt;0,N(INDEX(BASELINE!$A1205:$ZZ1205,CALC!$F$1)),N(BASELINE!E1205)),N(BASELINE!E1205)))=INT(SIMOPS!$D$3),IFERROR(UPPER(TRIM(BASELINE!D1205&amp;"")),"")&lt;&gt;"ENCERRADA"),1,0),0)</f>
        <v/>
      </c>
      <c r="B1205">
        <f>B1204+A1205</f>
        <v/>
      </c>
    </row>
    <row r="1206">
      <c r="A1206">
        <f>IFERROR(IF(AND(BASELINE!I1206&lt;&gt;"",INT(IF(CALC!$F$1&gt;0,IF(N(INDEX(BASELINE!$A1206:$ZZ1206,CALC!$F$1))&gt;0,N(INDEX(BASELINE!$A1206:$ZZ1206,CALC!$F$1)),N(BASELINE!E1206)),N(BASELINE!E1206)))=INT(SIMOPS!$D$3),IFERROR(UPPER(TRIM(BASELINE!D1206&amp;"")),"")&lt;&gt;"ENCERRADA"),1,0),0)</f>
        <v/>
      </c>
      <c r="B1206">
        <f>B1205+A1206</f>
        <v/>
      </c>
    </row>
    <row r="1207">
      <c r="A1207">
        <f>IFERROR(IF(AND(BASELINE!I1207&lt;&gt;"",INT(IF(CALC!$F$1&gt;0,IF(N(INDEX(BASELINE!$A1207:$ZZ1207,CALC!$F$1))&gt;0,N(INDEX(BASELINE!$A1207:$ZZ1207,CALC!$F$1)),N(BASELINE!E1207)),N(BASELINE!E1207)))=INT(SIMOPS!$D$3),IFERROR(UPPER(TRIM(BASELINE!D1207&amp;"")),"")&lt;&gt;"ENCERRADA"),1,0),0)</f>
        <v/>
      </c>
      <c r="B1207">
        <f>B1206+A1207</f>
        <v/>
      </c>
    </row>
    <row r="1208">
      <c r="A1208">
        <f>IFERROR(IF(AND(BASELINE!I1208&lt;&gt;"",INT(IF(CALC!$F$1&gt;0,IF(N(INDEX(BASELINE!$A1208:$ZZ1208,CALC!$F$1))&gt;0,N(INDEX(BASELINE!$A1208:$ZZ1208,CALC!$F$1)),N(BASELINE!E1208)),N(BASELINE!E1208)))=INT(SIMOPS!$D$3),IFERROR(UPPER(TRIM(BASELINE!D1208&amp;"")),"")&lt;&gt;"ENCERRADA"),1,0),0)</f>
        <v/>
      </c>
      <c r="B1208">
        <f>B1207+A1208</f>
        <v/>
      </c>
    </row>
    <row r="1209">
      <c r="A1209">
        <f>IFERROR(IF(AND(BASELINE!I1209&lt;&gt;"",INT(IF(CALC!$F$1&gt;0,IF(N(INDEX(BASELINE!$A1209:$ZZ1209,CALC!$F$1))&gt;0,N(INDEX(BASELINE!$A1209:$ZZ1209,CALC!$F$1)),N(BASELINE!E1209)),N(BASELINE!E1209)))=INT(SIMOPS!$D$3),IFERROR(UPPER(TRIM(BASELINE!D1209&amp;"")),"")&lt;&gt;"ENCERRADA"),1,0),0)</f>
        <v/>
      </c>
      <c r="B1209">
        <f>B1208+A1209</f>
        <v/>
      </c>
    </row>
    <row r="1210">
      <c r="A1210">
        <f>IFERROR(IF(AND(BASELINE!I1210&lt;&gt;"",INT(IF(CALC!$F$1&gt;0,IF(N(INDEX(BASELINE!$A1210:$ZZ1210,CALC!$F$1))&gt;0,N(INDEX(BASELINE!$A1210:$ZZ1210,CALC!$F$1)),N(BASELINE!E1210)),N(BASELINE!E1210)))=INT(SIMOPS!$D$3),IFERROR(UPPER(TRIM(BASELINE!D1210&amp;"")),"")&lt;&gt;"ENCERRADA"),1,0),0)</f>
        <v/>
      </c>
      <c r="B1210">
        <f>B1209+A1210</f>
        <v/>
      </c>
    </row>
    <row r="1211">
      <c r="A1211">
        <f>IFERROR(IF(AND(BASELINE!I1211&lt;&gt;"",INT(IF(CALC!$F$1&gt;0,IF(N(INDEX(BASELINE!$A1211:$ZZ1211,CALC!$F$1))&gt;0,N(INDEX(BASELINE!$A1211:$ZZ1211,CALC!$F$1)),N(BASELINE!E1211)),N(BASELINE!E1211)))=INT(SIMOPS!$D$3),IFERROR(UPPER(TRIM(BASELINE!D1211&amp;"")),"")&lt;&gt;"ENCERRADA"),1,0),0)</f>
        <v/>
      </c>
      <c r="B1211">
        <f>B1210+A1211</f>
        <v/>
      </c>
    </row>
    <row r="1212">
      <c r="A1212">
        <f>IFERROR(IF(AND(BASELINE!I1212&lt;&gt;"",INT(IF(CALC!$F$1&gt;0,IF(N(INDEX(BASELINE!$A1212:$ZZ1212,CALC!$F$1))&gt;0,N(INDEX(BASELINE!$A1212:$ZZ1212,CALC!$F$1)),N(BASELINE!E1212)),N(BASELINE!E1212)))=INT(SIMOPS!$D$3),IFERROR(UPPER(TRIM(BASELINE!D1212&amp;"")),"")&lt;&gt;"ENCERRADA"),1,0),0)</f>
        <v/>
      </c>
      <c r="B1212">
        <f>B1211+A1212</f>
        <v/>
      </c>
    </row>
    <row r="1213">
      <c r="A1213">
        <f>IFERROR(IF(AND(BASELINE!I1213&lt;&gt;"",INT(IF(CALC!$F$1&gt;0,IF(N(INDEX(BASELINE!$A1213:$ZZ1213,CALC!$F$1))&gt;0,N(INDEX(BASELINE!$A1213:$ZZ1213,CALC!$F$1)),N(BASELINE!E1213)),N(BASELINE!E1213)))=INT(SIMOPS!$D$3),IFERROR(UPPER(TRIM(BASELINE!D1213&amp;"")),"")&lt;&gt;"ENCERRADA"),1,0),0)</f>
        <v/>
      </c>
      <c r="B1213">
        <f>B1212+A1213</f>
        <v/>
      </c>
    </row>
    <row r="1214">
      <c r="A1214">
        <f>IFERROR(IF(AND(BASELINE!I1214&lt;&gt;"",INT(IF(CALC!$F$1&gt;0,IF(N(INDEX(BASELINE!$A1214:$ZZ1214,CALC!$F$1))&gt;0,N(INDEX(BASELINE!$A1214:$ZZ1214,CALC!$F$1)),N(BASELINE!E1214)),N(BASELINE!E1214)))=INT(SIMOPS!$D$3),IFERROR(UPPER(TRIM(BASELINE!D1214&amp;"")),"")&lt;&gt;"ENCERRADA"),1,0),0)</f>
        <v/>
      </c>
      <c r="B1214">
        <f>B1213+A1214</f>
        <v/>
      </c>
    </row>
    <row r="1215">
      <c r="A1215">
        <f>IFERROR(IF(AND(BASELINE!I1215&lt;&gt;"",INT(IF(CALC!$F$1&gt;0,IF(N(INDEX(BASELINE!$A1215:$ZZ1215,CALC!$F$1))&gt;0,N(INDEX(BASELINE!$A1215:$ZZ1215,CALC!$F$1)),N(BASELINE!E1215)),N(BASELINE!E1215)))=INT(SIMOPS!$D$3),IFERROR(UPPER(TRIM(BASELINE!D1215&amp;"")),"")&lt;&gt;"ENCERRADA"),1,0),0)</f>
        <v/>
      </c>
      <c r="B1215">
        <f>B1214+A1215</f>
        <v/>
      </c>
    </row>
    <row r="1216">
      <c r="A1216">
        <f>IFERROR(IF(AND(BASELINE!I1216&lt;&gt;"",INT(IF(CALC!$F$1&gt;0,IF(N(INDEX(BASELINE!$A1216:$ZZ1216,CALC!$F$1))&gt;0,N(INDEX(BASELINE!$A1216:$ZZ1216,CALC!$F$1)),N(BASELINE!E1216)),N(BASELINE!E1216)))=INT(SIMOPS!$D$3),IFERROR(UPPER(TRIM(BASELINE!D1216&amp;"")),"")&lt;&gt;"ENCERRADA"),1,0),0)</f>
        <v/>
      </c>
      <c r="B1216">
        <f>B1215+A1216</f>
        <v/>
      </c>
    </row>
    <row r="1217">
      <c r="A1217">
        <f>IFERROR(IF(AND(BASELINE!I1217&lt;&gt;"",INT(IF(CALC!$F$1&gt;0,IF(N(INDEX(BASELINE!$A1217:$ZZ1217,CALC!$F$1))&gt;0,N(INDEX(BASELINE!$A1217:$ZZ1217,CALC!$F$1)),N(BASELINE!E1217)),N(BASELINE!E1217)))=INT(SIMOPS!$D$3),IFERROR(UPPER(TRIM(BASELINE!D1217&amp;"")),"")&lt;&gt;"ENCERRADA"),1,0),0)</f>
        <v/>
      </c>
      <c r="B1217">
        <f>B1216+A1217</f>
        <v/>
      </c>
    </row>
    <row r="1218">
      <c r="A1218">
        <f>IFERROR(IF(AND(BASELINE!I1218&lt;&gt;"",INT(IF(CALC!$F$1&gt;0,IF(N(INDEX(BASELINE!$A1218:$ZZ1218,CALC!$F$1))&gt;0,N(INDEX(BASELINE!$A1218:$ZZ1218,CALC!$F$1)),N(BASELINE!E1218)),N(BASELINE!E1218)))=INT(SIMOPS!$D$3),IFERROR(UPPER(TRIM(BASELINE!D1218&amp;"")),"")&lt;&gt;"ENCERRADA"),1,0),0)</f>
        <v/>
      </c>
      <c r="B1218">
        <f>B1217+A1218</f>
        <v/>
      </c>
    </row>
    <row r="1219">
      <c r="A1219">
        <f>IFERROR(IF(AND(BASELINE!I1219&lt;&gt;"",INT(IF(CALC!$F$1&gt;0,IF(N(INDEX(BASELINE!$A1219:$ZZ1219,CALC!$F$1))&gt;0,N(INDEX(BASELINE!$A1219:$ZZ1219,CALC!$F$1)),N(BASELINE!E1219)),N(BASELINE!E1219)))=INT(SIMOPS!$D$3),IFERROR(UPPER(TRIM(BASELINE!D1219&amp;"")),"")&lt;&gt;"ENCERRADA"),1,0),0)</f>
        <v/>
      </c>
      <c r="B1219">
        <f>B1218+A1219</f>
        <v/>
      </c>
    </row>
    <row r="1220">
      <c r="A1220">
        <f>IFERROR(IF(AND(BASELINE!I1220&lt;&gt;"",INT(IF(CALC!$F$1&gt;0,IF(N(INDEX(BASELINE!$A1220:$ZZ1220,CALC!$F$1))&gt;0,N(INDEX(BASELINE!$A1220:$ZZ1220,CALC!$F$1)),N(BASELINE!E1220)),N(BASELINE!E1220)))=INT(SIMOPS!$D$3),IFERROR(UPPER(TRIM(BASELINE!D1220&amp;"")),"")&lt;&gt;"ENCERRADA"),1,0),0)</f>
        <v/>
      </c>
      <c r="B1220">
        <f>B1219+A1220</f>
        <v/>
      </c>
    </row>
    <row r="1221">
      <c r="A1221">
        <f>IFERROR(IF(AND(BASELINE!I1221&lt;&gt;"",INT(IF(CALC!$F$1&gt;0,IF(N(INDEX(BASELINE!$A1221:$ZZ1221,CALC!$F$1))&gt;0,N(INDEX(BASELINE!$A1221:$ZZ1221,CALC!$F$1)),N(BASELINE!E1221)),N(BASELINE!E1221)))=INT(SIMOPS!$D$3),IFERROR(UPPER(TRIM(BASELINE!D1221&amp;"")),"")&lt;&gt;"ENCERRADA"),1,0),0)</f>
        <v/>
      </c>
      <c r="B1221">
        <f>B1220+A1221</f>
        <v/>
      </c>
    </row>
    <row r="1222">
      <c r="A1222">
        <f>IFERROR(IF(AND(BASELINE!I1222&lt;&gt;"",INT(IF(CALC!$F$1&gt;0,IF(N(INDEX(BASELINE!$A1222:$ZZ1222,CALC!$F$1))&gt;0,N(INDEX(BASELINE!$A1222:$ZZ1222,CALC!$F$1)),N(BASELINE!E1222)),N(BASELINE!E1222)))=INT(SIMOPS!$D$3),IFERROR(UPPER(TRIM(BASELINE!D1222&amp;"")),"")&lt;&gt;"ENCERRADA"),1,0),0)</f>
        <v/>
      </c>
      <c r="B1222">
        <f>B1221+A1222</f>
        <v/>
      </c>
    </row>
    <row r="1223">
      <c r="A1223">
        <f>IFERROR(IF(AND(BASELINE!I1223&lt;&gt;"",INT(IF(CALC!$F$1&gt;0,IF(N(INDEX(BASELINE!$A1223:$ZZ1223,CALC!$F$1))&gt;0,N(INDEX(BASELINE!$A1223:$ZZ1223,CALC!$F$1)),N(BASELINE!E1223)),N(BASELINE!E1223)))=INT(SIMOPS!$D$3),IFERROR(UPPER(TRIM(BASELINE!D1223&amp;"")),"")&lt;&gt;"ENCERRADA"),1,0),0)</f>
        <v/>
      </c>
      <c r="B1223">
        <f>B1222+A1223</f>
        <v/>
      </c>
    </row>
    <row r="1224">
      <c r="A1224">
        <f>IFERROR(IF(AND(BASELINE!I1224&lt;&gt;"",INT(IF(CALC!$F$1&gt;0,IF(N(INDEX(BASELINE!$A1224:$ZZ1224,CALC!$F$1))&gt;0,N(INDEX(BASELINE!$A1224:$ZZ1224,CALC!$F$1)),N(BASELINE!E1224)),N(BASELINE!E1224)))=INT(SIMOPS!$D$3),IFERROR(UPPER(TRIM(BASELINE!D1224&amp;"")),"")&lt;&gt;"ENCERRADA"),1,0),0)</f>
        <v/>
      </c>
      <c r="B1224">
        <f>B1223+A1224</f>
        <v/>
      </c>
    </row>
    <row r="1225">
      <c r="A1225">
        <f>IFERROR(IF(AND(BASELINE!I1225&lt;&gt;"",INT(IF(CALC!$F$1&gt;0,IF(N(INDEX(BASELINE!$A1225:$ZZ1225,CALC!$F$1))&gt;0,N(INDEX(BASELINE!$A1225:$ZZ1225,CALC!$F$1)),N(BASELINE!E1225)),N(BASELINE!E1225)))=INT(SIMOPS!$D$3),IFERROR(UPPER(TRIM(BASELINE!D1225&amp;"")),"")&lt;&gt;"ENCERRADA"),1,0),0)</f>
        <v/>
      </c>
      <c r="B1225">
        <f>B1224+A1225</f>
        <v/>
      </c>
    </row>
    <row r="1226">
      <c r="A1226">
        <f>IFERROR(IF(AND(BASELINE!I1226&lt;&gt;"",INT(IF(CALC!$F$1&gt;0,IF(N(INDEX(BASELINE!$A1226:$ZZ1226,CALC!$F$1))&gt;0,N(INDEX(BASELINE!$A1226:$ZZ1226,CALC!$F$1)),N(BASELINE!E1226)),N(BASELINE!E1226)))=INT(SIMOPS!$D$3),IFERROR(UPPER(TRIM(BASELINE!D1226&amp;"")),"")&lt;&gt;"ENCERRADA"),1,0),0)</f>
        <v/>
      </c>
      <c r="B1226">
        <f>B1225+A1226</f>
        <v/>
      </c>
    </row>
    <row r="1227">
      <c r="A1227">
        <f>IFERROR(IF(AND(BASELINE!I1227&lt;&gt;"",INT(IF(CALC!$F$1&gt;0,IF(N(INDEX(BASELINE!$A1227:$ZZ1227,CALC!$F$1))&gt;0,N(INDEX(BASELINE!$A1227:$ZZ1227,CALC!$F$1)),N(BASELINE!E1227)),N(BASELINE!E1227)))=INT(SIMOPS!$D$3),IFERROR(UPPER(TRIM(BASELINE!D1227&amp;"")),"")&lt;&gt;"ENCERRADA"),1,0),0)</f>
        <v/>
      </c>
      <c r="B1227">
        <f>B1226+A1227</f>
        <v/>
      </c>
    </row>
    <row r="1228">
      <c r="A1228">
        <f>IFERROR(IF(AND(BASELINE!I1228&lt;&gt;"",INT(IF(CALC!$F$1&gt;0,IF(N(INDEX(BASELINE!$A1228:$ZZ1228,CALC!$F$1))&gt;0,N(INDEX(BASELINE!$A1228:$ZZ1228,CALC!$F$1)),N(BASELINE!E1228)),N(BASELINE!E1228)))=INT(SIMOPS!$D$3),IFERROR(UPPER(TRIM(BASELINE!D1228&amp;"")),"")&lt;&gt;"ENCERRADA"),1,0),0)</f>
        <v/>
      </c>
      <c r="B1228">
        <f>B1227+A1228</f>
        <v/>
      </c>
    </row>
    <row r="1229">
      <c r="A1229">
        <f>IFERROR(IF(AND(BASELINE!I1229&lt;&gt;"",INT(IF(CALC!$F$1&gt;0,IF(N(INDEX(BASELINE!$A1229:$ZZ1229,CALC!$F$1))&gt;0,N(INDEX(BASELINE!$A1229:$ZZ1229,CALC!$F$1)),N(BASELINE!E1229)),N(BASELINE!E1229)))=INT(SIMOPS!$D$3),IFERROR(UPPER(TRIM(BASELINE!D1229&amp;"")),"")&lt;&gt;"ENCERRADA"),1,0),0)</f>
        <v/>
      </c>
      <c r="B1229">
        <f>B1228+A1229</f>
        <v/>
      </c>
    </row>
    <row r="1230">
      <c r="A1230">
        <f>IFERROR(IF(AND(BASELINE!I1230&lt;&gt;"",INT(IF(CALC!$F$1&gt;0,IF(N(INDEX(BASELINE!$A1230:$ZZ1230,CALC!$F$1))&gt;0,N(INDEX(BASELINE!$A1230:$ZZ1230,CALC!$F$1)),N(BASELINE!E1230)),N(BASELINE!E1230)))=INT(SIMOPS!$D$3),IFERROR(UPPER(TRIM(BASELINE!D1230&amp;"")),"")&lt;&gt;"ENCERRADA"),1,0),0)</f>
        <v/>
      </c>
      <c r="B1230">
        <f>B1229+A1230</f>
        <v/>
      </c>
    </row>
    <row r="1231">
      <c r="A1231">
        <f>IFERROR(IF(AND(BASELINE!I1231&lt;&gt;"",INT(IF(CALC!$F$1&gt;0,IF(N(INDEX(BASELINE!$A1231:$ZZ1231,CALC!$F$1))&gt;0,N(INDEX(BASELINE!$A1231:$ZZ1231,CALC!$F$1)),N(BASELINE!E1231)),N(BASELINE!E1231)))=INT(SIMOPS!$D$3),IFERROR(UPPER(TRIM(BASELINE!D1231&amp;"")),"")&lt;&gt;"ENCERRADA"),1,0),0)</f>
        <v/>
      </c>
      <c r="B1231">
        <f>B1230+A1231</f>
        <v/>
      </c>
    </row>
    <row r="1232">
      <c r="A1232">
        <f>IFERROR(IF(AND(BASELINE!I1232&lt;&gt;"",INT(IF(CALC!$F$1&gt;0,IF(N(INDEX(BASELINE!$A1232:$ZZ1232,CALC!$F$1))&gt;0,N(INDEX(BASELINE!$A1232:$ZZ1232,CALC!$F$1)),N(BASELINE!E1232)),N(BASELINE!E1232)))=INT(SIMOPS!$D$3),IFERROR(UPPER(TRIM(BASELINE!D1232&amp;"")),"")&lt;&gt;"ENCERRADA"),1,0),0)</f>
        <v/>
      </c>
      <c r="B1232">
        <f>B1231+A1232</f>
        <v/>
      </c>
    </row>
    <row r="1233">
      <c r="A1233">
        <f>IFERROR(IF(AND(BASELINE!I1233&lt;&gt;"",INT(IF(CALC!$F$1&gt;0,IF(N(INDEX(BASELINE!$A1233:$ZZ1233,CALC!$F$1))&gt;0,N(INDEX(BASELINE!$A1233:$ZZ1233,CALC!$F$1)),N(BASELINE!E1233)),N(BASELINE!E1233)))=INT(SIMOPS!$D$3),IFERROR(UPPER(TRIM(BASELINE!D1233&amp;"")),"")&lt;&gt;"ENCERRADA"),1,0),0)</f>
        <v/>
      </c>
      <c r="B1233">
        <f>B1232+A1233</f>
        <v/>
      </c>
    </row>
    <row r="1234">
      <c r="A1234">
        <f>IFERROR(IF(AND(BASELINE!I1234&lt;&gt;"",INT(IF(CALC!$F$1&gt;0,IF(N(INDEX(BASELINE!$A1234:$ZZ1234,CALC!$F$1))&gt;0,N(INDEX(BASELINE!$A1234:$ZZ1234,CALC!$F$1)),N(BASELINE!E1234)),N(BASELINE!E1234)))=INT(SIMOPS!$D$3),IFERROR(UPPER(TRIM(BASELINE!D1234&amp;"")),"")&lt;&gt;"ENCERRADA"),1,0),0)</f>
        <v/>
      </c>
      <c r="B1234">
        <f>B1233+A1234</f>
        <v/>
      </c>
    </row>
    <row r="1235">
      <c r="A1235">
        <f>IFERROR(IF(AND(BASELINE!I1235&lt;&gt;"",INT(IF(CALC!$F$1&gt;0,IF(N(INDEX(BASELINE!$A1235:$ZZ1235,CALC!$F$1))&gt;0,N(INDEX(BASELINE!$A1235:$ZZ1235,CALC!$F$1)),N(BASELINE!E1235)),N(BASELINE!E1235)))=INT(SIMOPS!$D$3),IFERROR(UPPER(TRIM(BASELINE!D1235&amp;"")),"")&lt;&gt;"ENCERRADA"),1,0),0)</f>
        <v/>
      </c>
      <c r="B1235">
        <f>B1234+A1235</f>
        <v/>
      </c>
    </row>
    <row r="1236">
      <c r="A1236">
        <f>IFERROR(IF(AND(BASELINE!I1236&lt;&gt;"",INT(IF(CALC!$F$1&gt;0,IF(N(INDEX(BASELINE!$A1236:$ZZ1236,CALC!$F$1))&gt;0,N(INDEX(BASELINE!$A1236:$ZZ1236,CALC!$F$1)),N(BASELINE!E1236)),N(BASELINE!E1236)))=INT(SIMOPS!$D$3),IFERROR(UPPER(TRIM(BASELINE!D1236&amp;"")),"")&lt;&gt;"ENCERRADA"),1,0),0)</f>
        <v/>
      </c>
      <c r="B1236">
        <f>B1235+A1236</f>
        <v/>
      </c>
    </row>
    <row r="1237">
      <c r="A1237">
        <f>IFERROR(IF(AND(BASELINE!I1237&lt;&gt;"",INT(IF(CALC!$F$1&gt;0,IF(N(INDEX(BASELINE!$A1237:$ZZ1237,CALC!$F$1))&gt;0,N(INDEX(BASELINE!$A1237:$ZZ1237,CALC!$F$1)),N(BASELINE!E1237)),N(BASELINE!E1237)))=INT(SIMOPS!$D$3),IFERROR(UPPER(TRIM(BASELINE!D1237&amp;"")),"")&lt;&gt;"ENCERRADA"),1,0),0)</f>
        <v/>
      </c>
      <c r="B1237">
        <f>B1236+A1237</f>
        <v/>
      </c>
    </row>
    <row r="1238">
      <c r="A1238">
        <f>IFERROR(IF(AND(BASELINE!I1238&lt;&gt;"",INT(IF(CALC!$F$1&gt;0,IF(N(INDEX(BASELINE!$A1238:$ZZ1238,CALC!$F$1))&gt;0,N(INDEX(BASELINE!$A1238:$ZZ1238,CALC!$F$1)),N(BASELINE!E1238)),N(BASELINE!E1238)))=INT(SIMOPS!$D$3),IFERROR(UPPER(TRIM(BASELINE!D1238&amp;"")),"")&lt;&gt;"ENCERRADA"),1,0),0)</f>
        <v/>
      </c>
      <c r="B1238">
        <f>B1237+A1238</f>
        <v/>
      </c>
    </row>
    <row r="1239">
      <c r="A1239">
        <f>IFERROR(IF(AND(BASELINE!I1239&lt;&gt;"",INT(IF(CALC!$F$1&gt;0,IF(N(INDEX(BASELINE!$A1239:$ZZ1239,CALC!$F$1))&gt;0,N(INDEX(BASELINE!$A1239:$ZZ1239,CALC!$F$1)),N(BASELINE!E1239)),N(BASELINE!E1239)))=INT(SIMOPS!$D$3),IFERROR(UPPER(TRIM(BASELINE!D1239&amp;"")),"")&lt;&gt;"ENCERRADA"),1,0),0)</f>
        <v/>
      </c>
      <c r="B1239">
        <f>B1238+A1239</f>
        <v/>
      </c>
    </row>
    <row r="1240">
      <c r="A1240">
        <f>IFERROR(IF(AND(BASELINE!I1240&lt;&gt;"",INT(IF(CALC!$F$1&gt;0,IF(N(INDEX(BASELINE!$A1240:$ZZ1240,CALC!$F$1))&gt;0,N(INDEX(BASELINE!$A1240:$ZZ1240,CALC!$F$1)),N(BASELINE!E1240)),N(BASELINE!E1240)))=INT(SIMOPS!$D$3),IFERROR(UPPER(TRIM(BASELINE!D1240&amp;"")),"")&lt;&gt;"ENCERRADA"),1,0),0)</f>
        <v/>
      </c>
      <c r="B1240">
        <f>B1239+A1240</f>
        <v/>
      </c>
    </row>
    <row r="1241">
      <c r="A1241">
        <f>IFERROR(IF(AND(BASELINE!I1241&lt;&gt;"",INT(IF(CALC!$F$1&gt;0,IF(N(INDEX(BASELINE!$A1241:$ZZ1241,CALC!$F$1))&gt;0,N(INDEX(BASELINE!$A1241:$ZZ1241,CALC!$F$1)),N(BASELINE!E1241)),N(BASELINE!E1241)))=INT(SIMOPS!$D$3),IFERROR(UPPER(TRIM(BASELINE!D1241&amp;"")),"")&lt;&gt;"ENCERRADA"),1,0),0)</f>
        <v/>
      </c>
      <c r="B1241">
        <f>B1240+A1241</f>
        <v/>
      </c>
    </row>
    <row r="1242">
      <c r="A1242">
        <f>IFERROR(IF(AND(BASELINE!I1242&lt;&gt;"",INT(IF(CALC!$F$1&gt;0,IF(N(INDEX(BASELINE!$A1242:$ZZ1242,CALC!$F$1))&gt;0,N(INDEX(BASELINE!$A1242:$ZZ1242,CALC!$F$1)),N(BASELINE!E1242)),N(BASELINE!E1242)))=INT(SIMOPS!$D$3),IFERROR(UPPER(TRIM(BASELINE!D1242&amp;"")),"")&lt;&gt;"ENCERRADA"),1,0),0)</f>
        <v/>
      </c>
      <c r="B1242">
        <f>B1241+A1242</f>
        <v/>
      </c>
    </row>
    <row r="1243">
      <c r="A1243">
        <f>IFERROR(IF(AND(BASELINE!I1243&lt;&gt;"",INT(IF(CALC!$F$1&gt;0,IF(N(INDEX(BASELINE!$A1243:$ZZ1243,CALC!$F$1))&gt;0,N(INDEX(BASELINE!$A1243:$ZZ1243,CALC!$F$1)),N(BASELINE!E1243)),N(BASELINE!E1243)))=INT(SIMOPS!$D$3),IFERROR(UPPER(TRIM(BASELINE!D1243&amp;"")),"")&lt;&gt;"ENCERRADA"),1,0),0)</f>
        <v/>
      </c>
      <c r="B1243">
        <f>B1242+A1243</f>
        <v/>
      </c>
    </row>
    <row r="1244">
      <c r="A1244">
        <f>IFERROR(IF(AND(BASELINE!I1244&lt;&gt;"",INT(IF(CALC!$F$1&gt;0,IF(N(INDEX(BASELINE!$A1244:$ZZ1244,CALC!$F$1))&gt;0,N(INDEX(BASELINE!$A1244:$ZZ1244,CALC!$F$1)),N(BASELINE!E1244)),N(BASELINE!E1244)))=INT(SIMOPS!$D$3),IFERROR(UPPER(TRIM(BASELINE!D1244&amp;"")),"")&lt;&gt;"ENCERRADA"),1,0),0)</f>
        <v/>
      </c>
      <c r="B1244">
        <f>B1243+A1244</f>
        <v/>
      </c>
    </row>
    <row r="1245">
      <c r="A1245">
        <f>IFERROR(IF(AND(BASELINE!I1245&lt;&gt;"",INT(IF(CALC!$F$1&gt;0,IF(N(INDEX(BASELINE!$A1245:$ZZ1245,CALC!$F$1))&gt;0,N(INDEX(BASELINE!$A1245:$ZZ1245,CALC!$F$1)),N(BASELINE!E1245)),N(BASELINE!E1245)))=INT(SIMOPS!$D$3),IFERROR(UPPER(TRIM(BASELINE!D1245&amp;"")),"")&lt;&gt;"ENCERRADA"),1,0),0)</f>
        <v/>
      </c>
      <c r="B1245">
        <f>B1244+A1245</f>
        <v/>
      </c>
    </row>
    <row r="1246">
      <c r="A1246">
        <f>IFERROR(IF(AND(BASELINE!I1246&lt;&gt;"",INT(IF(CALC!$F$1&gt;0,IF(N(INDEX(BASELINE!$A1246:$ZZ1246,CALC!$F$1))&gt;0,N(INDEX(BASELINE!$A1246:$ZZ1246,CALC!$F$1)),N(BASELINE!E1246)),N(BASELINE!E1246)))=INT(SIMOPS!$D$3),IFERROR(UPPER(TRIM(BASELINE!D1246&amp;"")),"")&lt;&gt;"ENCERRADA"),1,0),0)</f>
        <v/>
      </c>
      <c r="B1246">
        <f>B1245+A1246</f>
        <v/>
      </c>
    </row>
    <row r="1247">
      <c r="A1247">
        <f>IFERROR(IF(AND(BASELINE!I1247&lt;&gt;"",INT(IF(CALC!$F$1&gt;0,IF(N(INDEX(BASELINE!$A1247:$ZZ1247,CALC!$F$1))&gt;0,N(INDEX(BASELINE!$A1247:$ZZ1247,CALC!$F$1)),N(BASELINE!E1247)),N(BASELINE!E1247)))=INT(SIMOPS!$D$3),IFERROR(UPPER(TRIM(BASELINE!D1247&amp;"")),"")&lt;&gt;"ENCERRADA"),1,0),0)</f>
        <v/>
      </c>
      <c r="B1247">
        <f>B1246+A1247</f>
        <v/>
      </c>
    </row>
    <row r="1248">
      <c r="A1248">
        <f>IFERROR(IF(AND(BASELINE!I1248&lt;&gt;"",INT(IF(CALC!$F$1&gt;0,IF(N(INDEX(BASELINE!$A1248:$ZZ1248,CALC!$F$1))&gt;0,N(INDEX(BASELINE!$A1248:$ZZ1248,CALC!$F$1)),N(BASELINE!E1248)),N(BASELINE!E1248)))=INT(SIMOPS!$D$3),IFERROR(UPPER(TRIM(BASELINE!D1248&amp;"")),"")&lt;&gt;"ENCERRADA"),1,0),0)</f>
        <v/>
      </c>
      <c r="B1248">
        <f>B1247+A1248</f>
        <v/>
      </c>
    </row>
    <row r="1249">
      <c r="A1249">
        <f>IFERROR(IF(AND(BASELINE!I1249&lt;&gt;"",INT(IF(CALC!$F$1&gt;0,IF(N(INDEX(BASELINE!$A1249:$ZZ1249,CALC!$F$1))&gt;0,N(INDEX(BASELINE!$A1249:$ZZ1249,CALC!$F$1)),N(BASELINE!E1249)),N(BASELINE!E1249)))=INT(SIMOPS!$D$3),IFERROR(UPPER(TRIM(BASELINE!D1249&amp;"")),"")&lt;&gt;"ENCERRADA"),1,0),0)</f>
        <v/>
      </c>
      <c r="B1249">
        <f>B1248+A1249</f>
        <v/>
      </c>
    </row>
    <row r="1250">
      <c r="A1250">
        <f>IFERROR(IF(AND(BASELINE!I1250&lt;&gt;"",INT(IF(CALC!$F$1&gt;0,IF(N(INDEX(BASELINE!$A1250:$ZZ1250,CALC!$F$1))&gt;0,N(INDEX(BASELINE!$A1250:$ZZ1250,CALC!$F$1)),N(BASELINE!E1250)),N(BASELINE!E1250)))=INT(SIMOPS!$D$3),IFERROR(UPPER(TRIM(BASELINE!D1250&amp;"")),"")&lt;&gt;"ENCERRADA"),1,0),0)</f>
        <v/>
      </c>
      <c r="B1250">
        <f>B1249+A1250</f>
        <v/>
      </c>
    </row>
    <row r="1251">
      <c r="A1251">
        <f>IFERROR(IF(AND(BASELINE!I1251&lt;&gt;"",INT(IF(CALC!$F$1&gt;0,IF(N(INDEX(BASELINE!$A1251:$ZZ1251,CALC!$F$1))&gt;0,N(INDEX(BASELINE!$A1251:$ZZ1251,CALC!$F$1)),N(BASELINE!E1251)),N(BASELINE!E1251)))=INT(SIMOPS!$D$3),IFERROR(UPPER(TRIM(BASELINE!D1251&amp;"")),"")&lt;&gt;"ENCERRADA"),1,0),0)</f>
        <v/>
      </c>
      <c r="B1251">
        <f>B1250+A1251</f>
        <v/>
      </c>
    </row>
    <row r="1252">
      <c r="A1252">
        <f>IFERROR(IF(AND(BASELINE!I1252&lt;&gt;"",INT(IF(CALC!$F$1&gt;0,IF(N(INDEX(BASELINE!$A1252:$ZZ1252,CALC!$F$1))&gt;0,N(INDEX(BASELINE!$A1252:$ZZ1252,CALC!$F$1)),N(BASELINE!E1252)),N(BASELINE!E1252)))=INT(SIMOPS!$D$3),IFERROR(UPPER(TRIM(BASELINE!D1252&amp;"")),"")&lt;&gt;"ENCERRADA"),1,0),0)</f>
        <v/>
      </c>
      <c r="B1252">
        <f>B1251+A1252</f>
        <v/>
      </c>
    </row>
    <row r="1253">
      <c r="A1253">
        <f>IFERROR(IF(AND(BASELINE!I1253&lt;&gt;"",INT(IF(CALC!$F$1&gt;0,IF(N(INDEX(BASELINE!$A1253:$ZZ1253,CALC!$F$1))&gt;0,N(INDEX(BASELINE!$A1253:$ZZ1253,CALC!$F$1)),N(BASELINE!E1253)),N(BASELINE!E1253)))=INT(SIMOPS!$D$3),IFERROR(UPPER(TRIM(BASELINE!D1253&amp;"")),"")&lt;&gt;"ENCERRADA"),1,0),0)</f>
        <v/>
      </c>
      <c r="B1253">
        <f>B1252+A1253</f>
        <v/>
      </c>
    </row>
    <row r="1254">
      <c r="A1254">
        <f>IFERROR(IF(AND(BASELINE!I1254&lt;&gt;"",INT(IF(CALC!$F$1&gt;0,IF(N(INDEX(BASELINE!$A1254:$ZZ1254,CALC!$F$1))&gt;0,N(INDEX(BASELINE!$A1254:$ZZ1254,CALC!$F$1)),N(BASELINE!E1254)),N(BASELINE!E1254)))=INT(SIMOPS!$D$3),IFERROR(UPPER(TRIM(BASELINE!D1254&amp;"")),"")&lt;&gt;"ENCERRADA"),1,0),0)</f>
        <v/>
      </c>
      <c r="B1254">
        <f>B1253+A1254</f>
        <v/>
      </c>
    </row>
    <row r="1255">
      <c r="A1255">
        <f>IFERROR(IF(AND(BASELINE!I1255&lt;&gt;"",INT(IF(CALC!$F$1&gt;0,IF(N(INDEX(BASELINE!$A1255:$ZZ1255,CALC!$F$1))&gt;0,N(INDEX(BASELINE!$A1255:$ZZ1255,CALC!$F$1)),N(BASELINE!E1255)),N(BASELINE!E1255)))=INT(SIMOPS!$D$3),IFERROR(UPPER(TRIM(BASELINE!D1255&amp;"")),"")&lt;&gt;"ENCERRADA"),1,0),0)</f>
        <v/>
      </c>
      <c r="B1255">
        <f>B1254+A1255</f>
        <v/>
      </c>
    </row>
    <row r="1256">
      <c r="A1256">
        <f>IFERROR(IF(AND(BASELINE!I1256&lt;&gt;"",INT(IF(CALC!$F$1&gt;0,IF(N(INDEX(BASELINE!$A1256:$ZZ1256,CALC!$F$1))&gt;0,N(INDEX(BASELINE!$A1256:$ZZ1256,CALC!$F$1)),N(BASELINE!E1256)),N(BASELINE!E1256)))=INT(SIMOPS!$D$3),IFERROR(UPPER(TRIM(BASELINE!D1256&amp;"")),"")&lt;&gt;"ENCERRADA"),1,0),0)</f>
        <v/>
      </c>
      <c r="B1256">
        <f>B1255+A1256</f>
        <v/>
      </c>
    </row>
    <row r="1257">
      <c r="A1257">
        <f>IFERROR(IF(AND(BASELINE!I1257&lt;&gt;"",INT(IF(CALC!$F$1&gt;0,IF(N(INDEX(BASELINE!$A1257:$ZZ1257,CALC!$F$1))&gt;0,N(INDEX(BASELINE!$A1257:$ZZ1257,CALC!$F$1)),N(BASELINE!E1257)),N(BASELINE!E1257)))=INT(SIMOPS!$D$3),IFERROR(UPPER(TRIM(BASELINE!D1257&amp;"")),"")&lt;&gt;"ENCERRADA"),1,0),0)</f>
        <v/>
      </c>
      <c r="B1257">
        <f>B1256+A1257</f>
        <v/>
      </c>
    </row>
    <row r="1258">
      <c r="A1258">
        <f>IFERROR(IF(AND(BASELINE!I1258&lt;&gt;"",INT(IF(CALC!$F$1&gt;0,IF(N(INDEX(BASELINE!$A1258:$ZZ1258,CALC!$F$1))&gt;0,N(INDEX(BASELINE!$A1258:$ZZ1258,CALC!$F$1)),N(BASELINE!E1258)),N(BASELINE!E1258)))=INT(SIMOPS!$D$3),IFERROR(UPPER(TRIM(BASELINE!D1258&amp;"")),"")&lt;&gt;"ENCERRADA"),1,0),0)</f>
        <v/>
      </c>
      <c r="B1258">
        <f>B1257+A1258</f>
        <v/>
      </c>
    </row>
    <row r="1259">
      <c r="A1259">
        <f>IFERROR(IF(AND(BASELINE!I1259&lt;&gt;"",INT(IF(CALC!$F$1&gt;0,IF(N(INDEX(BASELINE!$A1259:$ZZ1259,CALC!$F$1))&gt;0,N(INDEX(BASELINE!$A1259:$ZZ1259,CALC!$F$1)),N(BASELINE!E1259)),N(BASELINE!E1259)))=INT(SIMOPS!$D$3),IFERROR(UPPER(TRIM(BASELINE!D1259&amp;"")),"")&lt;&gt;"ENCERRADA"),1,0),0)</f>
        <v/>
      </c>
      <c r="B1259">
        <f>B1258+A1259</f>
        <v/>
      </c>
    </row>
    <row r="1260">
      <c r="A1260">
        <f>IFERROR(IF(AND(BASELINE!I1260&lt;&gt;"",INT(IF(CALC!$F$1&gt;0,IF(N(INDEX(BASELINE!$A1260:$ZZ1260,CALC!$F$1))&gt;0,N(INDEX(BASELINE!$A1260:$ZZ1260,CALC!$F$1)),N(BASELINE!E1260)),N(BASELINE!E1260)))=INT(SIMOPS!$D$3),IFERROR(UPPER(TRIM(BASELINE!D1260&amp;"")),"")&lt;&gt;"ENCERRADA"),1,0),0)</f>
        <v/>
      </c>
      <c r="B1260">
        <f>B1259+A1260</f>
        <v/>
      </c>
    </row>
    <row r="1261">
      <c r="A1261">
        <f>IFERROR(IF(AND(BASELINE!I1261&lt;&gt;"",INT(IF(CALC!$F$1&gt;0,IF(N(INDEX(BASELINE!$A1261:$ZZ1261,CALC!$F$1))&gt;0,N(INDEX(BASELINE!$A1261:$ZZ1261,CALC!$F$1)),N(BASELINE!E1261)),N(BASELINE!E1261)))=INT(SIMOPS!$D$3),IFERROR(UPPER(TRIM(BASELINE!D1261&amp;"")),"")&lt;&gt;"ENCERRADA"),1,0),0)</f>
        <v/>
      </c>
      <c r="B1261">
        <f>B1260+A1261</f>
        <v/>
      </c>
    </row>
    <row r="1262">
      <c r="A1262">
        <f>IFERROR(IF(AND(BASELINE!I1262&lt;&gt;"",INT(IF(CALC!$F$1&gt;0,IF(N(INDEX(BASELINE!$A1262:$ZZ1262,CALC!$F$1))&gt;0,N(INDEX(BASELINE!$A1262:$ZZ1262,CALC!$F$1)),N(BASELINE!E1262)),N(BASELINE!E1262)))=INT(SIMOPS!$D$3),IFERROR(UPPER(TRIM(BASELINE!D1262&amp;"")),"")&lt;&gt;"ENCERRADA"),1,0),0)</f>
        <v/>
      </c>
      <c r="B1262">
        <f>B1261+A1262</f>
        <v/>
      </c>
    </row>
    <row r="1263">
      <c r="A1263">
        <f>IFERROR(IF(AND(BASELINE!I1263&lt;&gt;"",INT(IF(CALC!$F$1&gt;0,IF(N(INDEX(BASELINE!$A1263:$ZZ1263,CALC!$F$1))&gt;0,N(INDEX(BASELINE!$A1263:$ZZ1263,CALC!$F$1)),N(BASELINE!E1263)),N(BASELINE!E1263)))=INT(SIMOPS!$D$3),IFERROR(UPPER(TRIM(BASELINE!D1263&amp;"")),"")&lt;&gt;"ENCERRADA"),1,0),0)</f>
        <v/>
      </c>
      <c r="B1263">
        <f>B1262+A1263</f>
        <v/>
      </c>
    </row>
    <row r="1264">
      <c r="A1264">
        <f>IFERROR(IF(AND(BASELINE!I1264&lt;&gt;"",INT(IF(CALC!$F$1&gt;0,IF(N(INDEX(BASELINE!$A1264:$ZZ1264,CALC!$F$1))&gt;0,N(INDEX(BASELINE!$A1264:$ZZ1264,CALC!$F$1)),N(BASELINE!E1264)),N(BASELINE!E1264)))=INT(SIMOPS!$D$3),IFERROR(UPPER(TRIM(BASELINE!D1264&amp;"")),"")&lt;&gt;"ENCERRADA"),1,0),0)</f>
        <v/>
      </c>
      <c r="B1264">
        <f>B1263+A1264</f>
        <v/>
      </c>
    </row>
    <row r="1265">
      <c r="A1265">
        <f>IFERROR(IF(AND(BASELINE!I1265&lt;&gt;"",INT(IF(CALC!$F$1&gt;0,IF(N(INDEX(BASELINE!$A1265:$ZZ1265,CALC!$F$1))&gt;0,N(INDEX(BASELINE!$A1265:$ZZ1265,CALC!$F$1)),N(BASELINE!E1265)),N(BASELINE!E1265)))=INT(SIMOPS!$D$3),IFERROR(UPPER(TRIM(BASELINE!D1265&amp;"")),"")&lt;&gt;"ENCERRADA"),1,0),0)</f>
        <v/>
      </c>
      <c r="B1265">
        <f>B1264+A1265</f>
        <v/>
      </c>
    </row>
    <row r="1266">
      <c r="A1266">
        <f>IFERROR(IF(AND(BASELINE!I1266&lt;&gt;"",INT(IF(CALC!$F$1&gt;0,IF(N(INDEX(BASELINE!$A1266:$ZZ1266,CALC!$F$1))&gt;0,N(INDEX(BASELINE!$A1266:$ZZ1266,CALC!$F$1)),N(BASELINE!E1266)),N(BASELINE!E1266)))=INT(SIMOPS!$D$3),IFERROR(UPPER(TRIM(BASELINE!D1266&amp;"")),"")&lt;&gt;"ENCERRADA"),1,0),0)</f>
        <v/>
      </c>
      <c r="B1266">
        <f>B1265+A1266</f>
        <v/>
      </c>
    </row>
    <row r="1267">
      <c r="A1267">
        <f>IFERROR(IF(AND(BASELINE!I1267&lt;&gt;"",INT(IF(CALC!$F$1&gt;0,IF(N(INDEX(BASELINE!$A1267:$ZZ1267,CALC!$F$1))&gt;0,N(INDEX(BASELINE!$A1267:$ZZ1267,CALC!$F$1)),N(BASELINE!E1267)),N(BASELINE!E1267)))=INT(SIMOPS!$D$3),IFERROR(UPPER(TRIM(BASELINE!D1267&amp;"")),"")&lt;&gt;"ENCERRADA"),1,0),0)</f>
        <v/>
      </c>
      <c r="B1267">
        <f>B1266+A1267</f>
        <v/>
      </c>
    </row>
    <row r="1268">
      <c r="A1268">
        <f>IFERROR(IF(AND(BASELINE!I1268&lt;&gt;"",INT(IF(CALC!$F$1&gt;0,IF(N(INDEX(BASELINE!$A1268:$ZZ1268,CALC!$F$1))&gt;0,N(INDEX(BASELINE!$A1268:$ZZ1268,CALC!$F$1)),N(BASELINE!E1268)),N(BASELINE!E1268)))=INT(SIMOPS!$D$3),IFERROR(UPPER(TRIM(BASELINE!D1268&amp;"")),"")&lt;&gt;"ENCERRADA"),1,0),0)</f>
        <v/>
      </c>
      <c r="B1268">
        <f>B1267+A1268</f>
        <v/>
      </c>
    </row>
    <row r="1269">
      <c r="A1269">
        <f>IFERROR(IF(AND(BASELINE!I1269&lt;&gt;"",INT(IF(CALC!$F$1&gt;0,IF(N(INDEX(BASELINE!$A1269:$ZZ1269,CALC!$F$1))&gt;0,N(INDEX(BASELINE!$A1269:$ZZ1269,CALC!$F$1)),N(BASELINE!E1269)),N(BASELINE!E1269)))=INT(SIMOPS!$D$3),IFERROR(UPPER(TRIM(BASELINE!D1269&amp;"")),"")&lt;&gt;"ENCERRADA"),1,0),0)</f>
        <v/>
      </c>
      <c r="B1269">
        <f>B1268+A1269</f>
        <v/>
      </c>
    </row>
    <row r="1270">
      <c r="A1270">
        <f>IFERROR(IF(AND(BASELINE!I1270&lt;&gt;"",INT(IF(CALC!$F$1&gt;0,IF(N(INDEX(BASELINE!$A1270:$ZZ1270,CALC!$F$1))&gt;0,N(INDEX(BASELINE!$A1270:$ZZ1270,CALC!$F$1)),N(BASELINE!E1270)),N(BASELINE!E1270)))=INT(SIMOPS!$D$3),IFERROR(UPPER(TRIM(BASELINE!D1270&amp;"")),"")&lt;&gt;"ENCERRADA"),1,0),0)</f>
        <v/>
      </c>
      <c r="B1270">
        <f>B1269+A1270</f>
        <v/>
      </c>
    </row>
    <row r="1271">
      <c r="A1271">
        <f>IFERROR(IF(AND(BASELINE!I1271&lt;&gt;"",INT(IF(CALC!$F$1&gt;0,IF(N(INDEX(BASELINE!$A1271:$ZZ1271,CALC!$F$1))&gt;0,N(INDEX(BASELINE!$A1271:$ZZ1271,CALC!$F$1)),N(BASELINE!E1271)),N(BASELINE!E1271)))=INT(SIMOPS!$D$3),IFERROR(UPPER(TRIM(BASELINE!D1271&amp;"")),"")&lt;&gt;"ENCERRADA"),1,0),0)</f>
        <v/>
      </c>
      <c r="B1271">
        <f>B1270+A1271</f>
        <v/>
      </c>
    </row>
    <row r="1272">
      <c r="A1272">
        <f>IFERROR(IF(AND(BASELINE!I1272&lt;&gt;"",INT(IF(CALC!$F$1&gt;0,IF(N(INDEX(BASELINE!$A1272:$ZZ1272,CALC!$F$1))&gt;0,N(INDEX(BASELINE!$A1272:$ZZ1272,CALC!$F$1)),N(BASELINE!E1272)),N(BASELINE!E1272)))=INT(SIMOPS!$D$3),IFERROR(UPPER(TRIM(BASELINE!D1272&amp;"")),"")&lt;&gt;"ENCERRADA"),1,0),0)</f>
        <v/>
      </c>
      <c r="B1272">
        <f>B1271+A1272</f>
        <v/>
      </c>
    </row>
    <row r="1273">
      <c r="A1273">
        <f>IFERROR(IF(AND(BASELINE!I1273&lt;&gt;"",INT(IF(CALC!$F$1&gt;0,IF(N(INDEX(BASELINE!$A1273:$ZZ1273,CALC!$F$1))&gt;0,N(INDEX(BASELINE!$A1273:$ZZ1273,CALC!$F$1)),N(BASELINE!E1273)),N(BASELINE!E1273)))=INT(SIMOPS!$D$3),IFERROR(UPPER(TRIM(BASELINE!D1273&amp;"")),"")&lt;&gt;"ENCERRADA"),1,0),0)</f>
        <v/>
      </c>
      <c r="B1273">
        <f>B1272+A1273</f>
        <v/>
      </c>
    </row>
    <row r="1274">
      <c r="A1274">
        <f>IFERROR(IF(AND(BASELINE!I1274&lt;&gt;"",INT(IF(CALC!$F$1&gt;0,IF(N(INDEX(BASELINE!$A1274:$ZZ1274,CALC!$F$1))&gt;0,N(INDEX(BASELINE!$A1274:$ZZ1274,CALC!$F$1)),N(BASELINE!E1274)),N(BASELINE!E1274)))=INT(SIMOPS!$D$3),IFERROR(UPPER(TRIM(BASELINE!D1274&amp;"")),"")&lt;&gt;"ENCERRADA"),1,0),0)</f>
        <v/>
      </c>
      <c r="B1274">
        <f>B1273+A1274</f>
        <v/>
      </c>
    </row>
    <row r="1275">
      <c r="A1275">
        <f>IFERROR(IF(AND(BASELINE!I1275&lt;&gt;"",INT(IF(CALC!$F$1&gt;0,IF(N(INDEX(BASELINE!$A1275:$ZZ1275,CALC!$F$1))&gt;0,N(INDEX(BASELINE!$A1275:$ZZ1275,CALC!$F$1)),N(BASELINE!E1275)),N(BASELINE!E1275)))=INT(SIMOPS!$D$3),IFERROR(UPPER(TRIM(BASELINE!D1275&amp;"")),"")&lt;&gt;"ENCERRADA"),1,0),0)</f>
        <v/>
      </c>
      <c r="B1275">
        <f>B1274+A1275</f>
        <v/>
      </c>
    </row>
    <row r="1276">
      <c r="A1276">
        <f>IFERROR(IF(AND(BASELINE!I1276&lt;&gt;"",INT(IF(CALC!$F$1&gt;0,IF(N(INDEX(BASELINE!$A1276:$ZZ1276,CALC!$F$1))&gt;0,N(INDEX(BASELINE!$A1276:$ZZ1276,CALC!$F$1)),N(BASELINE!E1276)),N(BASELINE!E1276)))=INT(SIMOPS!$D$3),IFERROR(UPPER(TRIM(BASELINE!D1276&amp;"")),"")&lt;&gt;"ENCERRADA"),1,0),0)</f>
        <v/>
      </c>
      <c r="B1276">
        <f>B1275+A1276</f>
        <v/>
      </c>
    </row>
    <row r="1277">
      <c r="A1277">
        <f>IFERROR(IF(AND(BASELINE!I1277&lt;&gt;"",INT(IF(CALC!$F$1&gt;0,IF(N(INDEX(BASELINE!$A1277:$ZZ1277,CALC!$F$1))&gt;0,N(INDEX(BASELINE!$A1277:$ZZ1277,CALC!$F$1)),N(BASELINE!E1277)),N(BASELINE!E1277)))=INT(SIMOPS!$D$3),IFERROR(UPPER(TRIM(BASELINE!D1277&amp;"")),"")&lt;&gt;"ENCERRADA"),1,0),0)</f>
        <v/>
      </c>
      <c r="B1277">
        <f>B1276+A1277</f>
        <v/>
      </c>
    </row>
    <row r="1278">
      <c r="A1278">
        <f>IFERROR(IF(AND(BASELINE!I1278&lt;&gt;"",INT(IF(CALC!$F$1&gt;0,IF(N(INDEX(BASELINE!$A1278:$ZZ1278,CALC!$F$1))&gt;0,N(INDEX(BASELINE!$A1278:$ZZ1278,CALC!$F$1)),N(BASELINE!E1278)),N(BASELINE!E1278)))=INT(SIMOPS!$D$3),IFERROR(UPPER(TRIM(BASELINE!D1278&amp;"")),"")&lt;&gt;"ENCERRADA"),1,0),0)</f>
        <v/>
      </c>
      <c r="B1278">
        <f>B1277+A1278</f>
        <v/>
      </c>
    </row>
    <row r="1279">
      <c r="A1279">
        <f>IFERROR(IF(AND(BASELINE!I1279&lt;&gt;"",INT(IF(CALC!$F$1&gt;0,IF(N(INDEX(BASELINE!$A1279:$ZZ1279,CALC!$F$1))&gt;0,N(INDEX(BASELINE!$A1279:$ZZ1279,CALC!$F$1)),N(BASELINE!E1279)),N(BASELINE!E1279)))=INT(SIMOPS!$D$3),IFERROR(UPPER(TRIM(BASELINE!D1279&amp;"")),"")&lt;&gt;"ENCERRADA"),1,0),0)</f>
        <v/>
      </c>
      <c r="B1279">
        <f>B1278+A1279</f>
        <v/>
      </c>
    </row>
    <row r="1280">
      <c r="A1280">
        <f>IFERROR(IF(AND(BASELINE!I1280&lt;&gt;"",INT(IF(CALC!$F$1&gt;0,IF(N(INDEX(BASELINE!$A1280:$ZZ1280,CALC!$F$1))&gt;0,N(INDEX(BASELINE!$A1280:$ZZ1280,CALC!$F$1)),N(BASELINE!E1280)),N(BASELINE!E1280)))=INT(SIMOPS!$D$3),IFERROR(UPPER(TRIM(BASELINE!D1280&amp;"")),"")&lt;&gt;"ENCERRADA"),1,0),0)</f>
        <v/>
      </c>
      <c r="B1280">
        <f>B1279+A1280</f>
        <v/>
      </c>
    </row>
    <row r="1281">
      <c r="A1281">
        <f>IFERROR(IF(AND(BASELINE!I1281&lt;&gt;"",INT(IF(CALC!$F$1&gt;0,IF(N(INDEX(BASELINE!$A1281:$ZZ1281,CALC!$F$1))&gt;0,N(INDEX(BASELINE!$A1281:$ZZ1281,CALC!$F$1)),N(BASELINE!E1281)),N(BASELINE!E1281)))=INT(SIMOPS!$D$3),IFERROR(UPPER(TRIM(BASELINE!D1281&amp;"")),"")&lt;&gt;"ENCERRADA"),1,0),0)</f>
        <v/>
      </c>
      <c r="B1281">
        <f>B1280+A1281</f>
        <v/>
      </c>
    </row>
    <row r="1282">
      <c r="A1282">
        <f>IFERROR(IF(AND(BASELINE!I1282&lt;&gt;"",INT(IF(CALC!$F$1&gt;0,IF(N(INDEX(BASELINE!$A1282:$ZZ1282,CALC!$F$1))&gt;0,N(INDEX(BASELINE!$A1282:$ZZ1282,CALC!$F$1)),N(BASELINE!E1282)),N(BASELINE!E1282)))=INT(SIMOPS!$D$3),IFERROR(UPPER(TRIM(BASELINE!D1282&amp;"")),"")&lt;&gt;"ENCERRADA"),1,0),0)</f>
        <v/>
      </c>
      <c r="B1282">
        <f>B1281+A1282</f>
        <v/>
      </c>
    </row>
    <row r="1283">
      <c r="A1283">
        <f>IFERROR(IF(AND(BASELINE!I1283&lt;&gt;"",INT(IF(CALC!$F$1&gt;0,IF(N(INDEX(BASELINE!$A1283:$ZZ1283,CALC!$F$1))&gt;0,N(INDEX(BASELINE!$A1283:$ZZ1283,CALC!$F$1)),N(BASELINE!E1283)),N(BASELINE!E1283)))=INT(SIMOPS!$D$3),IFERROR(UPPER(TRIM(BASELINE!D1283&amp;"")),"")&lt;&gt;"ENCERRADA"),1,0),0)</f>
        <v/>
      </c>
      <c r="B1283">
        <f>B1282+A1283</f>
        <v/>
      </c>
    </row>
    <row r="1284">
      <c r="A1284">
        <f>IFERROR(IF(AND(BASELINE!I1284&lt;&gt;"",INT(IF(CALC!$F$1&gt;0,IF(N(INDEX(BASELINE!$A1284:$ZZ1284,CALC!$F$1))&gt;0,N(INDEX(BASELINE!$A1284:$ZZ1284,CALC!$F$1)),N(BASELINE!E1284)),N(BASELINE!E1284)))=INT(SIMOPS!$D$3),IFERROR(UPPER(TRIM(BASELINE!D1284&amp;"")),"")&lt;&gt;"ENCERRADA"),1,0),0)</f>
        <v/>
      </c>
      <c r="B1284">
        <f>B1283+A1284</f>
        <v/>
      </c>
    </row>
    <row r="1285">
      <c r="A1285">
        <f>IFERROR(IF(AND(BASELINE!I1285&lt;&gt;"",INT(IF(CALC!$F$1&gt;0,IF(N(INDEX(BASELINE!$A1285:$ZZ1285,CALC!$F$1))&gt;0,N(INDEX(BASELINE!$A1285:$ZZ1285,CALC!$F$1)),N(BASELINE!E1285)),N(BASELINE!E1285)))=INT(SIMOPS!$D$3),IFERROR(UPPER(TRIM(BASELINE!D1285&amp;"")),"")&lt;&gt;"ENCERRADA"),1,0),0)</f>
        <v/>
      </c>
      <c r="B1285">
        <f>B1284+A1285</f>
        <v/>
      </c>
    </row>
    <row r="1286">
      <c r="A1286">
        <f>IFERROR(IF(AND(BASELINE!I1286&lt;&gt;"",INT(IF(CALC!$F$1&gt;0,IF(N(INDEX(BASELINE!$A1286:$ZZ1286,CALC!$F$1))&gt;0,N(INDEX(BASELINE!$A1286:$ZZ1286,CALC!$F$1)),N(BASELINE!E1286)),N(BASELINE!E1286)))=INT(SIMOPS!$D$3),IFERROR(UPPER(TRIM(BASELINE!D1286&amp;"")),"")&lt;&gt;"ENCERRADA"),1,0),0)</f>
        <v/>
      </c>
      <c r="B1286">
        <f>B1285+A1286</f>
        <v/>
      </c>
    </row>
    <row r="1287">
      <c r="A1287">
        <f>IFERROR(IF(AND(BASELINE!I1287&lt;&gt;"",INT(IF(CALC!$F$1&gt;0,IF(N(INDEX(BASELINE!$A1287:$ZZ1287,CALC!$F$1))&gt;0,N(INDEX(BASELINE!$A1287:$ZZ1287,CALC!$F$1)),N(BASELINE!E1287)),N(BASELINE!E1287)))=INT(SIMOPS!$D$3),IFERROR(UPPER(TRIM(BASELINE!D1287&amp;"")),"")&lt;&gt;"ENCERRADA"),1,0),0)</f>
        <v/>
      </c>
      <c r="B1287">
        <f>B1286+A1287</f>
        <v/>
      </c>
    </row>
    <row r="1288">
      <c r="A1288">
        <f>IFERROR(IF(AND(BASELINE!I1288&lt;&gt;"",INT(IF(CALC!$F$1&gt;0,IF(N(INDEX(BASELINE!$A1288:$ZZ1288,CALC!$F$1))&gt;0,N(INDEX(BASELINE!$A1288:$ZZ1288,CALC!$F$1)),N(BASELINE!E1288)),N(BASELINE!E1288)))=INT(SIMOPS!$D$3),IFERROR(UPPER(TRIM(BASELINE!D1288&amp;"")),"")&lt;&gt;"ENCERRADA"),1,0),0)</f>
        <v/>
      </c>
      <c r="B1288">
        <f>B1287+A1288</f>
        <v/>
      </c>
    </row>
    <row r="1289">
      <c r="A1289">
        <f>IFERROR(IF(AND(BASELINE!I1289&lt;&gt;"",INT(IF(CALC!$F$1&gt;0,IF(N(INDEX(BASELINE!$A1289:$ZZ1289,CALC!$F$1))&gt;0,N(INDEX(BASELINE!$A1289:$ZZ1289,CALC!$F$1)),N(BASELINE!E1289)),N(BASELINE!E1289)))=INT(SIMOPS!$D$3),IFERROR(UPPER(TRIM(BASELINE!D1289&amp;"")),"")&lt;&gt;"ENCERRADA"),1,0),0)</f>
        <v/>
      </c>
      <c r="B1289">
        <f>B1288+A1289</f>
        <v/>
      </c>
    </row>
    <row r="1290">
      <c r="A1290">
        <f>IFERROR(IF(AND(BASELINE!I1290&lt;&gt;"",INT(IF(CALC!$F$1&gt;0,IF(N(INDEX(BASELINE!$A1290:$ZZ1290,CALC!$F$1))&gt;0,N(INDEX(BASELINE!$A1290:$ZZ1290,CALC!$F$1)),N(BASELINE!E1290)),N(BASELINE!E1290)))=INT(SIMOPS!$D$3),IFERROR(UPPER(TRIM(BASELINE!D1290&amp;"")),"")&lt;&gt;"ENCERRADA"),1,0),0)</f>
        <v/>
      </c>
      <c r="B1290">
        <f>B1289+A1290</f>
        <v/>
      </c>
    </row>
    <row r="1291">
      <c r="A1291">
        <f>IFERROR(IF(AND(BASELINE!I1291&lt;&gt;"",INT(IF(CALC!$F$1&gt;0,IF(N(INDEX(BASELINE!$A1291:$ZZ1291,CALC!$F$1))&gt;0,N(INDEX(BASELINE!$A1291:$ZZ1291,CALC!$F$1)),N(BASELINE!E1291)),N(BASELINE!E1291)))=INT(SIMOPS!$D$3),IFERROR(UPPER(TRIM(BASELINE!D1291&amp;"")),"")&lt;&gt;"ENCERRADA"),1,0),0)</f>
        <v/>
      </c>
      <c r="B1291">
        <f>B1290+A1291</f>
        <v/>
      </c>
    </row>
    <row r="1292">
      <c r="A1292">
        <f>IFERROR(IF(AND(BASELINE!I1292&lt;&gt;"",INT(IF(CALC!$F$1&gt;0,IF(N(INDEX(BASELINE!$A1292:$ZZ1292,CALC!$F$1))&gt;0,N(INDEX(BASELINE!$A1292:$ZZ1292,CALC!$F$1)),N(BASELINE!E1292)),N(BASELINE!E1292)))=INT(SIMOPS!$D$3),IFERROR(UPPER(TRIM(BASELINE!D1292&amp;"")),"")&lt;&gt;"ENCERRADA"),1,0),0)</f>
        <v/>
      </c>
      <c r="B1292">
        <f>B1291+A1292</f>
        <v/>
      </c>
    </row>
    <row r="1293">
      <c r="A1293">
        <f>IFERROR(IF(AND(BASELINE!I1293&lt;&gt;"",INT(IF(CALC!$F$1&gt;0,IF(N(INDEX(BASELINE!$A1293:$ZZ1293,CALC!$F$1))&gt;0,N(INDEX(BASELINE!$A1293:$ZZ1293,CALC!$F$1)),N(BASELINE!E1293)),N(BASELINE!E1293)))=INT(SIMOPS!$D$3),IFERROR(UPPER(TRIM(BASELINE!D1293&amp;"")),"")&lt;&gt;"ENCERRADA"),1,0),0)</f>
        <v/>
      </c>
      <c r="B1293">
        <f>B1292+A1293</f>
        <v/>
      </c>
    </row>
    <row r="1294">
      <c r="A1294">
        <f>IFERROR(IF(AND(BASELINE!I1294&lt;&gt;"",INT(IF(CALC!$F$1&gt;0,IF(N(INDEX(BASELINE!$A1294:$ZZ1294,CALC!$F$1))&gt;0,N(INDEX(BASELINE!$A1294:$ZZ1294,CALC!$F$1)),N(BASELINE!E1294)),N(BASELINE!E1294)))=INT(SIMOPS!$D$3),IFERROR(UPPER(TRIM(BASELINE!D1294&amp;"")),"")&lt;&gt;"ENCERRADA"),1,0),0)</f>
        <v/>
      </c>
      <c r="B1294">
        <f>B1293+A1294</f>
        <v/>
      </c>
    </row>
    <row r="1295">
      <c r="A1295">
        <f>IFERROR(IF(AND(BASELINE!I1295&lt;&gt;"",INT(IF(CALC!$F$1&gt;0,IF(N(INDEX(BASELINE!$A1295:$ZZ1295,CALC!$F$1))&gt;0,N(INDEX(BASELINE!$A1295:$ZZ1295,CALC!$F$1)),N(BASELINE!E1295)),N(BASELINE!E1295)))=INT(SIMOPS!$D$3),IFERROR(UPPER(TRIM(BASELINE!D1295&amp;"")),"")&lt;&gt;"ENCERRADA"),1,0),0)</f>
        <v/>
      </c>
      <c r="B1295">
        <f>B1294+A1295</f>
        <v/>
      </c>
    </row>
    <row r="1296">
      <c r="A1296">
        <f>IFERROR(IF(AND(BASELINE!I1296&lt;&gt;"",INT(IF(CALC!$F$1&gt;0,IF(N(INDEX(BASELINE!$A1296:$ZZ1296,CALC!$F$1))&gt;0,N(INDEX(BASELINE!$A1296:$ZZ1296,CALC!$F$1)),N(BASELINE!E1296)),N(BASELINE!E1296)))=INT(SIMOPS!$D$3),IFERROR(UPPER(TRIM(BASELINE!D1296&amp;"")),"")&lt;&gt;"ENCERRADA"),1,0),0)</f>
        <v/>
      </c>
      <c r="B1296">
        <f>B1295+A1296</f>
        <v/>
      </c>
    </row>
    <row r="1297">
      <c r="A1297">
        <f>IFERROR(IF(AND(BASELINE!I1297&lt;&gt;"",INT(IF(CALC!$F$1&gt;0,IF(N(INDEX(BASELINE!$A1297:$ZZ1297,CALC!$F$1))&gt;0,N(INDEX(BASELINE!$A1297:$ZZ1297,CALC!$F$1)),N(BASELINE!E1297)),N(BASELINE!E1297)))=INT(SIMOPS!$D$3),IFERROR(UPPER(TRIM(BASELINE!D1297&amp;"")),"")&lt;&gt;"ENCERRADA"),1,0),0)</f>
        <v/>
      </c>
      <c r="B1297">
        <f>B1296+A1297</f>
        <v/>
      </c>
    </row>
    <row r="1298">
      <c r="A1298">
        <f>IFERROR(IF(AND(BASELINE!I1298&lt;&gt;"",INT(IF(CALC!$F$1&gt;0,IF(N(INDEX(BASELINE!$A1298:$ZZ1298,CALC!$F$1))&gt;0,N(INDEX(BASELINE!$A1298:$ZZ1298,CALC!$F$1)),N(BASELINE!E1298)),N(BASELINE!E1298)))=INT(SIMOPS!$D$3),IFERROR(UPPER(TRIM(BASELINE!D1298&amp;"")),"")&lt;&gt;"ENCERRADA"),1,0),0)</f>
        <v/>
      </c>
      <c r="B1298">
        <f>B1297+A1298</f>
        <v/>
      </c>
    </row>
    <row r="1299">
      <c r="A1299">
        <f>IFERROR(IF(AND(BASELINE!I1299&lt;&gt;"",INT(IF(CALC!$F$1&gt;0,IF(N(INDEX(BASELINE!$A1299:$ZZ1299,CALC!$F$1))&gt;0,N(INDEX(BASELINE!$A1299:$ZZ1299,CALC!$F$1)),N(BASELINE!E1299)),N(BASELINE!E1299)))=INT(SIMOPS!$D$3),IFERROR(UPPER(TRIM(BASELINE!D1299&amp;"")),"")&lt;&gt;"ENCERRADA"),1,0),0)</f>
        <v/>
      </c>
      <c r="B1299">
        <f>B1298+A1299</f>
        <v/>
      </c>
    </row>
    <row r="1300">
      <c r="A1300">
        <f>IFERROR(IF(AND(BASELINE!I1300&lt;&gt;"",INT(IF(CALC!$F$1&gt;0,IF(N(INDEX(BASELINE!$A1300:$ZZ1300,CALC!$F$1))&gt;0,N(INDEX(BASELINE!$A1300:$ZZ1300,CALC!$F$1)),N(BASELINE!E1300)),N(BASELINE!E1300)))=INT(SIMOPS!$D$3),IFERROR(UPPER(TRIM(BASELINE!D1300&amp;"")),"")&lt;&gt;"ENCERRADA"),1,0),0)</f>
        <v/>
      </c>
      <c r="B1300">
        <f>B1299+A1300</f>
        <v/>
      </c>
    </row>
    <row r="1301">
      <c r="A1301">
        <f>IFERROR(IF(AND(BASELINE!I1301&lt;&gt;"",INT(IF(CALC!$F$1&gt;0,IF(N(INDEX(BASELINE!$A1301:$ZZ1301,CALC!$F$1))&gt;0,N(INDEX(BASELINE!$A1301:$ZZ1301,CALC!$F$1)),N(BASELINE!E1301)),N(BASELINE!E1301)))=INT(SIMOPS!$D$3),IFERROR(UPPER(TRIM(BASELINE!D1301&amp;"")),"")&lt;&gt;"ENCERRADA"),1,0),0)</f>
        <v/>
      </c>
      <c r="B1301">
        <f>B1300+A1301</f>
        <v/>
      </c>
    </row>
    <row r="1302">
      <c r="A1302">
        <f>IFERROR(IF(AND(BASELINE!I1302&lt;&gt;"",INT(IF(CALC!$F$1&gt;0,IF(N(INDEX(BASELINE!$A1302:$ZZ1302,CALC!$F$1))&gt;0,N(INDEX(BASELINE!$A1302:$ZZ1302,CALC!$F$1)),N(BASELINE!E1302)),N(BASELINE!E1302)))=INT(SIMOPS!$D$3),IFERROR(UPPER(TRIM(BASELINE!D1302&amp;"")),"")&lt;&gt;"ENCERRADA"),1,0),0)</f>
        <v/>
      </c>
      <c r="B1302">
        <f>B1301+A1302</f>
        <v/>
      </c>
    </row>
    <row r="1303">
      <c r="A1303">
        <f>IFERROR(IF(AND(BASELINE!I1303&lt;&gt;"",INT(IF(CALC!$F$1&gt;0,IF(N(INDEX(BASELINE!$A1303:$ZZ1303,CALC!$F$1))&gt;0,N(INDEX(BASELINE!$A1303:$ZZ1303,CALC!$F$1)),N(BASELINE!E1303)),N(BASELINE!E1303)))=INT(SIMOPS!$D$3),IFERROR(UPPER(TRIM(BASELINE!D1303&amp;"")),"")&lt;&gt;"ENCERRADA"),1,0),0)</f>
        <v/>
      </c>
      <c r="B1303">
        <f>B1302+A1303</f>
        <v/>
      </c>
    </row>
    <row r="1304">
      <c r="A1304">
        <f>IFERROR(IF(AND(BASELINE!I1304&lt;&gt;"",INT(IF(CALC!$F$1&gt;0,IF(N(INDEX(BASELINE!$A1304:$ZZ1304,CALC!$F$1))&gt;0,N(INDEX(BASELINE!$A1304:$ZZ1304,CALC!$F$1)),N(BASELINE!E1304)),N(BASELINE!E1304)))=INT(SIMOPS!$D$3),IFERROR(UPPER(TRIM(BASELINE!D1304&amp;"")),"")&lt;&gt;"ENCERRADA"),1,0),0)</f>
        <v/>
      </c>
      <c r="B1304">
        <f>B1303+A1304</f>
        <v/>
      </c>
    </row>
    <row r="1305">
      <c r="A1305">
        <f>IFERROR(IF(AND(BASELINE!I1305&lt;&gt;"",INT(IF(CALC!$F$1&gt;0,IF(N(INDEX(BASELINE!$A1305:$ZZ1305,CALC!$F$1))&gt;0,N(INDEX(BASELINE!$A1305:$ZZ1305,CALC!$F$1)),N(BASELINE!E1305)),N(BASELINE!E1305)))=INT(SIMOPS!$D$3),IFERROR(UPPER(TRIM(BASELINE!D1305&amp;"")),"")&lt;&gt;"ENCERRADA"),1,0),0)</f>
        <v/>
      </c>
      <c r="B1305">
        <f>B1304+A1305</f>
        <v/>
      </c>
    </row>
    <row r="1306">
      <c r="A1306">
        <f>IFERROR(IF(AND(BASELINE!I1306&lt;&gt;"",INT(IF(CALC!$F$1&gt;0,IF(N(INDEX(BASELINE!$A1306:$ZZ1306,CALC!$F$1))&gt;0,N(INDEX(BASELINE!$A1306:$ZZ1306,CALC!$F$1)),N(BASELINE!E1306)),N(BASELINE!E1306)))=INT(SIMOPS!$D$3),IFERROR(UPPER(TRIM(BASELINE!D1306&amp;"")),"")&lt;&gt;"ENCERRADA"),1,0),0)</f>
        <v/>
      </c>
      <c r="B1306">
        <f>B1305+A1306</f>
        <v/>
      </c>
    </row>
    <row r="1307">
      <c r="A1307">
        <f>IFERROR(IF(AND(BASELINE!I1307&lt;&gt;"",INT(IF(CALC!$F$1&gt;0,IF(N(INDEX(BASELINE!$A1307:$ZZ1307,CALC!$F$1))&gt;0,N(INDEX(BASELINE!$A1307:$ZZ1307,CALC!$F$1)),N(BASELINE!E1307)),N(BASELINE!E1307)))=INT(SIMOPS!$D$3),IFERROR(UPPER(TRIM(BASELINE!D1307&amp;"")),"")&lt;&gt;"ENCERRADA"),1,0),0)</f>
        <v/>
      </c>
      <c r="B1307">
        <f>B1306+A1307</f>
        <v/>
      </c>
    </row>
    <row r="1308">
      <c r="A1308">
        <f>IFERROR(IF(AND(BASELINE!I1308&lt;&gt;"",INT(IF(CALC!$F$1&gt;0,IF(N(INDEX(BASELINE!$A1308:$ZZ1308,CALC!$F$1))&gt;0,N(INDEX(BASELINE!$A1308:$ZZ1308,CALC!$F$1)),N(BASELINE!E1308)),N(BASELINE!E1308)))=INT(SIMOPS!$D$3),IFERROR(UPPER(TRIM(BASELINE!D1308&amp;"")),"")&lt;&gt;"ENCERRADA"),1,0),0)</f>
        <v/>
      </c>
      <c r="B1308">
        <f>B1307+A1308</f>
        <v/>
      </c>
    </row>
    <row r="1309">
      <c r="A1309">
        <f>IFERROR(IF(AND(BASELINE!I1309&lt;&gt;"",INT(IF(CALC!$F$1&gt;0,IF(N(INDEX(BASELINE!$A1309:$ZZ1309,CALC!$F$1))&gt;0,N(INDEX(BASELINE!$A1309:$ZZ1309,CALC!$F$1)),N(BASELINE!E1309)),N(BASELINE!E1309)))=INT(SIMOPS!$D$3),IFERROR(UPPER(TRIM(BASELINE!D1309&amp;"")),"")&lt;&gt;"ENCERRADA"),1,0),0)</f>
        <v/>
      </c>
      <c r="B1309">
        <f>B1308+A1309</f>
        <v/>
      </c>
    </row>
    <row r="1310">
      <c r="A1310">
        <f>IFERROR(IF(AND(BASELINE!I1310&lt;&gt;"",INT(IF(CALC!$F$1&gt;0,IF(N(INDEX(BASELINE!$A1310:$ZZ1310,CALC!$F$1))&gt;0,N(INDEX(BASELINE!$A1310:$ZZ1310,CALC!$F$1)),N(BASELINE!E1310)),N(BASELINE!E1310)))=INT(SIMOPS!$D$3),IFERROR(UPPER(TRIM(BASELINE!D1310&amp;"")),"")&lt;&gt;"ENCERRADA"),1,0),0)</f>
        <v/>
      </c>
      <c r="B1310">
        <f>B1309+A1310</f>
        <v/>
      </c>
    </row>
    <row r="1311">
      <c r="A1311">
        <f>IFERROR(IF(AND(BASELINE!I1311&lt;&gt;"",INT(IF(CALC!$F$1&gt;0,IF(N(INDEX(BASELINE!$A1311:$ZZ1311,CALC!$F$1))&gt;0,N(INDEX(BASELINE!$A1311:$ZZ1311,CALC!$F$1)),N(BASELINE!E1311)),N(BASELINE!E1311)))=INT(SIMOPS!$D$3),IFERROR(UPPER(TRIM(BASELINE!D1311&amp;"")),"")&lt;&gt;"ENCERRADA"),1,0),0)</f>
        <v/>
      </c>
      <c r="B1311">
        <f>B1310+A1311</f>
        <v/>
      </c>
    </row>
    <row r="1312">
      <c r="A1312">
        <f>IFERROR(IF(AND(BASELINE!I1312&lt;&gt;"",INT(IF(CALC!$F$1&gt;0,IF(N(INDEX(BASELINE!$A1312:$ZZ1312,CALC!$F$1))&gt;0,N(INDEX(BASELINE!$A1312:$ZZ1312,CALC!$F$1)),N(BASELINE!E1312)),N(BASELINE!E1312)))=INT(SIMOPS!$D$3),IFERROR(UPPER(TRIM(BASELINE!D1312&amp;"")),"")&lt;&gt;"ENCERRADA"),1,0),0)</f>
        <v/>
      </c>
      <c r="B1312">
        <f>B1311+A1312</f>
        <v/>
      </c>
    </row>
    <row r="1313">
      <c r="A1313">
        <f>IFERROR(IF(AND(BASELINE!I1313&lt;&gt;"",INT(IF(CALC!$F$1&gt;0,IF(N(INDEX(BASELINE!$A1313:$ZZ1313,CALC!$F$1))&gt;0,N(INDEX(BASELINE!$A1313:$ZZ1313,CALC!$F$1)),N(BASELINE!E1313)),N(BASELINE!E1313)))=INT(SIMOPS!$D$3),IFERROR(UPPER(TRIM(BASELINE!D1313&amp;"")),"")&lt;&gt;"ENCERRADA"),1,0),0)</f>
        <v/>
      </c>
      <c r="B1313">
        <f>B1312+A1313</f>
        <v/>
      </c>
    </row>
    <row r="1314">
      <c r="A1314">
        <f>IFERROR(IF(AND(BASELINE!I1314&lt;&gt;"",INT(IF(CALC!$F$1&gt;0,IF(N(INDEX(BASELINE!$A1314:$ZZ1314,CALC!$F$1))&gt;0,N(INDEX(BASELINE!$A1314:$ZZ1314,CALC!$F$1)),N(BASELINE!E1314)),N(BASELINE!E1314)))=INT(SIMOPS!$D$3),IFERROR(UPPER(TRIM(BASELINE!D1314&amp;"")),"")&lt;&gt;"ENCERRADA"),1,0),0)</f>
        <v/>
      </c>
      <c r="B1314">
        <f>B1313+A1314</f>
        <v/>
      </c>
    </row>
    <row r="1315">
      <c r="A1315">
        <f>IFERROR(IF(AND(BASELINE!I1315&lt;&gt;"",INT(IF(CALC!$F$1&gt;0,IF(N(INDEX(BASELINE!$A1315:$ZZ1315,CALC!$F$1))&gt;0,N(INDEX(BASELINE!$A1315:$ZZ1315,CALC!$F$1)),N(BASELINE!E1315)),N(BASELINE!E1315)))=INT(SIMOPS!$D$3),IFERROR(UPPER(TRIM(BASELINE!D1315&amp;"")),"")&lt;&gt;"ENCERRADA"),1,0),0)</f>
        <v/>
      </c>
      <c r="B1315">
        <f>B1314+A1315</f>
        <v/>
      </c>
    </row>
    <row r="1316">
      <c r="A1316">
        <f>IFERROR(IF(AND(BASELINE!I1316&lt;&gt;"",INT(IF(CALC!$F$1&gt;0,IF(N(INDEX(BASELINE!$A1316:$ZZ1316,CALC!$F$1))&gt;0,N(INDEX(BASELINE!$A1316:$ZZ1316,CALC!$F$1)),N(BASELINE!E1316)),N(BASELINE!E1316)))=INT(SIMOPS!$D$3),IFERROR(UPPER(TRIM(BASELINE!D1316&amp;"")),"")&lt;&gt;"ENCERRADA"),1,0),0)</f>
        <v/>
      </c>
      <c r="B1316">
        <f>B1315+A1316</f>
        <v/>
      </c>
    </row>
    <row r="1317">
      <c r="A1317">
        <f>IFERROR(IF(AND(BASELINE!I1317&lt;&gt;"",INT(IF(CALC!$F$1&gt;0,IF(N(INDEX(BASELINE!$A1317:$ZZ1317,CALC!$F$1))&gt;0,N(INDEX(BASELINE!$A1317:$ZZ1317,CALC!$F$1)),N(BASELINE!E1317)),N(BASELINE!E1317)))=INT(SIMOPS!$D$3),IFERROR(UPPER(TRIM(BASELINE!D1317&amp;"")),"")&lt;&gt;"ENCERRADA"),1,0),0)</f>
        <v/>
      </c>
      <c r="B1317">
        <f>B1316+A1317</f>
        <v/>
      </c>
    </row>
    <row r="1318">
      <c r="A1318">
        <f>IFERROR(IF(AND(BASELINE!I1318&lt;&gt;"",INT(IF(CALC!$F$1&gt;0,IF(N(INDEX(BASELINE!$A1318:$ZZ1318,CALC!$F$1))&gt;0,N(INDEX(BASELINE!$A1318:$ZZ1318,CALC!$F$1)),N(BASELINE!E1318)),N(BASELINE!E1318)))=INT(SIMOPS!$D$3),IFERROR(UPPER(TRIM(BASELINE!D1318&amp;"")),"")&lt;&gt;"ENCERRADA"),1,0),0)</f>
        <v/>
      </c>
      <c r="B1318">
        <f>B1317+A1318</f>
        <v/>
      </c>
    </row>
    <row r="1319">
      <c r="A1319">
        <f>IFERROR(IF(AND(BASELINE!I1319&lt;&gt;"",INT(IF(CALC!$F$1&gt;0,IF(N(INDEX(BASELINE!$A1319:$ZZ1319,CALC!$F$1))&gt;0,N(INDEX(BASELINE!$A1319:$ZZ1319,CALC!$F$1)),N(BASELINE!E1319)),N(BASELINE!E1319)))=INT(SIMOPS!$D$3),IFERROR(UPPER(TRIM(BASELINE!D1319&amp;"")),"")&lt;&gt;"ENCERRADA"),1,0),0)</f>
        <v/>
      </c>
      <c r="B1319">
        <f>B1318+A1319</f>
        <v/>
      </c>
    </row>
    <row r="1320">
      <c r="A1320">
        <f>IFERROR(IF(AND(BASELINE!I1320&lt;&gt;"",INT(IF(CALC!$F$1&gt;0,IF(N(INDEX(BASELINE!$A1320:$ZZ1320,CALC!$F$1))&gt;0,N(INDEX(BASELINE!$A1320:$ZZ1320,CALC!$F$1)),N(BASELINE!E1320)),N(BASELINE!E1320)))=INT(SIMOPS!$D$3),IFERROR(UPPER(TRIM(BASELINE!D1320&amp;"")),"")&lt;&gt;"ENCERRADA"),1,0),0)</f>
        <v/>
      </c>
      <c r="B1320">
        <f>B1319+A1320</f>
        <v/>
      </c>
    </row>
    <row r="1321">
      <c r="A1321">
        <f>IFERROR(IF(AND(BASELINE!I1321&lt;&gt;"",INT(IF(CALC!$F$1&gt;0,IF(N(INDEX(BASELINE!$A1321:$ZZ1321,CALC!$F$1))&gt;0,N(INDEX(BASELINE!$A1321:$ZZ1321,CALC!$F$1)),N(BASELINE!E1321)),N(BASELINE!E1321)))=INT(SIMOPS!$D$3),IFERROR(UPPER(TRIM(BASELINE!D1321&amp;"")),"")&lt;&gt;"ENCERRADA"),1,0),0)</f>
        <v/>
      </c>
      <c r="B1321">
        <f>B1320+A1321</f>
        <v/>
      </c>
    </row>
    <row r="1322">
      <c r="A1322">
        <f>IFERROR(IF(AND(BASELINE!I1322&lt;&gt;"",INT(IF(CALC!$F$1&gt;0,IF(N(INDEX(BASELINE!$A1322:$ZZ1322,CALC!$F$1))&gt;0,N(INDEX(BASELINE!$A1322:$ZZ1322,CALC!$F$1)),N(BASELINE!E1322)),N(BASELINE!E1322)))=INT(SIMOPS!$D$3),IFERROR(UPPER(TRIM(BASELINE!D1322&amp;"")),"")&lt;&gt;"ENCERRADA"),1,0),0)</f>
        <v/>
      </c>
      <c r="B1322">
        <f>B1321+A1322</f>
        <v/>
      </c>
    </row>
    <row r="1323">
      <c r="A1323">
        <f>IFERROR(IF(AND(BASELINE!I1323&lt;&gt;"",INT(IF(CALC!$F$1&gt;0,IF(N(INDEX(BASELINE!$A1323:$ZZ1323,CALC!$F$1))&gt;0,N(INDEX(BASELINE!$A1323:$ZZ1323,CALC!$F$1)),N(BASELINE!E1323)),N(BASELINE!E1323)))=INT(SIMOPS!$D$3),IFERROR(UPPER(TRIM(BASELINE!D1323&amp;"")),"")&lt;&gt;"ENCERRADA"),1,0),0)</f>
        <v/>
      </c>
      <c r="B1323">
        <f>B1322+A1323</f>
        <v/>
      </c>
    </row>
    <row r="1324">
      <c r="A1324">
        <f>IFERROR(IF(AND(BASELINE!I1324&lt;&gt;"",INT(IF(CALC!$F$1&gt;0,IF(N(INDEX(BASELINE!$A1324:$ZZ1324,CALC!$F$1))&gt;0,N(INDEX(BASELINE!$A1324:$ZZ1324,CALC!$F$1)),N(BASELINE!E1324)),N(BASELINE!E1324)))=INT(SIMOPS!$D$3),IFERROR(UPPER(TRIM(BASELINE!D1324&amp;"")),"")&lt;&gt;"ENCERRADA"),1,0),0)</f>
        <v/>
      </c>
      <c r="B1324">
        <f>B1323+A1324</f>
        <v/>
      </c>
    </row>
    <row r="1325">
      <c r="A1325">
        <f>IFERROR(IF(AND(BASELINE!I1325&lt;&gt;"",INT(IF(CALC!$F$1&gt;0,IF(N(INDEX(BASELINE!$A1325:$ZZ1325,CALC!$F$1))&gt;0,N(INDEX(BASELINE!$A1325:$ZZ1325,CALC!$F$1)),N(BASELINE!E1325)),N(BASELINE!E1325)))=INT(SIMOPS!$D$3),IFERROR(UPPER(TRIM(BASELINE!D1325&amp;"")),"")&lt;&gt;"ENCERRADA"),1,0),0)</f>
        <v/>
      </c>
      <c r="B1325">
        <f>B1324+A1325</f>
        <v/>
      </c>
    </row>
    <row r="1326">
      <c r="A1326">
        <f>IFERROR(IF(AND(BASELINE!I1326&lt;&gt;"",INT(IF(CALC!$F$1&gt;0,IF(N(INDEX(BASELINE!$A1326:$ZZ1326,CALC!$F$1))&gt;0,N(INDEX(BASELINE!$A1326:$ZZ1326,CALC!$F$1)),N(BASELINE!E1326)),N(BASELINE!E1326)))=INT(SIMOPS!$D$3),IFERROR(UPPER(TRIM(BASELINE!D1326&amp;"")),"")&lt;&gt;"ENCERRADA"),1,0),0)</f>
        <v/>
      </c>
      <c r="B1326">
        <f>B1325+A1326</f>
        <v/>
      </c>
    </row>
    <row r="1327">
      <c r="A1327">
        <f>IFERROR(IF(AND(BASELINE!I1327&lt;&gt;"",INT(IF(CALC!$F$1&gt;0,IF(N(INDEX(BASELINE!$A1327:$ZZ1327,CALC!$F$1))&gt;0,N(INDEX(BASELINE!$A1327:$ZZ1327,CALC!$F$1)),N(BASELINE!E1327)),N(BASELINE!E1327)))=INT(SIMOPS!$D$3),IFERROR(UPPER(TRIM(BASELINE!D1327&amp;"")),"")&lt;&gt;"ENCERRADA"),1,0),0)</f>
        <v/>
      </c>
      <c r="B1327">
        <f>B1326+A1327</f>
        <v/>
      </c>
    </row>
    <row r="1328">
      <c r="A1328">
        <f>IFERROR(IF(AND(BASELINE!I1328&lt;&gt;"",INT(IF(CALC!$F$1&gt;0,IF(N(INDEX(BASELINE!$A1328:$ZZ1328,CALC!$F$1))&gt;0,N(INDEX(BASELINE!$A1328:$ZZ1328,CALC!$F$1)),N(BASELINE!E1328)),N(BASELINE!E1328)))=INT(SIMOPS!$D$3),IFERROR(UPPER(TRIM(BASELINE!D1328&amp;"")),"")&lt;&gt;"ENCERRADA"),1,0),0)</f>
        <v/>
      </c>
      <c r="B1328">
        <f>B1327+A1328</f>
        <v/>
      </c>
    </row>
    <row r="1329">
      <c r="A1329">
        <f>IFERROR(IF(AND(BASELINE!I1329&lt;&gt;"",INT(IF(CALC!$F$1&gt;0,IF(N(INDEX(BASELINE!$A1329:$ZZ1329,CALC!$F$1))&gt;0,N(INDEX(BASELINE!$A1329:$ZZ1329,CALC!$F$1)),N(BASELINE!E1329)),N(BASELINE!E1329)))=INT(SIMOPS!$D$3),IFERROR(UPPER(TRIM(BASELINE!D1329&amp;"")),"")&lt;&gt;"ENCERRADA"),1,0),0)</f>
        <v/>
      </c>
      <c r="B1329">
        <f>B1328+A1329</f>
        <v/>
      </c>
    </row>
    <row r="1330">
      <c r="A1330">
        <f>IFERROR(IF(AND(BASELINE!I1330&lt;&gt;"",INT(IF(CALC!$F$1&gt;0,IF(N(INDEX(BASELINE!$A1330:$ZZ1330,CALC!$F$1))&gt;0,N(INDEX(BASELINE!$A1330:$ZZ1330,CALC!$F$1)),N(BASELINE!E1330)),N(BASELINE!E1330)))=INT(SIMOPS!$D$3),IFERROR(UPPER(TRIM(BASELINE!D1330&amp;"")),"")&lt;&gt;"ENCERRADA"),1,0),0)</f>
        <v/>
      </c>
      <c r="B1330">
        <f>B1329+A1330</f>
        <v/>
      </c>
    </row>
    <row r="1331">
      <c r="A1331">
        <f>IFERROR(IF(AND(BASELINE!I1331&lt;&gt;"",INT(IF(CALC!$F$1&gt;0,IF(N(INDEX(BASELINE!$A1331:$ZZ1331,CALC!$F$1))&gt;0,N(INDEX(BASELINE!$A1331:$ZZ1331,CALC!$F$1)),N(BASELINE!E1331)),N(BASELINE!E1331)))=INT(SIMOPS!$D$3),IFERROR(UPPER(TRIM(BASELINE!D1331&amp;"")),"")&lt;&gt;"ENCERRADA"),1,0),0)</f>
        <v/>
      </c>
      <c r="B1331">
        <f>B1330+A1331</f>
        <v/>
      </c>
    </row>
    <row r="1332">
      <c r="A1332">
        <f>IFERROR(IF(AND(BASELINE!I1332&lt;&gt;"",INT(IF(CALC!$F$1&gt;0,IF(N(INDEX(BASELINE!$A1332:$ZZ1332,CALC!$F$1))&gt;0,N(INDEX(BASELINE!$A1332:$ZZ1332,CALC!$F$1)),N(BASELINE!E1332)),N(BASELINE!E1332)))=INT(SIMOPS!$D$3),IFERROR(UPPER(TRIM(BASELINE!D1332&amp;"")),"")&lt;&gt;"ENCERRADA"),1,0),0)</f>
        <v/>
      </c>
      <c r="B1332">
        <f>B1331+A1332</f>
        <v/>
      </c>
    </row>
    <row r="1333">
      <c r="A1333">
        <f>IFERROR(IF(AND(BASELINE!I1333&lt;&gt;"",INT(IF(CALC!$F$1&gt;0,IF(N(INDEX(BASELINE!$A1333:$ZZ1333,CALC!$F$1))&gt;0,N(INDEX(BASELINE!$A1333:$ZZ1333,CALC!$F$1)),N(BASELINE!E1333)),N(BASELINE!E1333)))=INT(SIMOPS!$D$3),IFERROR(UPPER(TRIM(BASELINE!D1333&amp;"")),"")&lt;&gt;"ENCERRADA"),1,0),0)</f>
        <v/>
      </c>
      <c r="B1333">
        <f>B1332+A1333</f>
        <v/>
      </c>
    </row>
    <row r="1334">
      <c r="A1334">
        <f>IFERROR(IF(AND(BASELINE!I1334&lt;&gt;"",INT(IF(CALC!$F$1&gt;0,IF(N(INDEX(BASELINE!$A1334:$ZZ1334,CALC!$F$1))&gt;0,N(INDEX(BASELINE!$A1334:$ZZ1334,CALC!$F$1)),N(BASELINE!E1334)),N(BASELINE!E1334)))=INT(SIMOPS!$D$3),IFERROR(UPPER(TRIM(BASELINE!D1334&amp;"")),"")&lt;&gt;"ENCERRADA"),1,0),0)</f>
        <v/>
      </c>
      <c r="B1334">
        <f>B1333+A1334</f>
        <v/>
      </c>
    </row>
    <row r="1335">
      <c r="A1335">
        <f>IFERROR(IF(AND(BASELINE!I1335&lt;&gt;"",INT(IF(CALC!$F$1&gt;0,IF(N(INDEX(BASELINE!$A1335:$ZZ1335,CALC!$F$1))&gt;0,N(INDEX(BASELINE!$A1335:$ZZ1335,CALC!$F$1)),N(BASELINE!E1335)),N(BASELINE!E1335)))=INT(SIMOPS!$D$3),IFERROR(UPPER(TRIM(BASELINE!D1335&amp;"")),"")&lt;&gt;"ENCERRADA"),1,0),0)</f>
        <v/>
      </c>
      <c r="B1335">
        <f>B1334+A1335</f>
        <v/>
      </c>
    </row>
    <row r="1336">
      <c r="A1336">
        <f>IFERROR(IF(AND(BASELINE!I1336&lt;&gt;"",INT(IF(CALC!$F$1&gt;0,IF(N(INDEX(BASELINE!$A1336:$ZZ1336,CALC!$F$1))&gt;0,N(INDEX(BASELINE!$A1336:$ZZ1336,CALC!$F$1)),N(BASELINE!E1336)),N(BASELINE!E1336)))=INT(SIMOPS!$D$3),IFERROR(UPPER(TRIM(BASELINE!D1336&amp;"")),"")&lt;&gt;"ENCERRADA"),1,0),0)</f>
        <v/>
      </c>
      <c r="B1336">
        <f>B1335+A1336</f>
        <v/>
      </c>
    </row>
    <row r="1337">
      <c r="A1337">
        <f>IFERROR(IF(AND(BASELINE!I1337&lt;&gt;"",INT(IF(CALC!$F$1&gt;0,IF(N(INDEX(BASELINE!$A1337:$ZZ1337,CALC!$F$1))&gt;0,N(INDEX(BASELINE!$A1337:$ZZ1337,CALC!$F$1)),N(BASELINE!E1337)),N(BASELINE!E1337)))=INT(SIMOPS!$D$3),IFERROR(UPPER(TRIM(BASELINE!D1337&amp;"")),"")&lt;&gt;"ENCERRADA"),1,0),0)</f>
        <v/>
      </c>
      <c r="B1337">
        <f>B1336+A1337</f>
        <v/>
      </c>
    </row>
    <row r="1338">
      <c r="A1338">
        <f>IFERROR(IF(AND(BASELINE!I1338&lt;&gt;"",INT(IF(CALC!$F$1&gt;0,IF(N(INDEX(BASELINE!$A1338:$ZZ1338,CALC!$F$1))&gt;0,N(INDEX(BASELINE!$A1338:$ZZ1338,CALC!$F$1)),N(BASELINE!E1338)),N(BASELINE!E1338)))=INT(SIMOPS!$D$3),IFERROR(UPPER(TRIM(BASELINE!D1338&amp;"")),"")&lt;&gt;"ENCERRADA"),1,0),0)</f>
        <v/>
      </c>
      <c r="B1338">
        <f>B1337+A1338</f>
        <v/>
      </c>
    </row>
    <row r="1339">
      <c r="A1339">
        <f>IFERROR(IF(AND(BASELINE!I1339&lt;&gt;"",INT(IF(CALC!$F$1&gt;0,IF(N(INDEX(BASELINE!$A1339:$ZZ1339,CALC!$F$1))&gt;0,N(INDEX(BASELINE!$A1339:$ZZ1339,CALC!$F$1)),N(BASELINE!E1339)),N(BASELINE!E1339)))=INT(SIMOPS!$D$3),IFERROR(UPPER(TRIM(BASELINE!D1339&amp;"")),"")&lt;&gt;"ENCERRADA"),1,0),0)</f>
        <v/>
      </c>
      <c r="B1339">
        <f>B1338+A1339</f>
        <v/>
      </c>
    </row>
    <row r="1340">
      <c r="A1340">
        <f>IFERROR(IF(AND(BASELINE!I1340&lt;&gt;"",INT(IF(CALC!$F$1&gt;0,IF(N(INDEX(BASELINE!$A1340:$ZZ1340,CALC!$F$1))&gt;0,N(INDEX(BASELINE!$A1340:$ZZ1340,CALC!$F$1)),N(BASELINE!E1340)),N(BASELINE!E1340)))=INT(SIMOPS!$D$3),IFERROR(UPPER(TRIM(BASELINE!D1340&amp;"")),"")&lt;&gt;"ENCERRADA"),1,0),0)</f>
        <v/>
      </c>
      <c r="B1340">
        <f>B1339+A1340</f>
        <v/>
      </c>
    </row>
    <row r="1341">
      <c r="A1341">
        <f>IFERROR(IF(AND(BASELINE!I1341&lt;&gt;"",INT(IF(CALC!$F$1&gt;0,IF(N(INDEX(BASELINE!$A1341:$ZZ1341,CALC!$F$1))&gt;0,N(INDEX(BASELINE!$A1341:$ZZ1341,CALC!$F$1)),N(BASELINE!E1341)),N(BASELINE!E1341)))=INT(SIMOPS!$D$3),IFERROR(UPPER(TRIM(BASELINE!D1341&amp;"")),"")&lt;&gt;"ENCERRADA"),1,0),0)</f>
        <v/>
      </c>
      <c r="B1341">
        <f>B1340+A1341</f>
        <v/>
      </c>
    </row>
    <row r="1342">
      <c r="A1342">
        <f>IFERROR(IF(AND(BASELINE!I1342&lt;&gt;"",INT(IF(CALC!$F$1&gt;0,IF(N(INDEX(BASELINE!$A1342:$ZZ1342,CALC!$F$1))&gt;0,N(INDEX(BASELINE!$A1342:$ZZ1342,CALC!$F$1)),N(BASELINE!E1342)),N(BASELINE!E1342)))=INT(SIMOPS!$D$3),IFERROR(UPPER(TRIM(BASELINE!D1342&amp;"")),"")&lt;&gt;"ENCERRADA"),1,0),0)</f>
        <v/>
      </c>
      <c r="B1342">
        <f>B1341+A1342</f>
        <v/>
      </c>
    </row>
    <row r="1343">
      <c r="A1343">
        <f>IFERROR(IF(AND(BASELINE!I1343&lt;&gt;"",INT(IF(CALC!$F$1&gt;0,IF(N(INDEX(BASELINE!$A1343:$ZZ1343,CALC!$F$1))&gt;0,N(INDEX(BASELINE!$A1343:$ZZ1343,CALC!$F$1)),N(BASELINE!E1343)),N(BASELINE!E1343)))=INT(SIMOPS!$D$3),IFERROR(UPPER(TRIM(BASELINE!D1343&amp;"")),"")&lt;&gt;"ENCERRADA"),1,0),0)</f>
        <v/>
      </c>
      <c r="B1343">
        <f>B1342+A1343</f>
        <v/>
      </c>
    </row>
    <row r="1344">
      <c r="A1344">
        <f>IFERROR(IF(AND(BASELINE!I1344&lt;&gt;"",INT(IF(CALC!$F$1&gt;0,IF(N(INDEX(BASELINE!$A1344:$ZZ1344,CALC!$F$1))&gt;0,N(INDEX(BASELINE!$A1344:$ZZ1344,CALC!$F$1)),N(BASELINE!E1344)),N(BASELINE!E1344)))=INT(SIMOPS!$D$3),IFERROR(UPPER(TRIM(BASELINE!D1344&amp;"")),"")&lt;&gt;"ENCERRADA"),1,0),0)</f>
        <v/>
      </c>
      <c r="B1344">
        <f>B1343+A1344</f>
        <v/>
      </c>
    </row>
    <row r="1345">
      <c r="A1345">
        <f>IFERROR(IF(AND(BASELINE!I1345&lt;&gt;"",INT(IF(CALC!$F$1&gt;0,IF(N(INDEX(BASELINE!$A1345:$ZZ1345,CALC!$F$1))&gt;0,N(INDEX(BASELINE!$A1345:$ZZ1345,CALC!$F$1)),N(BASELINE!E1345)),N(BASELINE!E1345)))=INT(SIMOPS!$D$3),IFERROR(UPPER(TRIM(BASELINE!D1345&amp;"")),"")&lt;&gt;"ENCERRADA"),1,0),0)</f>
        <v/>
      </c>
      <c r="B1345">
        <f>B1344+A1345</f>
        <v/>
      </c>
    </row>
    <row r="1346">
      <c r="A1346">
        <f>IFERROR(IF(AND(BASELINE!I1346&lt;&gt;"",INT(IF(CALC!$F$1&gt;0,IF(N(INDEX(BASELINE!$A1346:$ZZ1346,CALC!$F$1))&gt;0,N(INDEX(BASELINE!$A1346:$ZZ1346,CALC!$F$1)),N(BASELINE!E1346)),N(BASELINE!E1346)))=INT(SIMOPS!$D$3),IFERROR(UPPER(TRIM(BASELINE!D1346&amp;"")),"")&lt;&gt;"ENCERRADA"),1,0),0)</f>
        <v/>
      </c>
      <c r="B1346">
        <f>B1345+A1346</f>
        <v/>
      </c>
    </row>
    <row r="1347">
      <c r="A1347">
        <f>IFERROR(IF(AND(BASELINE!I1347&lt;&gt;"",INT(IF(CALC!$F$1&gt;0,IF(N(INDEX(BASELINE!$A1347:$ZZ1347,CALC!$F$1))&gt;0,N(INDEX(BASELINE!$A1347:$ZZ1347,CALC!$F$1)),N(BASELINE!E1347)),N(BASELINE!E1347)))=INT(SIMOPS!$D$3),IFERROR(UPPER(TRIM(BASELINE!D1347&amp;"")),"")&lt;&gt;"ENCERRADA"),1,0),0)</f>
        <v/>
      </c>
      <c r="B1347">
        <f>B1346+A1347</f>
        <v/>
      </c>
    </row>
    <row r="1348">
      <c r="A1348">
        <f>IFERROR(IF(AND(BASELINE!I1348&lt;&gt;"",INT(IF(CALC!$F$1&gt;0,IF(N(INDEX(BASELINE!$A1348:$ZZ1348,CALC!$F$1))&gt;0,N(INDEX(BASELINE!$A1348:$ZZ1348,CALC!$F$1)),N(BASELINE!E1348)),N(BASELINE!E1348)))=INT(SIMOPS!$D$3),IFERROR(UPPER(TRIM(BASELINE!D1348&amp;"")),"")&lt;&gt;"ENCERRADA"),1,0),0)</f>
        <v/>
      </c>
      <c r="B1348">
        <f>B1347+A1348</f>
        <v/>
      </c>
    </row>
    <row r="1349">
      <c r="A1349">
        <f>IFERROR(IF(AND(BASELINE!I1349&lt;&gt;"",INT(IF(CALC!$F$1&gt;0,IF(N(INDEX(BASELINE!$A1349:$ZZ1349,CALC!$F$1))&gt;0,N(INDEX(BASELINE!$A1349:$ZZ1349,CALC!$F$1)),N(BASELINE!E1349)),N(BASELINE!E1349)))=INT(SIMOPS!$D$3),IFERROR(UPPER(TRIM(BASELINE!D1349&amp;"")),"")&lt;&gt;"ENCERRADA"),1,0),0)</f>
        <v/>
      </c>
      <c r="B1349">
        <f>B1348+A1349</f>
        <v/>
      </c>
    </row>
    <row r="1350">
      <c r="A1350">
        <f>IFERROR(IF(AND(BASELINE!I1350&lt;&gt;"",INT(IF(CALC!$F$1&gt;0,IF(N(INDEX(BASELINE!$A1350:$ZZ1350,CALC!$F$1))&gt;0,N(INDEX(BASELINE!$A1350:$ZZ1350,CALC!$F$1)),N(BASELINE!E1350)),N(BASELINE!E1350)))=INT(SIMOPS!$D$3),IFERROR(UPPER(TRIM(BASELINE!D1350&amp;"")),"")&lt;&gt;"ENCERRADA"),1,0),0)</f>
        <v/>
      </c>
      <c r="B1350">
        <f>B1349+A1350</f>
        <v/>
      </c>
    </row>
    <row r="1351">
      <c r="A1351">
        <f>IFERROR(IF(AND(BASELINE!I1351&lt;&gt;"",INT(IF(CALC!$F$1&gt;0,IF(N(INDEX(BASELINE!$A1351:$ZZ1351,CALC!$F$1))&gt;0,N(INDEX(BASELINE!$A1351:$ZZ1351,CALC!$F$1)),N(BASELINE!E1351)),N(BASELINE!E1351)))=INT(SIMOPS!$D$3),IFERROR(UPPER(TRIM(BASELINE!D1351&amp;"")),"")&lt;&gt;"ENCERRADA"),1,0),0)</f>
        <v/>
      </c>
      <c r="B1351">
        <f>B1350+A1351</f>
        <v/>
      </c>
    </row>
    <row r="1352">
      <c r="A1352">
        <f>IFERROR(IF(AND(BASELINE!I1352&lt;&gt;"",INT(IF(CALC!$F$1&gt;0,IF(N(INDEX(BASELINE!$A1352:$ZZ1352,CALC!$F$1))&gt;0,N(INDEX(BASELINE!$A1352:$ZZ1352,CALC!$F$1)),N(BASELINE!E1352)),N(BASELINE!E1352)))=INT(SIMOPS!$D$3),IFERROR(UPPER(TRIM(BASELINE!D1352&amp;"")),"")&lt;&gt;"ENCERRADA"),1,0),0)</f>
        <v/>
      </c>
      <c r="B1352">
        <f>B1351+A1352</f>
        <v/>
      </c>
    </row>
    <row r="1353">
      <c r="A1353">
        <f>IFERROR(IF(AND(BASELINE!I1353&lt;&gt;"",INT(IF(CALC!$F$1&gt;0,IF(N(INDEX(BASELINE!$A1353:$ZZ1353,CALC!$F$1))&gt;0,N(INDEX(BASELINE!$A1353:$ZZ1353,CALC!$F$1)),N(BASELINE!E1353)),N(BASELINE!E1353)))=INT(SIMOPS!$D$3),IFERROR(UPPER(TRIM(BASELINE!D1353&amp;"")),"")&lt;&gt;"ENCERRADA"),1,0),0)</f>
        <v/>
      </c>
      <c r="B1353">
        <f>B1352+A1353</f>
        <v/>
      </c>
    </row>
    <row r="1354">
      <c r="A1354">
        <f>IFERROR(IF(AND(BASELINE!I1354&lt;&gt;"",INT(IF(CALC!$F$1&gt;0,IF(N(INDEX(BASELINE!$A1354:$ZZ1354,CALC!$F$1))&gt;0,N(INDEX(BASELINE!$A1354:$ZZ1354,CALC!$F$1)),N(BASELINE!E1354)),N(BASELINE!E1354)))=INT(SIMOPS!$D$3),IFERROR(UPPER(TRIM(BASELINE!D1354&amp;"")),"")&lt;&gt;"ENCERRADA"),1,0),0)</f>
        <v/>
      </c>
      <c r="B1354">
        <f>B1353+A1354</f>
        <v/>
      </c>
    </row>
    <row r="1355">
      <c r="A1355">
        <f>IFERROR(IF(AND(BASELINE!I1355&lt;&gt;"",INT(IF(CALC!$F$1&gt;0,IF(N(INDEX(BASELINE!$A1355:$ZZ1355,CALC!$F$1))&gt;0,N(INDEX(BASELINE!$A1355:$ZZ1355,CALC!$F$1)),N(BASELINE!E1355)),N(BASELINE!E1355)))=INT(SIMOPS!$D$3),IFERROR(UPPER(TRIM(BASELINE!D1355&amp;"")),"")&lt;&gt;"ENCERRADA"),1,0),0)</f>
        <v/>
      </c>
      <c r="B1355">
        <f>B1354+A1355</f>
        <v/>
      </c>
    </row>
    <row r="1356">
      <c r="A1356">
        <f>IFERROR(IF(AND(BASELINE!I1356&lt;&gt;"",INT(IF(CALC!$F$1&gt;0,IF(N(INDEX(BASELINE!$A1356:$ZZ1356,CALC!$F$1))&gt;0,N(INDEX(BASELINE!$A1356:$ZZ1356,CALC!$F$1)),N(BASELINE!E1356)),N(BASELINE!E1356)))=INT(SIMOPS!$D$3),IFERROR(UPPER(TRIM(BASELINE!D1356&amp;"")),"")&lt;&gt;"ENCERRADA"),1,0),0)</f>
        <v/>
      </c>
      <c r="B1356">
        <f>B1355+A1356</f>
        <v/>
      </c>
    </row>
    <row r="1357">
      <c r="A1357">
        <f>IFERROR(IF(AND(BASELINE!I1357&lt;&gt;"",INT(IF(CALC!$F$1&gt;0,IF(N(INDEX(BASELINE!$A1357:$ZZ1357,CALC!$F$1))&gt;0,N(INDEX(BASELINE!$A1357:$ZZ1357,CALC!$F$1)),N(BASELINE!E1357)),N(BASELINE!E1357)))=INT(SIMOPS!$D$3),IFERROR(UPPER(TRIM(BASELINE!D1357&amp;"")),"")&lt;&gt;"ENCERRADA"),1,0),0)</f>
        <v/>
      </c>
      <c r="B1357">
        <f>B1356+A1357</f>
        <v/>
      </c>
    </row>
    <row r="1358">
      <c r="A1358">
        <f>IFERROR(IF(AND(BASELINE!I1358&lt;&gt;"",INT(IF(CALC!$F$1&gt;0,IF(N(INDEX(BASELINE!$A1358:$ZZ1358,CALC!$F$1))&gt;0,N(INDEX(BASELINE!$A1358:$ZZ1358,CALC!$F$1)),N(BASELINE!E1358)),N(BASELINE!E1358)))=INT(SIMOPS!$D$3),IFERROR(UPPER(TRIM(BASELINE!D1358&amp;"")),"")&lt;&gt;"ENCERRADA"),1,0),0)</f>
        <v/>
      </c>
      <c r="B1358">
        <f>B1357+A1358</f>
        <v/>
      </c>
    </row>
    <row r="1359">
      <c r="A1359">
        <f>IFERROR(IF(AND(BASELINE!I1359&lt;&gt;"",INT(IF(CALC!$F$1&gt;0,IF(N(INDEX(BASELINE!$A1359:$ZZ1359,CALC!$F$1))&gt;0,N(INDEX(BASELINE!$A1359:$ZZ1359,CALC!$F$1)),N(BASELINE!E1359)),N(BASELINE!E1359)))=INT(SIMOPS!$D$3),IFERROR(UPPER(TRIM(BASELINE!D1359&amp;"")),"")&lt;&gt;"ENCERRADA"),1,0),0)</f>
        <v/>
      </c>
      <c r="B1359">
        <f>B1358+A1359</f>
        <v/>
      </c>
    </row>
    <row r="1360">
      <c r="A1360">
        <f>IFERROR(IF(AND(BASELINE!I1360&lt;&gt;"",INT(IF(CALC!$F$1&gt;0,IF(N(INDEX(BASELINE!$A1360:$ZZ1360,CALC!$F$1))&gt;0,N(INDEX(BASELINE!$A1360:$ZZ1360,CALC!$F$1)),N(BASELINE!E1360)),N(BASELINE!E1360)))=INT(SIMOPS!$D$3),IFERROR(UPPER(TRIM(BASELINE!D1360&amp;"")),"")&lt;&gt;"ENCERRADA"),1,0),0)</f>
        <v/>
      </c>
      <c r="B1360">
        <f>B1359+A1360</f>
        <v/>
      </c>
    </row>
    <row r="1361">
      <c r="A1361">
        <f>IFERROR(IF(AND(BASELINE!I1361&lt;&gt;"",INT(IF(CALC!$F$1&gt;0,IF(N(INDEX(BASELINE!$A1361:$ZZ1361,CALC!$F$1))&gt;0,N(INDEX(BASELINE!$A1361:$ZZ1361,CALC!$F$1)),N(BASELINE!E1361)),N(BASELINE!E1361)))=INT(SIMOPS!$D$3),IFERROR(UPPER(TRIM(BASELINE!D1361&amp;"")),"")&lt;&gt;"ENCERRADA"),1,0),0)</f>
        <v/>
      </c>
      <c r="B1361">
        <f>B1360+A1361</f>
        <v/>
      </c>
    </row>
    <row r="1362">
      <c r="A1362">
        <f>IFERROR(IF(AND(BASELINE!I1362&lt;&gt;"",INT(IF(CALC!$F$1&gt;0,IF(N(INDEX(BASELINE!$A1362:$ZZ1362,CALC!$F$1))&gt;0,N(INDEX(BASELINE!$A1362:$ZZ1362,CALC!$F$1)),N(BASELINE!E1362)),N(BASELINE!E1362)))=INT(SIMOPS!$D$3),IFERROR(UPPER(TRIM(BASELINE!D1362&amp;"")),"")&lt;&gt;"ENCERRADA"),1,0),0)</f>
        <v/>
      </c>
      <c r="B1362">
        <f>B1361+A1362</f>
        <v/>
      </c>
    </row>
    <row r="1363">
      <c r="A1363">
        <f>IFERROR(IF(AND(BASELINE!I1363&lt;&gt;"",INT(IF(CALC!$F$1&gt;0,IF(N(INDEX(BASELINE!$A1363:$ZZ1363,CALC!$F$1))&gt;0,N(INDEX(BASELINE!$A1363:$ZZ1363,CALC!$F$1)),N(BASELINE!E1363)),N(BASELINE!E1363)))=INT(SIMOPS!$D$3),IFERROR(UPPER(TRIM(BASELINE!D1363&amp;"")),"")&lt;&gt;"ENCERRADA"),1,0),0)</f>
        <v/>
      </c>
      <c r="B1363">
        <f>B1362+A1363</f>
        <v/>
      </c>
    </row>
    <row r="1364">
      <c r="A1364">
        <f>IFERROR(IF(AND(BASELINE!I1364&lt;&gt;"",INT(IF(CALC!$F$1&gt;0,IF(N(INDEX(BASELINE!$A1364:$ZZ1364,CALC!$F$1))&gt;0,N(INDEX(BASELINE!$A1364:$ZZ1364,CALC!$F$1)),N(BASELINE!E1364)),N(BASELINE!E1364)))=INT(SIMOPS!$D$3),IFERROR(UPPER(TRIM(BASELINE!D1364&amp;"")),"")&lt;&gt;"ENCERRADA"),1,0),0)</f>
        <v/>
      </c>
      <c r="B1364">
        <f>B1363+A1364</f>
        <v/>
      </c>
    </row>
    <row r="1365">
      <c r="A1365">
        <f>IFERROR(IF(AND(BASELINE!I1365&lt;&gt;"",INT(IF(CALC!$F$1&gt;0,IF(N(INDEX(BASELINE!$A1365:$ZZ1365,CALC!$F$1))&gt;0,N(INDEX(BASELINE!$A1365:$ZZ1365,CALC!$F$1)),N(BASELINE!E1365)),N(BASELINE!E1365)))=INT(SIMOPS!$D$3),IFERROR(UPPER(TRIM(BASELINE!D1365&amp;"")),"")&lt;&gt;"ENCERRADA"),1,0),0)</f>
        <v/>
      </c>
      <c r="B1365">
        <f>B1364+A1365</f>
        <v/>
      </c>
    </row>
    <row r="1366">
      <c r="A1366">
        <f>IFERROR(IF(AND(BASELINE!I1366&lt;&gt;"",INT(IF(CALC!$F$1&gt;0,IF(N(INDEX(BASELINE!$A1366:$ZZ1366,CALC!$F$1))&gt;0,N(INDEX(BASELINE!$A1366:$ZZ1366,CALC!$F$1)),N(BASELINE!E1366)),N(BASELINE!E1366)))=INT(SIMOPS!$D$3),IFERROR(UPPER(TRIM(BASELINE!D1366&amp;"")),"")&lt;&gt;"ENCERRADA"),1,0),0)</f>
        <v/>
      </c>
      <c r="B1366">
        <f>B1365+A1366</f>
        <v/>
      </c>
    </row>
    <row r="1367">
      <c r="A1367">
        <f>IFERROR(IF(AND(BASELINE!I1367&lt;&gt;"",INT(IF(CALC!$F$1&gt;0,IF(N(INDEX(BASELINE!$A1367:$ZZ1367,CALC!$F$1))&gt;0,N(INDEX(BASELINE!$A1367:$ZZ1367,CALC!$F$1)),N(BASELINE!E1367)),N(BASELINE!E1367)))=INT(SIMOPS!$D$3),IFERROR(UPPER(TRIM(BASELINE!D1367&amp;"")),"")&lt;&gt;"ENCERRADA"),1,0),0)</f>
        <v/>
      </c>
      <c r="B1367">
        <f>B1366+A1367</f>
        <v/>
      </c>
    </row>
    <row r="1368">
      <c r="A1368">
        <f>IFERROR(IF(AND(BASELINE!I1368&lt;&gt;"",INT(IF(CALC!$F$1&gt;0,IF(N(INDEX(BASELINE!$A1368:$ZZ1368,CALC!$F$1))&gt;0,N(INDEX(BASELINE!$A1368:$ZZ1368,CALC!$F$1)),N(BASELINE!E1368)),N(BASELINE!E1368)))=INT(SIMOPS!$D$3),IFERROR(UPPER(TRIM(BASELINE!D1368&amp;"")),"")&lt;&gt;"ENCERRADA"),1,0),0)</f>
        <v/>
      </c>
      <c r="B1368">
        <f>B1367+A1368</f>
        <v/>
      </c>
    </row>
    <row r="1369">
      <c r="A1369">
        <f>IFERROR(IF(AND(BASELINE!I1369&lt;&gt;"",INT(IF(CALC!$F$1&gt;0,IF(N(INDEX(BASELINE!$A1369:$ZZ1369,CALC!$F$1))&gt;0,N(INDEX(BASELINE!$A1369:$ZZ1369,CALC!$F$1)),N(BASELINE!E1369)),N(BASELINE!E1369)))=INT(SIMOPS!$D$3),IFERROR(UPPER(TRIM(BASELINE!D1369&amp;"")),"")&lt;&gt;"ENCERRADA"),1,0),0)</f>
        <v/>
      </c>
      <c r="B1369">
        <f>B1368+A1369</f>
        <v/>
      </c>
    </row>
    <row r="1370">
      <c r="A1370">
        <f>IFERROR(IF(AND(BASELINE!I1370&lt;&gt;"",INT(IF(CALC!$F$1&gt;0,IF(N(INDEX(BASELINE!$A1370:$ZZ1370,CALC!$F$1))&gt;0,N(INDEX(BASELINE!$A1370:$ZZ1370,CALC!$F$1)),N(BASELINE!E1370)),N(BASELINE!E1370)))=INT(SIMOPS!$D$3),IFERROR(UPPER(TRIM(BASELINE!D1370&amp;"")),"")&lt;&gt;"ENCERRADA"),1,0),0)</f>
        <v/>
      </c>
      <c r="B1370">
        <f>B1369+A1370</f>
        <v/>
      </c>
    </row>
    <row r="1371">
      <c r="A1371">
        <f>IFERROR(IF(AND(BASELINE!I1371&lt;&gt;"",INT(IF(CALC!$F$1&gt;0,IF(N(INDEX(BASELINE!$A1371:$ZZ1371,CALC!$F$1))&gt;0,N(INDEX(BASELINE!$A1371:$ZZ1371,CALC!$F$1)),N(BASELINE!E1371)),N(BASELINE!E1371)))=INT(SIMOPS!$D$3),IFERROR(UPPER(TRIM(BASELINE!D1371&amp;"")),"")&lt;&gt;"ENCERRADA"),1,0),0)</f>
        <v/>
      </c>
      <c r="B1371">
        <f>B1370+A1371</f>
        <v/>
      </c>
    </row>
    <row r="1372">
      <c r="A1372">
        <f>IFERROR(IF(AND(BASELINE!I1372&lt;&gt;"",INT(IF(CALC!$F$1&gt;0,IF(N(INDEX(BASELINE!$A1372:$ZZ1372,CALC!$F$1))&gt;0,N(INDEX(BASELINE!$A1372:$ZZ1372,CALC!$F$1)),N(BASELINE!E1372)),N(BASELINE!E1372)))=INT(SIMOPS!$D$3),IFERROR(UPPER(TRIM(BASELINE!D1372&amp;"")),"")&lt;&gt;"ENCERRADA"),1,0),0)</f>
        <v/>
      </c>
      <c r="B1372">
        <f>B1371+A1372</f>
        <v/>
      </c>
    </row>
    <row r="1373">
      <c r="A1373">
        <f>IFERROR(IF(AND(BASELINE!I1373&lt;&gt;"",INT(IF(CALC!$F$1&gt;0,IF(N(INDEX(BASELINE!$A1373:$ZZ1373,CALC!$F$1))&gt;0,N(INDEX(BASELINE!$A1373:$ZZ1373,CALC!$F$1)),N(BASELINE!E1373)),N(BASELINE!E1373)))=INT(SIMOPS!$D$3),IFERROR(UPPER(TRIM(BASELINE!D1373&amp;"")),"")&lt;&gt;"ENCERRADA"),1,0),0)</f>
        <v/>
      </c>
      <c r="B1373">
        <f>B1372+A1373</f>
        <v/>
      </c>
    </row>
    <row r="1374">
      <c r="A1374">
        <f>IFERROR(IF(AND(BASELINE!I1374&lt;&gt;"",INT(IF(CALC!$F$1&gt;0,IF(N(INDEX(BASELINE!$A1374:$ZZ1374,CALC!$F$1))&gt;0,N(INDEX(BASELINE!$A1374:$ZZ1374,CALC!$F$1)),N(BASELINE!E1374)),N(BASELINE!E1374)))=INT(SIMOPS!$D$3),IFERROR(UPPER(TRIM(BASELINE!D1374&amp;"")),"")&lt;&gt;"ENCERRADA"),1,0),0)</f>
        <v/>
      </c>
      <c r="B1374">
        <f>B1373+A1374</f>
        <v/>
      </c>
    </row>
    <row r="1375">
      <c r="A1375">
        <f>IFERROR(IF(AND(BASELINE!I1375&lt;&gt;"",INT(IF(CALC!$F$1&gt;0,IF(N(INDEX(BASELINE!$A1375:$ZZ1375,CALC!$F$1))&gt;0,N(INDEX(BASELINE!$A1375:$ZZ1375,CALC!$F$1)),N(BASELINE!E1375)),N(BASELINE!E1375)))=INT(SIMOPS!$D$3),IFERROR(UPPER(TRIM(BASELINE!D1375&amp;"")),"")&lt;&gt;"ENCERRADA"),1,0),0)</f>
        <v/>
      </c>
      <c r="B1375">
        <f>B1374+A1375</f>
        <v/>
      </c>
    </row>
    <row r="1376">
      <c r="A1376">
        <f>IFERROR(IF(AND(BASELINE!I1376&lt;&gt;"",INT(IF(CALC!$F$1&gt;0,IF(N(INDEX(BASELINE!$A1376:$ZZ1376,CALC!$F$1))&gt;0,N(INDEX(BASELINE!$A1376:$ZZ1376,CALC!$F$1)),N(BASELINE!E1376)),N(BASELINE!E1376)))=INT(SIMOPS!$D$3),IFERROR(UPPER(TRIM(BASELINE!D1376&amp;"")),"")&lt;&gt;"ENCERRADA"),1,0),0)</f>
        <v/>
      </c>
      <c r="B1376">
        <f>B1375+A1376</f>
        <v/>
      </c>
    </row>
    <row r="1377">
      <c r="A1377">
        <f>IFERROR(IF(AND(BASELINE!I1377&lt;&gt;"",INT(IF(CALC!$F$1&gt;0,IF(N(INDEX(BASELINE!$A1377:$ZZ1377,CALC!$F$1))&gt;0,N(INDEX(BASELINE!$A1377:$ZZ1377,CALC!$F$1)),N(BASELINE!E1377)),N(BASELINE!E1377)))=INT(SIMOPS!$D$3),IFERROR(UPPER(TRIM(BASELINE!D1377&amp;"")),"")&lt;&gt;"ENCERRADA"),1,0),0)</f>
        <v/>
      </c>
      <c r="B1377">
        <f>B1376+A1377</f>
        <v/>
      </c>
    </row>
    <row r="1378">
      <c r="A1378">
        <f>IFERROR(IF(AND(BASELINE!I1378&lt;&gt;"",INT(IF(CALC!$F$1&gt;0,IF(N(INDEX(BASELINE!$A1378:$ZZ1378,CALC!$F$1))&gt;0,N(INDEX(BASELINE!$A1378:$ZZ1378,CALC!$F$1)),N(BASELINE!E1378)),N(BASELINE!E1378)))=INT(SIMOPS!$D$3),IFERROR(UPPER(TRIM(BASELINE!D1378&amp;"")),"")&lt;&gt;"ENCERRADA"),1,0),0)</f>
        <v/>
      </c>
      <c r="B1378">
        <f>B1377+A1378</f>
        <v/>
      </c>
    </row>
    <row r="1379">
      <c r="A1379">
        <f>IFERROR(IF(AND(BASELINE!I1379&lt;&gt;"",INT(IF(CALC!$F$1&gt;0,IF(N(INDEX(BASELINE!$A1379:$ZZ1379,CALC!$F$1))&gt;0,N(INDEX(BASELINE!$A1379:$ZZ1379,CALC!$F$1)),N(BASELINE!E1379)),N(BASELINE!E1379)))=INT(SIMOPS!$D$3),IFERROR(UPPER(TRIM(BASELINE!D1379&amp;"")),"")&lt;&gt;"ENCERRADA"),1,0),0)</f>
        <v/>
      </c>
      <c r="B1379">
        <f>B1378+A1379</f>
        <v/>
      </c>
    </row>
    <row r="1380">
      <c r="A1380">
        <f>IFERROR(IF(AND(BASELINE!I1380&lt;&gt;"",INT(IF(CALC!$F$1&gt;0,IF(N(INDEX(BASELINE!$A1380:$ZZ1380,CALC!$F$1))&gt;0,N(INDEX(BASELINE!$A1380:$ZZ1380,CALC!$F$1)),N(BASELINE!E1380)),N(BASELINE!E1380)))=INT(SIMOPS!$D$3),IFERROR(UPPER(TRIM(BASELINE!D1380&amp;"")),"")&lt;&gt;"ENCERRADA"),1,0),0)</f>
        <v/>
      </c>
      <c r="B1380">
        <f>B1379+A1380</f>
        <v/>
      </c>
    </row>
    <row r="1381">
      <c r="A1381">
        <f>IFERROR(IF(AND(BASELINE!I1381&lt;&gt;"",INT(IF(CALC!$F$1&gt;0,IF(N(INDEX(BASELINE!$A1381:$ZZ1381,CALC!$F$1))&gt;0,N(INDEX(BASELINE!$A1381:$ZZ1381,CALC!$F$1)),N(BASELINE!E1381)),N(BASELINE!E1381)))=INT(SIMOPS!$D$3),IFERROR(UPPER(TRIM(BASELINE!D1381&amp;"")),"")&lt;&gt;"ENCERRADA"),1,0),0)</f>
        <v/>
      </c>
      <c r="B1381">
        <f>B1380+A1381</f>
        <v/>
      </c>
    </row>
    <row r="1382">
      <c r="A1382">
        <f>IFERROR(IF(AND(BASELINE!I1382&lt;&gt;"",INT(IF(CALC!$F$1&gt;0,IF(N(INDEX(BASELINE!$A1382:$ZZ1382,CALC!$F$1))&gt;0,N(INDEX(BASELINE!$A1382:$ZZ1382,CALC!$F$1)),N(BASELINE!E1382)),N(BASELINE!E1382)))=INT(SIMOPS!$D$3),IFERROR(UPPER(TRIM(BASELINE!D1382&amp;"")),"")&lt;&gt;"ENCERRADA"),1,0),0)</f>
        <v/>
      </c>
      <c r="B1382">
        <f>B1381+A1382</f>
        <v/>
      </c>
    </row>
    <row r="1383">
      <c r="A1383">
        <f>IFERROR(IF(AND(BASELINE!I1383&lt;&gt;"",INT(IF(CALC!$F$1&gt;0,IF(N(INDEX(BASELINE!$A1383:$ZZ1383,CALC!$F$1))&gt;0,N(INDEX(BASELINE!$A1383:$ZZ1383,CALC!$F$1)),N(BASELINE!E1383)),N(BASELINE!E1383)))=INT(SIMOPS!$D$3),IFERROR(UPPER(TRIM(BASELINE!D1383&amp;"")),"")&lt;&gt;"ENCERRADA"),1,0),0)</f>
        <v/>
      </c>
      <c r="B1383">
        <f>B1382+A1383</f>
        <v/>
      </c>
    </row>
    <row r="1384">
      <c r="A1384">
        <f>IFERROR(IF(AND(BASELINE!I1384&lt;&gt;"",INT(IF(CALC!$F$1&gt;0,IF(N(INDEX(BASELINE!$A1384:$ZZ1384,CALC!$F$1))&gt;0,N(INDEX(BASELINE!$A1384:$ZZ1384,CALC!$F$1)),N(BASELINE!E1384)),N(BASELINE!E1384)))=INT(SIMOPS!$D$3),IFERROR(UPPER(TRIM(BASELINE!D1384&amp;"")),"")&lt;&gt;"ENCERRADA"),1,0),0)</f>
        <v/>
      </c>
      <c r="B1384">
        <f>B1383+A1384</f>
        <v/>
      </c>
    </row>
    <row r="1385">
      <c r="A1385">
        <f>IFERROR(IF(AND(BASELINE!I1385&lt;&gt;"",INT(IF(CALC!$F$1&gt;0,IF(N(INDEX(BASELINE!$A1385:$ZZ1385,CALC!$F$1))&gt;0,N(INDEX(BASELINE!$A1385:$ZZ1385,CALC!$F$1)),N(BASELINE!E1385)),N(BASELINE!E1385)))=INT(SIMOPS!$D$3),IFERROR(UPPER(TRIM(BASELINE!D1385&amp;"")),"")&lt;&gt;"ENCERRADA"),1,0),0)</f>
        <v/>
      </c>
      <c r="B1385">
        <f>B1384+A1385</f>
        <v/>
      </c>
    </row>
    <row r="1386">
      <c r="A1386">
        <f>IFERROR(IF(AND(BASELINE!I1386&lt;&gt;"",INT(IF(CALC!$F$1&gt;0,IF(N(INDEX(BASELINE!$A1386:$ZZ1386,CALC!$F$1))&gt;0,N(INDEX(BASELINE!$A1386:$ZZ1386,CALC!$F$1)),N(BASELINE!E1386)),N(BASELINE!E1386)))=INT(SIMOPS!$D$3),IFERROR(UPPER(TRIM(BASELINE!D1386&amp;"")),"")&lt;&gt;"ENCERRADA"),1,0),0)</f>
        <v/>
      </c>
      <c r="B1386">
        <f>B1385+A1386</f>
        <v/>
      </c>
    </row>
    <row r="1387">
      <c r="A1387">
        <f>IFERROR(IF(AND(BASELINE!I1387&lt;&gt;"",INT(IF(CALC!$F$1&gt;0,IF(N(INDEX(BASELINE!$A1387:$ZZ1387,CALC!$F$1))&gt;0,N(INDEX(BASELINE!$A1387:$ZZ1387,CALC!$F$1)),N(BASELINE!E1387)),N(BASELINE!E1387)))=INT(SIMOPS!$D$3),IFERROR(UPPER(TRIM(BASELINE!D1387&amp;"")),"")&lt;&gt;"ENCERRADA"),1,0),0)</f>
        <v/>
      </c>
      <c r="B1387">
        <f>B1386+A1387</f>
        <v/>
      </c>
    </row>
    <row r="1388">
      <c r="A1388">
        <f>IFERROR(IF(AND(BASELINE!I1388&lt;&gt;"",INT(IF(CALC!$F$1&gt;0,IF(N(INDEX(BASELINE!$A1388:$ZZ1388,CALC!$F$1))&gt;0,N(INDEX(BASELINE!$A1388:$ZZ1388,CALC!$F$1)),N(BASELINE!E1388)),N(BASELINE!E1388)))=INT(SIMOPS!$D$3),IFERROR(UPPER(TRIM(BASELINE!D1388&amp;"")),"")&lt;&gt;"ENCERRADA"),1,0),0)</f>
        <v/>
      </c>
      <c r="B1388">
        <f>B1387+A1388</f>
        <v/>
      </c>
    </row>
    <row r="1389">
      <c r="A1389">
        <f>IFERROR(IF(AND(BASELINE!I1389&lt;&gt;"",INT(IF(CALC!$F$1&gt;0,IF(N(INDEX(BASELINE!$A1389:$ZZ1389,CALC!$F$1))&gt;0,N(INDEX(BASELINE!$A1389:$ZZ1389,CALC!$F$1)),N(BASELINE!E1389)),N(BASELINE!E1389)))=INT(SIMOPS!$D$3),IFERROR(UPPER(TRIM(BASELINE!D1389&amp;"")),"")&lt;&gt;"ENCERRADA"),1,0),0)</f>
        <v/>
      </c>
      <c r="B1389">
        <f>B1388+A1389</f>
        <v/>
      </c>
    </row>
    <row r="1390">
      <c r="A1390">
        <f>IFERROR(IF(AND(BASELINE!I1390&lt;&gt;"",INT(IF(CALC!$F$1&gt;0,IF(N(INDEX(BASELINE!$A1390:$ZZ1390,CALC!$F$1))&gt;0,N(INDEX(BASELINE!$A1390:$ZZ1390,CALC!$F$1)),N(BASELINE!E1390)),N(BASELINE!E1390)))=INT(SIMOPS!$D$3),IFERROR(UPPER(TRIM(BASELINE!D1390&amp;"")),"")&lt;&gt;"ENCERRADA"),1,0),0)</f>
        <v/>
      </c>
      <c r="B1390">
        <f>B1389+A1390</f>
        <v/>
      </c>
    </row>
    <row r="1391">
      <c r="A1391">
        <f>IFERROR(IF(AND(BASELINE!I1391&lt;&gt;"",INT(IF(CALC!$F$1&gt;0,IF(N(INDEX(BASELINE!$A1391:$ZZ1391,CALC!$F$1))&gt;0,N(INDEX(BASELINE!$A1391:$ZZ1391,CALC!$F$1)),N(BASELINE!E1391)),N(BASELINE!E1391)))=INT(SIMOPS!$D$3),IFERROR(UPPER(TRIM(BASELINE!D1391&amp;"")),"")&lt;&gt;"ENCERRADA"),1,0),0)</f>
        <v/>
      </c>
      <c r="B1391">
        <f>B1390+A1391</f>
        <v/>
      </c>
    </row>
    <row r="1392">
      <c r="A1392">
        <f>IFERROR(IF(AND(BASELINE!I1392&lt;&gt;"",INT(IF(CALC!$F$1&gt;0,IF(N(INDEX(BASELINE!$A1392:$ZZ1392,CALC!$F$1))&gt;0,N(INDEX(BASELINE!$A1392:$ZZ1392,CALC!$F$1)),N(BASELINE!E1392)),N(BASELINE!E1392)))=INT(SIMOPS!$D$3),IFERROR(UPPER(TRIM(BASELINE!D1392&amp;"")),"")&lt;&gt;"ENCERRADA"),1,0),0)</f>
        <v/>
      </c>
      <c r="B1392">
        <f>B1391+A1392</f>
        <v/>
      </c>
    </row>
    <row r="1393">
      <c r="A1393">
        <f>IFERROR(IF(AND(BASELINE!I1393&lt;&gt;"",INT(IF(CALC!$F$1&gt;0,IF(N(INDEX(BASELINE!$A1393:$ZZ1393,CALC!$F$1))&gt;0,N(INDEX(BASELINE!$A1393:$ZZ1393,CALC!$F$1)),N(BASELINE!E1393)),N(BASELINE!E1393)))=INT(SIMOPS!$D$3),IFERROR(UPPER(TRIM(BASELINE!D1393&amp;"")),"")&lt;&gt;"ENCERRADA"),1,0),0)</f>
        <v/>
      </c>
      <c r="B1393">
        <f>B1392+A1393</f>
        <v/>
      </c>
    </row>
    <row r="1394">
      <c r="A1394">
        <f>IFERROR(IF(AND(BASELINE!I1394&lt;&gt;"",INT(IF(CALC!$F$1&gt;0,IF(N(INDEX(BASELINE!$A1394:$ZZ1394,CALC!$F$1))&gt;0,N(INDEX(BASELINE!$A1394:$ZZ1394,CALC!$F$1)),N(BASELINE!E1394)),N(BASELINE!E1394)))=INT(SIMOPS!$D$3),IFERROR(UPPER(TRIM(BASELINE!D1394&amp;"")),"")&lt;&gt;"ENCERRADA"),1,0),0)</f>
        <v/>
      </c>
      <c r="B1394">
        <f>B1393+A1394</f>
        <v/>
      </c>
    </row>
    <row r="1395">
      <c r="A1395">
        <f>IFERROR(IF(AND(BASELINE!I1395&lt;&gt;"",INT(IF(CALC!$F$1&gt;0,IF(N(INDEX(BASELINE!$A1395:$ZZ1395,CALC!$F$1))&gt;0,N(INDEX(BASELINE!$A1395:$ZZ1395,CALC!$F$1)),N(BASELINE!E1395)),N(BASELINE!E1395)))=INT(SIMOPS!$D$3),IFERROR(UPPER(TRIM(BASELINE!D1395&amp;"")),"")&lt;&gt;"ENCERRADA"),1,0),0)</f>
        <v/>
      </c>
      <c r="B1395">
        <f>B1394+A1395</f>
        <v/>
      </c>
    </row>
    <row r="1396">
      <c r="A1396">
        <f>IFERROR(IF(AND(BASELINE!I1396&lt;&gt;"",INT(IF(CALC!$F$1&gt;0,IF(N(INDEX(BASELINE!$A1396:$ZZ1396,CALC!$F$1))&gt;0,N(INDEX(BASELINE!$A1396:$ZZ1396,CALC!$F$1)),N(BASELINE!E1396)),N(BASELINE!E1396)))=INT(SIMOPS!$D$3),IFERROR(UPPER(TRIM(BASELINE!D1396&amp;"")),"")&lt;&gt;"ENCERRADA"),1,0),0)</f>
        <v/>
      </c>
      <c r="B1396">
        <f>B1395+A1396</f>
        <v/>
      </c>
    </row>
    <row r="1397">
      <c r="A1397">
        <f>IFERROR(IF(AND(BASELINE!I1397&lt;&gt;"",INT(IF(CALC!$F$1&gt;0,IF(N(INDEX(BASELINE!$A1397:$ZZ1397,CALC!$F$1))&gt;0,N(INDEX(BASELINE!$A1397:$ZZ1397,CALC!$F$1)),N(BASELINE!E1397)),N(BASELINE!E1397)))=INT(SIMOPS!$D$3),IFERROR(UPPER(TRIM(BASELINE!D1397&amp;"")),"")&lt;&gt;"ENCERRADA"),1,0),0)</f>
        <v/>
      </c>
      <c r="B1397">
        <f>B1396+A1397</f>
        <v/>
      </c>
    </row>
    <row r="1398">
      <c r="A1398">
        <f>IFERROR(IF(AND(BASELINE!I1398&lt;&gt;"",INT(IF(CALC!$F$1&gt;0,IF(N(INDEX(BASELINE!$A1398:$ZZ1398,CALC!$F$1))&gt;0,N(INDEX(BASELINE!$A1398:$ZZ1398,CALC!$F$1)),N(BASELINE!E1398)),N(BASELINE!E1398)))=INT(SIMOPS!$D$3),IFERROR(UPPER(TRIM(BASELINE!D1398&amp;"")),"")&lt;&gt;"ENCERRADA"),1,0),0)</f>
        <v/>
      </c>
      <c r="B1398">
        <f>B1397+A1398</f>
        <v/>
      </c>
    </row>
    <row r="1399">
      <c r="A1399">
        <f>IFERROR(IF(AND(BASELINE!I1399&lt;&gt;"",INT(IF(CALC!$F$1&gt;0,IF(N(INDEX(BASELINE!$A1399:$ZZ1399,CALC!$F$1))&gt;0,N(INDEX(BASELINE!$A1399:$ZZ1399,CALC!$F$1)),N(BASELINE!E1399)),N(BASELINE!E1399)))=INT(SIMOPS!$D$3),IFERROR(UPPER(TRIM(BASELINE!D1399&amp;"")),"")&lt;&gt;"ENCERRADA"),1,0),0)</f>
        <v/>
      </c>
      <c r="B1399">
        <f>B1398+A1399</f>
        <v/>
      </c>
    </row>
    <row r="1400">
      <c r="A1400">
        <f>IFERROR(IF(AND(BASELINE!I1400&lt;&gt;"",INT(IF(CALC!$F$1&gt;0,IF(N(INDEX(BASELINE!$A1400:$ZZ1400,CALC!$F$1))&gt;0,N(INDEX(BASELINE!$A1400:$ZZ1400,CALC!$F$1)),N(BASELINE!E1400)),N(BASELINE!E1400)))=INT(SIMOPS!$D$3),IFERROR(UPPER(TRIM(BASELINE!D1400&amp;"")),"")&lt;&gt;"ENCERRADA"),1,0),0)</f>
        <v/>
      </c>
      <c r="B1400">
        <f>B1399+A1400</f>
        <v/>
      </c>
    </row>
    <row r="1401">
      <c r="A1401">
        <f>IFERROR(IF(AND(BASELINE!I1401&lt;&gt;"",INT(IF(CALC!$F$1&gt;0,IF(N(INDEX(BASELINE!$A1401:$ZZ1401,CALC!$F$1))&gt;0,N(INDEX(BASELINE!$A1401:$ZZ1401,CALC!$F$1)),N(BASELINE!E1401)),N(BASELINE!E1401)))=INT(SIMOPS!$D$3),IFERROR(UPPER(TRIM(BASELINE!D1401&amp;"")),"")&lt;&gt;"ENCERRADA"),1,0),0)</f>
        <v/>
      </c>
      <c r="B1401">
        <f>B1400+A1401</f>
        <v/>
      </c>
    </row>
    <row r="1402">
      <c r="A1402">
        <f>IFERROR(IF(AND(BASELINE!I1402&lt;&gt;"",INT(IF(CALC!$F$1&gt;0,IF(N(INDEX(BASELINE!$A1402:$ZZ1402,CALC!$F$1))&gt;0,N(INDEX(BASELINE!$A1402:$ZZ1402,CALC!$F$1)),N(BASELINE!E1402)),N(BASELINE!E1402)))=INT(SIMOPS!$D$3),IFERROR(UPPER(TRIM(BASELINE!D1402&amp;"")),"")&lt;&gt;"ENCERRADA"),1,0),0)</f>
        <v/>
      </c>
      <c r="B1402">
        <f>B1401+A1402</f>
        <v/>
      </c>
    </row>
    <row r="1403">
      <c r="A1403">
        <f>IFERROR(IF(AND(BASELINE!I1403&lt;&gt;"",INT(IF(CALC!$F$1&gt;0,IF(N(INDEX(BASELINE!$A1403:$ZZ1403,CALC!$F$1))&gt;0,N(INDEX(BASELINE!$A1403:$ZZ1403,CALC!$F$1)),N(BASELINE!E1403)),N(BASELINE!E1403)))=INT(SIMOPS!$D$3),IFERROR(UPPER(TRIM(BASELINE!D1403&amp;"")),"")&lt;&gt;"ENCERRADA"),1,0),0)</f>
        <v/>
      </c>
      <c r="B1403">
        <f>B1402+A1403</f>
        <v/>
      </c>
    </row>
    <row r="1404">
      <c r="A1404">
        <f>IFERROR(IF(AND(BASELINE!I1404&lt;&gt;"",INT(IF(CALC!$F$1&gt;0,IF(N(INDEX(BASELINE!$A1404:$ZZ1404,CALC!$F$1))&gt;0,N(INDEX(BASELINE!$A1404:$ZZ1404,CALC!$F$1)),N(BASELINE!E1404)),N(BASELINE!E1404)))=INT(SIMOPS!$D$3),IFERROR(UPPER(TRIM(BASELINE!D1404&amp;"")),"")&lt;&gt;"ENCERRADA"),1,0),0)</f>
        <v/>
      </c>
      <c r="B1404">
        <f>B1403+A1404</f>
        <v/>
      </c>
    </row>
    <row r="1405">
      <c r="A1405">
        <f>IFERROR(IF(AND(BASELINE!I1405&lt;&gt;"",INT(IF(CALC!$F$1&gt;0,IF(N(INDEX(BASELINE!$A1405:$ZZ1405,CALC!$F$1))&gt;0,N(INDEX(BASELINE!$A1405:$ZZ1405,CALC!$F$1)),N(BASELINE!E1405)),N(BASELINE!E1405)))=INT(SIMOPS!$D$3),IFERROR(UPPER(TRIM(BASELINE!D1405&amp;"")),"")&lt;&gt;"ENCERRADA"),1,0),0)</f>
        <v/>
      </c>
      <c r="B1405">
        <f>B1404+A1405</f>
        <v/>
      </c>
    </row>
    <row r="1406">
      <c r="A1406">
        <f>IFERROR(IF(AND(BASELINE!I1406&lt;&gt;"",INT(IF(CALC!$F$1&gt;0,IF(N(INDEX(BASELINE!$A1406:$ZZ1406,CALC!$F$1))&gt;0,N(INDEX(BASELINE!$A1406:$ZZ1406,CALC!$F$1)),N(BASELINE!E1406)),N(BASELINE!E1406)))=INT(SIMOPS!$D$3),IFERROR(UPPER(TRIM(BASELINE!D1406&amp;"")),"")&lt;&gt;"ENCERRADA"),1,0),0)</f>
        <v/>
      </c>
      <c r="B1406">
        <f>B1405+A1406</f>
        <v/>
      </c>
    </row>
    <row r="1407">
      <c r="A1407">
        <f>IFERROR(IF(AND(BASELINE!I1407&lt;&gt;"",INT(IF(CALC!$F$1&gt;0,IF(N(INDEX(BASELINE!$A1407:$ZZ1407,CALC!$F$1))&gt;0,N(INDEX(BASELINE!$A1407:$ZZ1407,CALC!$F$1)),N(BASELINE!E1407)),N(BASELINE!E1407)))=INT(SIMOPS!$D$3),IFERROR(UPPER(TRIM(BASELINE!D1407&amp;"")),"")&lt;&gt;"ENCERRADA"),1,0),0)</f>
        <v/>
      </c>
      <c r="B1407">
        <f>B1406+A1407</f>
        <v/>
      </c>
    </row>
    <row r="1408">
      <c r="A1408">
        <f>IFERROR(IF(AND(BASELINE!I1408&lt;&gt;"",INT(IF(CALC!$F$1&gt;0,IF(N(INDEX(BASELINE!$A1408:$ZZ1408,CALC!$F$1))&gt;0,N(INDEX(BASELINE!$A1408:$ZZ1408,CALC!$F$1)),N(BASELINE!E1408)),N(BASELINE!E1408)))=INT(SIMOPS!$D$3),IFERROR(UPPER(TRIM(BASELINE!D1408&amp;"")),"")&lt;&gt;"ENCERRADA"),1,0),0)</f>
        <v/>
      </c>
      <c r="B1408">
        <f>B1407+A1408</f>
        <v/>
      </c>
    </row>
    <row r="1409">
      <c r="A1409">
        <f>IFERROR(IF(AND(BASELINE!I1409&lt;&gt;"",INT(IF(CALC!$F$1&gt;0,IF(N(INDEX(BASELINE!$A1409:$ZZ1409,CALC!$F$1))&gt;0,N(INDEX(BASELINE!$A1409:$ZZ1409,CALC!$F$1)),N(BASELINE!E1409)),N(BASELINE!E1409)))=INT(SIMOPS!$D$3),IFERROR(UPPER(TRIM(BASELINE!D1409&amp;"")),"")&lt;&gt;"ENCERRADA"),1,0),0)</f>
        <v/>
      </c>
      <c r="B1409">
        <f>B1408+A1409</f>
        <v/>
      </c>
    </row>
    <row r="1410">
      <c r="A1410">
        <f>IFERROR(IF(AND(BASELINE!I1410&lt;&gt;"",INT(IF(CALC!$F$1&gt;0,IF(N(INDEX(BASELINE!$A1410:$ZZ1410,CALC!$F$1))&gt;0,N(INDEX(BASELINE!$A1410:$ZZ1410,CALC!$F$1)),N(BASELINE!E1410)),N(BASELINE!E1410)))=INT(SIMOPS!$D$3),IFERROR(UPPER(TRIM(BASELINE!D1410&amp;"")),"")&lt;&gt;"ENCERRADA"),1,0),0)</f>
        <v/>
      </c>
      <c r="B1410">
        <f>B1409+A1410</f>
        <v/>
      </c>
    </row>
    <row r="1411">
      <c r="A1411">
        <f>IFERROR(IF(AND(BASELINE!I1411&lt;&gt;"",INT(IF(CALC!$F$1&gt;0,IF(N(INDEX(BASELINE!$A1411:$ZZ1411,CALC!$F$1))&gt;0,N(INDEX(BASELINE!$A1411:$ZZ1411,CALC!$F$1)),N(BASELINE!E1411)),N(BASELINE!E1411)))=INT(SIMOPS!$D$3),IFERROR(UPPER(TRIM(BASELINE!D1411&amp;"")),"")&lt;&gt;"ENCERRADA"),1,0),0)</f>
        <v/>
      </c>
      <c r="B1411">
        <f>B1410+A1411</f>
        <v/>
      </c>
    </row>
    <row r="1412">
      <c r="A1412">
        <f>IFERROR(IF(AND(BASELINE!I1412&lt;&gt;"",INT(IF(CALC!$F$1&gt;0,IF(N(INDEX(BASELINE!$A1412:$ZZ1412,CALC!$F$1))&gt;0,N(INDEX(BASELINE!$A1412:$ZZ1412,CALC!$F$1)),N(BASELINE!E1412)),N(BASELINE!E1412)))=INT(SIMOPS!$D$3),IFERROR(UPPER(TRIM(BASELINE!D1412&amp;"")),"")&lt;&gt;"ENCERRADA"),1,0),0)</f>
        <v/>
      </c>
      <c r="B1412">
        <f>B1411+A1412</f>
        <v/>
      </c>
    </row>
    <row r="1413">
      <c r="A1413">
        <f>IFERROR(IF(AND(BASELINE!I1413&lt;&gt;"",INT(IF(CALC!$F$1&gt;0,IF(N(INDEX(BASELINE!$A1413:$ZZ1413,CALC!$F$1))&gt;0,N(INDEX(BASELINE!$A1413:$ZZ1413,CALC!$F$1)),N(BASELINE!E1413)),N(BASELINE!E1413)))=INT(SIMOPS!$D$3),IFERROR(UPPER(TRIM(BASELINE!D1413&amp;"")),"")&lt;&gt;"ENCERRADA"),1,0),0)</f>
        <v/>
      </c>
      <c r="B1413">
        <f>B1412+A1413</f>
        <v/>
      </c>
    </row>
    <row r="1414">
      <c r="A1414">
        <f>IFERROR(IF(AND(BASELINE!I1414&lt;&gt;"",INT(IF(CALC!$F$1&gt;0,IF(N(INDEX(BASELINE!$A1414:$ZZ1414,CALC!$F$1))&gt;0,N(INDEX(BASELINE!$A1414:$ZZ1414,CALC!$F$1)),N(BASELINE!E1414)),N(BASELINE!E1414)))=INT(SIMOPS!$D$3),IFERROR(UPPER(TRIM(BASELINE!D1414&amp;"")),"")&lt;&gt;"ENCERRADA"),1,0),0)</f>
        <v/>
      </c>
      <c r="B1414">
        <f>B1413+A1414</f>
        <v/>
      </c>
    </row>
    <row r="1415">
      <c r="A1415">
        <f>IFERROR(IF(AND(BASELINE!I1415&lt;&gt;"",INT(IF(CALC!$F$1&gt;0,IF(N(INDEX(BASELINE!$A1415:$ZZ1415,CALC!$F$1))&gt;0,N(INDEX(BASELINE!$A1415:$ZZ1415,CALC!$F$1)),N(BASELINE!E1415)),N(BASELINE!E1415)))=INT(SIMOPS!$D$3),IFERROR(UPPER(TRIM(BASELINE!D1415&amp;"")),"")&lt;&gt;"ENCERRADA"),1,0),0)</f>
        <v/>
      </c>
      <c r="B1415">
        <f>B1414+A1415</f>
        <v/>
      </c>
    </row>
    <row r="1416">
      <c r="A1416">
        <f>IFERROR(IF(AND(BASELINE!I1416&lt;&gt;"",INT(IF(CALC!$F$1&gt;0,IF(N(INDEX(BASELINE!$A1416:$ZZ1416,CALC!$F$1))&gt;0,N(INDEX(BASELINE!$A1416:$ZZ1416,CALC!$F$1)),N(BASELINE!E1416)),N(BASELINE!E1416)))=INT(SIMOPS!$D$3),IFERROR(UPPER(TRIM(BASELINE!D1416&amp;"")),"")&lt;&gt;"ENCERRADA"),1,0),0)</f>
        <v/>
      </c>
      <c r="B1416">
        <f>B1415+A1416</f>
        <v/>
      </c>
    </row>
    <row r="1417">
      <c r="A1417">
        <f>IFERROR(IF(AND(BASELINE!I1417&lt;&gt;"",INT(IF(CALC!$F$1&gt;0,IF(N(INDEX(BASELINE!$A1417:$ZZ1417,CALC!$F$1))&gt;0,N(INDEX(BASELINE!$A1417:$ZZ1417,CALC!$F$1)),N(BASELINE!E1417)),N(BASELINE!E1417)))=INT(SIMOPS!$D$3),IFERROR(UPPER(TRIM(BASELINE!D1417&amp;"")),"")&lt;&gt;"ENCERRADA"),1,0),0)</f>
        <v/>
      </c>
      <c r="B1417">
        <f>B1416+A1417</f>
        <v/>
      </c>
    </row>
    <row r="1418">
      <c r="A1418">
        <f>IFERROR(IF(AND(BASELINE!I1418&lt;&gt;"",INT(IF(CALC!$F$1&gt;0,IF(N(INDEX(BASELINE!$A1418:$ZZ1418,CALC!$F$1))&gt;0,N(INDEX(BASELINE!$A1418:$ZZ1418,CALC!$F$1)),N(BASELINE!E1418)),N(BASELINE!E1418)))=INT(SIMOPS!$D$3),IFERROR(UPPER(TRIM(BASELINE!D1418&amp;"")),"")&lt;&gt;"ENCERRADA"),1,0),0)</f>
        <v/>
      </c>
      <c r="B1418">
        <f>B1417+A1418</f>
        <v/>
      </c>
    </row>
    <row r="1419">
      <c r="A1419">
        <f>IFERROR(IF(AND(BASELINE!I1419&lt;&gt;"",INT(IF(CALC!$F$1&gt;0,IF(N(INDEX(BASELINE!$A1419:$ZZ1419,CALC!$F$1))&gt;0,N(INDEX(BASELINE!$A1419:$ZZ1419,CALC!$F$1)),N(BASELINE!E1419)),N(BASELINE!E1419)))=INT(SIMOPS!$D$3),IFERROR(UPPER(TRIM(BASELINE!D1419&amp;"")),"")&lt;&gt;"ENCERRADA"),1,0),0)</f>
        <v/>
      </c>
      <c r="B1419">
        <f>B1418+A1419</f>
        <v/>
      </c>
    </row>
    <row r="1420">
      <c r="A1420">
        <f>IFERROR(IF(AND(BASELINE!I1420&lt;&gt;"",INT(IF(CALC!$F$1&gt;0,IF(N(INDEX(BASELINE!$A1420:$ZZ1420,CALC!$F$1))&gt;0,N(INDEX(BASELINE!$A1420:$ZZ1420,CALC!$F$1)),N(BASELINE!E1420)),N(BASELINE!E1420)))=INT(SIMOPS!$D$3),IFERROR(UPPER(TRIM(BASELINE!D1420&amp;"")),"")&lt;&gt;"ENCERRADA"),1,0),0)</f>
        <v/>
      </c>
      <c r="B1420">
        <f>B1419+A1420</f>
        <v/>
      </c>
    </row>
    <row r="1421">
      <c r="A1421">
        <f>IFERROR(IF(AND(BASELINE!I1421&lt;&gt;"",INT(IF(CALC!$F$1&gt;0,IF(N(INDEX(BASELINE!$A1421:$ZZ1421,CALC!$F$1))&gt;0,N(INDEX(BASELINE!$A1421:$ZZ1421,CALC!$F$1)),N(BASELINE!E1421)),N(BASELINE!E1421)))=INT(SIMOPS!$D$3),IFERROR(UPPER(TRIM(BASELINE!D1421&amp;"")),"")&lt;&gt;"ENCERRADA"),1,0),0)</f>
        <v/>
      </c>
      <c r="B1421">
        <f>B1420+A1421</f>
        <v/>
      </c>
    </row>
    <row r="1422">
      <c r="A1422">
        <f>IFERROR(IF(AND(BASELINE!I1422&lt;&gt;"",INT(IF(CALC!$F$1&gt;0,IF(N(INDEX(BASELINE!$A1422:$ZZ1422,CALC!$F$1))&gt;0,N(INDEX(BASELINE!$A1422:$ZZ1422,CALC!$F$1)),N(BASELINE!E1422)),N(BASELINE!E1422)))=INT(SIMOPS!$D$3),IFERROR(UPPER(TRIM(BASELINE!D1422&amp;"")),"")&lt;&gt;"ENCERRADA"),1,0),0)</f>
        <v/>
      </c>
      <c r="B1422">
        <f>B1421+A1422</f>
        <v/>
      </c>
    </row>
    <row r="1423">
      <c r="A1423">
        <f>IFERROR(IF(AND(BASELINE!I1423&lt;&gt;"",INT(IF(CALC!$F$1&gt;0,IF(N(INDEX(BASELINE!$A1423:$ZZ1423,CALC!$F$1))&gt;0,N(INDEX(BASELINE!$A1423:$ZZ1423,CALC!$F$1)),N(BASELINE!E1423)),N(BASELINE!E1423)))=INT(SIMOPS!$D$3),IFERROR(UPPER(TRIM(BASELINE!D1423&amp;"")),"")&lt;&gt;"ENCERRADA"),1,0),0)</f>
        <v/>
      </c>
      <c r="B1423">
        <f>B1422+A1423</f>
        <v/>
      </c>
    </row>
    <row r="1424">
      <c r="A1424">
        <f>IFERROR(IF(AND(BASELINE!I1424&lt;&gt;"",INT(IF(CALC!$F$1&gt;0,IF(N(INDEX(BASELINE!$A1424:$ZZ1424,CALC!$F$1))&gt;0,N(INDEX(BASELINE!$A1424:$ZZ1424,CALC!$F$1)),N(BASELINE!E1424)),N(BASELINE!E1424)))=INT(SIMOPS!$D$3),IFERROR(UPPER(TRIM(BASELINE!D1424&amp;"")),"")&lt;&gt;"ENCERRADA"),1,0),0)</f>
        <v/>
      </c>
      <c r="B1424">
        <f>B1423+A1424</f>
        <v/>
      </c>
    </row>
    <row r="1425">
      <c r="A1425">
        <f>IFERROR(IF(AND(BASELINE!I1425&lt;&gt;"",INT(IF(CALC!$F$1&gt;0,IF(N(INDEX(BASELINE!$A1425:$ZZ1425,CALC!$F$1))&gt;0,N(INDEX(BASELINE!$A1425:$ZZ1425,CALC!$F$1)),N(BASELINE!E1425)),N(BASELINE!E1425)))=INT(SIMOPS!$D$3),IFERROR(UPPER(TRIM(BASELINE!D1425&amp;"")),"")&lt;&gt;"ENCERRADA"),1,0),0)</f>
        <v/>
      </c>
      <c r="B1425">
        <f>B1424+A1425</f>
        <v/>
      </c>
    </row>
    <row r="1426">
      <c r="A1426">
        <f>IFERROR(IF(AND(BASELINE!I1426&lt;&gt;"",INT(IF(CALC!$F$1&gt;0,IF(N(INDEX(BASELINE!$A1426:$ZZ1426,CALC!$F$1))&gt;0,N(INDEX(BASELINE!$A1426:$ZZ1426,CALC!$F$1)),N(BASELINE!E1426)),N(BASELINE!E1426)))=INT(SIMOPS!$D$3),IFERROR(UPPER(TRIM(BASELINE!D1426&amp;"")),"")&lt;&gt;"ENCERRADA"),1,0),0)</f>
        <v/>
      </c>
      <c r="B1426">
        <f>B1425+A1426</f>
        <v/>
      </c>
    </row>
    <row r="1427">
      <c r="A1427">
        <f>IFERROR(IF(AND(BASELINE!I1427&lt;&gt;"",INT(IF(CALC!$F$1&gt;0,IF(N(INDEX(BASELINE!$A1427:$ZZ1427,CALC!$F$1))&gt;0,N(INDEX(BASELINE!$A1427:$ZZ1427,CALC!$F$1)),N(BASELINE!E1427)),N(BASELINE!E1427)))=INT(SIMOPS!$D$3),IFERROR(UPPER(TRIM(BASELINE!D1427&amp;"")),"")&lt;&gt;"ENCERRADA"),1,0),0)</f>
        <v/>
      </c>
      <c r="B1427">
        <f>B1426+A1427</f>
        <v/>
      </c>
    </row>
    <row r="1428">
      <c r="A1428">
        <f>IFERROR(IF(AND(BASELINE!I1428&lt;&gt;"",INT(IF(CALC!$F$1&gt;0,IF(N(INDEX(BASELINE!$A1428:$ZZ1428,CALC!$F$1))&gt;0,N(INDEX(BASELINE!$A1428:$ZZ1428,CALC!$F$1)),N(BASELINE!E1428)),N(BASELINE!E1428)))=INT(SIMOPS!$D$3),IFERROR(UPPER(TRIM(BASELINE!D1428&amp;"")),"")&lt;&gt;"ENCERRADA"),1,0),0)</f>
        <v/>
      </c>
      <c r="B1428">
        <f>B1427+A1428</f>
        <v/>
      </c>
    </row>
    <row r="1429">
      <c r="A1429">
        <f>IFERROR(IF(AND(BASELINE!I1429&lt;&gt;"",INT(IF(CALC!$F$1&gt;0,IF(N(INDEX(BASELINE!$A1429:$ZZ1429,CALC!$F$1))&gt;0,N(INDEX(BASELINE!$A1429:$ZZ1429,CALC!$F$1)),N(BASELINE!E1429)),N(BASELINE!E1429)))=INT(SIMOPS!$D$3),IFERROR(UPPER(TRIM(BASELINE!D1429&amp;"")),"")&lt;&gt;"ENCERRADA"),1,0),0)</f>
        <v/>
      </c>
      <c r="B1429">
        <f>B1428+A1429</f>
        <v/>
      </c>
    </row>
    <row r="1430">
      <c r="A1430">
        <f>IFERROR(IF(AND(BASELINE!I1430&lt;&gt;"",INT(IF(CALC!$F$1&gt;0,IF(N(INDEX(BASELINE!$A1430:$ZZ1430,CALC!$F$1))&gt;0,N(INDEX(BASELINE!$A1430:$ZZ1430,CALC!$F$1)),N(BASELINE!E1430)),N(BASELINE!E1430)))=INT(SIMOPS!$D$3),IFERROR(UPPER(TRIM(BASELINE!D1430&amp;"")),"")&lt;&gt;"ENCERRADA"),1,0),0)</f>
        <v/>
      </c>
      <c r="B1430">
        <f>B1429+A1430</f>
        <v/>
      </c>
    </row>
    <row r="1431">
      <c r="A1431">
        <f>IFERROR(IF(AND(BASELINE!I1431&lt;&gt;"",INT(IF(CALC!$F$1&gt;0,IF(N(INDEX(BASELINE!$A1431:$ZZ1431,CALC!$F$1))&gt;0,N(INDEX(BASELINE!$A1431:$ZZ1431,CALC!$F$1)),N(BASELINE!E1431)),N(BASELINE!E1431)))=INT(SIMOPS!$D$3),IFERROR(UPPER(TRIM(BASELINE!D1431&amp;"")),"")&lt;&gt;"ENCERRADA"),1,0),0)</f>
        <v/>
      </c>
      <c r="B1431">
        <f>B1430+A1431</f>
        <v/>
      </c>
    </row>
    <row r="1432">
      <c r="A1432">
        <f>IFERROR(IF(AND(BASELINE!I1432&lt;&gt;"",INT(IF(CALC!$F$1&gt;0,IF(N(INDEX(BASELINE!$A1432:$ZZ1432,CALC!$F$1))&gt;0,N(INDEX(BASELINE!$A1432:$ZZ1432,CALC!$F$1)),N(BASELINE!E1432)),N(BASELINE!E1432)))=INT(SIMOPS!$D$3),IFERROR(UPPER(TRIM(BASELINE!D1432&amp;"")),"")&lt;&gt;"ENCERRADA"),1,0),0)</f>
        <v/>
      </c>
      <c r="B1432">
        <f>B1431+A1432</f>
        <v/>
      </c>
    </row>
    <row r="1433">
      <c r="A1433">
        <f>IFERROR(IF(AND(BASELINE!I1433&lt;&gt;"",INT(IF(CALC!$F$1&gt;0,IF(N(INDEX(BASELINE!$A1433:$ZZ1433,CALC!$F$1))&gt;0,N(INDEX(BASELINE!$A1433:$ZZ1433,CALC!$F$1)),N(BASELINE!E1433)),N(BASELINE!E1433)))=INT(SIMOPS!$D$3),IFERROR(UPPER(TRIM(BASELINE!D1433&amp;"")),"")&lt;&gt;"ENCERRADA"),1,0),0)</f>
        <v/>
      </c>
      <c r="B1433">
        <f>B1432+A1433</f>
        <v/>
      </c>
    </row>
    <row r="1434">
      <c r="A1434">
        <f>IFERROR(IF(AND(BASELINE!I1434&lt;&gt;"",INT(IF(CALC!$F$1&gt;0,IF(N(INDEX(BASELINE!$A1434:$ZZ1434,CALC!$F$1))&gt;0,N(INDEX(BASELINE!$A1434:$ZZ1434,CALC!$F$1)),N(BASELINE!E1434)),N(BASELINE!E1434)))=INT(SIMOPS!$D$3),IFERROR(UPPER(TRIM(BASELINE!D1434&amp;"")),"")&lt;&gt;"ENCERRADA"),1,0),0)</f>
        <v/>
      </c>
      <c r="B1434">
        <f>B1433+A1434</f>
        <v/>
      </c>
    </row>
    <row r="1435">
      <c r="A1435">
        <f>IFERROR(IF(AND(BASELINE!I1435&lt;&gt;"",INT(IF(CALC!$F$1&gt;0,IF(N(INDEX(BASELINE!$A1435:$ZZ1435,CALC!$F$1))&gt;0,N(INDEX(BASELINE!$A1435:$ZZ1435,CALC!$F$1)),N(BASELINE!E1435)),N(BASELINE!E1435)))=INT(SIMOPS!$D$3),IFERROR(UPPER(TRIM(BASELINE!D1435&amp;"")),"")&lt;&gt;"ENCERRADA"),1,0),0)</f>
        <v/>
      </c>
      <c r="B1435">
        <f>B1434+A1435</f>
        <v/>
      </c>
    </row>
    <row r="1436">
      <c r="A1436">
        <f>IFERROR(IF(AND(BASELINE!I1436&lt;&gt;"",INT(IF(CALC!$F$1&gt;0,IF(N(INDEX(BASELINE!$A1436:$ZZ1436,CALC!$F$1))&gt;0,N(INDEX(BASELINE!$A1436:$ZZ1436,CALC!$F$1)),N(BASELINE!E1436)),N(BASELINE!E1436)))=INT(SIMOPS!$D$3),IFERROR(UPPER(TRIM(BASELINE!D1436&amp;"")),"")&lt;&gt;"ENCERRADA"),1,0),0)</f>
        <v/>
      </c>
      <c r="B1436">
        <f>B1435+A1436</f>
        <v/>
      </c>
    </row>
    <row r="1437">
      <c r="A1437">
        <f>IFERROR(IF(AND(BASELINE!I1437&lt;&gt;"",INT(IF(CALC!$F$1&gt;0,IF(N(INDEX(BASELINE!$A1437:$ZZ1437,CALC!$F$1))&gt;0,N(INDEX(BASELINE!$A1437:$ZZ1437,CALC!$F$1)),N(BASELINE!E1437)),N(BASELINE!E1437)))=INT(SIMOPS!$D$3),IFERROR(UPPER(TRIM(BASELINE!D1437&amp;"")),"")&lt;&gt;"ENCERRADA"),1,0),0)</f>
        <v/>
      </c>
      <c r="B1437">
        <f>B1436+A1437</f>
        <v/>
      </c>
    </row>
    <row r="1438">
      <c r="A1438">
        <f>IFERROR(IF(AND(BASELINE!I1438&lt;&gt;"",INT(IF(CALC!$F$1&gt;0,IF(N(INDEX(BASELINE!$A1438:$ZZ1438,CALC!$F$1))&gt;0,N(INDEX(BASELINE!$A1438:$ZZ1438,CALC!$F$1)),N(BASELINE!E1438)),N(BASELINE!E1438)))=INT(SIMOPS!$D$3),IFERROR(UPPER(TRIM(BASELINE!D1438&amp;"")),"")&lt;&gt;"ENCERRADA"),1,0),0)</f>
        <v/>
      </c>
      <c r="B1438">
        <f>B1437+A1438</f>
        <v/>
      </c>
    </row>
    <row r="1439">
      <c r="A1439">
        <f>IFERROR(IF(AND(BASELINE!I1439&lt;&gt;"",INT(IF(CALC!$F$1&gt;0,IF(N(INDEX(BASELINE!$A1439:$ZZ1439,CALC!$F$1))&gt;0,N(INDEX(BASELINE!$A1439:$ZZ1439,CALC!$F$1)),N(BASELINE!E1439)),N(BASELINE!E1439)))=INT(SIMOPS!$D$3),IFERROR(UPPER(TRIM(BASELINE!D1439&amp;"")),"")&lt;&gt;"ENCERRADA"),1,0),0)</f>
        <v/>
      </c>
      <c r="B1439">
        <f>B1438+A1439</f>
        <v/>
      </c>
    </row>
    <row r="1440">
      <c r="A1440">
        <f>IFERROR(IF(AND(BASELINE!I1440&lt;&gt;"",INT(IF(CALC!$F$1&gt;0,IF(N(INDEX(BASELINE!$A1440:$ZZ1440,CALC!$F$1))&gt;0,N(INDEX(BASELINE!$A1440:$ZZ1440,CALC!$F$1)),N(BASELINE!E1440)),N(BASELINE!E1440)))=INT(SIMOPS!$D$3),IFERROR(UPPER(TRIM(BASELINE!D1440&amp;"")),"")&lt;&gt;"ENCERRADA"),1,0),0)</f>
        <v/>
      </c>
      <c r="B1440">
        <f>B1439+A1440</f>
        <v/>
      </c>
    </row>
    <row r="1441">
      <c r="A1441">
        <f>IFERROR(IF(AND(BASELINE!I1441&lt;&gt;"",INT(IF(CALC!$F$1&gt;0,IF(N(INDEX(BASELINE!$A1441:$ZZ1441,CALC!$F$1))&gt;0,N(INDEX(BASELINE!$A1441:$ZZ1441,CALC!$F$1)),N(BASELINE!E1441)),N(BASELINE!E1441)))=INT(SIMOPS!$D$3),IFERROR(UPPER(TRIM(BASELINE!D1441&amp;"")),"")&lt;&gt;"ENCERRADA"),1,0),0)</f>
        <v/>
      </c>
      <c r="B1441">
        <f>B1440+A1441</f>
        <v/>
      </c>
    </row>
    <row r="1442">
      <c r="A1442">
        <f>IFERROR(IF(AND(BASELINE!I1442&lt;&gt;"",INT(IF(CALC!$F$1&gt;0,IF(N(INDEX(BASELINE!$A1442:$ZZ1442,CALC!$F$1))&gt;0,N(INDEX(BASELINE!$A1442:$ZZ1442,CALC!$F$1)),N(BASELINE!E1442)),N(BASELINE!E1442)))=INT(SIMOPS!$D$3),IFERROR(UPPER(TRIM(BASELINE!D1442&amp;"")),"")&lt;&gt;"ENCERRADA"),1,0),0)</f>
        <v/>
      </c>
      <c r="B1442">
        <f>B1441+A1442</f>
        <v/>
      </c>
    </row>
    <row r="1443">
      <c r="A1443">
        <f>IFERROR(IF(AND(BASELINE!I1443&lt;&gt;"",INT(IF(CALC!$F$1&gt;0,IF(N(INDEX(BASELINE!$A1443:$ZZ1443,CALC!$F$1))&gt;0,N(INDEX(BASELINE!$A1443:$ZZ1443,CALC!$F$1)),N(BASELINE!E1443)),N(BASELINE!E1443)))=INT(SIMOPS!$D$3),IFERROR(UPPER(TRIM(BASELINE!D1443&amp;"")),"")&lt;&gt;"ENCERRADA"),1,0),0)</f>
        <v/>
      </c>
      <c r="B1443">
        <f>B1442+A1443</f>
        <v/>
      </c>
    </row>
    <row r="1444">
      <c r="A1444">
        <f>IFERROR(IF(AND(BASELINE!I1444&lt;&gt;"",INT(IF(CALC!$F$1&gt;0,IF(N(INDEX(BASELINE!$A1444:$ZZ1444,CALC!$F$1))&gt;0,N(INDEX(BASELINE!$A1444:$ZZ1444,CALC!$F$1)),N(BASELINE!E1444)),N(BASELINE!E1444)))=INT(SIMOPS!$D$3),IFERROR(UPPER(TRIM(BASELINE!D1444&amp;"")),"")&lt;&gt;"ENCERRADA"),1,0),0)</f>
        <v/>
      </c>
      <c r="B1444">
        <f>B1443+A1444</f>
        <v/>
      </c>
    </row>
    <row r="1445">
      <c r="A1445">
        <f>IFERROR(IF(AND(BASELINE!I1445&lt;&gt;"",INT(IF(CALC!$F$1&gt;0,IF(N(INDEX(BASELINE!$A1445:$ZZ1445,CALC!$F$1))&gt;0,N(INDEX(BASELINE!$A1445:$ZZ1445,CALC!$F$1)),N(BASELINE!E1445)),N(BASELINE!E1445)))=INT(SIMOPS!$D$3),IFERROR(UPPER(TRIM(BASELINE!D1445&amp;"")),"")&lt;&gt;"ENCERRADA"),1,0),0)</f>
        <v/>
      </c>
      <c r="B1445">
        <f>B1444+A1445</f>
        <v/>
      </c>
    </row>
    <row r="1446">
      <c r="A1446">
        <f>IFERROR(IF(AND(BASELINE!I1446&lt;&gt;"",INT(IF(CALC!$F$1&gt;0,IF(N(INDEX(BASELINE!$A1446:$ZZ1446,CALC!$F$1))&gt;0,N(INDEX(BASELINE!$A1446:$ZZ1446,CALC!$F$1)),N(BASELINE!E1446)),N(BASELINE!E1446)))=INT(SIMOPS!$D$3),IFERROR(UPPER(TRIM(BASELINE!D1446&amp;"")),"")&lt;&gt;"ENCERRADA"),1,0),0)</f>
        <v/>
      </c>
      <c r="B1446">
        <f>B1445+A1446</f>
        <v/>
      </c>
    </row>
    <row r="1447">
      <c r="A1447">
        <f>IFERROR(IF(AND(BASELINE!I1447&lt;&gt;"",INT(IF(CALC!$F$1&gt;0,IF(N(INDEX(BASELINE!$A1447:$ZZ1447,CALC!$F$1))&gt;0,N(INDEX(BASELINE!$A1447:$ZZ1447,CALC!$F$1)),N(BASELINE!E1447)),N(BASELINE!E1447)))=INT(SIMOPS!$D$3),IFERROR(UPPER(TRIM(BASELINE!D1447&amp;"")),"")&lt;&gt;"ENCERRADA"),1,0),0)</f>
        <v/>
      </c>
      <c r="B1447">
        <f>B1446+A1447</f>
        <v/>
      </c>
    </row>
    <row r="1448">
      <c r="A1448">
        <f>IFERROR(IF(AND(BASELINE!I1448&lt;&gt;"",INT(IF(CALC!$F$1&gt;0,IF(N(INDEX(BASELINE!$A1448:$ZZ1448,CALC!$F$1))&gt;0,N(INDEX(BASELINE!$A1448:$ZZ1448,CALC!$F$1)),N(BASELINE!E1448)),N(BASELINE!E1448)))=INT(SIMOPS!$D$3),IFERROR(UPPER(TRIM(BASELINE!D1448&amp;"")),"")&lt;&gt;"ENCERRADA"),1,0),0)</f>
        <v/>
      </c>
      <c r="B1448">
        <f>B1447+A1448</f>
        <v/>
      </c>
    </row>
    <row r="1449">
      <c r="A1449">
        <f>IFERROR(IF(AND(BASELINE!I1449&lt;&gt;"",INT(IF(CALC!$F$1&gt;0,IF(N(INDEX(BASELINE!$A1449:$ZZ1449,CALC!$F$1))&gt;0,N(INDEX(BASELINE!$A1449:$ZZ1449,CALC!$F$1)),N(BASELINE!E1449)),N(BASELINE!E1449)))=INT(SIMOPS!$D$3),IFERROR(UPPER(TRIM(BASELINE!D1449&amp;"")),"")&lt;&gt;"ENCERRADA"),1,0),0)</f>
        <v/>
      </c>
      <c r="B1449">
        <f>B1448+A1449</f>
        <v/>
      </c>
    </row>
    <row r="1450">
      <c r="A1450">
        <f>IFERROR(IF(AND(BASELINE!I1450&lt;&gt;"",INT(IF(CALC!$F$1&gt;0,IF(N(INDEX(BASELINE!$A1450:$ZZ1450,CALC!$F$1))&gt;0,N(INDEX(BASELINE!$A1450:$ZZ1450,CALC!$F$1)),N(BASELINE!E1450)),N(BASELINE!E1450)))=INT(SIMOPS!$D$3),IFERROR(UPPER(TRIM(BASELINE!D1450&amp;"")),"")&lt;&gt;"ENCERRADA"),1,0),0)</f>
        <v/>
      </c>
      <c r="B1450">
        <f>B1449+A1450</f>
        <v/>
      </c>
    </row>
    <row r="1451">
      <c r="A1451">
        <f>IFERROR(IF(AND(BASELINE!I1451&lt;&gt;"",INT(IF(CALC!$F$1&gt;0,IF(N(INDEX(BASELINE!$A1451:$ZZ1451,CALC!$F$1))&gt;0,N(INDEX(BASELINE!$A1451:$ZZ1451,CALC!$F$1)),N(BASELINE!E1451)),N(BASELINE!E1451)))=INT(SIMOPS!$D$3),IFERROR(UPPER(TRIM(BASELINE!D1451&amp;"")),"")&lt;&gt;"ENCERRADA"),1,0),0)</f>
        <v/>
      </c>
      <c r="B1451">
        <f>B1450+A1451</f>
        <v/>
      </c>
    </row>
    <row r="1452">
      <c r="A1452">
        <f>IFERROR(IF(AND(BASELINE!I1452&lt;&gt;"",INT(IF(CALC!$F$1&gt;0,IF(N(INDEX(BASELINE!$A1452:$ZZ1452,CALC!$F$1))&gt;0,N(INDEX(BASELINE!$A1452:$ZZ1452,CALC!$F$1)),N(BASELINE!E1452)),N(BASELINE!E1452)))=INT(SIMOPS!$D$3),IFERROR(UPPER(TRIM(BASELINE!D1452&amp;"")),"")&lt;&gt;"ENCERRADA"),1,0),0)</f>
        <v/>
      </c>
      <c r="B1452">
        <f>B1451+A1452</f>
        <v/>
      </c>
    </row>
    <row r="1453">
      <c r="A1453">
        <f>IFERROR(IF(AND(BASELINE!I1453&lt;&gt;"",INT(IF(CALC!$F$1&gt;0,IF(N(INDEX(BASELINE!$A1453:$ZZ1453,CALC!$F$1))&gt;0,N(INDEX(BASELINE!$A1453:$ZZ1453,CALC!$F$1)),N(BASELINE!E1453)),N(BASELINE!E1453)))=INT(SIMOPS!$D$3),IFERROR(UPPER(TRIM(BASELINE!D1453&amp;"")),"")&lt;&gt;"ENCERRADA"),1,0),0)</f>
        <v/>
      </c>
      <c r="B1453">
        <f>B1452+A1453</f>
        <v/>
      </c>
    </row>
    <row r="1454">
      <c r="A1454">
        <f>IFERROR(IF(AND(BASELINE!I1454&lt;&gt;"",INT(IF(CALC!$F$1&gt;0,IF(N(INDEX(BASELINE!$A1454:$ZZ1454,CALC!$F$1))&gt;0,N(INDEX(BASELINE!$A1454:$ZZ1454,CALC!$F$1)),N(BASELINE!E1454)),N(BASELINE!E1454)))=INT(SIMOPS!$D$3),IFERROR(UPPER(TRIM(BASELINE!D1454&amp;"")),"")&lt;&gt;"ENCERRADA"),1,0),0)</f>
        <v/>
      </c>
      <c r="B1454">
        <f>B1453+A1454</f>
        <v/>
      </c>
    </row>
    <row r="1455">
      <c r="A1455">
        <f>IFERROR(IF(AND(BASELINE!I1455&lt;&gt;"",INT(IF(CALC!$F$1&gt;0,IF(N(INDEX(BASELINE!$A1455:$ZZ1455,CALC!$F$1))&gt;0,N(INDEX(BASELINE!$A1455:$ZZ1455,CALC!$F$1)),N(BASELINE!E1455)),N(BASELINE!E1455)))=INT(SIMOPS!$D$3),IFERROR(UPPER(TRIM(BASELINE!D1455&amp;"")),"")&lt;&gt;"ENCERRADA"),1,0),0)</f>
        <v/>
      </c>
      <c r="B1455">
        <f>B1454+A1455</f>
        <v/>
      </c>
    </row>
    <row r="1456">
      <c r="A1456">
        <f>IFERROR(IF(AND(BASELINE!I1456&lt;&gt;"",INT(IF(CALC!$F$1&gt;0,IF(N(INDEX(BASELINE!$A1456:$ZZ1456,CALC!$F$1))&gt;0,N(INDEX(BASELINE!$A1456:$ZZ1456,CALC!$F$1)),N(BASELINE!E1456)),N(BASELINE!E1456)))=INT(SIMOPS!$D$3),IFERROR(UPPER(TRIM(BASELINE!D1456&amp;"")),"")&lt;&gt;"ENCERRADA"),1,0),0)</f>
        <v/>
      </c>
      <c r="B1456">
        <f>B1455+A1456</f>
        <v/>
      </c>
    </row>
    <row r="1457">
      <c r="A1457">
        <f>IFERROR(IF(AND(BASELINE!I1457&lt;&gt;"",INT(IF(CALC!$F$1&gt;0,IF(N(INDEX(BASELINE!$A1457:$ZZ1457,CALC!$F$1))&gt;0,N(INDEX(BASELINE!$A1457:$ZZ1457,CALC!$F$1)),N(BASELINE!E1457)),N(BASELINE!E1457)))=INT(SIMOPS!$D$3),IFERROR(UPPER(TRIM(BASELINE!D1457&amp;"")),"")&lt;&gt;"ENCERRADA"),1,0),0)</f>
        <v/>
      </c>
      <c r="B1457">
        <f>B1456+A1457</f>
        <v/>
      </c>
    </row>
    <row r="1458">
      <c r="A1458">
        <f>IFERROR(IF(AND(BASELINE!I1458&lt;&gt;"",INT(IF(CALC!$F$1&gt;0,IF(N(INDEX(BASELINE!$A1458:$ZZ1458,CALC!$F$1))&gt;0,N(INDEX(BASELINE!$A1458:$ZZ1458,CALC!$F$1)),N(BASELINE!E1458)),N(BASELINE!E1458)))=INT(SIMOPS!$D$3),IFERROR(UPPER(TRIM(BASELINE!D1458&amp;"")),"")&lt;&gt;"ENCERRADA"),1,0),0)</f>
        <v/>
      </c>
      <c r="B1458">
        <f>B1457+A1458</f>
        <v/>
      </c>
    </row>
    <row r="1459">
      <c r="A1459">
        <f>IFERROR(IF(AND(BASELINE!I1459&lt;&gt;"",INT(IF(CALC!$F$1&gt;0,IF(N(INDEX(BASELINE!$A1459:$ZZ1459,CALC!$F$1))&gt;0,N(INDEX(BASELINE!$A1459:$ZZ1459,CALC!$F$1)),N(BASELINE!E1459)),N(BASELINE!E1459)))=INT(SIMOPS!$D$3),IFERROR(UPPER(TRIM(BASELINE!D1459&amp;"")),"")&lt;&gt;"ENCERRADA"),1,0),0)</f>
        <v/>
      </c>
      <c r="B1459">
        <f>B1458+A1459</f>
        <v/>
      </c>
    </row>
    <row r="1460">
      <c r="A1460">
        <f>IFERROR(IF(AND(BASELINE!I1460&lt;&gt;"",INT(IF(CALC!$F$1&gt;0,IF(N(INDEX(BASELINE!$A1460:$ZZ1460,CALC!$F$1))&gt;0,N(INDEX(BASELINE!$A1460:$ZZ1460,CALC!$F$1)),N(BASELINE!E1460)),N(BASELINE!E1460)))=INT(SIMOPS!$D$3),IFERROR(UPPER(TRIM(BASELINE!D1460&amp;"")),"")&lt;&gt;"ENCERRADA"),1,0),0)</f>
        <v/>
      </c>
      <c r="B1460">
        <f>B1459+A1460</f>
        <v/>
      </c>
    </row>
    <row r="1461">
      <c r="A1461">
        <f>IFERROR(IF(AND(BASELINE!I1461&lt;&gt;"",INT(IF(CALC!$F$1&gt;0,IF(N(INDEX(BASELINE!$A1461:$ZZ1461,CALC!$F$1))&gt;0,N(INDEX(BASELINE!$A1461:$ZZ1461,CALC!$F$1)),N(BASELINE!E1461)),N(BASELINE!E1461)))=INT(SIMOPS!$D$3),IFERROR(UPPER(TRIM(BASELINE!D1461&amp;"")),"")&lt;&gt;"ENCERRADA"),1,0),0)</f>
        <v/>
      </c>
      <c r="B1461">
        <f>B1460+A1461</f>
        <v/>
      </c>
    </row>
    <row r="1462">
      <c r="A1462">
        <f>IFERROR(IF(AND(BASELINE!I1462&lt;&gt;"",INT(IF(CALC!$F$1&gt;0,IF(N(INDEX(BASELINE!$A1462:$ZZ1462,CALC!$F$1))&gt;0,N(INDEX(BASELINE!$A1462:$ZZ1462,CALC!$F$1)),N(BASELINE!E1462)),N(BASELINE!E1462)))=INT(SIMOPS!$D$3),IFERROR(UPPER(TRIM(BASELINE!D1462&amp;"")),"")&lt;&gt;"ENCERRADA"),1,0),0)</f>
        <v/>
      </c>
      <c r="B1462">
        <f>B1461+A1462</f>
        <v/>
      </c>
    </row>
    <row r="1463">
      <c r="A1463">
        <f>IFERROR(IF(AND(BASELINE!I1463&lt;&gt;"",INT(IF(CALC!$F$1&gt;0,IF(N(INDEX(BASELINE!$A1463:$ZZ1463,CALC!$F$1))&gt;0,N(INDEX(BASELINE!$A1463:$ZZ1463,CALC!$F$1)),N(BASELINE!E1463)),N(BASELINE!E1463)))=INT(SIMOPS!$D$3),IFERROR(UPPER(TRIM(BASELINE!D1463&amp;"")),"")&lt;&gt;"ENCERRADA"),1,0),0)</f>
        <v/>
      </c>
      <c r="B1463">
        <f>B1462+A1463</f>
        <v/>
      </c>
    </row>
    <row r="1464">
      <c r="A1464">
        <f>IFERROR(IF(AND(BASELINE!I1464&lt;&gt;"",INT(IF(CALC!$F$1&gt;0,IF(N(INDEX(BASELINE!$A1464:$ZZ1464,CALC!$F$1))&gt;0,N(INDEX(BASELINE!$A1464:$ZZ1464,CALC!$F$1)),N(BASELINE!E1464)),N(BASELINE!E1464)))=INT(SIMOPS!$D$3),IFERROR(UPPER(TRIM(BASELINE!D1464&amp;"")),"")&lt;&gt;"ENCERRADA"),1,0),0)</f>
        <v/>
      </c>
      <c r="B1464">
        <f>B1463+A1464</f>
        <v/>
      </c>
    </row>
    <row r="1465">
      <c r="A1465">
        <f>IFERROR(IF(AND(BASELINE!I1465&lt;&gt;"",INT(IF(CALC!$F$1&gt;0,IF(N(INDEX(BASELINE!$A1465:$ZZ1465,CALC!$F$1))&gt;0,N(INDEX(BASELINE!$A1465:$ZZ1465,CALC!$F$1)),N(BASELINE!E1465)),N(BASELINE!E1465)))=INT(SIMOPS!$D$3),IFERROR(UPPER(TRIM(BASELINE!D1465&amp;"")),"")&lt;&gt;"ENCERRADA"),1,0),0)</f>
        <v/>
      </c>
      <c r="B1465">
        <f>B1464+A1465</f>
        <v/>
      </c>
    </row>
    <row r="1466">
      <c r="A1466">
        <f>IFERROR(IF(AND(BASELINE!I1466&lt;&gt;"",INT(IF(CALC!$F$1&gt;0,IF(N(INDEX(BASELINE!$A1466:$ZZ1466,CALC!$F$1))&gt;0,N(INDEX(BASELINE!$A1466:$ZZ1466,CALC!$F$1)),N(BASELINE!E1466)),N(BASELINE!E1466)))=INT(SIMOPS!$D$3),IFERROR(UPPER(TRIM(BASELINE!D1466&amp;"")),"")&lt;&gt;"ENCERRADA"),1,0),0)</f>
        <v/>
      </c>
      <c r="B1466">
        <f>B1465+A1466</f>
        <v/>
      </c>
    </row>
    <row r="1467">
      <c r="A1467">
        <f>IFERROR(IF(AND(BASELINE!I1467&lt;&gt;"",INT(IF(CALC!$F$1&gt;0,IF(N(INDEX(BASELINE!$A1467:$ZZ1467,CALC!$F$1))&gt;0,N(INDEX(BASELINE!$A1467:$ZZ1467,CALC!$F$1)),N(BASELINE!E1467)),N(BASELINE!E1467)))=INT(SIMOPS!$D$3),IFERROR(UPPER(TRIM(BASELINE!D1467&amp;"")),"")&lt;&gt;"ENCERRADA"),1,0),0)</f>
        <v/>
      </c>
      <c r="B1467">
        <f>B1466+A1467</f>
        <v/>
      </c>
    </row>
    <row r="1468">
      <c r="A1468">
        <f>IFERROR(IF(AND(BASELINE!I1468&lt;&gt;"",INT(IF(CALC!$F$1&gt;0,IF(N(INDEX(BASELINE!$A1468:$ZZ1468,CALC!$F$1))&gt;0,N(INDEX(BASELINE!$A1468:$ZZ1468,CALC!$F$1)),N(BASELINE!E1468)),N(BASELINE!E1468)))=INT(SIMOPS!$D$3),IFERROR(UPPER(TRIM(BASELINE!D1468&amp;"")),"")&lt;&gt;"ENCERRADA"),1,0),0)</f>
        <v/>
      </c>
      <c r="B1468">
        <f>B1467+A1468</f>
        <v/>
      </c>
    </row>
    <row r="1469">
      <c r="A1469">
        <f>IFERROR(IF(AND(BASELINE!I1469&lt;&gt;"",INT(IF(CALC!$F$1&gt;0,IF(N(INDEX(BASELINE!$A1469:$ZZ1469,CALC!$F$1))&gt;0,N(INDEX(BASELINE!$A1469:$ZZ1469,CALC!$F$1)),N(BASELINE!E1469)),N(BASELINE!E1469)))=INT(SIMOPS!$D$3),IFERROR(UPPER(TRIM(BASELINE!D1469&amp;"")),"")&lt;&gt;"ENCERRADA"),1,0),0)</f>
        <v/>
      </c>
      <c r="B1469">
        <f>B1468+A1469</f>
        <v/>
      </c>
    </row>
    <row r="1470">
      <c r="A1470">
        <f>IFERROR(IF(AND(BASELINE!I1470&lt;&gt;"",INT(IF(CALC!$F$1&gt;0,IF(N(INDEX(BASELINE!$A1470:$ZZ1470,CALC!$F$1))&gt;0,N(INDEX(BASELINE!$A1470:$ZZ1470,CALC!$F$1)),N(BASELINE!E1470)),N(BASELINE!E1470)))=INT(SIMOPS!$D$3),IFERROR(UPPER(TRIM(BASELINE!D1470&amp;"")),"")&lt;&gt;"ENCERRADA"),1,0),0)</f>
        <v/>
      </c>
      <c r="B1470">
        <f>B1469+A1470</f>
        <v/>
      </c>
    </row>
    <row r="1471">
      <c r="A1471">
        <f>IFERROR(IF(AND(BASELINE!I1471&lt;&gt;"",INT(IF(CALC!$F$1&gt;0,IF(N(INDEX(BASELINE!$A1471:$ZZ1471,CALC!$F$1))&gt;0,N(INDEX(BASELINE!$A1471:$ZZ1471,CALC!$F$1)),N(BASELINE!E1471)),N(BASELINE!E1471)))=INT(SIMOPS!$D$3),IFERROR(UPPER(TRIM(BASELINE!D1471&amp;"")),"")&lt;&gt;"ENCERRADA"),1,0),0)</f>
        <v/>
      </c>
      <c r="B1471">
        <f>B1470+A1471</f>
        <v/>
      </c>
    </row>
    <row r="1472">
      <c r="A1472">
        <f>IFERROR(IF(AND(BASELINE!I1472&lt;&gt;"",INT(IF(CALC!$F$1&gt;0,IF(N(INDEX(BASELINE!$A1472:$ZZ1472,CALC!$F$1))&gt;0,N(INDEX(BASELINE!$A1472:$ZZ1472,CALC!$F$1)),N(BASELINE!E1472)),N(BASELINE!E1472)))=INT(SIMOPS!$D$3),IFERROR(UPPER(TRIM(BASELINE!D1472&amp;"")),"")&lt;&gt;"ENCERRADA"),1,0),0)</f>
        <v/>
      </c>
      <c r="B1472">
        <f>B1471+A1472</f>
        <v/>
      </c>
    </row>
    <row r="1473">
      <c r="A1473">
        <f>IFERROR(IF(AND(BASELINE!I1473&lt;&gt;"",INT(IF(CALC!$F$1&gt;0,IF(N(INDEX(BASELINE!$A1473:$ZZ1473,CALC!$F$1))&gt;0,N(INDEX(BASELINE!$A1473:$ZZ1473,CALC!$F$1)),N(BASELINE!E1473)),N(BASELINE!E1473)))=INT(SIMOPS!$D$3),IFERROR(UPPER(TRIM(BASELINE!D1473&amp;"")),"")&lt;&gt;"ENCERRADA"),1,0),0)</f>
        <v/>
      </c>
      <c r="B1473">
        <f>B1472+A1473</f>
        <v/>
      </c>
    </row>
    <row r="1474">
      <c r="A1474">
        <f>IFERROR(IF(AND(BASELINE!I1474&lt;&gt;"",INT(IF(CALC!$F$1&gt;0,IF(N(INDEX(BASELINE!$A1474:$ZZ1474,CALC!$F$1))&gt;0,N(INDEX(BASELINE!$A1474:$ZZ1474,CALC!$F$1)),N(BASELINE!E1474)),N(BASELINE!E1474)))=INT(SIMOPS!$D$3),IFERROR(UPPER(TRIM(BASELINE!D1474&amp;"")),"")&lt;&gt;"ENCERRADA"),1,0),0)</f>
        <v/>
      </c>
      <c r="B1474">
        <f>B1473+A1474</f>
        <v/>
      </c>
    </row>
    <row r="1475">
      <c r="A1475">
        <f>IFERROR(IF(AND(BASELINE!I1475&lt;&gt;"",INT(IF(CALC!$F$1&gt;0,IF(N(INDEX(BASELINE!$A1475:$ZZ1475,CALC!$F$1))&gt;0,N(INDEX(BASELINE!$A1475:$ZZ1475,CALC!$F$1)),N(BASELINE!E1475)),N(BASELINE!E1475)))=INT(SIMOPS!$D$3),IFERROR(UPPER(TRIM(BASELINE!D1475&amp;"")),"")&lt;&gt;"ENCERRADA"),1,0),0)</f>
        <v/>
      </c>
      <c r="B1475">
        <f>B1474+A1475</f>
        <v/>
      </c>
    </row>
    <row r="1476">
      <c r="A1476">
        <f>IFERROR(IF(AND(BASELINE!I1476&lt;&gt;"",INT(IF(CALC!$F$1&gt;0,IF(N(INDEX(BASELINE!$A1476:$ZZ1476,CALC!$F$1))&gt;0,N(INDEX(BASELINE!$A1476:$ZZ1476,CALC!$F$1)),N(BASELINE!E1476)),N(BASELINE!E1476)))=INT(SIMOPS!$D$3),IFERROR(UPPER(TRIM(BASELINE!D1476&amp;"")),"")&lt;&gt;"ENCERRADA"),1,0),0)</f>
        <v/>
      </c>
      <c r="B1476">
        <f>B1475+A1476</f>
        <v/>
      </c>
    </row>
    <row r="1477">
      <c r="A1477">
        <f>IFERROR(IF(AND(BASELINE!I1477&lt;&gt;"",INT(IF(CALC!$F$1&gt;0,IF(N(INDEX(BASELINE!$A1477:$ZZ1477,CALC!$F$1))&gt;0,N(INDEX(BASELINE!$A1477:$ZZ1477,CALC!$F$1)),N(BASELINE!E1477)),N(BASELINE!E1477)))=INT(SIMOPS!$D$3),IFERROR(UPPER(TRIM(BASELINE!D1477&amp;"")),"")&lt;&gt;"ENCERRADA"),1,0),0)</f>
        <v/>
      </c>
      <c r="B1477">
        <f>B1476+A1477</f>
        <v/>
      </c>
    </row>
    <row r="1478">
      <c r="A1478">
        <f>IFERROR(IF(AND(BASELINE!I1478&lt;&gt;"",INT(IF(CALC!$F$1&gt;0,IF(N(INDEX(BASELINE!$A1478:$ZZ1478,CALC!$F$1))&gt;0,N(INDEX(BASELINE!$A1478:$ZZ1478,CALC!$F$1)),N(BASELINE!E1478)),N(BASELINE!E1478)))=INT(SIMOPS!$D$3),IFERROR(UPPER(TRIM(BASELINE!D1478&amp;"")),"")&lt;&gt;"ENCERRADA"),1,0),0)</f>
        <v/>
      </c>
      <c r="B1478">
        <f>B1477+A1478</f>
        <v/>
      </c>
    </row>
    <row r="1479">
      <c r="A1479">
        <f>IFERROR(IF(AND(BASELINE!I1479&lt;&gt;"",INT(IF(CALC!$F$1&gt;0,IF(N(INDEX(BASELINE!$A1479:$ZZ1479,CALC!$F$1))&gt;0,N(INDEX(BASELINE!$A1479:$ZZ1479,CALC!$F$1)),N(BASELINE!E1479)),N(BASELINE!E1479)))=INT(SIMOPS!$D$3),IFERROR(UPPER(TRIM(BASELINE!D1479&amp;"")),"")&lt;&gt;"ENCERRADA"),1,0),0)</f>
        <v/>
      </c>
      <c r="B1479">
        <f>B1478+A1479</f>
        <v/>
      </c>
    </row>
    <row r="1480">
      <c r="A1480">
        <f>IFERROR(IF(AND(BASELINE!I1480&lt;&gt;"",INT(IF(CALC!$F$1&gt;0,IF(N(INDEX(BASELINE!$A1480:$ZZ1480,CALC!$F$1))&gt;0,N(INDEX(BASELINE!$A1480:$ZZ1480,CALC!$F$1)),N(BASELINE!E1480)),N(BASELINE!E1480)))=INT(SIMOPS!$D$3),IFERROR(UPPER(TRIM(BASELINE!D1480&amp;"")),"")&lt;&gt;"ENCERRADA"),1,0),0)</f>
        <v/>
      </c>
      <c r="B1480">
        <f>B1479+A1480</f>
        <v/>
      </c>
    </row>
    <row r="1481">
      <c r="A1481">
        <f>IFERROR(IF(AND(BASELINE!I1481&lt;&gt;"",INT(IF(CALC!$F$1&gt;0,IF(N(INDEX(BASELINE!$A1481:$ZZ1481,CALC!$F$1))&gt;0,N(INDEX(BASELINE!$A1481:$ZZ1481,CALC!$F$1)),N(BASELINE!E1481)),N(BASELINE!E1481)))=INT(SIMOPS!$D$3),IFERROR(UPPER(TRIM(BASELINE!D1481&amp;"")),"")&lt;&gt;"ENCERRADA"),1,0),0)</f>
        <v/>
      </c>
      <c r="B1481">
        <f>B1480+A1481</f>
        <v/>
      </c>
    </row>
    <row r="1482">
      <c r="A1482">
        <f>IFERROR(IF(AND(BASELINE!I1482&lt;&gt;"",INT(IF(CALC!$F$1&gt;0,IF(N(INDEX(BASELINE!$A1482:$ZZ1482,CALC!$F$1))&gt;0,N(INDEX(BASELINE!$A1482:$ZZ1482,CALC!$F$1)),N(BASELINE!E1482)),N(BASELINE!E1482)))=INT(SIMOPS!$D$3),IFERROR(UPPER(TRIM(BASELINE!D1482&amp;"")),"")&lt;&gt;"ENCERRADA"),1,0),0)</f>
        <v/>
      </c>
      <c r="B1482">
        <f>B1481+A1482</f>
        <v/>
      </c>
    </row>
    <row r="1483">
      <c r="A1483">
        <f>IFERROR(IF(AND(BASELINE!I1483&lt;&gt;"",INT(IF(CALC!$F$1&gt;0,IF(N(INDEX(BASELINE!$A1483:$ZZ1483,CALC!$F$1))&gt;0,N(INDEX(BASELINE!$A1483:$ZZ1483,CALC!$F$1)),N(BASELINE!E1483)),N(BASELINE!E1483)))=INT(SIMOPS!$D$3),IFERROR(UPPER(TRIM(BASELINE!D1483&amp;"")),"")&lt;&gt;"ENCERRADA"),1,0),0)</f>
        <v/>
      </c>
      <c r="B1483">
        <f>B1482+A1483</f>
        <v/>
      </c>
    </row>
    <row r="1484">
      <c r="A1484">
        <f>IFERROR(IF(AND(BASELINE!I1484&lt;&gt;"",INT(IF(CALC!$F$1&gt;0,IF(N(INDEX(BASELINE!$A1484:$ZZ1484,CALC!$F$1))&gt;0,N(INDEX(BASELINE!$A1484:$ZZ1484,CALC!$F$1)),N(BASELINE!E1484)),N(BASELINE!E1484)))=INT(SIMOPS!$D$3),IFERROR(UPPER(TRIM(BASELINE!D1484&amp;"")),"")&lt;&gt;"ENCERRADA"),1,0),0)</f>
        <v/>
      </c>
      <c r="B1484">
        <f>B1483+A1484</f>
        <v/>
      </c>
    </row>
    <row r="1485">
      <c r="A1485">
        <f>IFERROR(IF(AND(BASELINE!I1485&lt;&gt;"",INT(IF(CALC!$F$1&gt;0,IF(N(INDEX(BASELINE!$A1485:$ZZ1485,CALC!$F$1))&gt;0,N(INDEX(BASELINE!$A1485:$ZZ1485,CALC!$F$1)),N(BASELINE!E1485)),N(BASELINE!E1485)))=INT(SIMOPS!$D$3),IFERROR(UPPER(TRIM(BASELINE!D1485&amp;"")),"")&lt;&gt;"ENCERRADA"),1,0),0)</f>
        <v/>
      </c>
      <c r="B1485">
        <f>B1484+A1485</f>
        <v/>
      </c>
    </row>
    <row r="1486">
      <c r="A1486">
        <f>IFERROR(IF(AND(BASELINE!I1486&lt;&gt;"",INT(IF(CALC!$F$1&gt;0,IF(N(INDEX(BASELINE!$A1486:$ZZ1486,CALC!$F$1))&gt;0,N(INDEX(BASELINE!$A1486:$ZZ1486,CALC!$F$1)),N(BASELINE!E1486)),N(BASELINE!E1486)))=INT(SIMOPS!$D$3),IFERROR(UPPER(TRIM(BASELINE!D1486&amp;"")),"")&lt;&gt;"ENCERRADA"),1,0),0)</f>
        <v/>
      </c>
      <c r="B1486">
        <f>B1485+A1486</f>
        <v/>
      </c>
    </row>
    <row r="1487">
      <c r="A1487">
        <f>IFERROR(IF(AND(BASELINE!I1487&lt;&gt;"",INT(IF(CALC!$F$1&gt;0,IF(N(INDEX(BASELINE!$A1487:$ZZ1487,CALC!$F$1))&gt;0,N(INDEX(BASELINE!$A1487:$ZZ1487,CALC!$F$1)),N(BASELINE!E1487)),N(BASELINE!E1487)))=INT(SIMOPS!$D$3),IFERROR(UPPER(TRIM(BASELINE!D1487&amp;"")),"")&lt;&gt;"ENCERRADA"),1,0),0)</f>
        <v/>
      </c>
      <c r="B1487">
        <f>B1486+A1487</f>
        <v/>
      </c>
    </row>
    <row r="1488">
      <c r="A1488">
        <f>IFERROR(IF(AND(BASELINE!I1488&lt;&gt;"",INT(IF(CALC!$F$1&gt;0,IF(N(INDEX(BASELINE!$A1488:$ZZ1488,CALC!$F$1))&gt;0,N(INDEX(BASELINE!$A1488:$ZZ1488,CALC!$F$1)),N(BASELINE!E1488)),N(BASELINE!E1488)))=INT(SIMOPS!$D$3),IFERROR(UPPER(TRIM(BASELINE!D1488&amp;"")),"")&lt;&gt;"ENCERRADA"),1,0),0)</f>
        <v/>
      </c>
      <c r="B1488">
        <f>B1487+A1488</f>
        <v/>
      </c>
    </row>
    <row r="1489">
      <c r="A1489">
        <f>IFERROR(IF(AND(BASELINE!I1489&lt;&gt;"",INT(IF(CALC!$F$1&gt;0,IF(N(INDEX(BASELINE!$A1489:$ZZ1489,CALC!$F$1))&gt;0,N(INDEX(BASELINE!$A1489:$ZZ1489,CALC!$F$1)),N(BASELINE!E1489)),N(BASELINE!E1489)))=INT(SIMOPS!$D$3),IFERROR(UPPER(TRIM(BASELINE!D1489&amp;"")),"")&lt;&gt;"ENCERRADA"),1,0),0)</f>
        <v/>
      </c>
      <c r="B1489">
        <f>B1488+A1489</f>
        <v/>
      </c>
    </row>
    <row r="1490">
      <c r="A1490">
        <f>IFERROR(IF(AND(BASELINE!I1490&lt;&gt;"",INT(IF(CALC!$F$1&gt;0,IF(N(INDEX(BASELINE!$A1490:$ZZ1490,CALC!$F$1))&gt;0,N(INDEX(BASELINE!$A1490:$ZZ1490,CALC!$F$1)),N(BASELINE!E1490)),N(BASELINE!E1490)))=INT(SIMOPS!$D$3),IFERROR(UPPER(TRIM(BASELINE!D1490&amp;"")),"")&lt;&gt;"ENCERRADA"),1,0),0)</f>
        <v/>
      </c>
      <c r="B1490">
        <f>B1489+A1490</f>
        <v/>
      </c>
    </row>
    <row r="1491">
      <c r="A1491">
        <f>IFERROR(IF(AND(BASELINE!I1491&lt;&gt;"",INT(IF(CALC!$F$1&gt;0,IF(N(INDEX(BASELINE!$A1491:$ZZ1491,CALC!$F$1))&gt;0,N(INDEX(BASELINE!$A1491:$ZZ1491,CALC!$F$1)),N(BASELINE!E1491)),N(BASELINE!E1491)))=INT(SIMOPS!$D$3),IFERROR(UPPER(TRIM(BASELINE!D1491&amp;"")),"")&lt;&gt;"ENCERRADA"),1,0),0)</f>
        <v/>
      </c>
      <c r="B1491">
        <f>B1490+A1491</f>
        <v/>
      </c>
    </row>
    <row r="1492">
      <c r="A1492">
        <f>IFERROR(IF(AND(BASELINE!I1492&lt;&gt;"",INT(IF(CALC!$F$1&gt;0,IF(N(INDEX(BASELINE!$A1492:$ZZ1492,CALC!$F$1))&gt;0,N(INDEX(BASELINE!$A1492:$ZZ1492,CALC!$F$1)),N(BASELINE!E1492)),N(BASELINE!E1492)))=INT(SIMOPS!$D$3),IFERROR(UPPER(TRIM(BASELINE!D1492&amp;"")),"")&lt;&gt;"ENCERRADA"),1,0),0)</f>
        <v/>
      </c>
      <c r="B1492">
        <f>B1491+A1492</f>
        <v/>
      </c>
    </row>
    <row r="1493">
      <c r="A1493">
        <f>IFERROR(IF(AND(BASELINE!I1493&lt;&gt;"",INT(IF(CALC!$F$1&gt;0,IF(N(INDEX(BASELINE!$A1493:$ZZ1493,CALC!$F$1))&gt;0,N(INDEX(BASELINE!$A1493:$ZZ1493,CALC!$F$1)),N(BASELINE!E1493)),N(BASELINE!E1493)))=INT(SIMOPS!$D$3),IFERROR(UPPER(TRIM(BASELINE!D1493&amp;"")),"")&lt;&gt;"ENCERRADA"),1,0),0)</f>
        <v/>
      </c>
      <c r="B1493">
        <f>B1492+A1493</f>
        <v/>
      </c>
    </row>
    <row r="1494">
      <c r="A1494">
        <f>IFERROR(IF(AND(BASELINE!I1494&lt;&gt;"",INT(IF(CALC!$F$1&gt;0,IF(N(INDEX(BASELINE!$A1494:$ZZ1494,CALC!$F$1))&gt;0,N(INDEX(BASELINE!$A1494:$ZZ1494,CALC!$F$1)),N(BASELINE!E1494)),N(BASELINE!E1494)))=INT(SIMOPS!$D$3),IFERROR(UPPER(TRIM(BASELINE!D1494&amp;"")),"")&lt;&gt;"ENCERRADA"),1,0),0)</f>
        <v/>
      </c>
      <c r="B1494">
        <f>B1493+A1494</f>
        <v/>
      </c>
    </row>
    <row r="1495">
      <c r="A1495">
        <f>IFERROR(IF(AND(BASELINE!I1495&lt;&gt;"",INT(IF(CALC!$F$1&gt;0,IF(N(INDEX(BASELINE!$A1495:$ZZ1495,CALC!$F$1))&gt;0,N(INDEX(BASELINE!$A1495:$ZZ1495,CALC!$F$1)),N(BASELINE!E1495)),N(BASELINE!E1495)))=INT(SIMOPS!$D$3),IFERROR(UPPER(TRIM(BASELINE!D1495&amp;"")),"")&lt;&gt;"ENCERRADA"),1,0),0)</f>
        <v/>
      </c>
      <c r="B1495">
        <f>B1494+A1495</f>
        <v/>
      </c>
    </row>
    <row r="1496">
      <c r="A1496">
        <f>IFERROR(IF(AND(BASELINE!I1496&lt;&gt;"",INT(IF(CALC!$F$1&gt;0,IF(N(INDEX(BASELINE!$A1496:$ZZ1496,CALC!$F$1))&gt;0,N(INDEX(BASELINE!$A1496:$ZZ1496,CALC!$F$1)),N(BASELINE!E1496)),N(BASELINE!E1496)))=INT(SIMOPS!$D$3),IFERROR(UPPER(TRIM(BASELINE!D1496&amp;"")),"")&lt;&gt;"ENCERRADA"),1,0),0)</f>
        <v/>
      </c>
      <c r="B1496">
        <f>B1495+A1496</f>
        <v/>
      </c>
    </row>
    <row r="1497">
      <c r="A1497">
        <f>IFERROR(IF(AND(BASELINE!I1497&lt;&gt;"",INT(IF(CALC!$F$1&gt;0,IF(N(INDEX(BASELINE!$A1497:$ZZ1497,CALC!$F$1))&gt;0,N(INDEX(BASELINE!$A1497:$ZZ1497,CALC!$F$1)),N(BASELINE!E1497)),N(BASELINE!E1497)))=INT(SIMOPS!$D$3),IFERROR(UPPER(TRIM(BASELINE!D1497&amp;"")),"")&lt;&gt;"ENCERRADA"),1,0),0)</f>
        <v/>
      </c>
      <c r="B1497">
        <f>B1496+A1497</f>
        <v/>
      </c>
    </row>
    <row r="1498">
      <c r="A1498">
        <f>IFERROR(IF(AND(BASELINE!I1498&lt;&gt;"",INT(IF(CALC!$F$1&gt;0,IF(N(INDEX(BASELINE!$A1498:$ZZ1498,CALC!$F$1))&gt;0,N(INDEX(BASELINE!$A1498:$ZZ1498,CALC!$F$1)),N(BASELINE!E1498)),N(BASELINE!E1498)))=INT(SIMOPS!$D$3),IFERROR(UPPER(TRIM(BASELINE!D1498&amp;"")),"")&lt;&gt;"ENCERRADA"),1,0),0)</f>
        <v/>
      </c>
      <c r="B1498">
        <f>B1497+A1498</f>
        <v/>
      </c>
    </row>
    <row r="1499">
      <c r="A1499">
        <f>IFERROR(IF(AND(BASELINE!I1499&lt;&gt;"",INT(IF(CALC!$F$1&gt;0,IF(N(INDEX(BASELINE!$A1499:$ZZ1499,CALC!$F$1))&gt;0,N(INDEX(BASELINE!$A1499:$ZZ1499,CALC!$F$1)),N(BASELINE!E1499)),N(BASELINE!E1499)))=INT(SIMOPS!$D$3),IFERROR(UPPER(TRIM(BASELINE!D1499&amp;"")),"")&lt;&gt;"ENCERRADA"),1,0),0)</f>
        <v/>
      </c>
      <c r="B1499">
        <f>B1498+A1499</f>
        <v/>
      </c>
    </row>
    <row r="1500">
      <c r="A1500">
        <f>IFERROR(IF(AND(BASELINE!I1500&lt;&gt;"",INT(IF(CALC!$F$1&gt;0,IF(N(INDEX(BASELINE!$A1500:$ZZ1500,CALC!$F$1))&gt;0,N(INDEX(BASELINE!$A1500:$ZZ1500,CALC!$F$1)),N(BASELINE!E1500)),N(BASELINE!E1500)))=INT(SIMOPS!$D$3),IFERROR(UPPER(TRIM(BASELINE!D1500&amp;"")),"")&lt;&gt;"ENCERRADA"),1,0),0)</f>
        <v/>
      </c>
      <c r="B1500">
        <f>B1499+A1500</f>
        <v/>
      </c>
    </row>
    <row r="1501">
      <c r="A1501">
        <f>IFERROR(IF(AND(BASELINE!I1501&lt;&gt;"",INT(IF(CALC!$F$1&gt;0,IF(N(INDEX(BASELINE!$A1501:$ZZ1501,CALC!$F$1))&gt;0,N(INDEX(BASELINE!$A1501:$ZZ1501,CALC!$F$1)),N(BASELINE!E1501)),N(BASELINE!E1501)))=INT(SIMOPS!$D$3),IFERROR(UPPER(TRIM(BASELINE!D1501&amp;"")),"")&lt;&gt;"ENCERRADA"),1,0),0)</f>
        <v/>
      </c>
      <c r="B1501">
        <f>B1500+A1501</f>
        <v/>
      </c>
    </row>
    <row r="1502">
      <c r="A1502">
        <f>IFERROR(IF(AND(BASELINE!I1502&lt;&gt;"",INT(IF(CALC!$F$1&gt;0,IF(N(INDEX(BASELINE!$A1502:$ZZ1502,CALC!$F$1))&gt;0,N(INDEX(BASELINE!$A1502:$ZZ1502,CALC!$F$1)),N(BASELINE!E1502)),N(BASELINE!E1502)))=INT(SIMOPS!$D$3),IFERROR(UPPER(TRIM(BASELINE!D1502&amp;"")),"")&lt;&gt;"ENCERRADA"),1,0),0)</f>
        <v/>
      </c>
      <c r="B1502">
        <f>B1501+A1502</f>
        <v/>
      </c>
    </row>
    <row r="1503">
      <c r="A1503">
        <f>IFERROR(IF(AND(BASELINE!I1503&lt;&gt;"",INT(IF(CALC!$F$1&gt;0,IF(N(INDEX(BASELINE!$A1503:$ZZ1503,CALC!$F$1))&gt;0,N(INDEX(BASELINE!$A1503:$ZZ1503,CALC!$F$1)),N(BASELINE!E1503)),N(BASELINE!E1503)))=INT(SIMOPS!$D$3),IFERROR(UPPER(TRIM(BASELINE!D1503&amp;"")),"")&lt;&gt;"ENCERRADA"),1,0),0)</f>
        <v/>
      </c>
      <c r="B1503">
        <f>B1502+A1503</f>
        <v/>
      </c>
    </row>
    <row r="1504">
      <c r="A1504">
        <f>IFERROR(IF(AND(BASELINE!I1504&lt;&gt;"",INT(IF(CALC!$F$1&gt;0,IF(N(INDEX(BASELINE!$A1504:$ZZ1504,CALC!$F$1))&gt;0,N(INDEX(BASELINE!$A1504:$ZZ1504,CALC!$F$1)),N(BASELINE!E1504)),N(BASELINE!E1504)))=INT(SIMOPS!$D$3),IFERROR(UPPER(TRIM(BASELINE!D1504&amp;"")),"")&lt;&gt;"ENCERRADA"),1,0),0)</f>
        <v/>
      </c>
      <c r="B1504">
        <f>B1503+A1504</f>
        <v/>
      </c>
    </row>
    <row r="1505">
      <c r="A1505">
        <f>IFERROR(IF(AND(BASELINE!I1505&lt;&gt;"",INT(IF(CALC!$F$1&gt;0,IF(N(INDEX(BASELINE!$A1505:$ZZ1505,CALC!$F$1))&gt;0,N(INDEX(BASELINE!$A1505:$ZZ1505,CALC!$F$1)),N(BASELINE!E1505)),N(BASELINE!E1505)))=INT(SIMOPS!$D$3),IFERROR(UPPER(TRIM(BASELINE!D1505&amp;"")),"")&lt;&gt;"ENCERRADA"),1,0),0)</f>
        <v/>
      </c>
      <c r="B1505">
        <f>B1504+A1505</f>
        <v/>
      </c>
    </row>
    <row r="1506">
      <c r="A1506">
        <f>IFERROR(IF(AND(BASELINE!I1506&lt;&gt;"",INT(IF(CALC!$F$1&gt;0,IF(N(INDEX(BASELINE!$A1506:$ZZ1506,CALC!$F$1))&gt;0,N(INDEX(BASELINE!$A1506:$ZZ1506,CALC!$F$1)),N(BASELINE!E1506)),N(BASELINE!E1506)))=INT(SIMOPS!$D$3),IFERROR(UPPER(TRIM(BASELINE!D1506&amp;"")),"")&lt;&gt;"ENCERRADA"),1,0),0)</f>
        <v/>
      </c>
      <c r="B1506">
        <f>B1505+A1506</f>
        <v/>
      </c>
    </row>
    <row r="1507">
      <c r="A1507">
        <f>IFERROR(IF(AND(BASELINE!I1507&lt;&gt;"",INT(IF(CALC!$F$1&gt;0,IF(N(INDEX(BASELINE!$A1507:$ZZ1507,CALC!$F$1))&gt;0,N(INDEX(BASELINE!$A1507:$ZZ1507,CALC!$F$1)),N(BASELINE!E1507)),N(BASELINE!E1507)))=INT(SIMOPS!$D$3),IFERROR(UPPER(TRIM(BASELINE!D1507&amp;"")),"")&lt;&gt;"ENCERRADA"),1,0),0)</f>
        <v/>
      </c>
      <c r="B1507">
        <f>B1506+A1507</f>
        <v/>
      </c>
    </row>
    <row r="1508">
      <c r="A1508">
        <f>IFERROR(IF(AND(BASELINE!I1508&lt;&gt;"",INT(IF(CALC!$F$1&gt;0,IF(N(INDEX(BASELINE!$A1508:$ZZ1508,CALC!$F$1))&gt;0,N(INDEX(BASELINE!$A1508:$ZZ1508,CALC!$F$1)),N(BASELINE!E1508)),N(BASELINE!E1508)))=INT(SIMOPS!$D$3),IFERROR(UPPER(TRIM(BASELINE!D1508&amp;"")),"")&lt;&gt;"ENCERRADA"),1,0),0)</f>
        <v/>
      </c>
      <c r="B1508">
        <f>B1507+A1508</f>
        <v/>
      </c>
    </row>
    <row r="1509">
      <c r="A1509">
        <f>IFERROR(IF(AND(BASELINE!I1509&lt;&gt;"",INT(IF(CALC!$F$1&gt;0,IF(N(INDEX(BASELINE!$A1509:$ZZ1509,CALC!$F$1))&gt;0,N(INDEX(BASELINE!$A1509:$ZZ1509,CALC!$F$1)),N(BASELINE!E1509)),N(BASELINE!E1509)))=INT(SIMOPS!$D$3),IFERROR(UPPER(TRIM(BASELINE!D1509&amp;"")),"")&lt;&gt;"ENCERRADA"),1,0),0)</f>
        <v/>
      </c>
      <c r="B1509">
        <f>B1508+A1509</f>
        <v/>
      </c>
    </row>
    <row r="1510">
      <c r="A1510">
        <f>IFERROR(IF(AND(BASELINE!I1510&lt;&gt;"",INT(IF(CALC!$F$1&gt;0,IF(N(INDEX(BASELINE!$A1510:$ZZ1510,CALC!$F$1))&gt;0,N(INDEX(BASELINE!$A1510:$ZZ1510,CALC!$F$1)),N(BASELINE!E1510)),N(BASELINE!E1510)))=INT(SIMOPS!$D$3),IFERROR(UPPER(TRIM(BASELINE!D1510&amp;"")),"")&lt;&gt;"ENCERRADA"),1,0),0)</f>
        <v/>
      </c>
      <c r="B1510">
        <f>B1509+A1510</f>
        <v/>
      </c>
    </row>
    <row r="1511">
      <c r="A1511">
        <f>IFERROR(IF(AND(BASELINE!I1511&lt;&gt;"",INT(IF(CALC!$F$1&gt;0,IF(N(INDEX(BASELINE!$A1511:$ZZ1511,CALC!$F$1))&gt;0,N(INDEX(BASELINE!$A1511:$ZZ1511,CALC!$F$1)),N(BASELINE!E1511)),N(BASELINE!E1511)))=INT(SIMOPS!$D$3),IFERROR(UPPER(TRIM(BASELINE!D1511&amp;"")),"")&lt;&gt;"ENCERRADA"),1,0),0)</f>
        <v/>
      </c>
      <c r="B1511">
        <f>B1510+A1511</f>
        <v/>
      </c>
    </row>
    <row r="1512">
      <c r="A1512">
        <f>IFERROR(IF(AND(BASELINE!I1512&lt;&gt;"",INT(IF(CALC!$F$1&gt;0,IF(N(INDEX(BASELINE!$A1512:$ZZ1512,CALC!$F$1))&gt;0,N(INDEX(BASELINE!$A1512:$ZZ1512,CALC!$F$1)),N(BASELINE!E1512)),N(BASELINE!E1512)))=INT(SIMOPS!$D$3),IFERROR(UPPER(TRIM(BASELINE!D1512&amp;"")),"")&lt;&gt;"ENCERRADA"),1,0),0)</f>
        <v/>
      </c>
      <c r="B1512">
        <f>B1511+A1512</f>
        <v/>
      </c>
    </row>
    <row r="1513">
      <c r="A1513">
        <f>IFERROR(IF(AND(BASELINE!I1513&lt;&gt;"",INT(IF(CALC!$F$1&gt;0,IF(N(INDEX(BASELINE!$A1513:$ZZ1513,CALC!$F$1))&gt;0,N(INDEX(BASELINE!$A1513:$ZZ1513,CALC!$F$1)),N(BASELINE!E1513)),N(BASELINE!E1513)))=INT(SIMOPS!$D$3),IFERROR(UPPER(TRIM(BASELINE!D1513&amp;"")),"")&lt;&gt;"ENCERRADA"),1,0),0)</f>
        <v/>
      </c>
      <c r="B1513">
        <f>B1512+A1513</f>
        <v/>
      </c>
    </row>
    <row r="1514">
      <c r="A1514">
        <f>IFERROR(IF(AND(BASELINE!I1514&lt;&gt;"",INT(IF(CALC!$F$1&gt;0,IF(N(INDEX(BASELINE!$A1514:$ZZ1514,CALC!$F$1))&gt;0,N(INDEX(BASELINE!$A1514:$ZZ1514,CALC!$F$1)),N(BASELINE!E1514)),N(BASELINE!E1514)))=INT(SIMOPS!$D$3),IFERROR(UPPER(TRIM(BASELINE!D1514&amp;"")),"")&lt;&gt;"ENCERRADA"),1,0),0)</f>
        <v/>
      </c>
      <c r="B1514">
        <f>B1513+A1514</f>
        <v/>
      </c>
    </row>
    <row r="1515">
      <c r="A1515">
        <f>IFERROR(IF(AND(BASELINE!I1515&lt;&gt;"",INT(IF(CALC!$F$1&gt;0,IF(N(INDEX(BASELINE!$A1515:$ZZ1515,CALC!$F$1))&gt;0,N(INDEX(BASELINE!$A1515:$ZZ1515,CALC!$F$1)),N(BASELINE!E1515)),N(BASELINE!E1515)))=INT(SIMOPS!$D$3),IFERROR(UPPER(TRIM(BASELINE!D1515&amp;"")),"")&lt;&gt;"ENCERRADA"),1,0),0)</f>
        <v/>
      </c>
      <c r="B1515">
        <f>B1514+A1515</f>
        <v/>
      </c>
    </row>
    <row r="1516">
      <c r="A1516">
        <f>IFERROR(IF(AND(BASELINE!I1516&lt;&gt;"",INT(IF(CALC!$F$1&gt;0,IF(N(INDEX(BASELINE!$A1516:$ZZ1516,CALC!$F$1))&gt;0,N(INDEX(BASELINE!$A1516:$ZZ1516,CALC!$F$1)),N(BASELINE!E1516)),N(BASELINE!E1516)))=INT(SIMOPS!$D$3),IFERROR(UPPER(TRIM(BASELINE!D1516&amp;"")),"")&lt;&gt;"ENCERRADA"),1,0),0)</f>
        <v/>
      </c>
      <c r="B1516">
        <f>B1515+A1516</f>
        <v/>
      </c>
    </row>
    <row r="1517">
      <c r="A1517">
        <f>IFERROR(IF(AND(BASELINE!I1517&lt;&gt;"",INT(IF(CALC!$F$1&gt;0,IF(N(INDEX(BASELINE!$A1517:$ZZ1517,CALC!$F$1))&gt;0,N(INDEX(BASELINE!$A1517:$ZZ1517,CALC!$F$1)),N(BASELINE!E1517)),N(BASELINE!E1517)))=INT(SIMOPS!$D$3),IFERROR(UPPER(TRIM(BASELINE!D1517&amp;"")),"")&lt;&gt;"ENCERRADA"),1,0),0)</f>
        <v/>
      </c>
      <c r="B1517">
        <f>B1516+A1517</f>
        <v/>
      </c>
    </row>
    <row r="1518">
      <c r="A1518">
        <f>IFERROR(IF(AND(BASELINE!I1518&lt;&gt;"",INT(IF(CALC!$F$1&gt;0,IF(N(INDEX(BASELINE!$A1518:$ZZ1518,CALC!$F$1))&gt;0,N(INDEX(BASELINE!$A1518:$ZZ1518,CALC!$F$1)),N(BASELINE!E1518)),N(BASELINE!E1518)))=INT(SIMOPS!$D$3),IFERROR(UPPER(TRIM(BASELINE!D1518&amp;"")),"")&lt;&gt;"ENCERRADA"),1,0),0)</f>
        <v/>
      </c>
      <c r="B1518">
        <f>B1517+A1518</f>
        <v/>
      </c>
    </row>
    <row r="1519">
      <c r="A1519">
        <f>IFERROR(IF(AND(BASELINE!I1519&lt;&gt;"",INT(IF(CALC!$F$1&gt;0,IF(N(INDEX(BASELINE!$A1519:$ZZ1519,CALC!$F$1))&gt;0,N(INDEX(BASELINE!$A1519:$ZZ1519,CALC!$F$1)),N(BASELINE!E1519)),N(BASELINE!E1519)))=INT(SIMOPS!$D$3),IFERROR(UPPER(TRIM(BASELINE!D1519&amp;"")),"")&lt;&gt;"ENCERRADA"),1,0),0)</f>
        <v/>
      </c>
      <c r="B1519">
        <f>B1518+A1519</f>
        <v/>
      </c>
    </row>
    <row r="1520">
      <c r="A1520">
        <f>IFERROR(IF(AND(BASELINE!I1520&lt;&gt;"",INT(IF(CALC!$F$1&gt;0,IF(N(INDEX(BASELINE!$A1520:$ZZ1520,CALC!$F$1))&gt;0,N(INDEX(BASELINE!$A1520:$ZZ1520,CALC!$F$1)),N(BASELINE!E1520)),N(BASELINE!E1520)))=INT(SIMOPS!$D$3),IFERROR(UPPER(TRIM(BASELINE!D1520&amp;"")),"")&lt;&gt;"ENCERRADA"),1,0),0)</f>
        <v/>
      </c>
      <c r="B1520">
        <f>B1519+A1520</f>
        <v/>
      </c>
    </row>
    <row r="1521">
      <c r="A1521">
        <f>IFERROR(IF(AND(BASELINE!I1521&lt;&gt;"",INT(IF(CALC!$F$1&gt;0,IF(N(INDEX(BASELINE!$A1521:$ZZ1521,CALC!$F$1))&gt;0,N(INDEX(BASELINE!$A1521:$ZZ1521,CALC!$F$1)),N(BASELINE!E1521)),N(BASELINE!E1521)))=INT(SIMOPS!$D$3),IFERROR(UPPER(TRIM(BASELINE!D1521&amp;"")),"")&lt;&gt;"ENCERRADA"),1,0),0)</f>
        <v/>
      </c>
      <c r="B1521">
        <f>B1520+A1521</f>
        <v/>
      </c>
    </row>
    <row r="1522">
      <c r="A1522">
        <f>IFERROR(IF(AND(BASELINE!I1522&lt;&gt;"",INT(IF(CALC!$F$1&gt;0,IF(N(INDEX(BASELINE!$A1522:$ZZ1522,CALC!$F$1))&gt;0,N(INDEX(BASELINE!$A1522:$ZZ1522,CALC!$F$1)),N(BASELINE!E1522)),N(BASELINE!E1522)))=INT(SIMOPS!$D$3),IFERROR(UPPER(TRIM(BASELINE!D1522&amp;"")),"")&lt;&gt;"ENCERRADA"),1,0),0)</f>
        <v/>
      </c>
      <c r="B1522">
        <f>B1521+A1522</f>
        <v/>
      </c>
    </row>
    <row r="1523">
      <c r="A1523">
        <f>IFERROR(IF(AND(BASELINE!I1523&lt;&gt;"",INT(IF(CALC!$F$1&gt;0,IF(N(INDEX(BASELINE!$A1523:$ZZ1523,CALC!$F$1))&gt;0,N(INDEX(BASELINE!$A1523:$ZZ1523,CALC!$F$1)),N(BASELINE!E1523)),N(BASELINE!E1523)))=INT(SIMOPS!$D$3),IFERROR(UPPER(TRIM(BASELINE!D1523&amp;"")),"")&lt;&gt;"ENCERRADA"),1,0),0)</f>
        <v/>
      </c>
      <c r="B1523">
        <f>B1522+A1523</f>
        <v/>
      </c>
    </row>
    <row r="1524">
      <c r="A1524">
        <f>IFERROR(IF(AND(BASELINE!I1524&lt;&gt;"",INT(IF(CALC!$F$1&gt;0,IF(N(INDEX(BASELINE!$A1524:$ZZ1524,CALC!$F$1))&gt;0,N(INDEX(BASELINE!$A1524:$ZZ1524,CALC!$F$1)),N(BASELINE!E1524)),N(BASELINE!E1524)))=INT(SIMOPS!$D$3),IFERROR(UPPER(TRIM(BASELINE!D1524&amp;"")),"")&lt;&gt;"ENCERRADA"),1,0),0)</f>
        <v/>
      </c>
      <c r="B1524">
        <f>B1523+A1524</f>
        <v/>
      </c>
    </row>
    <row r="1525">
      <c r="A1525">
        <f>IFERROR(IF(AND(BASELINE!I1525&lt;&gt;"",INT(IF(CALC!$F$1&gt;0,IF(N(INDEX(BASELINE!$A1525:$ZZ1525,CALC!$F$1))&gt;0,N(INDEX(BASELINE!$A1525:$ZZ1525,CALC!$F$1)),N(BASELINE!E1525)),N(BASELINE!E1525)))=INT(SIMOPS!$D$3),IFERROR(UPPER(TRIM(BASELINE!D1525&amp;"")),"")&lt;&gt;"ENCERRADA"),1,0),0)</f>
        <v/>
      </c>
      <c r="B1525">
        <f>B1524+A1525</f>
        <v/>
      </c>
    </row>
    <row r="1526">
      <c r="A1526">
        <f>IFERROR(IF(AND(BASELINE!I1526&lt;&gt;"",INT(IF(CALC!$F$1&gt;0,IF(N(INDEX(BASELINE!$A1526:$ZZ1526,CALC!$F$1))&gt;0,N(INDEX(BASELINE!$A1526:$ZZ1526,CALC!$F$1)),N(BASELINE!E1526)),N(BASELINE!E1526)))=INT(SIMOPS!$D$3),IFERROR(UPPER(TRIM(BASELINE!D1526&amp;"")),"")&lt;&gt;"ENCERRADA"),1,0),0)</f>
        <v/>
      </c>
      <c r="B1526">
        <f>B1525+A1526</f>
        <v/>
      </c>
    </row>
    <row r="1527">
      <c r="A1527">
        <f>IFERROR(IF(AND(BASELINE!I1527&lt;&gt;"",INT(IF(CALC!$F$1&gt;0,IF(N(INDEX(BASELINE!$A1527:$ZZ1527,CALC!$F$1))&gt;0,N(INDEX(BASELINE!$A1527:$ZZ1527,CALC!$F$1)),N(BASELINE!E1527)),N(BASELINE!E1527)))=INT(SIMOPS!$D$3),IFERROR(UPPER(TRIM(BASELINE!D1527&amp;"")),"")&lt;&gt;"ENCERRADA"),1,0),0)</f>
        <v/>
      </c>
      <c r="B1527">
        <f>B1526+A1527</f>
        <v/>
      </c>
    </row>
    <row r="1528">
      <c r="A1528">
        <f>IFERROR(IF(AND(BASELINE!I1528&lt;&gt;"",INT(IF(CALC!$F$1&gt;0,IF(N(INDEX(BASELINE!$A1528:$ZZ1528,CALC!$F$1))&gt;0,N(INDEX(BASELINE!$A1528:$ZZ1528,CALC!$F$1)),N(BASELINE!E1528)),N(BASELINE!E1528)))=INT(SIMOPS!$D$3),IFERROR(UPPER(TRIM(BASELINE!D1528&amp;"")),"")&lt;&gt;"ENCERRADA"),1,0),0)</f>
        <v/>
      </c>
      <c r="B1528">
        <f>B1527+A1528</f>
        <v/>
      </c>
    </row>
    <row r="1529">
      <c r="A1529">
        <f>IFERROR(IF(AND(BASELINE!I1529&lt;&gt;"",INT(IF(CALC!$F$1&gt;0,IF(N(INDEX(BASELINE!$A1529:$ZZ1529,CALC!$F$1))&gt;0,N(INDEX(BASELINE!$A1529:$ZZ1529,CALC!$F$1)),N(BASELINE!E1529)),N(BASELINE!E1529)))=INT(SIMOPS!$D$3),IFERROR(UPPER(TRIM(BASELINE!D1529&amp;"")),"")&lt;&gt;"ENCERRADA"),1,0),0)</f>
        <v/>
      </c>
      <c r="B1529">
        <f>B1528+A1529</f>
        <v/>
      </c>
    </row>
    <row r="1530">
      <c r="A1530">
        <f>IFERROR(IF(AND(BASELINE!I1530&lt;&gt;"",INT(IF(CALC!$F$1&gt;0,IF(N(INDEX(BASELINE!$A1530:$ZZ1530,CALC!$F$1))&gt;0,N(INDEX(BASELINE!$A1530:$ZZ1530,CALC!$F$1)),N(BASELINE!E1530)),N(BASELINE!E1530)))=INT(SIMOPS!$D$3),IFERROR(UPPER(TRIM(BASELINE!D1530&amp;"")),"")&lt;&gt;"ENCERRADA"),1,0),0)</f>
        <v/>
      </c>
      <c r="B1530">
        <f>B1529+A1530</f>
        <v/>
      </c>
    </row>
    <row r="1531">
      <c r="A1531">
        <f>IFERROR(IF(AND(BASELINE!I1531&lt;&gt;"",INT(IF(CALC!$F$1&gt;0,IF(N(INDEX(BASELINE!$A1531:$ZZ1531,CALC!$F$1))&gt;0,N(INDEX(BASELINE!$A1531:$ZZ1531,CALC!$F$1)),N(BASELINE!E1531)),N(BASELINE!E1531)))=INT(SIMOPS!$D$3),IFERROR(UPPER(TRIM(BASELINE!D1531&amp;"")),"")&lt;&gt;"ENCERRADA"),1,0),0)</f>
        <v/>
      </c>
      <c r="B1531">
        <f>B1530+A1531</f>
        <v/>
      </c>
    </row>
    <row r="1532">
      <c r="A1532">
        <f>IFERROR(IF(AND(BASELINE!I1532&lt;&gt;"",INT(IF(CALC!$F$1&gt;0,IF(N(INDEX(BASELINE!$A1532:$ZZ1532,CALC!$F$1))&gt;0,N(INDEX(BASELINE!$A1532:$ZZ1532,CALC!$F$1)),N(BASELINE!E1532)),N(BASELINE!E1532)))=INT(SIMOPS!$D$3),IFERROR(UPPER(TRIM(BASELINE!D1532&amp;"")),"")&lt;&gt;"ENCERRADA"),1,0),0)</f>
        <v/>
      </c>
      <c r="B1532">
        <f>B1531+A1532</f>
        <v/>
      </c>
    </row>
    <row r="1533">
      <c r="A1533">
        <f>IFERROR(IF(AND(BASELINE!I1533&lt;&gt;"",INT(IF(CALC!$F$1&gt;0,IF(N(INDEX(BASELINE!$A1533:$ZZ1533,CALC!$F$1))&gt;0,N(INDEX(BASELINE!$A1533:$ZZ1533,CALC!$F$1)),N(BASELINE!E1533)),N(BASELINE!E1533)))=INT(SIMOPS!$D$3),IFERROR(UPPER(TRIM(BASELINE!D1533&amp;"")),"")&lt;&gt;"ENCERRADA"),1,0),0)</f>
        <v/>
      </c>
      <c r="B1533">
        <f>B1532+A1533</f>
        <v/>
      </c>
    </row>
    <row r="1534">
      <c r="A1534">
        <f>IFERROR(IF(AND(BASELINE!I1534&lt;&gt;"",INT(IF(CALC!$F$1&gt;0,IF(N(INDEX(BASELINE!$A1534:$ZZ1534,CALC!$F$1))&gt;0,N(INDEX(BASELINE!$A1534:$ZZ1534,CALC!$F$1)),N(BASELINE!E1534)),N(BASELINE!E1534)))=INT(SIMOPS!$D$3),IFERROR(UPPER(TRIM(BASELINE!D1534&amp;"")),"")&lt;&gt;"ENCERRADA"),1,0),0)</f>
        <v/>
      </c>
      <c r="B1534">
        <f>B1533+A1534</f>
        <v/>
      </c>
    </row>
    <row r="1535">
      <c r="A1535">
        <f>IFERROR(IF(AND(BASELINE!I1535&lt;&gt;"",INT(IF(CALC!$F$1&gt;0,IF(N(INDEX(BASELINE!$A1535:$ZZ1535,CALC!$F$1))&gt;0,N(INDEX(BASELINE!$A1535:$ZZ1535,CALC!$F$1)),N(BASELINE!E1535)),N(BASELINE!E1535)))=INT(SIMOPS!$D$3),IFERROR(UPPER(TRIM(BASELINE!D1535&amp;"")),"")&lt;&gt;"ENCERRADA"),1,0),0)</f>
        <v/>
      </c>
      <c r="B1535">
        <f>B1534+A1535</f>
        <v/>
      </c>
    </row>
    <row r="1536">
      <c r="A1536">
        <f>IFERROR(IF(AND(BASELINE!I1536&lt;&gt;"",INT(IF(CALC!$F$1&gt;0,IF(N(INDEX(BASELINE!$A1536:$ZZ1536,CALC!$F$1))&gt;0,N(INDEX(BASELINE!$A1536:$ZZ1536,CALC!$F$1)),N(BASELINE!E1536)),N(BASELINE!E1536)))=INT(SIMOPS!$D$3),IFERROR(UPPER(TRIM(BASELINE!D1536&amp;"")),"")&lt;&gt;"ENCERRADA"),1,0),0)</f>
        <v/>
      </c>
      <c r="B1536">
        <f>B1535+A1536</f>
        <v/>
      </c>
    </row>
    <row r="1537">
      <c r="A1537">
        <f>IFERROR(IF(AND(BASELINE!I1537&lt;&gt;"",INT(IF(CALC!$F$1&gt;0,IF(N(INDEX(BASELINE!$A1537:$ZZ1537,CALC!$F$1))&gt;0,N(INDEX(BASELINE!$A1537:$ZZ1537,CALC!$F$1)),N(BASELINE!E1537)),N(BASELINE!E1537)))=INT(SIMOPS!$D$3),IFERROR(UPPER(TRIM(BASELINE!D1537&amp;"")),"")&lt;&gt;"ENCERRADA"),1,0),0)</f>
        <v/>
      </c>
      <c r="B1537">
        <f>B1536+A1537</f>
        <v/>
      </c>
    </row>
    <row r="1538">
      <c r="A1538">
        <f>IFERROR(IF(AND(BASELINE!I1538&lt;&gt;"",INT(IF(CALC!$F$1&gt;0,IF(N(INDEX(BASELINE!$A1538:$ZZ1538,CALC!$F$1))&gt;0,N(INDEX(BASELINE!$A1538:$ZZ1538,CALC!$F$1)),N(BASELINE!E1538)),N(BASELINE!E1538)))=INT(SIMOPS!$D$3),IFERROR(UPPER(TRIM(BASELINE!D1538&amp;"")),"")&lt;&gt;"ENCERRADA"),1,0),0)</f>
        <v/>
      </c>
      <c r="B1538">
        <f>B1537+A1538</f>
        <v/>
      </c>
    </row>
    <row r="1539">
      <c r="A1539">
        <f>IFERROR(IF(AND(BASELINE!I1539&lt;&gt;"",INT(IF(CALC!$F$1&gt;0,IF(N(INDEX(BASELINE!$A1539:$ZZ1539,CALC!$F$1))&gt;0,N(INDEX(BASELINE!$A1539:$ZZ1539,CALC!$F$1)),N(BASELINE!E1539)),N(BASELINE!E1539)))=INT(SIMOPS!$D$3),IFERROR(UPPER(TRIM(BASELINE!D1539&amp;"")),"")&lt;&gt;"ENCERRADA"),1,0),0)</f>
        <v/>
      </c>
      <c r="B1539">
        <f>B1538+A1539</f>
        <v/>
      </c>
    </row>
    <row r="1540">
      <c r="A1540">
        <f>IFERROR(IF(AND(BASELINE!I1540&lt;&gt;"",INT(IF(CALC!$F$1&gt;0,IF(N(INDEX(BASELINE!$A1540:$ZZ1540,CALC!$F$1))&gt;0,N(INDEX(BASELINE!$A1540:$ZZ1540,CALC!$F$1)),N(BASELINE!E1540)),N(BASELINE!E1540)))=INT(SIMOPS!$D$3),IFERROR(UPPER(TRIM(BASELINE!D1540&amp;"")),"")&lt;&gt;"ENCERRADA"),1,0),0)</f>
        <v/>
      </c>
      <c r="B1540">
        <f>B1539+A1540</f>
        <v/>
      </c>
    </row>
    <row r="1541">
      <c r="A1541">
        <f>IFERROR(IF(AND(BASELINE!I1541&lt;&gt;"",INT(IF(CALC!$F$1&gt;0,IF(N(INDEX(BASELINE!$A1541:$ZZ1541,CALC!$F$1))&gt;0,N(INDEX(BASELINE!$A1541:$ZZ1541,CALC!$F$1)),N(BASELINE!E1541)),N(BASELINE!E1541)))=INT(SIMOPS!$D$3),IFERROR(UPPER(TRIM(BASELINE!D1541&amp;"")),"")&lt;&gt;"ENCERRADA"),1,0),0)</f>
        <v/>
      </c>
      <c r="B1541">
        <f>B1540+A1541</f>
        <v/>
      </c>
    </row>
    <row r="1542">
      <c r="A1542">
        <f>IFERROR(IF(AND(BASELINE!I1542&lt;&gt;"",INT(IF(CALC!$F$1&gt;0,IF(N(INDEX(BASELINE!$A1542:$ZZ1542,CALC!$F$1))&gt;0,N(INDEX(BASELINE!$A1542:$ZZ1542,CALC!$F$1)),N(BASELINE!E1542)),N(BASELINE!E1542)))=INT(SIMOPS!$D$3),IFERROR(UPPER(TRIM(BASELINE!D1542&amp;"")),"")&lt;&gt;"ENCERRADA"),1,0),0)</f>
        <v/>
      </c>
      <c r="B1542">
        <f>B1541+A1542</f>
        <v/>
      </c>
    </row>
    <row r="1543">
      <c r="A1543">
        <f>IFERROR(IF(AND(BASELINE!I1543&lt;&gt;"",INT(IF(CALC!$F$1&gt;0,IF(N(INDEX(BASELINE!$A1543:$ZZ1543,CALC!$F$1))&gt;0,N(INDEX(BASELINE!$A1543:$ZZ1543,CALC!$F$1)),N(BASELINE!E1543)),N(BASELINE!E1543)))=INT(SIMOPS!$D$3),IFERROR(UPPER(TRIM(BASELINE!D1543&amp;"")),"")&lt;&gt;"ENCERRADA"),1,0),0)</f>
        <v/>
      </c>
      <c r="B1543">
        <f>B1542+A1543</f>
        <v/>
      </c>
    </row>
    <row r="1544">
      <c r="A1544">
        <f>IFERROR(IF(AND(BASELINE!I1544&lt;&gt;"",INT(IF(CALC!$F$1&gt;0,IF(N(INDEX(BASELINE!$A1544:$ZZ1544,CALC!$F$1))&gt;0,N(INDEX(BASELINE!$A1544:$ZZ1544,CALC!$F$1)),N(BASELINE!E1544)),N(BASELINE!E1544)))=INT(SIMOPS!$D$3),IFERROR(UPPER(TRIM(BASELINE!D1544&amp;"")),"")&lt;&gt;"ENCERRADA"),1,0),0)</f>
        <v/>
      </c>
      <c r="B1544">
        <f>B1543+A1544</f>
        <v/>
      </c>
    </row>
    <row r="1545">
      <c r="A1545">
        <f>IFERROR(IF(AND(BASELINE!I1545&lt;&gt;"",INT(IF(CALC!$F$1&gt;0,IF(N(INDEX(BASELINE!$A1545:$ZZ1545,CALC!$F$1))&gt;0,N(INDEX(BASELINE!$A1545:$ZZ1545,CALC!$F$1)),N(BASELINE!E1545)),N(BASELINE!E1545)))=INT(SIMOPS!$D$3),IFERROR(UPPER(TRIM(BASELINE!D1545&amp;"")),"")&lt;&gt;"ENCERRADA"),1,0),0)</f>
        <v/>
      </c>
      <c r="B1545">
        <f>B1544+A1545</f>
        <v/>
      </c>
    </row>
    <row r="1546">
      <c r="A1546">
        <f>IFERROR(IF(AND(BASELINE!I1546&lt;&gt;"",INT(IF(CALC!$F$1&gt;0,IF(N(INDEX(BASELINE!$A1546:$ZZ1546,CALC!$F$1))&gt;0,N(INDEX(BASELINE!$A1546:$ZZ1546,CALC!$F$1)),N(BASELINE!E1546)),N(BASELINE!E1546)))=INT(SIMOPS!$D$3),IFERROR(UPPER(TRIM(BASELINE!D1546&amp;"")),"")&lt;&gt;"ENCERRADA"),1,0),0)</f>
        <v/>
      </c>
      <c r="B1546">
        <f>B1545+A1546</f>
        <v/>
      </c>
    </row>
    <row r="1547">
      <c r="A1547">
        <f>IFERROR(IF(AND(BASELINE!I1547&lt;&gt;"",INT(IF(CALC!$F$1&gt;0,IF(N(INDEX(BASELINE!$A1547:$ZZ1547,CALC!$F$1))&gt;0,N(INDEX(BASELINE!$A1547:$ZZ1547,CALC!$F$1)),N(BASELINE!E1547)),N(BASELINE!E1547)))=INT(SIMOPS!$D$3),IFERROR(UPPER(TRIM(BASELINE!D1547&amp;"")),"")&lt;&gt;"ENCERRADA"),1,0),0)</f>
        <v/>
      </c>
      <c r="B1547">
        <f>B1546+A1547</f>
        <v/>
      </c>
    </row>
    <row r="1548">
      <c r="A1548">
        <f>IFERROR(IF(AND(BASELINE!I1548&lt;&gt;"",INT(IF(CALC!$F$1&gt;0,IF(N(INDEX(BASELINE!$A1548:$ZZ1548,CALC!$F$1))&gt;0,N(INDEX(BASELINE!$A1548:$ZZ1548,CALC!$F$1)),N(BASELINE!E1548)),N(BASELINE!E1548)))=INT(SIMOPS!$D$3),IFERROR(UPPER(TRIM(BASELINE!D1548&amp;"")),"")&lt;&gt;"ENCERRADA"),1,0),0)</f>
        <v/>
      </c>
      <c r="B1548">
        <f>B1547+A1548</f>
        <v/>
      </c>
    </row>
    <row r="1549">
      <c r="A1549">
        <f>IFERROR(IF(AND(BASELINE!I1549&lt;&gt;"",INT(IF(CALC!$F$1&gt;0,IF(N(INDEX(BASELINE!$A1549:$ZZ1549,CALC!$F$1))&gt;0,N(INDEX(BASELINE!$A1549:$ZZ1549,CALC!$F$1)),N(BASELINE!E1549)),N(BASELINE!E1549)))=INT(SIMOPS!$D$3),IFERROR(UPPER(TRIM(BASELINE!D1549&amp;"")),"")&lt;&gt;"ENCERRADA"),1,0),0)</f>
        <v/>
      </c>
      <c r="B1549">
        <f>B1548+A1549</f>
        <v/>
      </c>
    </row>
    <row r="1550">
      <c r="A1550">
        <f>IFERROR(IF(AND(BASELINE!I1550&lt;&gt;"",INT(IF(CALC!$F$1&gt;0,IF(N(INDEX(BASELINE!$A1550:$ZZ1550,CALC!$F$1))&gt;0,N(INDEX(BASELINE!$A1550:$ZZ1550,CALC!$F$1)),N(BASELINE!E1550)),N(BASELINE!E1550)))=INT(SIMOPS!$D$3),IFERROR(UPPER(TRIM(BASELINE!D1550&amp;"")),"")&lt;&gt;"ENCERRADA"),1,0),0)</f>
        <v/>
      </c>
      <c r="B1550">
        <f>B1549+A1550</f>
        <v/>
      </c>
    </row>
    <row r="1551">
      <c r="A1551">
        <f>IFERROR(IF(AND(BASELINE!I1551&lt;&gt;"",INT(IF(CALC!$F$1&gt;0,IF(N(INDEX(BASELINE!$A1551:$ZZ1551,CALC!$F$1))&gt;0,N(INDEX(BASELINE!$A1551:$ZZ1551,CALC!$F$1)),N(BASELINE!E1551)),N(BASELINE!E1551)))=INT(SIMOPS!$D$3),IFERROR(UPPER(TRIM(BASELINE!D1551&amp;"")),"")&lt;&gt;"ENCERRADA"),1,0),0)</f>
        <v/>
      </c>
      <c r="B1551">
        <f>B1550+A1551</f>
        <v/>
      </c>
    </row>
    <row r="1552">
      <c r="A1552">
        <f>IFERROR(IF(AND(BASELINE!I1552&lt;&gt;"",INT(IF(CALC!$F$1&gt;0,IF(N(INDEX(BASELINE!$A1552:$ZZ1552,CALC!$F$1))&gt;0,N(INDEX(BASELINE!$A1552:$ZZ1552,CALC!$F$1)),N(BASELINE!E1552)),N(BASELINE!E1552)))=INT(SIMOPS!$D$3),IFERROR(UPPER(TRIM(BASELINE!D1552&amp;"")),"")&lt;&gt;"ENCERRADA"),1,0),0)</f>
        <v/>
      </c>
      <c r="B1552">
        <f>B1551+A1552</f>
        <v/>
      </c>
    </row>
    <row r="1553">
      <c r="A1553">
        <f>IFERROR(IF(AND(BASELINE!I1553&lt;&gt;"",INT(IF(CALC!$F$1&gt;0,IF(N(INDEX(BASELINE!$A1553:$ZZ1553,CALC!$F$1))&gt;0,N(INDEX(BASELINE!$A1553:$ZZ1553,CALC!$F$1)),N(BASELINE!E1553)),N(BASELINE!E1553)))=INT(SIMOPS!$D$3),IFERROR(UPPER(TRIM(BASELINE!D1553&amp;"")),"")&lt;&gt;"ENCERRADA"),1,0),0)</f>
        <v/>
      </c>
      <c r="B1553">
        <f>B1552+A1553</f>
        <v/>
      </c>
    </row>
    <row r="1554">
      <c r="A1554">
        <f>IFERROR(IF(AND(BASELINE!I1554&lt;&gt;"",INT(IF(CALC!$F$1&gt;0,IF(N(INDEX(BASELINE!$A1554:$ZZ1554,CALC!$F$1))&gt;0,N(INDEX(BASELINE!$A1554:$ZZ1554,CALC!$F$1)),N(BASELINE!E1554)),N(BASELINE!E1554)))=INT(SIMOPS!$D$3),IFERROR(UPPER(TRIM(BASELINE!D1554&amp;"")),"")&lt;&gt;"ENCERRADA"),1,0),0)</f>
        <v/>
      </c>
      <c r="B1554">
        <f>B1553+A1554</f>
        <v/>
      </c>
    </row>
    <row r="1555">
      <c r="A1555">
        <f>IFERROR(IF(AND(BASELINE!I1555&lt;&gt;"",INT(IF(CALC!$F$1&gt;0,IF(N(INDEX(BASELINE!$A1555:$ZZ1555,CALC!$F$1))&gt;0,N(INDEX(BASELINE!$A1555:$ZZ1555,CALC!$F$1)),N(BASELINE!E1555)),N(BASELINE!E1555)))=INT(SIMOPS!$D$3),IFERROR(UPPER(TRIM(BASELINE!D1555&amp;"")),"")&lt;&gt;"ENCERRADA"),1,0),0)</f>
        <v/>
      </c>
      <c r="B1555">
        <f>B1554+A1555</f>
        <v/>
      </c>
    </row>
    <row r="1556">
      <c r="A1556">
        <f>IFERROR(IF(AND(BASELINE!I1556&lt;&gt;"",INT(IF(CALC!$F$1&gt;0,IF(N(INDEX(BASELINE!$A1556:$ZZ1556,CALC!$F$1))&gt;0,N(INDEX(BASELINE!$A1556:$ZZ1556,CALC!$F$1)),N(BASELINE!E1556)),N(BASELINE!E1556)))=INT(SIMOPS!$D$3),IFERROR(UPPER(TRIM(BASELINE!D1556&amp;"")),"")&lt;&gt;"ENCERRADA"),1,0),0)</f>
        <v/>
      </c>
      <c r="B1556">
        <f>B1555+A1556</f>
        <v/>
      </c>
    </row>
    <row r="1557">
      <c r="A1557">
        <f>IFERROR(IF(AND(BASELINE!I1557&lt;&gt;"",INT(IF(CALC!$F$1&gt;0,IF(N(INDEX(BASELINE!$A1557:$ZZ1557,CALC!$F$1))&gt;0,N(INDEX(BASELINE!$A1557:$ZZ1557,CALC!$F$1)),N(BASELINE!E1557)),N(BASELINE!E1557)))=INT(SIMOPS!$D$3),IFERROR(UPPER(TRIM(BASELINE!D1557&amp;"")),"")&lt;&gt;"ENCERRADA"),1,0),0)</f>
        <v/>
      </c>
      <c r="B1557">
        <f>B1556+A1557</f>
        <v/>
      </c>
    </row>
    <row r="1558">
      <c r="A1558">
        <f>IFERROR(IF(AND(BASELINE!I1558&lt;&gt;"",INT(IF(CALC!$F$1&gt;0,IF(N(INDEX(BASELINE!$A1558:$ZZ1558,CALC!$F$1))&gt;0,N(INDEX(BASELINE!$A1558:$ZZ1558,CALC!$F$1)),N(BASELINE!E1558)),N(BASELINE!E1558)))=INT(SIMOPS!$D$3),IFERROR(UPPER(TRIM(BASELINE!D1558&amp;"")),"")&lt;&gt;"ENCERRADA"),1,0),0)</f>
        <v/>
      </c>
      <c r="B1558">
        <f>B1557+A1558</f>
        <v/>
      </c>
    </row>
    <row r="1559">
      <c r="A1559">
        <f>IFERROR(IF(AND(BASELINE!I1559&lt;&gt;"",INT(IF(CALC!$F$1&gt;0,IF(N(INDEX(BASELINE!$A1559:$ZZ1559,CALC!$F$1))&gt;0,N(INDEX(BASELINE!$A1559:$ZZ1559,CALC!$F$1)),N(BASELINE!E1559)),N(BASELINE!E1559)))=INT(SIMOPS!$D$3),IFERROR(UPPER(TRIM(BASELINE!D1559&amp;"")),"")&lt;&gt;"ENCERRADA"),1,0),0)</f>
        <v/>
      </c>
      <c r="B1559">
        <f>B1558+A1559</f>
        <v/>
      </c>
    </row>
    <row r="1560">
      <c r="A1560">
        <f>IFERROR(IF(AND(BASELINE!I1560&lt;&gt;"",INT(IF(CALC!$F$1&gt;0,IF(N(INDEX(BASELINE!$A1560:$ZZ1560,CALC!$F$1))&gt;0,N(INDEX(BASELINE!$A1560:$ZZ1560,CALC!$F$1)),N(BASELINE!E1560)),N(BASELINE!E1560)))=INT(SIMOPS!$D$3),IFERROR(UPPER(TRIM(BASELINE!D1560&amp;"")),"")&lt;&gt;"ENCERRADA"),1,0),0)</f>
        <v/>
      </c>
      <c r="B1560">
        <f>B1559+A1560</f>
        <v/>
      </c>
    </row>
    <row r="1561">
      <c r="A1561">
        <f>IFERROR(IF(AND(BASELINE!I1561&lt;&gt;"",INT(IF(CALC!$F$1&gt;0,IF(N(INDEX(BASELINE!$A1561:$ZZ1561,CALC!$F$1))&gt;0,N(INDEX(BASELINE!$A1561:$ZZ1561,CALC!$F$1)),N(BASELINE!E1561)),N(BASELINE!E1561)))=INT(SIMOPS!$D$3),IFERROR(UPPER(TRIM(BASELINE!D1561&amp;"")),"")&lt;&gt;"ENCERRADA"),1,0),0)</f>
        <v/>
      </c>
      <c r="B1561">
        <f>B1560+A1561</f>
        <v/>
      </c>
    </row>
    <row r="1562">
      <c r="A1562">
        <f>IFERROR(IF(AND(BASELINE!I1562&lt;&gt;"",INT(IF(CALC!$F$1&gt;0,IF(N(INDEX(BASELINE!$A1562:$ZZ1562,CALC!$F$1))&gt;0,N(INDEX(BASELINE!$A1562:$ZZ1562,CALC!$F$1)),N(BASELINE!E1562)),N(BASELINE!E1562)))=INT(SIMOPS!$D$3),IFERROR(UPPER(TRIM(BASELINE!D1562&amp;"")),"")&lt;&gt;"ENCERRADA"),1,0),0)</f>
        <v/>
      </c>
      <c r="B1562">
        <f>B1561+A1562</f>
        <v/>
      </c>
    </row>
    <row r="1563">
      <c r="A1563">
        <f>IFERROR(IF(AND(BASELINE!I1563&lt;&gt;"",INT(IF(CALC!$F$1&gt;0,IF(N(INDEX(BASELINE!$A1563:$ZZ1563,CALC!$F$1))&gt;0,N(INDEX(BASELINE!$A1563:$ZZ1563,CALC!$F$1)),N(BASELINE!E1563)),N(BASELINE!E1563)))=INT(SIMOPS!$D$3),IFERROR(UPPER(TRIM(BASELINE!D1563&amp;"")),"")&lt;&gt;"ENCERRADA"),1,0),0)</f>
        <v/>
      </c>
      <c r="B1563">
        <f>B1562+A1563</f>
        <v/>
      </c>
    </row>
    <row r="1564">
      <c r="A1564">
        <f>IFERROR(IF(AND(BASELINE!I1564&lt;&gt;"",INT(IF(CALC!$F$1&gt;0,IF(N(INDEX(BASELINE!$A1564:$ZZ1564,CALC!$F$1))&gt;0,N(INDEX(BASELINE!$A1564:$ZZ1564,CALC!$F$1)),N(BASELINE!E1564)),N(BASELINE!E1564)))=INT(SIMOPS!$D$3),IFERROR(UPPER(TRIM(BASELINE!D1564&amp;"")),"")&lt;&gt;"ENCERRADA"),1,0),0)</f>
        <v/>
      </c>
      <c r="B1564">
        <f>B1563+A1564</f>
        <v/>
      </c>
    </row>
    <row r="1565">
      <c r="A1565">
        <f>IFERROR(IF(AND(BASELINE!I1565&lt;&gt;"",INT(IF(CALC!$F$1&gt;0,IF(N(INDEX(BASELINE!$A1565:$ZZ1565,CALC!$F$1))&gt;0,N(INDEX(BASELINE!$A1565:$ZZ1565,CALC!$F$1)),N(BASELINE!E1565)),N(BASELINE!E1565)))=INT(SIMOPS!$D$3),IFERROR(UPPER(TRIM(BASELINE!D1565&amp;"")),"")&lt;&gt;"ENCERRADA"),1,0),0)</f>
        <v/>
      </c>
      <c r="B1565">
        <f>B1564+A1565</f>
        <v/>
      </c>
    </row>
    <row r="1566">
      <c r="A1566">
        <f>IFERROR(IF(AND(BASELINE!I1566&lt;&gt;"",INT(IF(CALC!$F$1&gt;0,IF(N(INDEX(BASELINE!$A1566:$ZZ1566,CALC!$F$1))&gt;0,N(INDEX(BASELINE!$A1566:$ZZ1566,CALC!$F$1)),N(BASELINE!E1566)),N(BASELINE!E1566)))=INT(SIMOPS!$D$3),IFERROR(UPPER(TRIM(BASELINE!D1566&amp;"")),"")&lt;&gt;"ENCERRADA"),1,0),0)</f>
        <v/>
      </c>
      <c r="B1566">
        <f>B1565+A1566</f>
        <v/>
      </c>
    </row>
    <row r="1567">
      <c r="A1567">
        <f>IFERROR(IF(AND(BASELINE!I1567&lt;&gt;"",INT(IF(CALC!$F$1&gt;0,IF(N(INDEX(BASELINE!$A1567:$ZZ1567,CALC!$F$1))&gt;0,N(INDEX(BASELINE!$A1567:$ZZ1567,CALC!$F$1)),N(BASELINE!E1567)),N(BASELINE!E1567)))=INT(SIMOPS!$D$3),IFERROR(UPPER(TRIM(BASELINE!D1567&amp;"")),"")&lt;&gt;"ENCERRADA"),1,0),0)</f>
        <v/>
      </c>
      <c r="B1567">
        <f>B1566+A1567</f>
        <v/>
      </c>
    </row>
    <row r="1568">
      <c r="A1568">
        <f>IFERROR(IF(AND(BASELINE!I1568&lt;&gt;"",INT(IF(CALC!$F$1&gt;0,IF(N(INDEX(BASELINE!$A1568:$ZZ1568,CALC!$F$1))&gt;0,N(INDEX(BASELINE!$A1568:$ZZ1568,CALC!$F$1)),N(BASELINE!E1568)),N(BASELINE!E1568)))=INT(SIMOPS!$D$3),IFERROR(UPPER(TRIM(BASELINE!D1568&amp;"")),"")&lt;&gt;"ENCERRADA"),1,0),0)</f>
        <v/>
      </c>
      <c r="B1568">
        <f>B1567+A1568</f>
        <v/>
      </c>
    </row>
    <row r="1569">
      <c r="A1569">
        <f>IFERROR(IF(AND(BASELINE!I1569&lt;&gt;"",INT(IF(CALC!$F$1&gt;0,IF(N(INDEX(BASELINE!$A1569:$ZZ1569,CALC!$F$1))&gt;0,N(INDEX(BASELINE!$A1569:$ZZ1569,CALC!$F$1)),N(BASELINE!E1569)),N(BASELINE!E1569)))=INT(SIMOPS!$D$3),IFERROR(UPPER(TRIM(BASELINE!D1569&amp;"")),"")&lt;&gt;"ENCERRADA"),1,0),0)</f>
        <v/>
      </c>
      <c r="B1569">
        <f>B1568+A1569</f>
        <v/>
      </c>
    </row>
    <row r="1570">
      <c r="A1570">
        <f>IFERROR(IF(AND(BASELINE!I1570&lt;&gt;"",INT(IF(CALC!$F$1&gt;0,IF(N(INDEX(BASELINE!$A1570:$ZZ1570,CALC!$F$1))&gt;0,N(INDEX(BASELINE!$A1570:$ZZ1570,CALC!$F$1)),N(BASELINE!E1570)),N(BASELINE!E1570)))=INT(SIMOPS!$D$3),IFERROR(UPPER(TRIM(BASELINE!D1570&amp;"")),"")&lt;&gt;"ENCERRADA"),1,0),0)</f>
        <v/>
      </c>
      <c r="B1570">
        <f>B1569+A1570</f>
        <v/>
      </c>
    </row>
    <row r="1571">
      <c r="A1571">
        <f>IFERROR(IF(AND(BASELINE!I1571&lt;&gt;"",INT(IF(CALC!$F$1&gt;0,IF(N(INDEX(BASELINE!$A1571:$ZZ1571,CALC!$F$1))&gt;0,N(INDEX(BASELINE!$A1571:$ZZ1571,CALC!$F$1)),N(BASELINE!E1571)),N(BASELINE!E1571)))=INT(SIMOPS!$D$3),IFERROR(UPPER(TRIM(BASELINE!D1571&amp;"")),"")&lt;&gt;"ENCERRADA"),1,0),0)</f>
        <v/>
      </c>
      <c r="B1571">
        <f>B1570+A1571</f>
        <v/>
      </c>
    </row>
    <row r="1572">
      <c r="A1572">
        <f>IFERROR(IF(AND(BASELINE!I1572&lt;&gt;"",INT(IF(CALC!$F$1&gt;0,IF(N(INDEX(BASELINE!$A1572:$ZZ1572,CALC!$F$1))&gt;0,N(INDEX(BASELINE!$A1572:$ZZ1572,CALC!$F$1)),N(BASELINE!E1572)),N(BASELINE!E1572)))=INT(SIMOPS!$D$3),IFERROR(UPPER(TRIM(BASELINE!D1572&amp;"")),"")&lt;&gt;"ENCERRADA"),1,0),0)</f>
        <v/>
      </c>
      <c r="B1572">
        <f>B1571+A1572</f>
        <v/>
      </c>
    </row>
    <row r="1573">
      <c r="A1573">
        <f>IFERROR(IF(AND(BASELINE!I1573&lt;&gt;"",INT(IF(CALC!$F$1&gt;0,IF(N(INDEX(BASELINE!$A1573:$ZZ1573,CALC!$F$1))&gt;0,N(INDEX(BASELINE!$A1573:$ZZ1573,CALC!$F$1)),N(BASELINE!E1573)),N(BASELINE!E1573)))=INT(SIMOPS!$D$3),IFERROR(UPPER(TRIM(BASELINE!D1573&amp;"")),"")&lt;&gt;"ENCERRADA"),1,0),0)</f>
        <v/>
      </c>
      <c r="B1573">
        <f>B1572+A1573</f>
        <v/>
      </c>
    </row>
    <row r="1574">
      <c r="A1574">
        <f>IFERROR(IF(AND(BASELINE!I1574&lt;&gt;"",INT(IF(CALC!$F$1&gt;0,IF(N(INDEX(BASELINE!$A1574:$ZZ1574,CALC!$F$1))&gt;0,N(INDEX(BASELINE!$A1574:$ZZ1574,CALC!$F$1)),N(BASELINE!E1574)),N(BASELINE!E1574)))=INT(SIMOPS!$D$3),IFERROR(UPPER(TRIM(BASELINE!D1574&amp;"")),"")&lt;&gt;"ENCERRADA"),1,0),0)</f>
        <v/>
      </c>
      <c r="B1574">
        <f>B1573+A1574</f>
        <v/>
      </c>
    </row>
    <row r="1575">
      <c r="A1575">
        <f>IFERROR(IF(AND(BASELINE!I1575&lt;&gt;"",INT(IF(CALC!$F$1&gt;0,IF(N(INDEX(BASELINE!$A1575:$ZZ1575,CALC!$F$1))&gt;0,N(INDEX(BASELINE!$A1575:$ZZ1575,CALC!$F$1)),N(BASELINE!E1575)),N(BASELINE!E1575)))=INT(SIMOPS!$D$3),IFERROR(UPPER(TRIM(BASELINE!D1575&amp;"")),"")&lt;&gt;"ENCERRADA"),1,0),0)</f>
        <v/>
      </c>
      <c r="B1575">
        <f>B1574+A1575</f>
        <v/>
      </c>
    </row>
    <row r="1576">
      <c r="A1576">
        <f>IFERROR(IF(AND(BASELINE!I1576&lt;&gt;"",INT(IF(CALC!$F$1&gt;0,IF(N(INDEX(BASELINE!$A1576:$ZZ1576,CALC!$F$1))&gt;0,N(INDEX(BASELINE!$A1576:$ZZ1576,CALC!$F$1)),N(BASELINE!E1576)),N(BASELINE!E1576)))=INT(SIMOPS!$D$3),IFERROR(UPPER(TRIM(BASELINE!D1576&amp;"")),"")&lt;&gt;"ENCERRADA"),1,0),0)</f>
        <v/>
      </c>
      <c r="B1576">
        <f>B1575+A1576</f>
        <v/>
      </c>
    </row>
    <row r="1577">
      <c r="A1577">
        <f>IFERROR(IF(AND(BASELINE!I1577&lt;&gt;"",INT(IF(CALC!$F$1&gt;0,IF(N(INDEX(BASELINE!$A1577:$ZZ1577,CALC!$F$1))&gt;0,N(INDEX(BASELINE!$A1577:$ZZ1577,CALC!$F$1)),N(BASELINE!E1577)),N(BASELINE!E1577)))=INT(SIMOPS!$D$3),IFERROR(UPPER(TRIM(BASELINE!D1577&amp;"")),"")&lt;&gt;"ENCERRADA"),1,0),0)</f>
        <v/>
      </c>
      <c r="B1577">
        <f>B1576+A1577</f>
        <v/>
      </c>
    </row>
    <row r="1578">
      <c r="A1578">
        <f>IFERROR(IF(AND(BASELINE!I1578&lt;&gt;"",INT(IF(CALC!$F$1&gt;0,IF(N(INDEX(BASELINE!$A1578:$ZZ1578,CALC!$F$1))&gt;0,N(INDEX(BASELINE!$A1578:$ZZ1578,CALC!$F$1)),N(BASELINE!E1578)),N(BASELINE!E1578)))=INT(SIMOPS!$D$3),IFERROR(UPPER(TRIM(BASELINE!D1578&amp;"")),"")&lt;&gt;"ENCERRADA"),1,0),0)</f>
        <v/>
      </c>
      <c r="B1578">
        <f>B1577+A1578</f>
        <v/>
      </c>
    </row>
    <row r="1579">
      <c r="A1579">
        <f>IFERROR(IF(AND(BASELINE!I1579&lt;&gt;"",INT(IF(CALC!$F$1&gt;0,IF(N(INDEX(BASELINE!$A1579:$ZZ1579,CALC!$F$1))&gt;0,N(INDEX(BASELINE!$A1579:$ZZ1579,CALC!$F$1)),N(BASELINE!E1579)),N(BASELINE!E1579)))=INT(SIMOPS!$D$3),IFERROR(UPPER(TRIM(BASELINE!D1579&amp;"")),"")&lt;&gt;"ENCERRADA"),1,0),0)</f>
        <v/>
      </c>
      <c r="B1579">
        <f>B1578+A1579</f>
        <v/>
      </c>
    </row>
    <row r="1580">
      <c r="A1580">
        <f>IFERROR(IF(AND(BASELINE!I1580&lt;&gt;"",INT(IF(CALC!$F$1&gt;0,IF(N(INDEX(BASELINE!$A1580:$ZZ1580,CALC!$F$1))&gt;0,N(INDEX(BASELINE!$A1580:$ZZ1580,CALC!$F$1)),N(BASELINE!E1580)),N(BASELINE!E1580)))=INT(SIMOPS!$D$3),IFERROR(UPPER(TRIM(BASELINE!D1580&amp;"")),"")&lt;&gt;"ENCERRADA"),1,0),0)</f>
        <v/>
      </c>
      <c r="B1580">
        <f>B1579+A1580</f>
        <v/>
      </c>
    </row>
    <row r="1581">
      <c r="A1581">
        <f>IFERROR(IF(AND(BASELINE!I1581&lt;&gt;"",INT(IF(CALC!$F$1&gt;0,IF(N(INDEX(BASELINE!$A1581:$ZZ1581,CALC!$F$1))&gt;0,N(INDEX(BASELINE!$A1581:$ZZ1581,CALC!$F$1)),N(BASELINE!E1581)),N(BASELINE!E1581)))=INT(SIMOPS!$D$3),IFERROR(UPPER(TRIM(BASELINE!D1581&amp;"")),"")&lt;&gt;"ENCERRADA"),1,0),0)</f>
        <v/>
      </c>
      <c r="B1581">
        <f>B1580+A1581</f>
        <v/>
      </c>
    </row>
    <row r="1582">
      <c r="A1582">
        <f>IFERROR(IF(AND(BASELINE!I1582&lt;&gt;"",INT(IF(CALC!$F$1&gt;0,IF(N(INDEX(BASELINE!$A1582:$ZZ1582,CALC!$F$1))&gt;0,N(INDEX(BASELINE!$A1582:$ZZ1582,CALC!$F$1)),N(BASELINE!E1582)),N(BASELINE!E1582)))=INT(SIMOPS!$D$3),IFERROR(UPPER(TRIM(BASELINE!D1582&amp;"")),"")&lt;&gt;"ENCERRADA"),1,0),0)</f>
        <v/>
      </c>
      <c r="B1582">
        <f>B1581+A1582</f>
        <v/>
      </c>
    </row>
    <row r="1583">
      <c r="A1583">
        <f>IFERROR(IF(AND(BASELINE!I1583&lt;&gt;"",INT(IF(CALC!$F$1&gt;0,IF(N(INDEX(BASELINE!$A1583:$ZZ1583,CALC!$F$1))&gt;0,N(INDEX(BASELINE!$A1583:$ZZ1583,CALC!$F$1)),N(BASELINE!E1583)),N(BASELINE!E1583)))=INT(SIMOPS!$D$3),IFERROR(UPPER(TRIM(BASELINE!D1583&amp;"")),"")&lt;&gt;"ENCERRADA"),1,0),0)</f>
        <v/>
      </c>
      <c r="B1583">
        <f>B1582+A1583</f>
        <v/>
      </c>
    </row>
    <row r="1584">
      <c r="A1584">
        <f>IFERROR(IF(AND(BASELINE!I1584&lt;&gt;"",INT(IF(CALC!$F$1&gt;0,IF(N(INDEX(BASELINE!$A1584:$ZZ1584,CALC!$F$1))&gt;0,N(INDEX(BASELINE!$A1584:$ZZ1584,CALC!$F$1)),N(BASELINE!E1584)),N(BASELINE!E1584)))=INT(SIMOPS!$D$3),IFERROR(UPPER(TRIM(BASELINE!D1584&amp;"")),"")&lt;&gt;"ENCERRADA"),1,0),0)</f>
        <v/>
      </c>
      <c r="B1584">
        <f>B1583+A1584</f>
        <v/>
      </c>
    </row>
    <row r="1585">
      <c r="A1585">
        <f>IFERROR(IF(AND(BASELINE!I1585&lt;&gt;"",INT(IF(CALC!$F$1&gt;0,IF(N(INDEX(BASELINE!$A1585:$ZZ1585,CALC!$F$1))&gt;0,N(INDEX(BASELINE!$A1585:$ZZ1585,CALC!$F$1)),N(BASELINE!E1585)),N(BASELINE!E1585)))=INT(SIMOPS!$D$3),IFERROR(UPPER(TRIM(BASELINE!D1585&amp;"")),"")&lt;&gt;"ENCERRADA"),1,0),0)</f>
        <v/>
      </c>
      <c r="B1585">
        <f>B1584+A1585</f>
        <v/>
      </c>
    </row>
    <row r="1586">
      <c r="A1586">
        <f>IFERROR(IF(AND(BASELINE!I1586&lt;&gt;"",INT(IF(CALC!$F$1&gt;0,IF(N(INDEX(BASELINE!$A1586:$ZZ1586,CALC!$F$1))&gt;0,N(INDEX(BASELINE!$A1586:$ZZ1586,CALC!$F$1)),N(BASELINE!E1586)),N(BASELINE!E1586)))=INT(SIMOPS!$D$3),IFERROR(UPPER(TRIM(BASELINE!D1586&amp;"")),"")&lt;&gt;"ENCERRADA"),1,0),0)</f>
        <v/>
      </c>
      <c r="B1586">
        <f>B1585+A1586</f>
        <v/>
      </c>
    </row>
    <row r="1587">
      <c r="A1587">
        <f>IFERROR(IF(AND(BASELINE!I1587&lt;&gt;"",INT(IF(CALC!$F$1&gt;0,IF(N(INDEX(BASELINE!$A1587:$ZZ1587,CALC!$F$1))&gt;0,N(INDEX(BASELINE!$A1587:$ZZ1587,CALC!$F$1)),N(BASELINE!E1587)),N(BASELINE!E1587)))=INT(SIMOPS!$D$3),IFERROR(UPPER(TRIM(BASELINE!D1587&amp;"")),"")&lt;&gt;"ENCERRADA"),1,0),0)</f>
        <v/>
      </c>
      <c r="B1587">
        <f>B1586+A1587</f>
        <v/>
      </c>
    </row>
    <row r="1588">
      <c r="A1588">
        <f>IFERROR(IF(AND(BASELINE!I1588&lt;&gt;"",INT(IF(CALC!$F$1&gt;0,IF(N(INDEX(BASELINE!$A1588:$ZZ1588,CALC!$F$1))&gt;0,N(INDEX(BASELINE!$A1588:$ZZ1588,CALC!$F$1)),N(BASELINE!E1588)),N(BASELINE!E1588)))=INT(SIMOPS!$D$3),IFERROR(UPPER(TRIM(BASELINE!D1588&amp;"")),"")&lt;&gt;"ENCERRADA"),1,0),0)</f>
        <v/>
      </c>
      <c r="B1588">
        <f>B1587+A1588</f>
        <v/>
      </c>
    </row>
    <row r="1589">
      <c r="A1589">
        <f>IFERROR(IF(AND(BASELINE!I1589&lt;&gt;"",INT(IF(CALC!$F$1&gt;0,IF(N(INDEX(BASELINE!$A1589:$ZZ1589,CALC!$F$1))&gt;0,N(INDEX(BASELINE!$A1589:$ZZ1589,CALC!$F$1)),N(BASELINE!E1589)),N(BASELINE!E1589)))=INT(SIMOPS!$D$3),IFERROR(UPPER(TRIM(BASELINE!D1589&amp;"")),"")&lt;&gt;"ENCERRADA"),1,0),0)</f>
        <v/>
      </c>
      <c r="B1589">
        <f>B1588+A1589</f>
        <v/>
      </c>
    </row>
    <row r="1590">
      <c r="A1590">
        <f>IFERROR(IF(AND(BASELINE!I1590&lt;&gt;"",INT(IF(CALC!$F$1&gt;0,IF(N(INDEX(BASELINE!$A1590:$ZZ1590,CALC!$F$1))&gt;0,N(INDEX(BASELINE!$A1590:$ZZ1590,CALC!$F$1)),N(BASELINE!E1590)),N(BASELINE!E1590)))=INT(SIMOPS!$D$3),IFERROR(UPPER(TRIM(BASELINE!D1590&amp;"")),"")&lt;&gt;"ENCERRADA"),1,0),0)</f>
        <v/>
      </c>
      <c r="B1590">
        <f>B1589+A1590</f>
        <v/>
      </c>
    </row>
    <row r="1591">
      <c r="A1591">
        <f>IFERROR(IF(AND(BASELINE!I1591&lt;&gt;"",INT(IF(CALC!$F$1&gt;0,IF(N(INDEX(BASELINE!$A1591:$ZZ1591,CALC!$F$1))&gt;0,N(INDEX(BASELINE!$A1591:$ZZ1591,CALC!$F$1)),N(BASELINE!E1591)),N(BASELINE!E1591)))=INT(SIMOPS!$D$3),IFERROR(UPPER(TRIM(BASELINE!D1591&amp;"")),"")&lt;&gt;"ENCERRADA"),1,0),0)</f>
        <v/>
      </c>
      <c r="B1591">
        <f>B1590+A1591</f>
        <v/>
      </c>
    </row>
    <row r="1592">
      <c r="A1592">
        <f>IFERROR(IF(AND(BASELINE!I1592&lt;&gt;"",INT(IF(CALC!$F$1&gt;0,IF(N(INDEX(BASELINE!$A1592:$ZZ1592,CALC!$F$1))&gt;0,N(INDEX(BASELINE!$A1592:$ZZ1592,CALC!$F$1)),N(BASELINE!E1592)),N(BASELINE!E1592)))=INT(SIMOPS!$D$3),IFERROR(UPPER(TRIM(BASELINE!D1592&amp;"")),"")&lt;&gt;"ENCERRADA"),1,0),0)</f>
        <v/>
      </c>
      <c r="B1592">
        <f>B1591+A1592</f>
        <v/>
      </c>
    </row>
    <row r="1593">
      <c r="A1593">
        <f>IFERROR(IF(AND(BASELINE!I1593&lt;&gt;"",INT(IF(CALC!$F$1&gt;0,IF(N(INDEX(BASELINE!$A1593:$ZZ1593,CALC!$F$1))&gt;0,N(INDEX(BASELINE!$A1593:$ZZ1593,CALC!$F$1)),N(BASELINE!E1593)),N(BASELINE!E1593)))=INT(SIMOPS!$D$3),IFERROR(UPPER(TRIM(BASELINE!D1593&amp;"")),"")&lt;&gt;"ENCERRADA"),1,0),0)</f>
        <v/>
      </c>
      <c r="B1593">
        <f>B1592+A1593</f>
        <v/>
      </c>
    </row>
    <row r="1594">
      <c r="A1594">
        <f>IFERROR(IF(AND(BASELINE!I1594&lt;&gt;"",INT(IF(CALC!$F$1&gt;0,IF(N(INDEX(BASELINE!$A1594:$ZZ1594,CALC!$F$1))&gt;0,N(INDEX(BASELINE!$A1594:$ZZ1594,CALC!$F$1)),N(BASELINE!E1594)),N(BASELINE!E1594)))=INT(SIMOPS!$D$3),IFERROR(UPPER(TRIM(BASELINE!D1594&amp;"")),"")&lt;&gt;"ENCERRADA"),1,0),0)</f>
        <v/>
      </c>
      <c r="B1594">
        <f>B1593+A1594</f>
        <v/>
      </c>
    </row>
    <row r="1595">
      <c r="A1595">
        <f>IFERROR(IF(AND(BASELINE!I1595&lt;&gt;"",INT(IF(CALC!$F$1&gt;0,IF(N(INDEX(BASELINE!$A1595:$ZZ1595,CALC!$F$1))&gt;0,N(INDEX(BASELINE!$A1595:$ZZ1595,CALC!$F$1)),N(BASELINE!E1595)),N(BASELINE!E1595)))=INT(SIMOPS!$D$3),IFERROR(UPPER(TRIM(BASELINE!D1595&amp;"")),"")&lt;&gt;"ENCERRADA"),1,0),0)</f>
        <v/>
      </c>
      <c r="B1595">
        <f>B1594+A1595</f>
        <v/>
      </c>
    </row>
    <row r="1596">
      <c r="A1596">
        <f>IFERROR(IF(AND(BASELINE!I1596&lt;&gt;"",INT(IF(CALC!$F$1&gt;0,IF(N(INDEX(BASELINE!$A1596:$ZZ1596,CALC!$F$1))&gt;0,N(INDEX(BASELINE!$A1596:$ZZ1596,CALC!$F$1)),N(BASELINE!E1596)),N(BASELINE!E1596)))=INT(SIMOPS!$D$3),IFERROR(UPPER(TRIM(BASELINE!D1596&amp;"")),"")&lt;&gt;"ENCERRADA"),1,0),0)</f>
        <v/>
      </c>
      <c r="B1596">
        <f>B1595+A1596</f>
        <v/>
      </c>
    </row>
    <row r="1597">
      <c r="A1597">
        <f>IFERROR(IF(AND(BASELINE!I1597&lt;&gt;"",INT(IF(CALC!$F$1&gt;0,IF(N(INDEX(BASELINE!$A1597:$ZZ1597,CALC!$F$1))&gt;0,N(INDEX(BASELINE!$A1597:$ZZ1597,CALC!$F$1)),N(BASELINE!E1597)),N(BASELINE!E1597)))=INT(SIMOPS!$D$3),IFERROR(UPPER(TRIM(BASELINE!D1597&amp;"")),"")&lt;&gt;"ENCERRADA"),1,0),0)</f>
        <v/>
      </c>
      <c r="B1597">
        <f>B1596+A1597</f>
        <v/>
      </c>
    </row>
    <row r="1598">
      <c r="A1598">
        <f>IFERROR(IF(AND(BASELINE!I1598&lt;&gt;"",INT(IF(CALC!$F$1&gt;0,IF(N(INDEX(BASELINE!$A1598:$ZZ1598,CALC!$F$1))&gt;0,N(INDEX(BASELINE!$A1598:$ZZ1598,CALC!$F$1)),N(BASELINE!E1598)),N(BASELINE!E1598)))=INT(SIMOPS!$D$3),IFERROR(UPPER(TRIM(BASELINE!D1598&amp;"")),"")&lt;&gt;"ENCERRADA"),1,0),0)</f>
        <v/>
      </c>
      <c r="B1598">
        <f>B1597+A1598</f>
        <v/>
      </c>
    </row>
    <row r="1599">
      <c r="A1599">
        <f>IFERROR(IF(AND(BASELINE!I1599&lt;&gt;"",INT(IF(CALC!$F$1&gt;0,IF(N(INDEX(BASELINE!$A1599:$ZZ1599,CALC!$F$1))&gt;0,N(INDEX(BASELINE!$A1599:$ZZ1599,CALC!$F$1)),N(BASELINE!E1599)),N(BASELINE!E1599)))=INT(SIMOPS!$D$3),IFERROR(UPPER(TRIM(BASELINE!D1599&amp;"")),"")&lt;&gt;"ENCERRADA"),1,0),0)</f>
        <v/>
      </c>
      <c r="B1599">
        <f>B1598+A1599</f>
        <v/>
      </c>
    </row>
    <row r="1600">
      <c r="A1600">
        <f>IFERROR(IF(AND(BASELINE!I1600&lt;&gt;"",INT(IF(CALC!$F$1&gt;0,IF(N(INDEX(BASELINE!$A1600:$ZZ1600,CALC!$F$1))&gt;0,N(INDEX(BASELINE!$A1600:$ZZ1600,CALC!$F$1)),N(BASELINE!E1600)),N(BASELINE!E1600)))=INT(SIMOPS!$D$3),IFERROR(UPPER(TRIM(BASELINE!D1600&amp;"")),"")&lt;&gt;"ENCERRADA"),1,0),0)</f>
        <v/>
      </c>
      <c r="B1600">
        <f>B1599+A1600</f>
        <v/>
      </c>
    </row>
    <row r="1601">
      <c r="A1601">
        <f>IFERROR(IF(AND(BASELINE!I1601&lt;&gt;"",INT(IF(CALC!$F$1&gt;0,IF(N(INDEX(BASELINE!$A1601:$ZZ1601,CALC!$F$1))&gt;0,N(INDEX(BASELINE!$A1601:$ZZ1601,CALC!$F$1)),N(BASELINE!E1601)),N(BASELINE!E1601)))=INT(SIMOPS!$D$3),IFERROR(UPPER(TRIM(BASELINE!D1601&amp;"")),"")&lt;&gt;"ENCERRADA"),1,0),0)</f>
        <v/>
      </c>
      <c r="B1601">
        <f>B1600+A1601</f>
        <v/>
      </c>
    </row>
    <row r="1602">
      <c r="A1602">
        <f>IFERROR(IF(AND(BASELINE!I1602&lt;&gt;"",INT(IF(CALC!$F$1&gt;0,IF(N(INDEX(BASELINE!$A1602:$ZZ1602,CALC!$F$1))&gt;0,N(INDEX(BASELINE!$A1602:$ZZ1602,CALC!$F$1)),N(BASELINE!E1602)),N(BASELINE!E1602)))=INT(SIMOPS!$D$3),IFERROR(UPPER(TRIM(BASELINE!D1602&amp;"")),"")&lt;&gt;"ENCERRADA"),1,0),0)</f>
        <v/>
      </c>
      <c r="B1602">
        <f>B1601+A1602</f>
        <v/>
      </c>
    </row>
    <row r="1603">
      <c r="A1603">
        <f>IFERROR(IF(AND(BASELINE!I1603&lt;&gt;"",INT(IF(CALC!$F$1&gt;0,IF(N(INDEX(BASELINE!$A1603:$ZZ1603,CALC!$F$1))&gt;0,N(INDEX(BASELINE!$A1603:$ZZ1603,CALC!$F$1)),N(BASELINE!E1603)),N(BASELINE!E1603)))=INT(SIMOPS!$D$3),IFERROR(UPPER(TRIM(BASELINE!D1603&amp;"")),"")&lt;&gt;"ENCERRADA"),1,0),0)</f>
        <v/>
      </c>
      <c r="B1603">
        <f>B1602+A1603</f>
        <v/>
      </c>
    </row>
    <row r="1604">
      <c r="A1604">
        <f>IFERROR(IF(AND(BASELINE!I1604&lt;&gt;"",INT(IF(CALC!$F$1&gt;0,IF(N(INDEX(BASELINE!$A1604:$ZZ1604,CALC!$F$1))&gt;0,N(INDEX(BASELINE!$A1604:$ZZ1604,CALC!$F$1)),N(BASELINE!E1604)),N(BASELINE!E1604)))=INT(SIMOPS!$D$3),IFERROR(UPPER(TRIM(BASELINE!D1604&amp;"")),"")&lt;&gt;"ENCERRADA"),1,0),0)</f>
        <v/>
      </c>
      <c r="B1604">
        <f>B1603+A1604</f>
        <v/>
      </c>
    </row>
    <row r="1605">
      <c r="A1605">
        <f>IFERROR(IF(AND(BASELINE!I1605&lt;&gt;"",INT(IF(CALC!$F$1&gt;0,IF(N(INDEX(BASELINE!$A1605:$ZZ1605,CALC!$F$1))&gt;0,N(INDEX(BASELINE!$A1605:$ZZ1605,CALC!$F$1)),N(BASELINE!E1605)),N(BASELINE!E1605)))=INT(SIMOPS!$D$3),IFERROR(UPPER(TRIM(BASELINE!D1605&amp;"")),"")&lt;&gt;"ENCERRADA"),1,0),0)</f>
        <v/>
      </c>
      <c r="B1605">
        <f>B1604+A1605</f>
        <v/>
      </c>
    </row>
    <row r="1606">
      <c r="A1606">
        <f>IFERROR(IF(AND(BASELINE!I1606&lt;&gt;"",INT(IF(CALC!$F$1&gt;0,IF(N(INDEX(BASELINE!$A1606:$ZZ1606,CALC!$F$1))&gt;0,N(INDEX(BASELINE!$A1606:$ZZ1606,CALC!$F$1)),N(BASELINE!E1606)),N(BASELINE!E1606)))=INT(SIMOPS!$D$3),IFERROR(UPPER(TRIM(BASELINE!D1606&amp;"")),"")&lt;&gt;"ENCERRADA"),1,0),0)</f>
        <v/>
      </c>
      <c r="B1606">
        <f>B1605+A1606</f>
        <v/>
      </c>
    </row>
    <row r="1607">
      <c r="A1607">
        <f>IFERROR(IF(AND(BASELINE!I1607&lt;&gt;"",INT(IF(CALC!$F$1&gt;0,IF(N(INDEX(BASELINE!$A1607:$ZZ1607,CALC!$F$1))&gt;0,N(INDEX(BASELINE!$A1607:$ZZ1607,CALC!$F$1)),N(BASELINE!E1607)),N(BASELINE!E1607)))=INT(SIMOPS!$D$3),IFERROR(UPPER(TRIM(BASELINE!D1607&amp;"")),"")&lt;&gt;"ENCERRADA"),1,0),0)</f>
        <v/>
      </c>
      <c r="B1607">
        <f>B1606+A1607</f>
        <v/>
      </c>
    </row>
    <row r="1608">
      <c r="A1608">
        <f>IFERROR(IF(AND(BASELINE!I1608&lt;&gt;"",INT(IF(CALC!$F$1&gt;0,IF(N(INDEX(BASELINE!$A1608:$ZZ1608,CALC!$F$1))&gt;0,N(INDEX(BASELINE!$A1608:$ZZ1608,CALC!$F$1)),N(BASELINE!E1608)),N(BASELINE!E1608)))=INT(SIMOPS!$D$3),IFERROR(UPPER(TRIM(BASELINE!D1608&amp;"")),"")&lt;&gt;"ENCERRADA"),1,0),0)</f>
        <v/>
      </c>
      <c r="B1608">
        <f>B1607+A1608</f>
        <v/>
      </c>
    </row>
    <row r="1609">
      <c r="A1609">
        <f>IFERROR(IF(AND(BASELINE!I1609&lt;&gt;"",INT(IF(CALC!$F$1&gt;0,IF(N(INDEX(BASELINE!$A1609:$ZZ1609,CALC!$F$1))&gt;0,N(INDEX(BASELINE!$A1609:$ZZ1609,CALC!$F$1)),N(BASELINE!E1609)),N(BASELINE!E1609)))=INT(SIMOPS!$D$3),IFERROR(UPPER(TRIM(BASELINE!D1609&amp;"")),"")&lt;&gt;"ENCERRADA"),1,0),0)</f>
        <v/>
      </c>
      <c r="B1609">
        <f>B1608+A1609</f>
        <v/>
      </c>
    </row>
    <row r="1610">
      <c r="A1610">
        <f>IFERROR(IF(AND(BASELINE!I1610&lt;&gt;"",INT(IF(CALC!$F$1&gt;0,IF(N(INDEX(BASELINE!$A1610:$ZZ1610,CALC!$F$1))&gt;0,N(INDEX(BASELINE!$A1610:$ZZ1610,CALC!$F$1)),N(BASELINE!E1610)),N(BASELINE!E1610)))=INT(SIMOPS!$D$3),IFERROR(UPPER(TRIM(BASELINE!D1610&amp;"")),"")&lt;&gt;"ENCERRADA"),1,0),0)</f>
        <v/>
      </c>
      <c r="B1610">
        <f>B1609+A1610</f>
        <v/>
      </c>
    </row>
    <row r="1611">
      <c r="A1611">
        <f>IFERROR(IF(AND(BASELINE!I1611&lt;&gt;"",INT(IF(CALC!$F$1&gt;0,IF(N(INDEX(BASELINE!$A1611:$ZZ1611,CALC!$F$1))&gt;0,N(INDEX(BASELINE!$A1611:$ZZ1611,CALC!$F$1)),N(BASELINE!E1611)),N(BASELINE!E1611)))=INT(SIMOPS!$D$3),IFERROR(UPPER(TRIM(BASELINE!D1611&amp;"")),"")&lt;&gt;"ENCERRADA"),1,0),0)</f>
        <v/>
      </c>
      <c r="B1611">
        <f>B1610+A1611</f>
        <v/>
      </c>
    </row>
    <row r="1612">
      <c r="A1612">
        <f>IFERROR(IF(AND(BASELINE!I1612&lt;&gt;"",INT(IF(CALC!$F$1&gt;0,IF(N(INDEX(BASELINE!$A1612:$ZZ1612,CALC!$F$1))&gt;0,N(INDEX(BASELINE!$A1612:$ZZ1612,CALC!$F$1)),N(BASELINE!E1612)),N(BASELINE!E1612)))=INT(SIMOPS!$D$3),IFERROR(UPPER(TRIM(BASELINE!D1612&amp;"")),"")&lt;&gt;"ENCERRADA"),1,0),0)</f>
        <v/>
      </c>
      <c r="B1612">
        <f>B1611+A1612</f>
        <v/>
      </c>
    </row>
    <row r="1613">
      <c r="A1613">
        <f>IFERROR(IF(AND(BASELINE!I1613&lt;&gt;"",INT(IF(CALC!$F$1&gt;0,IF(N(INDEX(BASELINE!$A1613:$ZZ1613,CALC!$F$1))&gt;0,N(INDEX(BASELINE!$A1613:$ZZ1613,CALC!$F$1)),N(BASELINE!E1613)),N(BASELINE!E1613)))=INT(SIMOPS!$D$3),IFERROR(UPPER(TRIM(BASELINE!D1613&amp;"")),"")&lt;&gt;"ENCERRADA"),1,0),0)</f>
        <v/>
      </c>
      <c r="B1613">
        <f>B1612+A1613</f>
        <v/>
      </c>
    </row>
    <row r="1614">
      <c r="A1614">
        <f>IFERROR(IF(AND(BASELINE!I1614&lt;&gt;"",INT(IF(CALC!$F$1&gt;0,IF(N(INDEX(BASELINE!$A1614:$ZZ1614,CALC!$F$1))&gt;0,N(INDEX(BASELINE!$A1614:$ZZ1614,CALC!$F$1)),N(BASELINE!E1614)),N(BASELINE!E1614)))=INT(SIMOPS!$D$3),IFERROR(UPPER(TRIM(BASELINE!D1614&amp;"")),"")&lt;&gt;"ENCERRADA"),1,0),0)</f>
        <v/>
      </c>
      <c r="B1614">
        <f>B1613+A1614</f>
        <v/>
      </c>
    </row>
    <row r="1615">
      <c r="A1615">
        <f>IFERROR(IF(AND(BASELINE!I1615&lt;&gt;"",INT(IF(CALC!$F$1&gt;0,IF(N(INDEX(BASELINE!$A1615:$ZZ1615,CALC!$F$1))&gt;0,N(INDEX(BASELINE!$A1615:$ZZ1615,CALC!$F$1)),N(BASELINE!E1615)),N(BASELINE!E1615)))=INT(SIMOPS!$D$3),IFERROR(UPPER(TRIM(BASELINE!D1615&amp;"")),"")&lt;&gt;"ENCERRADA"),1,0),0)</f>
        <v/>
      </c>
      <c r="B1615">
        <f>B1614+A1615</f>
        <v/>
      </c>
    </row>
    <row r="1616">
      <c r="A1616">
        <f>IFERROR(IF(AND(BASELINE!I1616&lt;&gt;"",INT(IF(CALC!$F$1&gt;0,IF(N(INDEX(BASELINE!$A1616:$ZZ1616,CALC!$F$1))&gt;0,N(INDEX(BASELINE!$A1616:$ZZ1616,CALC!$F$1)),N(BASELINE!E1616)),N(BASELINE!E1616)))=INT(SIMOPS!$D$3),IFERROR(UPPER(TRIM(BASELINE!D1616&amp;"")),"")&lt;&gt;"ENCERRADA"),1,0),0)</f>
        <v/>
      </c>
      <c r="B1616">
        <f>B1615+A1616</f>
        <v/>
      </c>
    </row>
    <row r="1617">
      <c r="A1617">
        <f>IFERROR(IF(AND(BASELINE!I1617&lt;&gt;"",INT(IF(CALC!$F$1&gt;0,IF(N(INDEX(BASELINE!$A1617:$ZZ1617,CALC!$F$1))&gt;0,N(INDEX(BASELINE!$A1617:$ZZ1617,CALC!$F$1)),N(BASELINE!E1617)),N(BASELINE!E1617)))=INT(SIMOPS!$D$3),IFERROR(UPPER(TRIM(BASELINE!D1617&amp;"")),"")&lt;&gt;"ENCERRADA"),1,0),0)</f>
        <v/>
      </c>
      <c r="B1617">
        <f>B1616+A1617</f>
        <v/>
      </c>
    </row>
    <row r="1618">
      <c r="A1618">
        <f>IFERROR(IF(AND(BASELINE!I1618&lt;&gt;"",INT(IF(CALC!$F$1&gt;0,IF(N(INDEX(BASELINE!$A1618:$ZZ1618,CALC!$F$1))&gt;0,N(INDEX(BASELINE!$A1618:$ZZ1618,CALC!$F$1)),N(BASELINE!E1618)),N(BASELINE!E1618)))=INT(SIMOPS!$D$3),IFERROR(UPPER(TRIM(BASELINE!D1618&amp;"")),"")&lt;&gt;"ENCERRADA"),1,0),0)</f>
        <v/>
      </c>
      <c r="B1618">
        <f>B1617+A1618</f>
        <v/>
      </c>
    </row>
    <row r="1619">
      <c r="A1619">
        <f>IFERROR(IF(AND(BASELINE!I1619&lt;&gt;"",INT(IF(CALC!$F$1&gt;0,IF(N(INDEX(BASELINE!$A1619:$ZZ1619,CALC!$F$1))&gt;0,N(INDEX(BASELINE!$A1619:$ZZ1619,CALC!$F$1)),N(BASELINE!E1619)),N(BASELINE!E1619)))=INT(SIMOPS!$D$3),IFERROR(UPPER(TRIM(BASELINE!D1619&amp;"")),"")&lt;&gt;"ENCERRADA"),1,0),0)</f>
        <v/>
      </c>
      <c r="B1619">
        <f>B1618+A1619</f>
        <v/>
      </c>
    </row>
    <row r="1620">
      <c r="A1620">
        <f>IFERROR(IF(AND(BASELINE!I1620&lt;&gt;"",INT(IF(CALC!$F$1&gt;0,IF(N(INDEX(BASELINE!$A1620:$ZZ1620,CALC!$F$1))&gt;0,N(INDEX(BASELINE!$A1620:$ZZ1620,CALC!$F$1)),N(BASELINE!E1620)),N(BASELINE!E1620)))=INT(SIMOPS!$D$3),IFERROR(UPPER(TRIM(BASELINE!D1620&amp;"")),"")&lt;&gt;"ENCERRADA"),1,0),0)</f>
        <v/>
      </c>
      <c r="B1620">
        <f>B1619+A1620</f>
        <v/>
      </c>
    </row>
    <row r="1621">
      <c r="A1621">
        <f>IFERROR(IF(AND(BASELINE!I1621&lt;&gt;"",INT(IF(CALC!$F$1&gt;0,IF(N(INDEX(BASELINE!$A1621:$ZZ1621,CALC!$F$1))&gt;0,N(INDEX(BASELINE!$A1621:$ZZ1621,CALC!$F$1)),N(BASELINE!E1621)),N(BASELINE!E1621)))=INT(SIMOPS!$D$3),IFERROR(UPPER(TRIM(BASELINE!D1621&amp;"")),"")&lt;&gt;"ENCERRADA"),1,0),0)</f>
        <v/>
      </c>
      <c r="B1621">
        <f>B1620+A1621</f>
        <v/>
      </c>
    </row>
    <row r="1622">
      <c r="A1622">
        <f>IFERROR(IF(AND(BASELINE!I1622&lt;&gt;"",INT(IF(CALC!$F$1&gt;0,IF(N(INDEX(BASELINE!$A1622:$ZZ1622,CALC!$F$1))&gt;0,N(INDEX(BASELINE!$A1622:$ZZ1622,CALC!$F$1)),N(BASELINE!E1622)),N(BASELINE!E1622)))=INT(SIMOPS!$D$3),IFERROR(UPPER(TRIM(BASELINE!D1622&amp;"")),"")&lt;&gt;"ENCERRADA"),1,0),0)</f>
        <v/>
      </c>
      <c r="B1622">
        <f>B1621+A1622</f>
        <v/>
      </c>
    </row>
    <row r="1623">
      <c r="A1623">
        <f>IFERROR(IF(AND(BASELINE!I1623&lt;&gt;"",INT(IF(CALC!$F$1&gt;0,IF(N(INDEX(BASELINE!$A1623:$ZZ1623,CALC!$F$1))&gt;0,N(INDEX(BASELINE!$A1623:$ZZ1623,CALC!$F$1)),N(BASELINE!E1623)),N(BASELINE!E1623)))=INT(SIMOPS!$D$3),IFERROR(UPPER(TRIM(BASELINE!D1623&amp;"")),"")&lt;&gt;"ENCERRADA"),1,0),0)</f>
        <v/>
      </c>
      <c r="B1623">
        <f>B1622+A1623</f>
        <v/>
      </c>
    </row>
    <row r="1624">
      <c r="A1624">
        <f>IFERROR(IF(AND(BASELINE!I1624&lt;&gt;"",INT(IF(CALC!$F$1&gt;0,IF(N(INDEX(BASELINE!$A1624:$ZZ1624,CALC!$F$1))&gt;0,N(INDEX(BASELINE!$A1624:$ZZ1624,CALC!$F$1)),N(BASELINE!E1624)),N(BASELINE!E1624)))=INT(SIMOPS!$D$3),IFERROR(UPPER(TRIM(BASELINE!D1624&amp;"")),"")&lt;&gt;"ENCERRADA"),1,0),0)</f>
        <v/>
      </c>
      <c r="B1624">
        <f>B1623+A1624</f>
        <v/>
      </c>
    </row>
    <row r="1625">
      <c r="A1625">
        <f>IFERROR(IF(AND(BASELINE!I1625&lt;&gt;"",INT(IF(CALC!$F$1&gt;0,IF(N(INDEX(BASELINE!$A1625:$ZZ1625,CALC!$F$1))&gt;0,N(INDEX(BASELINE!$A1625:$ZZ1625,CALC!$F$1)),N(BASELINE!E1625)),N(BASELINE!E1625)))=INT(SIMOPS!$D$3),IFERROR(UPPER(TRIM(BASELINE!D1625&amp;"")),"")&lt;&gt;"ENCERRADA"),1,0),0)</f>
        <v/>
      </c>
      <c r="B1625">
        <f>B1624+A1625</f>
        <v/>
      </c>
    </row>
    <row r="1626">
      <c r="A1626">
        <f>IFERROR(IF(AND(BASELINE!I1626&lt;&gt;"",INT(IF(CALC!$F$1&gt;0,IF(N(INDEX(BASELINE!$A1626:$ZZ1626,CALC!$F$1))&gt;0,N(INDEX(BASELINE!$A1626:$ZZ1626,CALC!$F$1)),N(BASELINE!E1626)),N(BASELINE!E1626)))=INT(SIMOPS!$D$3),IFERROR(UPPER(TRIM(BASELINE!D1626&amp;"")),"")&lt;&gt;"ENCERRADA"),1,0),0)</f>
        <v/>
      </c>
      <c r="B1626">
        <f>B1625+A1626</f>
        <v/>
      </c>
    </row>
    <row r="1627">
      <c r="A1627">
        <f>IFERROR(IF(AND(BASELINE!I1627&lt;&gt;"",INT(IF(CALC!$F$1&gt;0,IF(N(INDEX(BASELINE!$A1627:$ZZ1627,CALC!$F$1))&gt;0,N(INDEX(BASELINE!$A1627:$ZZ1627,CALC!$F$1)),N(BASELINE!E1627)),N(BASELINE!E1627)))=INT(SIMOPS!$D$3),IFERROR(UPPER(TRIM(BASELINE!D1627&amp;"")),"")&lt;&gt;"ENCERRADA"),1,0),0)</f>
        <v/>
      </c>
      <c r="B1627">
        <f>B1626+A1627</f>
        <v/>
      </c>
    </row>
    <row r="1628">
      <c r="A1628">
        <f>IFERROR(IF(AND(BASELINE!I1628&lt;&gt;"",INT(IF(CALC!$F$1&gt;0,IF(N(INDEX(BASELINE!$A1628:$ZZ1628,CALC!$F$1))&gt;0,N(INDEX(BASELINE!$A1628:$ZZ1628,CALC!$F$1)),N(BASELINE!E1628)),N(BASELINE!E1628)))=INT(SIMOPS!$D$3),IFERROR(UPPER(TRIM(BASELINE!D1628&amp;"")),"")&lt;&gt;"ENCERRADA"),1,0),0)</f>
        <v/>
      </c>
      <c r="B1628">
        <f>B1627+A1628</f>
        <v/>
      </c>
    </row>
    <row r="1629">
      <c r="A1629">
        <f>IFERROR(IF(AND(BASELINE!I1629&lt;&gt;"",INT(IF(CALC!$F$1&gt;0,IF(N(INDEX(BASELINE!$A1629:$ZZ1629,CALC!$F$1))&gt;0,N(INDEX(BASELINE!$A1629:$ZZ1629,CALC!$F$1)),N(BASELINE!E1629)),N(BASELINE!E1629)))=INT(SIMOPS!$D$3),IFERROR(UPPER(TRIM(BASELINE!D1629&amp;"")),"")&lt;&gt;"ENCERRADA"),1,0),0)</f>
        <v/>
      </c>
      <c r="B1629">
        <f>B1628+A1629</f>
        <v/>
      </c>
    </row>
    <row r="1630">
      <c r="A1630">
        <f>IFERROR(IF(AND(BASELINE!I1630&lt;&gt;"",INT(IF(CALC!$F$1&gt;0,IF(N(INDEX(BASELINE!$A1630:$ZZ1630,CALC!$F$1))&gt;0,N(INDEX(BASELINE!$A1630:$ZZ1630,CALC!$F$1)),N(BASELINE!E1630)),N(BASELINE!E1630)))=INT(SIMOPS!$D$3),IFERROR(UPPER(TRIM(BASELINE!D1630&amp;"")),"")&lt;&gt;"ENCERRADA"),1,0),0)</f>
        <v/>
      </c>
      <c r="B1630">
        <f>B1629+A1630</f>
        <v/>
      </c>
    </row>
    <row r="1631">
      <c r="A1631">
        <f>IFERROR(IF(AND(BASELINE!I1631&lt;&gt;"",INT(IF(CALC!$F$1&gt;0,IF(N(INDEX(BASELINE!$A1631:$ZZ1631,CALC!$F$1))&gt;0,N(INDEX(BASELINE!$A1631:$ZZ1631,CALC!$F$1)),N(BASELINE!E1631)),N(BASELINE!E1631)))=INT(SIMOPS!$D$3),IFERROR(UPPER(TRIM(BASELINE!D1631&amp;"")),"")&lt;&gt;"ENCERRADA"),1,0),0)</f>
        <v/>
      </c>
      <c r="B1631">
        <f>B1630+A1631</f>
        <v/>
      </c>
    </row>
    <row r="1632">
      <c r="A1632">
        <f>IFERROR(IF(AND(BASELINE!I1632&lt;&gt;"",INT(IF(CALC!$F$1&gt;0,IF(N(INDEX(BASELINE!$A1632:$ZZ1632,CALC!$F$1))&gt;0,N(INDEX(BASELINE!$A1632:$ZZ1632,CALC!$F$1)),N(BASELINE!E1632)),N(BASELINE!E1632)))=INT(SIMOPS!$D$3),IFERROR(UPPER(TRIM(BASELINE!D1632&amp;"")),"")&lt;&gt;"ENCERRADA"),1,0),0)</f>
        <v/>
      </c>
      <c r="B1632">
        <f>B1631+A1632</f>
        <v/>
      </c>
    </row>
    <row r="1633">
      <c r="A1633">
        <f>IFERROR(IF(AND(BASELINE!I1633&lt;&gt;"",INT(IF(CALC!$F$1&gt;0,IF(N(INDEX(BASELINE!$A1633:$ZZ1633,CALC!$F$1))&gt;0,N(INDEX(BASELINE!$A1633:$ZZ1633,CALC!$F$1)),N(BASELINE!E1633)),N(BASELINE!E1633)))=INT(SIMOPS!$D$3),IFERROR(UPPER(TRIM(BASELINE!D1633&amp;"")),"")&lt;&gt;"ENCERRADA"),1,0),0)</f>
        <v/>
      </c>
      <c r="B1633">
        <f>B1632+A1633</f>
        <v/>
      </c>
    </row>
    <row r="1634">
      <c r="A1634">
        <f>IFERROR(IF(AND(BASELINE!I1634&lt;&gt;"",INT(IF(CALC!$F$1&gt;0,IF(N(INDEX(BASELINE!$A1634:$ZZ1634,CALC!$F$1))&gt;0,N(INDEX(BASELINE!$A1634:$ZZ1634,CALC!$F$1)),N(BASELINE!E1634)),N(BASELINE!E1634)))=INT(SIMOPS!$D$3),IFERROR(UPPER(TRIM(BASELINE!D1634&amp;"")),"")&lt;&gt;"ENCERRADA"),1,0),0)</f>
        <v/>
      </c>
      <c r="B1634">
        <f>B1633+A1634</f>
        <v/>
      </c>
    </row>
    <row r="1635">
      <c r="A1635">
        <f>IFERROR(IF(AND(BASELINE!I1635&lt;&gt;"",INT(IF(CALC!$F$1&gt;0,IF(N(INDEX(BASELINE!$A1635:$ZZ1635,CALC!$F$1))&gt;0,N(INDEX(BASELINE!$A1635:$ZZ1635,CALC!$F$1)),N(BASELINE!E1635)),N(BASELINE!E1635)))=INT(SIMOPS!$D$3),IFERROR(UPPER(TRIM(BASELINE!D1635&amp;"")),"")&lt;&gt;"ENCERRADA"),1,0),0)</f>
        <v/>
      </c>
      <c r="B1635">
        <f>B1634+A1635</f>
        <v/>
      </c>
    </row>
    <row r="1636">
      <c r="A1636">
        <f>IFERROR(IF(AND(BASELINE!I1636&lt;&gt;"",INT(IF(CALC!$F$1&gt;0,IF(N(INDEX(BASELINE!$A1636:$ZZ1636,CALC!$F$1))&gt;0,N(INDEX(BASELINE!$A1636:$ZZ1636,CALC!$F$1)),N(BASELINE!E1636)),N(BASELINE!E1636)))=INT(SIMOPS!$D$3),IFERROR(UPPER(TRIM(BASELINE!D1636&amp;"")),"")&lt;&gt;"ENCERRADA"),1,0),0)</f>
        <v/>
      </c>
      <c r="B1636">
        <f>B1635+A1636</f>
        <v/>
      </c>
    </row>
    <row r="1637">
      <c r="A1637">
        <f>IFERROR(IF(AND(BASELINE!I1637&lt;&gt;"",INT(IF(CALC!$F$1&gt;0,IF(N(INDEX(BASELINE!$A1637:$ZZ1637,CALC!$F$1))&gt;0,N(INDEX(BASELINE!$A1637:$ZZ1637,CALC!$F$1)),N(BASELINE!E1637)),N(BASELINE!E1637)))=INT(SIMOPS!$D$3),IFERROR(UPPER(TRIM(BASELINE!D1637&amp;"")),"")&lt;&gt;"ENCERRADA"),1,0),0)</f>
        <v/>
      </c>
      <c r="B1637">
        <f>B1636+A1637</f>
        <v/>
      </c>
    </row>
    <row r="1638">
      <c r="A1638">
        <f>IFERROR(IF(AND(BASELINE!I1638&lt;&gt;"",INT(IF(CALC!$F$1&gt;0,IF(N(INDEX(BASELINE!$A1638:$ZZ1638,CALC!$F$1))&gt;0,N(INDEX(BASELINE!$A1638:$ZZ1638,CALC!$F$1)),N(BASELINE!E1638)),N(BASELINE!E1638)))=INT(SIMOPS!$D$3),IFERROR(UPPER(TRIM(BASELINE!D1638&amp;"")),"")&lt;&gt;"ENCERRADA"),1,0),0)</f>
        <v/>
      </c>
      <c r="B1638">
        <f>B1637+A1638</f>
        <v/>
      </c>
    </row>
    <row r="1639">
      <c r="A1639">
        <f>IFERROR(IF(AND(BASELINE!I1639&lt;&gt;"",INT(IF(CALC!$F$1&gt;0,IF(N(INDEX(BASELINE!$A1639:$ZZ1639,CALC!$F$1))&gt;0,N(INDEX(BASELINE!$A1639:$ZZ1639,CALC!$F$1)),N(BASELINE!E1639)),N(BASELINE!E1639)))=INT(SIMOPS!$D$3),IFERROR(UPPER(TRIM(BASELINE!D1639&amp;"")),"")&lt;&gt;"ENCERRADA"),1,0),0)</f>
        <v/>
      </c>
      <c r="B1639">
        <f>B1638+A1639</f>
        <v/>
      </c>
    </row>
    <row r="1640">
      <c r="A1640">
        <f>IFERROR(IF(AND(BASELINE!I1640&lt;&gt;"",INT(IF(CALC!$F$1&gt;0,IF(N(INDEX(BASELINE!$A1640:$ZZ1640,CALC!$F$1))&gt;0,N(INDEX(BASELINE!$A1640:$ZZ1640,CALC!$F$1)),N(BASELINE!E1640)),N(BASELINE!E1640)))=INT(SIMOPS!$D$3),IFERROR(UPPER(TRIM(BASELINE!D1640&amp;"")),"")&lt;&gt;"ENCERRADA"),1,0),0)</f>
        <v/>
      </c>
      <c r="B1640">
        <f>B1639+A1640</f>
        <v/>
      </c>
    </row>
    <row r="1641">
      <c r="A1641">
        <f>IFERROR(IF(AND(BASELINE!I1641&lt;&gt;"",INT(IF(CALC!$F$1&gt;0,IF(N(INDEX(BASELINE!$A1641:$ZZ1641,CALC!$F$1))&gt;0,N(INDEX(BASELINE!$A1641:$ZZ1641,CALC!$F$1)),N(BASELINE!E1641)),N(BASELINE!E1641)))=INT(SIMOPS!$D$3),IFERROR(UPPER(TRIM(BASELINE!D1641&amp;"")),"")&lt;&gt;"ENCERRADA"),1,0),0)</f>
        <v/>
      </c>
      <c r="B1641">
        <f>B1640+A1641</f>
        <v/>
      </c>
    </row>
    <row r="1642">
      <c r="A1642">
        <f>IFERROR(IF(AND(BASELINE!I1642&lt;&gt;"",INT(IF(CALC!$F$1&gt;0,IF(N(INDEX(BASELINE!$A1642:$ZZ1642,CALC!$F$1))&gt;0,N(INDEX(BASELINE!$A1642:$ZZ1642,CALC!$F$1)),N(BASELINE!E1642)),N(BASELINE!E1642)))=INT(SIMOPS!$D$3),IFERROR(UPPER(TRIM(BASELINE!D1642&amp;"")),"")&lt;&gt;"ENCERRADA"),1,0),0)</f>
        <v/>
      </c>
      <c r="B1642">
        <f>B1641+A1642</f>
        <v/>
      </c>
    </row>
    <row r="1643">
      <c r="A1643">
        <f>IFERROR(IF(AND(BASELINE!I1643&lt;&gt;"",INT(IF(CALC!$F$1&gt;0,IF(N(INDEX(BASELINE!$A1643:$ZZ1643,CALC!$F$1))&gt;0,N(INDEX(BASELINE!$A1643:$ZZ1643,CALC!$F$1)),N(BASELINE!E1643)),N(BASELINE!E1643)))=INT(SIMOPS!$D$3),IFERROR(UPPER(TRIM(BASELINE!D1643&amp;"")),"")&lt;&gt;"ENCERRADA"),1,0),0)</f>
        <v/>
      </c>
      <c r="B1643">
        <f>B1642+A1643</f>
        <v/>
      </c>
    </row>
    <row r="1644">
      <c r="A1644">
        <f>IFERROR(IF(AND(BASELINE!I1644&lt;&gt;"",INT(IF(CALC!$F$1&gt;0,IF(N(INDEX(BASELINE!$A1644:$ZZ1644,CALC!$F$1))&gt;0,N(INDEX(BASELINE!$A1644:$ZZ1644,CALC!$F$1)),N(BASELINE!E1644)),N(BASELINE!E1644)))=INT(SIMOPS!$D$3),IFERROR(UPPER(TRIM(BASELINE!D1644&amp;"")),"")&lt;&gt;"ENCERRADA"),1,0),0)</f>
        <v/>
      </c>
      <c r="B1644">
        <f>B1643+A1644</f>
        <v/>
      </c>
    </row>
    <row r="1645">
      <c r="A1645">
        <f>IFERROR(IF(AND(BASELINE!I1645&lt;&gt;"",INT(IF(CALC!$F$1&gt;0,IF(N(INDEX(BASELINE!$A1645:$ZZ1645,CALC!$F$1))&gt;0,N(INDEX(BASELINE!$A1645:$ZZ1645,CALC!$F$1)),N(BASELINE!E1645)),N(BASELINE!E1645)))=INT(SIMOPS!$D$3),IFERROR(UPPER(TRIM(BASELINE!D1645&amp;"")),"")&lt;&gt;"ENCERRADA"),1,0),0)</f>
        <v/>
      </c>
      <c r="B1645">
        <f>B1644+A1645</f>
        <v/>
      </c>
    </row>
    <row r="1646">
      <c r="A1646">
        <f>IFERROR(IF(AND(BASELINE!I1646&lt;&gt;"",INT(IF(CALC!$F$1&gt;0,IF(N(INDEX(BASELINE!$A1646:$ZZ1646,CALC!$F$1))&gt;0,N(INDEX(BASELINE!$A1646:$ZZ1646,CALC!$F$1)),N(BASELINE!E1646)),N(BASELINE!E1646)))=INT(SIMOPS!$D$3),IFERROR(UPPER(TRIM(BASELINE!D1646&amp;"")),"")&lt;&gt;"ENCERRADA"),1,0),0)</f>
        <v/>
      </c>
      <c r="B1646">
        <f>B1645+A1646</f>
        <v/>
      </c>
    </row>
    <row r="1647">
      <c r="A1647">
        <f>IFERROR(IF(AND(BASELINE!I1647&lt;&gt;"",INT(IF(CALC!$F$1&gt;0,IF(N(INDEX(BASELINE!$A1647:$ZZ1647,CALC!$F$1))&gt;0,N(INDEX(BASELINE!$A1647:$ZZ1647,CALC!$F$1)),N(BASELINE!E1647)),N(BASELINE!E1647)))=INT(SIMOPS!$D$3),IFERROR(UPPER(TRIM(BASELINE!D1647&amp;"")),"")&lt;&gt;"ENCERRADA"),1,0),0)</f>
        <v/>
      </c>
      <c r="B1647">
        <f>B1646+A1647</f>
        <v/>
      </c>
    </row>
    <row r="1648">
      <c r="A1648">
        <f>IFERROR(IF(AND(BASELINE!I1648&lt;&gt;"",INT(IF(CALC!$F$1&gt;0,IF(N(INDEX(BASELINE!$A1648:$ZZ1648,CALC!$F$1))&gt;0,N(INDEX(BASELINE!$A1648:$ZZ1648,CALC!$F$1)),N(BASELINE!E1648)),N(BASELINE!E1648)))=INT(SIMOPS!$D$3),IFERROR(UPPER(TRIM(BASELINE!D1648&amp;"")),"")&lt;&gt;"ENCERRADA"),1,0),0)</f>
        <v/>
      </c>
      <c r="B1648">
        <f>B1647+A1648</f>
        <v/>
      </c>
    </row>
    <row r="1649">
      <c r="A1649">
        <f>IFERROR(IF(AND(BASELINE!I1649&lt;&gt;"",INT(IF(CALC!$F$1&gt;0,IF(N(INDEX(BASELINE!$A1649:$ZZ1649,CALC!$F$1))&gt;0,N(INDEX(BASELINE!$A1649:$ZZ1649,CALC!$F$1)),N(BASELINE!E1649)),N(BASELINE!E1649)))=INT(SIMOPS!$D$3),IFERROR(UPPER(TRIM(BASELINE!D1649&amp;"")),"")&lt;&gt;"ENCERRADA"),1,0),0)</f>
        <v/>
      </c>
      <c r="B1649">
        <f>B1648+A1649</f>
        <v/>
      </c>
    </row>
    <row r="1650">
      <c r="A1650">
        <f>IFERROR(IF(AND(BASELINE!I1650&lt;&gt;"",INT(IF(CALC!$F$1&gt;0,IF(N(INDEX(BASELINE!$A1650:$ZZ1650,CALC!$F$1))&gt;0,N(INDEX(BASELINE!$A1650:$ZZ1650,CALC!$F$1)),N(BASELINE!E1650)),N(BASELINE!E1650)))=INT(SIMOPS!$D$3),IFERROR(UPPER(TRIM(BASELINE!D1650&amp;"")),"")&lt;&gt;"ENCERRADA"),1,0),0)</f>
        <v/>
      </c>
      <c r="B1650">
        <f>B1649+A1650</f>
        <v/>
      </c>
    </row>
    <row r="1651">
      <c r="A1651">
        <f>IFERROR(IF(AND(BASELINE!I1651&lt;&gt;"",INT(IF(CALC!$F$1&gt;0,IF(N(INDEX(BASELINE!$A1651:$ZZ1651,CALC!$F$1))&gt;0,N(INDEX(BASELINE!$A1651:$ZZ1651,CALC!$F$1)),N(BASELINE!E1651)),N(BASELINE!E1651)))=INT(SIMOPS!$D$3),IFERROR(UPPER(TRIM(BASELINE!D1651&amp;"")),"")&lt;&gt;"ENCERRADA"),1,0),0)</f>
        <v/>
      </c>
      <c r="B1651">
        <f>B1650+A1651</f>
        <v/>
      </c>
    </row>
    <row r="1652">
      <c r="A1652">
        <f>IFERROR(IF(AND(BASELINE!I1652&lt;&gt;"",INT(IF(CALC!$F$1&gt;0,IF(N(INDEX(BASELINE!$A1652:$ZZ1652,CALC!$F$1))&gt;0,N(INDEX(BASELINE!$A1652:$ZZ1652,CALC!$F$1)),N(BASELINE!E1652)),N(BASELINE!E1652)))=INT(SIMOPS!$D$3),IFERROR(UPPER(TRIM(BASELINE!D1652&amp;"")),"")&lt;&gt;"ENCERRADA"),1,0),0)</f>
        <v/>
      </c>
      <c r="B1652">
        <f>B1651+A1652</f>
        <v/>
      </c>
    </row>
    <row r="1653">
      <c r="A1653">
        <f>IFERROR(IF(AND(BASELINE!I1653&lt;&gt;"",INT(IF(CALC!$F$1&gt;0,IF(N(INDEX(BASELINE!$A1653:$ZZ1653,CALC!$F$1))&gt;0,N(INDEX(BASELINE!$A1653:$ZZ1653,CALC!$F$1)),N(BASELINE!E1653)),N(BASELINE!E1653)))=INT(SIMOPS!$D$3),IFERROR(UPPER(TRIM(BASELINE!D1653&amp;"")),"")&lt;&gt;"ENCERRADA"),1,0),0)</f>
        <v/>
      </c>
      <c r="B1653">
        <f>B1652+A1653</f>
        <v/>
      </c>
    </row>
    <row r="1654">
      <c r="A1654">
        <f>IFERROR(IF(AND(BASELINE!I1654&lt;&gt;"",INT(IF(CALC!$F$1&gt;0,IF(N(INDEX(BASELINE!$A1654:$ZZ1654,CALC!$F$1))&gt;0,N(INDEX(BASELINE!$A1654:$ZZ1654,CALC!$F$1)),N(BASELINE!E1654)),N(BASELINE!E1654)))=INT(SIMOPS!$D$3),IFERROR(UPPER(TRIM(BASELINE!D1654&amp;"")),"")&lt;&gt;"ENCERRADA"),1,0),0)</f>
        <v/>
      </c>
      <c r="B1654">
        <f>B1653+A1654</f>
        <v/>
      </c>
    </row>
    <row r="1655">
      <c r="A1655">
        <f>IFERROR(IF(AND(BASELINE!I1655&lt;&gt;"",INT(IF(CALC!$F$1&gt;0,IF(N(INDEX(BASELINE!$A1655:$ZZ1655,CALC!$F$1))&gt;0,N(INDEX(BASELINE!$A1655:$ZZ1655,CALC!$F$1)),N(BASELINE!E1655)),N(BASELINE!E1655)))=INT(SIMOPS!$D$3),IFERROR(UPPER(TRIM(BASELINE!D1655&amp;"")),"")&lt;&gt;"ENCERRADA"),1,0),0)</f>
        <v/>
      </c>
      <c r="B1655">
        <f>B1654+A1655</f>
        <v/>
      </c>
    </row>
    <row r="1656">
      <c r="A1656">
        <f>IFERROR(IF(AND(BASELINE!I1656&lt;&gt;"",INT(IF(CALC!$F$1&gt;0,IF(N(INDEX(BASELINE!$A1656:$ZZ1656,CALC!$F$1))&gt;0,N(INDEX(BASELINE!$A1656:$ZZ1656,CALC!$F$1)),N(BASELINE!E1656)),N(BASELINE!E1656)))=INT(SIMOPS!$D$3),IFERROR(UPPER(TRIM(BASELINE!D1656&amp;"")),"")&lt;&gt;"ENCERRADA"),1,0),0)</f>
        <v/>
      </c>
      <c r="B1656">
        <f>B1655+A1656</f>
        <v/>
      </c>
    </row>
    <row r="1657">
      <c r="A1657">
        <f>IFERROR(IF(AND(BASELINE!I1657&lt;&gt;"",INT(IF(CALC!$F$1&gt;0,IF(N(INDEX(BASELINE!$A1657:$ZZ1657,CALC!$F$1))&gt;0,N(INDEX(BASELINE!$A1657:$ZZ1657,CALC!$F$1)),N(BASELINE!E1657)),N(BASELINE!E1657)))=INT(SIMOPS!$D$3),IFERROR(UPPER(TRIM(BASELINE!D1657&amp;"")),"")&lt;&gt;"ENCERRADA"),1,0),0)</f>
        <v/>
      </c>
      <c r="B1657">
        <f>B1656+A1657</f>
        <v/>
      </c>
    </row>
    <row r="1658">
      <c r="A1658">
        <f>IFERROR(IF(AND(BASELINE!I1658&lt;&gt;"",INT(IF(CALC!$F$1&gt;0,IF(N(INDEX(BASELINE!$A1658:$ZZ1658,CALC!$F$1))&gt;0,N(INDEX(BASELINE!$A1658:$ZZ1658,CALC!$F$1)),N(BASELINE!E1658)),N(BASELINE!E1658)))=INT(SIMOPS!$D$3),IFERROR(UPPER(TRIM(BASELINE!D1658&amp;"")),"")&lt;&gt;"ENCERRADA"),1,0),0)</f>
        <v/>
      </c>
      <c r="B1658">
        <f>B1657+A1658</f>
        <v/>
      </c>
    </row>
    <row r="1659">
      <c r="A1659">
        <f>IFERROR(IF(AND(BASELINE!I1659&lt;&gt;"",INT(IF(CALC!$F$1&gt;0,IF(N(INDEX(BASELINE!$A1659:$ZZ1659,CALC!$F$1))&gt;0,N(INDEX(BASELINE!$A1659:$ZZ1659,CALC!$F$1)),N(BASELINE!E1659)),N(BASELINE!E1659)))=INT(SIMOPS!$D$3),IFERROR(UPPER(TRIM(BASELINE!D1659&amp;"")),"")&lt;&gt;"ENCERRADA"),1,0),0)</f>
        <v/>
      </c>
      <c r="B1659">
        <f>B1658+A1659</f>
        <v/>
      </c>
    </row>
    <row r="1660">
      <c r="A1660">
        <f>IFERROR(IF(AND(BASELINE!I1660&lt;&gt;"",INT(IF(CALC!$F$1&gt;0,IF(N(INDEX(BASELINE!$A1660:$ZZ1660,CALC!$F$1))&gt;0,N(INDEX(BASELINE!$A1660:$ZZ1660,CALC!$F$1)),N(BASELINE!E1660)),N(BASELINE!E1660)))=INT(SIMOPS!$D$3),IFERROR(UPPER(TRIM(BASELINE!D1660&amp;"")),"")&lt;&gt;"ENCERRADA"),1,0),0)</f>
        <v/>
      </c>
      <c r="B1660">
        <f>B1659+A1660</f>
        <v/>
      </c>
    </row>
    <row r="1661">
      <c r="A1661">
        <f>IFERROR(IF(AND(BASELINE!I1661&lt;&gt;"",INT(IF(CALC!$F$1&gt;0,IF(N(INDEX(BASELINE!$A1661:$ZZ1661,CALC!$F$1))&gt;0,N(INDEX(BASELINE!$A1661:$ZZ1661,CALC!$F$1)),N(BASELINE!E1661)),N(BASELINE!E1661)))=INT(SIMOPS!$D$3),IFERROR(UPPER(TRIM(BASELINE!D1661&amp;"")),"")&lt;&gt;"ENCERRADA"),1,0),0)</f>
        <v/>
      </c>
      <c r="B1661">
        <f>B1660+A1661</f>
        <v/>
      </c>
    </row>
    <row r="1662">
      <c r="A1662">
        <f>IFERROR(IF(AND(BASELINE!I1662&lt;&gt;"",INT(IF(CALC!$F$1&gt;0,IF(N(INDEX(BASELINE!$A1662:$ZZ1662,CALC!$F$1))&gt;0,N(INDEX(BASELINE!$A1662:$ZZ1662,CALC!$F$1)),N(BASELINE!E1662)),N(BASELINE!E1662)))=INT(SIMOPS!$D$3),IFERROR(UPPER(TRIM(BASELINE!D1662&amp;"")),"")&lt;&gt;"ENCERRADA"),1,0),0)</f>
        <v/>
      </c>
      <c r="B1662">
        <f>B1661+A1662</f>
        <v/>
      </c>
    </row>
    <row r="1663">
      <c r="A1663">
        <f>IFERROR(IF(AND(BASELINE!I1663&lt;&gt;"",INT(IF(CALC!$F$1&gt;0,IF(N(INDEX(BASELINE!$A1663:$ZZ1663,CALC!$F$1))&gt;0,N(INDEX(BASELINE!$A1663:$ZZ1663,CALC!$F$1)),N(BASELINE!E1663)),N(BASELINE!E1663)))=INT(SIMOPS!$D$3),IFERROR(UPPER(TRIM(BASELINE!D1663&amp;"")),"")&lt;&gt;"ENCERRADA"),1,0),0)</f>
        <v/>
      </c>
      <c r="B1663">
        <f>B1662+A1663</f>
        <v/>
      </c>
    </row>
    <row r="1664">
      <c r="A1664">
        <f>IFERROR(IF(AND(BASELINE!I1664&lt;&gt;"",INT(IF(CALC!$F$1&gt;0,IF(N(INDEX(BASELINE!$A1664:$ZZ1664,CALC!$F$1))&gt;0,N(INDEX(BASELINE!$A1664:$ZZ1664,CALC!$F$1)),N(BASELINE!E1664)),N(BASELINE!E1664)))=INT(SIMOPS!$D$3),IFERROR(UPPER(TRIM(BASELINE!D1664&amp;"")),"")&lt;&gt;"ENCERRADA"),1,0),0)</f>
        <v/>
      </c>
      <c r="B1664">
        <f>B1663+A1664</f>
        <v/>
      </c>
    </row>
    <row r="1665">
      <c r="A1665">
        <f>IFERROR(IF(AND(BASELINE!I1665&lt;&gt;"",INT(IF(CALC!$F$1&gt;0,IF(N(INDEX(BASELINE!$A1665:$ZZ1665,CALC!$F$1))&gt;0,N(INDEX(BASELINE!$A1665:$ZZ1665,CALC!$F$1)),N(BASELINE!E1665)),N(BASELINE!E1665)))=INT(SIMOPS!$D$3),IFERROR(UPPER(TRIM(BASELINE!D1665&amp;"")),"")&lt;&gt;"ENCERRADA"),1,0),0)</f>
        <v/>
      </c>
      <c r="B1665">
        <f>B1664+A1665</f>
        <v/>
      </c>
    </row>
    <row r="1666">
      <c r="A1666">
        <f>IFERROR(IF(AND(BASELINE!I1666&lt;&gt;"",INT(IF(CALC!$F$1&gt;0,IF(N(INDEX(BASELINE!$A1666:$ZZ1666,CALC!$F$1))&gt;0,N(INDEX(BASELINE!$A1666:$ZZ1666,CALC!$F$1)),N(BASELINE!E1666)),N(BASELINE!E1666)))=INT(SIMOPS!$D$3),IFERROR(UPPER(TRIM(BASELINE!D1666&amp;"")),"")&lt;&gt;"ENCERRADA"),1,0),0)</f>
        <v/>
      </c>
      <c r="B1666">
        <f>B1665+A1666</f>
        <v/>
      </c>
    </row>
    <row r="1667">
      <c r="A1667">
        <f>IFERROR(IF(AND(BASELINE!I1667&lt;&gt;"",INT(IF(CALC!$F$1&gt;0,IF(N(INDEX(BASELINE!$A1667:$ZZ1667,CALC!$F$1))&gt;0,N(INDEX(BASELINE!$A1667:$ZZ1667,CALC!$F$1)),N(BASELINE!E1667)),N(BASELINE!E1667)))=INT(SIMOPS!$D$3),IFERROR(UPPER(TRIM(BASELINE!D1667&amp;"")),"")&lt;&gt;"ENCERRADA"),1,0),0)</f>
        <v/>
      </c>
      <c r="B1667">
        <f>B1666+A1667</f>
        <v/>
      </c>
    </row>
    <row r="1668">
      <c r="A1668">
        <f>IFERROR(IF(AND(BASELINE!I1668&lt;&gt;"",INT(IF(CALC!$F$1&gt;0,IF(N(INDEX(BASELINE!$A1668:$ZZ1668,CALC!$F$1))&gt;0,N(INDEX(BASELINE!$A1668:$ZZ1668,CALC!$F$1)),N(BASELINE!E1668)),N(BASELINE!E1668)))=INT(SIMOPS!$D$3),IFERROR(UPPER(TRIM(BASELINE!D1668&amp;"")),"")&lt;&gt;"ENCERRADA"),1,0),0)</f>
        <v/>
      </c>
      <c r="B1668">
        <f>B1667+A1668</f>
        <v/>
      </c>
    </row>
    <row r="1669">
      <c r="A1669">
        <f>IFERROR(IF(AND(BASELINE!I1669&lt;&gt;"",INT(IF(CALC!$F$1&gt;0,IF(N(INDEX(BASELINE!$A1669:$ZZ1669,CALC!$F$1))&gt;0,N(INDEX(BASELINE!$A1669:$ZZ1669,CALC!$F$1)),N(BASELINE!E1669)),N(BASELINE!E1669)))=INT(SIMOPS!$D$3),IFERROR(UPPER(TRIM(BASELINE!D1669&amp;"")),"")&lt;&gt;"ENCERRADA"),1,0),0)</f>
        <v/>
      </c>
      <c r="B1669">
        <f>B1668+A1669</f>
        <v/>
      </c>
    </row>
    <row r="1670">
      <c r="A1670">
        <f>IFERROR(IF(AND(BASELINE!I1670&lt;&gt;"",INT(IF(CALC!$F$1&gt;0,IF(N(INDEX(BASELINE!$A1670:$ZZ1670,CALC!$F$1))&gt;0,N(INDEX(BASELINE!$A1670:$ZZ1670,CALC!$F$1)),N(BASELINE!E1670)),N(BASELINE!E1670)))=INT(SIMOPS!$D$3),IFERROR(UPPER(TRIM(BASELINE!D1670&amp;"")),"")&lt;&gt;"ENCERRADA"),1,0),0)</f>
        <v/>
      </c>
      <c r="B1670">
        <f>B1669+A1670</f>
        <v/>
      </c>
    </row>
    <row r="1671">
      <c r="A1671">
        <f>IFERROR(IF(AND(BASELINE!I1671&lt;&gt;"",INT(IF(CALC!$F$1&gt;0,IF(N(INDEX(BASELINE!$A1671:$ZZ1671,CALC!$F$1))&gt;0,N(INDEX(BASELINE!$A1671:$ZZ1671,CALC!$F$1)),N(BASELINE!E1671)),N(BASELINE!E1671)))=INT(SIMOPS!$D$3),IFERROR(UPPER(TRIM(BASELINE!D1671&amp;"")),"")&lt;&gt;"ENCERRADA"),1,0),0)</f>
        <v/>
      </c>
      <c r="B1671">
        <f>B1670+A1671</f>
        <v/>
      </c>
    </row>
    <row r="1672">
      <c r="A1672">
        <f>IFERROR(IF(AND(BASELINE!I1672&lt;&gt;"",INT(IF(CALC!$F$1&gt;0,IF(N(INDEX(BASELINE!$A1672:$ZZ1672,CALC!$F$1))&gt;0,N(INDEX(BASELINE!$A1672:$ZZ1672,CALC!$F$1)),N(BASELINE!E1672)),N(BASELINE!E1672)))=INT(SIMOPS!$D$3),IFERROR(UPPER(TRIM(BASELINE!D1672&amp;"")),"")&lt;&gt;"ENCERRADA"),1,0),0)</f>
        <v/>
      </c>
      <c r="B1672">
        <f>B1671+A1672</f>
        <v/>
      </c>
    </row>
    <row r="1673">
      <c r="A1673">
        <f>IFERROR(IF(AND(BASELINE!I1673&lt;&gt;"",INT(IF(CALC!$F$1&gt;0,IF(N(INDEX(BASELINE!$A1673:$ZZ1673,CALC!$F$1))&gt;0,N(INDEX(BASELINE!$A1673:$ZZ1673,CALC!$F$1)),N(BASELINE!E1673)),N(BASELINE!E1673)))=INT(SIMOPS!$D$3),IFERROR(UPPER(TRIM(BASELINE!D1673&amp;"")),"")&lt;&gt;"ENCERRADA"),1,0),0)</f>
        <v/>
      </c>
      <c r="B1673">
        <f>B1672+A1673</f>
        <v/>
      </c>
    </row>
    <row r="1674">
      <c r="A1674">
        <f>IFERROR(IF(AND(BASELINE!I1674&lt;&gt;"",INT(IF(CALC!$F$1&gt;0,IF(N(INDEX(BASELINE!$A1674:$ZZ1674,CALC!$F$1))&gt;0,N(INDEX(BASELINE!$A1674:$ZZ1674,CALC!$F$1)),N(BASELINE!E1674)),N(BASELINE!E1674)))=INT(SIMOPS!$D$3),IFERROR(UPPER(TRIM(BASELINE!D1674&amp;"")),"")&lt;&gt;"ENCERRADA"),1,0),0)</f>
        <v/>
      </c>
      <c r="B1674">
        <f>B1673+A1674</f>
        <v/>
      </c>
    </row>
    <row r="1675">
      <c r="A1675">
        <f>IFERROR(IF(AND(BASELINE!I1675&lt;&gt;"",INT(IF(CALC!$F$1&gt;0,IF(N(INDEX(BASELINE!$A1675:$ZZ1675,CALC!$F$1))&gt;0,N(INDEX(BASELINE!$A1675:$ZZ1675,CALC!$F$1)),N(BASELINE!E1675)),N(BASELINE!E1675)))=INT(SIMOPS!$D$3),IFERROR(UPPER(TRIM(BASELINE!D1675&amp;"")),"")&lt;&gt;"ENCERRADA"),1,0),0)</f>
        <v/>
      </c>
      <c r="B1675">
        <f>B1674+A1675</f>
        <v/>
      </c>
    </row>
    <row r="1676">
      <c r="A1676">
        <f>IFERROR(IF(AND(BASELINE!I1676&lt;&gt;"",INT(IF(CALC!$F$1&gt;0,IF(N(INDEX(BASELINE!$A1676:$ZZ1676,CALC!$F$1))&gt;0,N(INDEX(BASELINE!$A1676:$ZZ1676,CALC!$F$1)),N(BASELINE!E1676)),N(BASELINE!E1676)))=INT(SIMOPS!$D$3),IFERROR(UPPER(TRIM(BASELINE!D1676&amp;"")),"")&lt;&gt;"ENCERRADA"),1,0),0)</f>
        <v/>
      </c>
      <c r="B1676">
        <f>B1675+A1676</f>
        <v/>
      </c>
    </row>
    <row r="1677">
      <c r="A1677">
        <f>IFERROR(IF(AND(BASELINE!I1677&lt;&gt;"",INT(IF(CALC!$F$1&gt;0,IF(N(INDEX(BASELINE!$A1677:$ZZ1677,CALC!$F$1))&gt;0,N(INDEX(BASELINE!$A1677:$ZZ1677,CALC!$F$1)),N(BASELINE!E1677)),N(BASELINE!E1677)))=INT(SIMOPS!$D$3),IFERROR(UPPER(TRIM(BASELINE!D1677&amp;"")),"")&lt;&gt;"ENCERRADA"),1,0),0)</f>
        <v/>
      </c>
      <c r="B1677">
        <f>B1676+A1677</f>
        <v/>
      </c>
    </row>
    <row r="1678">
      <c r="A1678">
        <f>IFERROR(IF(AND(BASELINE!I1678&lt;&gt;"",INT(IF(CALC!$F$1&gt;0,IF(N(INDEX(BASELINE!$A1678:$ZZ1678,CALC!$F$1))&gt;0,N(INDEX(BASELINE!$A1678:$ZZ1678,CALC!$F$1)),N(BASELINE!E1678)),N(BASELINE!E1678)))=INT(SIMOPS!$D$3),IFERROR(UPPER(TRIM(BASELINE!D1678&amp;"")),"")&lt;&gt;"ENCERRADA"),1,0),0)</f>
        <v/>
      </c>
      <c r="B1678">
        <f>B1677+A1678</f>
        <v/>
      </c>
    </row>
    <row r="1679">
      <c r="A1679">
        <f>IFERROR(IF(AND(BASELINE!I1679&lt;&gt;"",INT(IF(CALC!$F$1&gt;0,IF(N(INDEX(BASELINE!$A1679:$ZZ1679,CALC!$F$1))&gt;0,N(INDEX(BASELINE!$A1679:$ZZ1679,CALC!$F$1)),N(BASELINE!E1679)),N(BASELINE!E1679)))=INT(SIMOPS!$D$3),IFERROR(UPPER(TRIM(BASELINE!D1679&amp;"")),"")&lt;&gt;"ENCERRADA"),1,0),0)</f>
        <v/>
      </c>
      <c r="B1679">
        <f>B1678+A1679</f>
        <v/>
      </c>
    </row>
    <row r="1680">
      <c r="A1680">
        <f>IFERROR(IF(AND(BASELINE!I1680&lt;&gt;"",INT(IF(CALC!$F$1&gt;0,IF(N(INDEX(BASELINE!$A1680:$ZZ1680,CALC!$F$1))&gt;0,N(INDEX(BASELINE!$A1680:$ZZ1680,CALC!$F$1)),N(BASELINE!E1680)),N(BASELINE!E1680)))=INT(SIMOPS!$D$3),IFERROR(UPPER(TRIM(BASELINE!D1680&amp;"")),"")&lt;&gt;"ENCERRADA"),1,0),0)</f>
        <v/>
      </c>
      <c r="B1680">
        <f>B1679+A1680</f>
        <v/>
      </c>
    </row>
    <row r="1681">
      <c r="A1681">
        <f>IFERROR(IF(AND(BASELINE!I1681&lt;&gt;"",INT(IF(CALC!$F$1&gt;0,IF(N(INDEX(BASELINE!$A1681:$ZZ1681,CALC!$F$1))&gt;0,N(INDEX(BASELINE!$A1681:$ZZ1681,CALC!$F$1)),N(BASELINE!E1681)),N(BASELINE!E1681)))=INT(SIMOPS!$D$3),IFERROR(UPPER(TRIM(BASELINE!D1681&amp;"")),"")&lt;&gt;"ENCERRADA"),1,0),0)</f>
        <v/>
      </c>
      <c r="B1681">
        <f>B1680+A1681</f>
        <v/>
      </c>
    </row>
    <row r="1682">
      <c r="A1682">
        <f>IFERROR(IF(AND(BASELINE!I1682&lt;&gt;"",INT(IF(CALC!$F$1&gt;0,IF(N(INDEX(BASELINE!$A1682:$ZZ1682,CALC!$F$1))&gt;0,N(INDEX(BASELINE!$A1682:$ZZ1682,CALC!$F$1)),N(BASELINE!E1682)),N(BASELINE!E1682)))=INT(SIMOPS!$D$3),IFERROR(UPPER(TRIM(BASELINE!D1682&amp;"")),"")&lt;&gt;"ENCERRADA"),1,0),0)</f>
        <v/>
      </c>
      <c r="B1682">
        <f>B1681+A1682</f>
        <v/>
      </c>
    </row>
    <row r="1683">
      <c r="A1683">
        <f>IFERROR(IF(AND(BASELINE!I1683&lt;&gt;"",INT(IF(CALC!$F$1&gt;0,IF(N(INDEX(BASELINE!$A1683:$ZZ1683,CALC!$F$1))&gt;0,N(INDEX(BASELINE!$A1683:$ZZ1683,CALC!$F$1)),N(BASELINE!E1683)),N(BASELINE!E1683)))=INT(SIMOPS!$D$3),IFERROR(UPPER(TRIM(BASELINE!D1683&amp;"")),"")&lt;&gt;"ENCERRADA"),1,0),0)</f>
        <v/>
      </c>
      <c r="B1683">
        <f>B1682+A1683</f>
        <v/>
      </c>
    </row>
    <row r="1684">
      <c r="A1684">
        <f>IFERROR(IF(AND(BASELINE!I1684&lt;&gt;"",INT(IF(CALC!$F$1&gt;0,IF(N(INDEX(BASELINE!$A1684:$ZZ1684,CALC!$F$1))&gt;0,N(INDEX(BASELINE!$A1684:$ZZ1684,CALC!$F$1)),N(BASELINE!E1684)),N(BASELINE!E1684)))=INT(SIMOPS!$D$3),IFERROR(UPPER(TRIM(BASELINE!D1684&amp;"")),"")&lt;&gt;"ENCERRADA"),1,0),0)</f>
        <v/>
      </c>
      <c r="B1684">
        <f>B1683+A1684</f>
        <v/>
      </c>
    </row>
    <row r="1685">
      <c r="A1685">
        <f>IFERROR(IF(AND(BASELINE!I1685&lt;&gt;"",INT(IF(CALC!$F$1&gt;0,IF(N(INDEX(BASELINE!$A1685:$ZZ1685,CALC!$F$1))&gt;0,N(INDEX(BASELINE!$A1685:$ZZ1685,CALC!$F$1)),N(BASELINE!E1685)),N(BASELINE!E1685)))=INT(SIMOPS!$D$3),IFERROR(UPPER(TRIM(BASELINE!D1685&amp;"")),"")&lt;&gt;"ENCERRADA"),1,0),0)</f>
        <v/>
      </c>
      <c r="B1685">
        <f>B1684+A1685</f>
        <v/>
      </c>
    </row>
    <row r="1686">
      <c r="A1686">
        <f>IFERROR(IF(AND(BASELINE!I1686&lt;&gt;"",INT(IF(CALC!$F$1&gt;0,IF(N(INDEX(BASELINE!$A1686:$ZZ1686,CALC!$F$1))&gt;0,N(INDEX(BASELINE!$A1686:$ZZ1686,CALC!$F$1)),N(BASELINE!E1686)),N(BASELINE!E1686)))=INT(SIMOPS!$D$3),IFERROR(UPPER(TRIM(BASELINE!D1686&amp;"")),"")&lt;&gt;"ENCERRADA"),1,0),0)</f>
        <v/>
      </c>
      <c r="B1686">
        <f>B1685+A1686</f>
        <v/>
      </c>
    </row>
    <row r="1687">
      <c r="A1687">
        <f>IFERROR(IF(AND(BASELINE!I1687&lt;&gt;"",INT(IF(CALC!$F$1&gt;0,IF(N(INDEX(BASELINE!$A1687:$ZZ1687,CALC!$F$1))&gt;0,N(INDEX(BASELINE!$A1687:$ZZ1687,CALC!$F$1)),N(BASELINE!E1687)),N(BASELINE!E1687)))=INT(SIMOPS!$D$3),IFERROR(UPPER(TRIM(BASELINE!D1687&amp;"")),"")&lt;&gt;"ENCERRADA"),1,0),0)</f>
        <v/>
      </c>
      <c r="B1687">
        <f>B1686+A1687</f>
        <v/>
      </c>
    </row>
    <row r="1688">
      <c r="A1688">
        <f>IFERROR(IF(AND(BASELINE!I1688&lt;&gt;"",INT(IF(CALC!$F$1&gt;0,IF(N(INDEX(BASELINE!$A1688:$ZZ1688,CALC!$F$1))&gt;0,N(INDEX(BASELINE!$A1688:$ZZ1688,CALC!$F$1)),N(BASELINE!E1688)),N(BASELINE!E1688)))=INT(SIMOPS!$D$3),IFERROR(UPPER(TRIM(BASELINE!D1688&amp;"")),"")&lt;&gt;"ENCERRADA"),1,0),0)</f>
        <v/>
      </c>
      <c r="B1688">
        <f>B1687+A1688</f>
        <v/>
      </c>
    </row>
    <row r="1689">
      <c r="A1689">
        <f>IFERROR(IF(AND(BASELINE!I1689&lt;&gt;"",INT(IF(CALC!$F$1&gt;0,IF(N(INDEX(BASELINE!$A1689:$ZZ1689,CALC!$F$1))&gt;0,N(INDEX(BASELINE!$A1689:$ZZ1689,CALC!$F$1)),N(BASELINE!E1689)),N(BASELINE!E1689)))=INT(SIMOPS!$D$3),IFERROR(UPPER(TRIM(BASELINE!D1689&amp;"")),"")&lt;&gt;"ENCERRADA"),1,0),0)</f>
        <v/>
      </c>
      <c r="B1689">
        <f>B1688+A1689</f>
        <v/>
      </c>
    </row>
    <row r="1690">
      <c r="A1690">
        <f>IFERROR(IF(AND(BASELINE!I1690&lt;&gt;"",INT(IF(CALC!$F$1&gt;0,IF(N(INDEX(BASELINE!$A1690:$ZZ1690,CALC!$F$1))&gt;0,N(INDEX(BASELINE!$A1690:$ZZ1690,CALC!$F$1)),N(BASELINE!E1690)),N(BASELINE!E1690)))=INT(SIMOPS!$D$3),IFERROR(UPPER(TRIM(BASELINE!D1690&amp;"")),"")&lt;&gt;"ENCERRADA"),1,0),0)</f>
        <v/>
      </c>
      <c r="B1690">
        <f>B1689+A1690</f>
        <v/>
      </c>
    </row>
    <row r="1691">
      <c r="A1691">
        <f>IFERROR(IF(AND(BASELINE!I1691&lt;&gt;"",INT(IF(CALC!$F$1&gt;0,IF(N(INDEX(BASELINE!$A1691:$ZZ1691,CALC!$F$1))&gt;0,N(INDEX(BASELINE!$A1691:$ZZ1691,CALC!$F$1)),N(BASELINE!E1691)),N(BASELINE!E1691)))=INT(SIMOPS!$D$3),IFERROR(UPPER(TRIM(BASELINE!D1691&amp;"")),"")&lt;&gt;"ENCERRADA"),1,0),0)</f>
        <v/>
      </c>
      <c r="B1691">
        <f>B1690+A1691</f>
        <v/>
      </c>
    </row>
    <row r="1692">
      <c r="A1692">
        <f>IFERROR(IF(AND(BASELINE!I1692&lt;&gt;"",INT(IF(CALC!$F$1&gt;0,IF(N(INDEX(BASELINE!$A1692:$ZZ1692,CALC!$F$1))&gt;0,N(INDEX(BASELINE!$A1692:$ZZ1692,CALC!$F$1)),N(BASELINE!E1692)),N(BASELINE!E1692)))=INT(SIMOPS!$D$3),IFERROR(UPPER(TRIM(BASELINE!D1692&amp;"")),"")&lt;&gt;"ENCERRADA"),1,0),0)</f>
        <v/>
      </c>
      <c r="B1692">
        <f>B1691+A1692</f>
        <v/>
      </c>
    </row>
    <row r="1693">
      <c r="A1693">
        <f>IFERROR(IF(AND(BASELINE!I1693&lt;&gt;"",INT(IF(CALC!$F$1&gt;0,IF(N(INDEX(BASELINE!$A1693:$ZZ1693,CALC!$F$1))&gt;0,N(INDEX(BASELINE!$A1693:$ZZ1693,CALC!$F$1)),N(BASELINE!E1693)),N(BASELINE!E1693)))=INT(SIMOPS!$D$3),IFERROR(UPPER(TRIM(BASELINE!D1693&amp;"")),"")&lt;&gt;"ENCERRADA"),1,0),0)</f>
        <v/>
      </c>
      <c r="B1693">
        <f>B1692+A1693</f>
        <v/>
      </c>
    </row>
    <row r="1694">
      <c r="A1694">
        <f>IFERROR(IF(AND(BASELINE!I1694&lt;&gt;"",INT(IF(CALC!$F$1&gt;0,IF(N(INDEX(BASELINE!$A1694:$ZZ1694,CALC!$F$1))&gt;0,N(INDEX(BASELINE!$A1694:$ZZ1694,CALC!$F$1)),N(BASELINE!E1694)),N(BASELINE!E1694)))=INT(SIMOPS!$D$3),IFERROR(UPPER(TRIM(BASELINE!D1694&amp;"")),"")&lt;&gt;"ENCERRADA"),1,0),0)</f>
        <v/>
      </c>
      <c r="B1694">
        <f>B1693+A1694</f>
        <v/>
      </c>
    </row>
    <row r="1695">
      <c r="A1695">
        <f>IFERROR(IF(AND(BASELINE!I1695&lt;&gt;"",INT(IF(CALC!$F$1&gt;0,IF(N(INDEX(BASELINE!$A1695:$ZZ1695,CALC!$F$1))&gt;0,N(INDEX(BASELINE!$A1695:$ZZ1695,CALC!$F$1)),N(BASELINE!E1695)),N(BASELINE!E1695)))=INT(SIMOPS!$D$3),IFERROR(UPPER(TRIM(BASELINE!D1695&amp;"")),"")&lt;&gt;"ENCERRADA"),1,0),0)</f>
        <v/>
      </c>
      <c r="B1695">
        <f>B1694+A1695</f>
        <v/>
      </c>
    </row>
    <row r="1696">
      <c r="A1696">
        <f>IFERROR(IF(AND(BASELINE!I1696&lt;&gt;"",INT(IF(CALC!$F$1&gt;0,IF(N(INDEX(BASELINE!$A1696:$ZZ1696,CALC!$F$1))&gt;0,N(INDEX(BASELINE!$A1696:$ZZ1696,CALC!$F$1)),N(BASELINE!E1696)),N(BASELINE!E1696)))=INT(SIMOPS!$D$3),IFERROR(UPPER(TRIM(BASELINE!D1696&amp;"")),"")&lt;&gt;"ENCERRADA"),1,0),0)</f>
        <v/>
      </c>
      <c r="B1696">
        <f>B1695+A1696</f>
        <v/>
      </c>
    </row>
    <row r="1697">
      <c r="A1697">
        <f>IFERROR(IF(AND(BASELINE!I1697&lt;&gt;"",INT(IF(CALC!$F$1&gt;0,IF(N(INDEX(BASELINE!$A1697:$ZZ1697,CALC!$F$1))&gt;0,N(INDEX(BASELINE!$A1697:$ZZ1697,CALC!$F$1)),N(BASELINE!E1697)),N(BASELINE!E1697)))=INT(SIMOPS!$D$3),IFERROR(UPPER(TRIM(BASELINE!D1697&amp;"")),"")&lt;&gt;"ENCERRADA"),1,0),0)</f>
        <v/>
      </c>
      <c r="B1697">
        <f>B1696+A1697</f>
        <v/>
      </c>
    </row>
    <row r="1698">
      <c r="A1698">
        <f>IFERROR(IF(AND(BASELINE!I1698&lt;&gt;"",INT(IF(CALC!$F$1&gt;0,IF(N(INDEX(BASELINE!$A1698:$ZZ1698,CALC!$F$1))&gt;0,N(INDEX(BASELINE!$A1698:$ZZ1698,CALC!$F$1)),N(BASELINE!E1698)),N(BASELINE!E1698)))=INT(SIMOPS!$D$3),IFERROR(UPPER(TRIM(BASELINE!D1698&amp;"")),"")&lt;&gt;"ENCERRADA"),1,0),0)</f>
        <v/>
      </c>
      <c r="B1698">
        <f>B1697+A1698</f>
        <v/>
      </c>
    </row>
    <row r="1699">
      <c r="A1699">
        <f>IFERROR(IF(AND(BASELINE!I1699&lt;&gt;"",INT(IF(CALC!$F$1&gt;0,IF(N(INDEX(BASELINE!$A1699:$ZZ1699,CALC!$F$1))&gt;0,N(INDEX(BASELINE!$A1699:$ZZ1699,CALC!$F$1)),N(BASELINE!E1699)),N(BASELINE!E1699)))=INT(SIMOPS!$D$3),IFERROR(UPPER(TRIM(BASELINE!D1699&amp;"")),"")&lt;&gt;"ENCERRADA"),1,0),0)</f>
        <v/>
      </c>
      <c r="B1699">
        <f>B1698+A1699</f>
        <v/>
      </c>
    </row>
    <row r="1700">
      <c r="A1700">
        <f>IFERROR(IF(AND(BASELINE!I1700&lt;&gt;"",INT(IF(CALC!$F$1&gt;0,IF(N(INDEX(BASELINE!$A1700:$ZZ1700,CALC!$F$1))&gt;0,N(INDEX(BASELINE!$A1700:$ZZ1700,CALC!$F$1)),N(BASELINE!E1700)),N(BASELINE!E1700)))=INT(SIMOPS!$D$3),IFERROR(UPPER(TRIM(BASELINE!D1700&amp;"")),"")&lt;&gt;"ENCERRADA"),1,0),0)</f>
        <v/>
      </c>
      <c r="B1700">
        <f>B1699+A1700</f>
        <v/>
      </c>
    </row>
    <row r="1701">
      <c r="A1701">
        <f>IFERROR(IF(AND(BASELINE!I1701&lt;&gt;"",INT(IF(CALC!$F$1&gt;0,IF(N(INDEX(BASELINE!$A1701:$ZZ1701,CALC!$F$1))&gt;0,N(INDEX(BASELINE!$A1701:$ZZ1701,CALC!$F$1)),N(BASELINE!E1701)),N(BASELINE!E1701)))=INT(SIMOPS!$D$3),IFERROR(UPPER(TRIM(BASELINE!D1701&amp;"")),"")&lt;&gt;"ENCERRADA"),1,0),0)</f>
        <v/>
      </c>
      <c r="B1701">
        <f>B1700+A1701</f>
        <v/>
      </c>
    </row>
    <row r="1702">
      <c r="A1702">
        <f>IFERROR(IF(AND(BASELINE!I1702&lt;&gt;"",INT(IF(CALC!$F$1&gt;0,IF(N(INDEX(BASELINE!$A1702:$ZZ1702,CALC!$F$1))&gt;0,N(INDEX(BASELINE!$A1702:$ZZ1702,CALC!$F$1)),N(BASELINE!E1702)),N(BASELINE!E1702)))=INT(SIMOPS!$D$3),IFERROR(UPPER(TRIM(BASELINE!D1702&amp;"")),"")&lt;&gt;"ENCERRADA"),1,0),0)</f>
        <v/>
      </c>
      <c r="B1702">
        <f>B1701+A1702</f>
        <v/>
      </c>
    </row>
    <row r="1703">
      <c r="A1703">
        <f>IFERROR(IF(AND(BASELINE!I1703&lt;&gt;"",INT(IF(CALC!$F$1&gt;0,IF(N(INDEX(BASELINE!$A1703:$ZZ1703,CALC!$F$1))&gt;0,N(INDEX(BASELINE!$A1703:$ZZ1703,CALC!$F$1)),N(BASELINE!E1703)),N(BASELINE!E1703)))=INT(SIMOPS!$D$3),IFERROR(UPPER(TRIM(BASELINE!D1703&amp;"")),"")&lt;&gt;"ENCERRADA"),1,0),0)</f>
        <v/>
      </c>
      <c r="B1703">
        <f>B1702+A1703</f>
        <v/>
      </c>
    </row>
    <row r="1704">
      <c r="A1704">
        <f>IFERROR(IF(AND(BASELINE!I1704&lt;&gt;"",INT(IF(CALC!$F$1&gt;0,IF(N(INDEX(BASELINE!$A1704:$ZZ1704,CALC!$F$1))&gt;0,N(INDEX(BASELINE!$A1704:$ZZ1704,CALC!$F$1)),N(BASELINE!E1704)),N(BASELINE!E1704)))=INT(SIMOPS!$D$3),IFERROR(UPPER(TRIM(BASELINE!D1704&amp;"")),"")&lt;&gt;"ENCERRADA"),1,0),0)</f>
        <v/>
      </c>
      <c r="B1704">
        <f>B1703+A1704</f>
        <v/>
      </c>
    </row>
    <row r="1705">
      <c r="A1705">
        <f>IFERROR(IF(AND(BASELINE!I1705&lt;&gt;"",INT(IF(CALC!$F$1&gt;0,IF(N(INDEX(BASELINE!$A1705:$ZZ1705,CALC!$F$1))&gt;0,N(INDEX(BASELINE!$A1705:$ZZ1705,CALC!$F$1)),N(BASELINE!E1705)),N(BASELINE!E1705)))=INT(SIMOPS!$D$3),IFERROR(UPPER(TRIM(BASELINE!D1705&amp;"")),"")&lt;&gt;"ENCERRADA"),1,0),0)</f>
        <v/>
      </c>
      <c r="B1705">
        <f>B1704+A1705</f>
        <v/>
      </c>
    </row>
    <row r="1706">
      <c r="A1706">
        <f>IFERROR(IF(AND(BASELINE!I1706&lt;&gt;"",INT(IF(CALC!$F$1&gt;0,IF(N(INDEX(BASELINE!$A1706:$ZZ1706,CALC!$F$1))&gt;0,N(INDEX(BASELINE!$A1706:$ZZ1706,CALC!$F$1)),N(BASELINE!E1706)),N(BASELINE!E1706)))=INT(SIMOPS!$D$3),IFERROR(UPPER(TRIM(BASELINE!D1706&amp;"")),"")&lt;&gt;"ENCERRADA"),1,0),0)</f>
        <v/>
      </c>
      <c r="B1706">
        <f>B1705+A1706</f>
        <v/>
      </c>
    </row>
    <row r="1707">
      <c r="A1707">
        <f>IFERROR(IF(AND(BASELINE!I1707&lt;&gt;"",INT(IF(CALC!$F$1&gt;0,IF(N(INDEX(BASELINE!$A1707:$ZZ1707,CALC!$F$1))&gt;0,N(INDEX(BASELINE!$A1707:$ZZ1707,CALC!$F$1)),N(BASELINE!E1707)),N(BASELINE!E1707)))=INT(SIMOPS!$D$3),IFERROR(UPPER(TRIM(BASELINE!D1707&amp;"")),"")&lt;&gt;"ENCERRADA"),1,0),0)</f>
        <v/>
      </c>
      <c r="B1707">
        <f>B1706+A1707</f>
        <v/>
      </c>
    </row>
    <row r="1708">
      <c r="A1708">
        <f>IFERROR(IF(AND(BASELINE!I1708&lt;&gt;"",INT(IF(CALC!$F$1&gt;0,IF(N(INDEX(BASELINE!$A1708:$ZZ1708,CALC!$F$1))&gt;0,N(INDEX(BASELINE!$A1708:$ZZ1708,CALC!$F$1)),N(BASELINE!E1708)),N(BASELINE!E1708)))=INT(SIMOPS!$D$3),IFERROR(UPPER(TRIM(BASELINE!D1708&amp;"")),"")&lt;&gt;"ENCERRADA"),1,0),0)</f>
        <v/>
      </c>
      <c r="B1708">
        <f>B1707+A1708</f>
        <v/>
      </c>
    </row>
    <row r="1709">
      <c r="A1709">
        <f>IFERROR(IF(AND(BASELINE!I1709&lt;&gt;"",INT(IF(CALC!$F$1&gt;0,IF(N(INDEX(BASELINE!$A1709:$ZZ1709,CALC!$F$1))&gt;0,N(INDEX(BASELINE!$A1709:$ZZ1709,CALC!$F$1)),N(BASELINE!E1709)),N(BASELINE!E1709)))=INT(SIMOPS!$D$3),IFERROR(UPPER(TRIM(BASELINE!D1709&amp;"")),"")&lt;&gt;"ENCERRADA"),1,0),0)</f>
        <v/>
      </c>
      <c r="B1709">
        <f>B1708+A1709</f>
        <v/>
      </c>
    </row>
    <row r="1710">
      <c r="A1710">
        <f>IFERROR(IF(AND(BASELINE!I1710&lt;&gt;"",INT(IF(CALC!$F$1&gt;0,IF(N(INDEX(BASELINE!$A1710:$ZZ1710,CALC!$F$1))&gt;0,N(INDEX(BASELINE!$A1710:$ZZ1710,CALC!$F$1)),N(BASELINE!E1710)),N(BASELINE!E1710)))=INT(SIMOPS!$D$3),IFERROR(UPPER(TRIM(BASELINE!D1710&amp;"")),"")&lt;&gt;"ENCERRADA"),1,0),0)</f>
        <v/>
      </c>
      <c r="B1710">
        <f>B1709+A1710</f>
        <v/>
      </c>
    </row>
    <row r="1711">
      <c r="A1711">
        <f>IFERROR(IF(AND(BASELINE!I1711&lt;&gt;"",INT(IF(CALC!$F$1&gt;0,IF(N(INDEX(BASELINE!$A1711:$ZZ1711,CALC!$F$1))&gt;0,N(INDEX(BASELINE!$A1711:$ZZ1711,CALC!$F$1)),N(BASELINE!E1711)),N(BASELINE!E1711)))=INT(SIMOPS!$D$3),IFERROR(UPPER(TRIM(BASELINE!D1711&amp;"")),"")&lt;&gt;"ENCERRADA"),1,0),0)</f>
        <v/>
      </c>
      <c r="B1711">
        <f>B1710+A1711</f>
        <v/>
      </c>
    </row>
    <row r="1712">
      <c r="A1712">
        <f>IFERROR(IF(AND(BASELINE!I1712&lt;&gt;"",INT(IF(CALC!$F$1&gt;0,IF(N(INDEX(BASELINE!$A1712:$ZZ1712,CALC!$F$1))&gt;0,N(INDEX(BASELINE!$A1712:$ZZ1712,CALC!$F$1)),N(BASELINE!E1712)),N(BASELINE!E1712)))=INT(SIMOPS!$D$3),IFERROR(UPPER(TRIM(BASELINE!D1712&amp;"")),"")&lt;&gt;"ENCERRADA"),1,0),0)</f>
        <v/>
      </c>
      <c r="B1712">
        <f>B1711+A1712</f>
        <v/>
      </c>
    </row>
    <row r="1713">
      <c r="A1713">
        <f>IFERROR(IF(AND(BASELINE!I1713&lt;&gt;"",INT(IF(CALC!$F$1&gt;0,IF(N(INDEX(BASELINE!$A1713:$ZZ1713,CALC!$F$1))&gt;0,N(INDEX(BASELINE!$A1713:$ZZ1713,CALC!$F$1)),N(BASELINE!E1713)),N(BASELINE!E1713)))=INT(SIMOPS!$D$3),IFERROR(UPPER(TRIM(BASELINE!D1713&amp;"")),"")&lt;&gt;"ENCERRADA"),1,0),0)</f>
        <v/>
      </c>
      <c r="B1713">
        <f>B1712+A1713</f>
        <v/>
      </c>
    </row>
    <row r="1714">
      <c r="A1714">
        <f>IFERROR(IF(AND(BASELINE!I1714&lt;&gt;"",INT(IF(CALC!$F$1&gt;0,IF(N(INDEX(BASELINE!$A1714:$ZZ1714,CALC!$F$1))&gt;0,N(INDEX(BASELINE!$A1714:$ZZ1714,CALC!$F$1)),N(BASELINE!E1714)),N(BASELINE!E1714)))=INT(SIMOPS!$D$3),IFERROR(UPPER(TRIM(BASELINE!D1714&amp;"")),"")&lt;&gt;"ENCERRADA"),1,0),0)</f>
        <v/>
      </c>
      <c r="B1714">
        <f>B1713+A1714</f>
        <v/>
      </c>
    </row>
    <row r="1715">
      <c r="A1715">
        <f>IFERROR(IF(AND(BASELINE!I1715&lt;&gt;"",INT(IF(CALC!$F$1&gt;0,IF(N(INDEX(BASELINE!$A1715:$ZZ1715,CALC!$F$1))&gt;0,N(INDEX(BASELINE!$A1715:$ZZ1715,CALC!$F$1)),N(BASELINE!E1715)),N(BASELINE!E1715)))=INT(SIMOPS!$D$3),IFERROR(UPPER(TRIM(BASELINE!D1715&amp;"")),"")&lt;&gt;"ENCERRADA"),1,0),0)</f>
        <v/>
      </c>
      <c r="B1715">
        <f>B1714+A1715</f>
        <v/>
      </c>
    </row>
    <row r="1716">
      <c r="A1716">
        <f>IFERROR(IF(AND(BASELINE!I1716&lt;&gt;"",INT(IF(CALC!$F$1&gt;0,IF(N(INDEX(BASELINE!$A1716:$ZZ1716,CALC!$F$1))&gt;0,N(INDEX(BASELINE!$A1716:$ZZ1716,CALC!$F$1)),N(BASELINE!E1716)),N(BASELINE!E1716)))=INT(SIMOPS!$D$3),IFERROR(UPPER(TRIM(BASELINE!D1716&amp;"")),"")&lt;&gt;"ENCERRADA"),1,0),0)</f>
        <v/>
      </c>
      <c r="B1716">
        <f>B1715+A1716</f>
        <v/>
      </c>
    </row>
    <row r="1717">
      <c r="A1717">
        <f>IFERROR(IF(AND(BASELINE!I1717&lt;&gt;"",INT(IF(CALC!$F$1&gt;0,IF(N(INDEX(BASELINE!$A1717:$ZZ1717,CALC!$F$1))&gt;0,N(INDEX(BASELINE!$A1717:$ZZ1717,CALC!$F$1)),N(BASELINE!E1717)),N(BASELINE!E1717)))=INT(SIMOPS!$D$3),IFERROR(UPPER(TRIM(BASELINE!D1717&amp;"")),"")&lt;&gt;"ENCERRADA"),1,0),0)</f>
        <v/>
      </c>
      <c r="B1717">
        <f>B1716+A1717</f>
        <v/>
      </c>
    </row>
    <row r="1718">
      <c r="A1718">
        <f>IFERROR(IF(AND(BASELINE!I1718&lt;&gt;"",INT(IF(CALC!$F$1&gt;0,IF(N(INDEX(BASELINE!$A1718:$ZZ1718,CALC!$F$1))&gt;0,N(INDEX(BASELINE!$A1718:$ZZ1718,CALC!$F$1)),N(BASELINE!E1718)),N(BASELINE!E1718)))=INT(SIMOPS!$D$3),IFERROR(UPPER(TRIM(BASELINE!D1718&amp;"")),"")&lt;&gt;"ENCERRADA"),1,0),0)</f>
        <v/>
      </c>
      <c r="B1718">
        <f>B1717+A1718</f>
        <v/>
      </c>
    </row>
    <row r="1719">
      <c r="A1719">
        <f>IFERROR(IF(AND(BASELINE!I1719&lt;&gt;"",INT(IF(CALC!$F$1&gt;0,IF(N(INDEX(BASELINE!$A1719:$ZZ1719,CALC!$F$1))&gt;0,N(INDEX(BASELINE!$A1719:$ZZ1719,CALC!$F$1)),N(BASELINE!E1719)),N(BASELINE!E1719)))=INT(SIMOPS!$D$3),IFERROR(UPPER(TRIM(BASELINE!D1719&amp;"")),"")&lt;&gt;"ENCERRADA"),1,0),0)</f>
        <v/>
      </c>
      <c r="B1719">
        <f>B1718+A1719</f>
        <v/>
      </c>
    </row>
    <row r="1720">
      <c r="A1720">
        <f>IFERROR(IF(AND(BASELINE!I1720&lt;&gt;"",INT(IF(CALC!$F$1&gt;0,IF(N(INDEX(BASELINE!$A1720:$ZZ1720,CALC!$F$1))&gt;0,N(INDEX(BASELINE!$A1720:$ZZ1720,CALC!$F$1)),N(BASELINE!E1720)),N(BASELINE!E1720)))=INT(SIMOPS!$D$3),IFERROR(UPPER(TRIM(BASELINE!D1720&amp;"")),"")&lt;&gt;"ENCERRADA"),1,0),0)</f>
        <v/>
      </c>
      <c r="B1720">
        <f>B1719+A1720</f>
        <v/>
      </c>
    </row>
    <row r="1721">
      <c r="A1721">
        <f>IFERROR(IF(AND(BASELINE!I1721&lt;&gt;"",INT(IF(CALC!$F$1&gt;0,IF(N(INDEX(BASELINE!$A1721:$ZZ1721,CALC!$F$1))&gt;0,N(INDEX(BASELINE!$A1721:$ZZ1721,CALC!$F$1)),N(BASELINE!E1721)),N(BASELINE!E1721)))=INT(SIMOPS!$D$3),IFERROR(UPPER(TRIM(BASELINE!D1721&amp;"")),"")&lt;&gt;"ENCERRADA"),1,0),0)</f>
        <v/>
      </c>
      <c r="B1721">
        <f>B1720+A1721</f>
        <v/>
      </c>
    </row>
    <row r="1722">
      <c r="A1722">
        <f>IFERROR(IF(AND(BASELINE!I1722&lt;&gt;"",INT(IF(CALC!$F$1&gt;0,IF(N(INDEX(BASELINE!$A1722:$ZZ1722,CALC!$F$1))&gt;0,N(INDEX(BASELINE!$A1722:$ZZ1722,CALC!$F$1)),N(BASELINE!E1722)),N(BASELINE!E1722)))=INT(SIMOPS!$D$3),IFERROR(UPPER(TRIM(BASELINE!D1722&amp;"")),"")&lt;&gt;"ENCERRADA"),1,0),0)</f>
        <v/>
      </c>
      <c r="B1722">
        <f>B1721+A1722</f>
        <v/>
      </c>
    </row>
    <row r="1723">
      <c r="A1723">
        <f>IFERROR(IF(AND(BASELINE!I1723&lt;&gt;"",INT(IF(CALC!$F$1&gt;0,IF(N(INDEX(BASELINE!$A1723:$ZZ1723,CALC!$F$1))&gt;0,N(INDEX(BASELINE!$A1723:$ZZ1723,CALC!$F$1)),N(BASELINE!E1723)),N(BASELINE!E1723)))=INT(SIMOPS!$D$3),IFERROR(UPPER(TRIM(BASELINE!D1723&amp;"")),"")&lt;&gt;"ENCERRADA"),1,0),0)</f>
        <v/>
      </c>
      <c r="B1723">
        <f>B1722+A1723</f>
        <v/>
      </c>
    </row>
    <row r="1724">
      <c r="A1724">
        <f>IFERROR(IF(AND(BASELINE!I1724&lt;&gt;"",INT(IF(CALC!$F$1&gt;0,IF(N(INDEX(BASELINE!$A1724:$ZZ1724,CALC!$F$1))&gt;0,N(INDEX(BASELINE!$A1724:$ZZ1724,CALC!$F$1)),N(BASELINE!E1724)),N(BASELINE!E1724)))=INT(SIMOPS!$D$3),IFERROR(UPPER(TRIM(BASELINE!D1724&amp;"")),"")&lt;&gt;"ENCERRADA"),1,0),0)</f>
        <v/>
      </c>
      <c r="B1724">
        <f>B1723+A1724</f>
        <v/>
      </c>
    </row>
    <row r="1725">
      <c r="A1725">
        <f>IFERROR(IF(AND(BASELINE!I1725&lt;&gt;"",INT(IF(CALC!$F$1&gt;0,IF(N(INDEX(BASELINE!$A1725:$ZZ1725,CALC!$F$1))&gt;0,N(INDEX(BASELINE!$A1725:$ZZ1725,CALC!$F$1)),N(BASELINE!E1725)),N(BASELINE!E1725)))=INT(SIMOPS!$D$3),IFERROR(UPPER(TRIM(BASELINE!D1725&amp;"")),"")&lt;&gt;"ENCERRADA"),1,0),0)</f>
        <v/>
      </c>
      <c r="B1725">
        <f>B1724+A1725</f>
        <v/>
      </c>
    </row>
    <row r="1726">
      <c r="A1726">
        <f>IFERROR(IF(AND(BASELINE!I1726&lt;&gt;"",INT(IF(CALC!$F$1&gt;0,IF(N(INDEX(BASELINE!$A1726:$ZZ1726,CALC!$F$1))&gt;0,N(INDEX(BASELINE!$A1726:$ZZ1726,CALC!$F$1)),N(BASELINE!E1726)),N(BASELINE!E1726)))=INT(SIMOPS!$D$3),IFERROR(UPPER(TRIM(BASELINE!D1726&amp;"")),"")&lt;&gt;"ENCERRADA"),1,0),0)</f>
        <v/>
      </c>
      <c r="B1726">
        <f>B1725+A1726</f>
        <v/>
      </c>
    </row>
    <row r="1727">
      <c r="A1727">
        <f>IFERROR(IF(AND(BASELINE!I1727&lt;&gt;"",INT(IF(CALC!$F$1&gt;0,IF(N(INDEX(BASELINE!$A1727:$ZZ1727,CALC!$F$1))&gt;0,N(INDEX(BASELINE!$A1727:$ZZ1727,CALC!$F$1)),N(BASELINE!E1727)),N(BASELINE!E1727)))=INT(SIMOPS!$D$3),IFERROR(UPPER(TRIM(BASELINE!D1727&amp;"")),"")&lt;&gt;"ENCERRADA"),1,0),0)</f>
        <v/>
      </c>
      <c r="B1727">
        <f>B1726+A1727</f>
        <v/>
      </c>
    </row>
    <row r="1728">
      <c r="A1728">
        <f>IFERROR(IF(AND(BASELINE!I1728&lt;&gt;"",INT(IF(CALC!$F$1&gt;0,IF(N(INDEX(BASELINE!$A1728:$ZZ1728,CALC!$F$1))&gt;0,N(INDEX(BASELINE!$A1728:$ZZ1728,CALC!$F$1)),N(BASELINE!E1728)),N(BASELINE!E1728)))=INT(SIMOPS!$D$3),IFERROR(UPPER(TRIM(BASELINE!D1728&amp;"")),"")&lt;&gt;"ENCERRADA"),1,0),0)</f>
        <v/>
      </c>
      <c r="B1728">
        <f>B1727+A1728</f>
        <v/>
      </c>
    </row>
    <row r="1729">
      <c r="A1729">
        <f>IFERROR(IF(AND(BASELINE!I1729&lt;&gt;"",INT(IF(CALC!$F$1&gt;0,IF(N(INDEX(BASELINE!$A1729:$ZZ1729,CALC!$F$1))&gt;0,N(INDEX(BASELINE!$A1729:$ZZ1729,CALC!$F$1)),N(BASELINE!E1729)),N(BASELINE!E1729)))=INT(SIMOPS!$D$3),IFERROR(UPPER(TRIM(BASELINE!D1729&amp;"")),"")&lt;&gt;"ENCERRADA"),1,0),0)</f>
        <v/>
      </c>
      <c r="B1729">
        <f>B1728+A1729</f>
        <v/>
      </c>
    </row>
    <row r="1730">
      <c r="A1730">
        <f>IFERROR(IF(AND(BASELINE!I1730&lt;&gt;"",INT(IF(CALC!$F$1&gt;0,IF(N(INDEX(BASELINE!$A1730:$ZZ1730,CALC!$F$1))&gt;0,N(INDEX(BASELINE!$A1730:$ZZ1730,CALC!$F$1)),N(BASELINE!E1730)),N(BASELINE!E1730)))=INT(SIMOPS!$D$3),IFERROR(UPPER(TRIM(BASELINE!D1730&amp;"")),"")&lt;&gt;"ENCERRADA"),1,0),0)</f>
        <v/>
      </c>
      <c r="B1730">
        <f>B1729+A1730</f>
        <v/>
      </c>
    </row>
    <row r="1731">
      <c r="A1731">
        <f>IFERROR(IF(AND(BASELINE!I1731&lt;&gt;"",INT(IF(CALC!$F$1&gt;0,IF(N(INDEX(BASELINE!$A1731:$ZZ1731,CALC!$F$1))&gt;0,N(INDEX(BASELINE!$A1731:$ZZ1731,CALC!$F$1)),N(BASELINE!E1731)),N(BASELINE!E1731)))=INT(SIMOPS!$D$3),IFERROR(UPPER(TRIM(BASELINE!D1731&amp;"")),"")&lt;&gt;"ENCERRADA"),1,0),0)</f>
        <v/>
      </c>
      <c r="B1731">
        <f>B1730+A1731</f>
        <v/>
      </c>
    </row>
    <row r="1732">
      <c r="A1732">
        <f>IFERROR(IF(AND(BASELINE!I1732&lt;&gt;"",INT(IF(CALC!$F$1&gt;0,IF(N(INDEX(BASELINE!$A1732:$ZZ1732,CALC!$F$1))&gt;0,N(INDEX(BASELINE!$A1732:$ZZ1732,CALC!$F$1)),N(BASELINE!E1732)),N(BASELINE!E1732)))=INT(SIMOPS!$D$3),IFERROR(UPPER(TRIM(BASELINE!D1732&amp;"")),"")&lt;&gt;"ENCERRADA"),1,0),0)</f>
        <v/>
      </c>
      <c r="B1732">
        <f>B1731+A1732</f>
        <v/>
      </c>
    </row>
    <row r="1733">
      <c r="A1733">
        <f>IFERROR(IF(AND(BASELINE!I1733&lt;&gt;"",INT(IF(CALC!$F$1&gt;0,IF(N(INDEX(BASELINE!$A1733:$ZZ1733,CALC!$F$1))&gt;0,N(INDEX(BASELINE!$A1733:$ZZ1733,CALC!$F$1)),N(BASELINE!E1733)),N(BASELINE!E1733)))=INT(SIMOPS!$D$3),IFERROR(UPPER(TRIM(BASELINE!D1733&amp;"")),"")&lt;&gt;"ENCERRADA"),1,0),0)</f>
        <v/>
      </c>
      <c r="B1733">
        <f>B1732+A1733</f>
        <v/>
      </c>
    </row>
    <row r="1734">
      <c r="A1734">
        <f>IFERROR(IF(AND(BASELINE!I1734&lt;&gt;"",INT(IF(CALC!$F$1&gt;0,IF(N(INDEX(BASELINE!$A1734:$ZZ1734,CALC!$F$1))&gt;0,N(INDEX(BASELINE!$A1734:$ZZ1734,CALC!$F$1)),N(BASELINE!E1734)),N(BASELINE!E1734)))=INT(SIMOPS!$D$3),IFERROR(UPPER(TRIM(BASELINE!D1734&amp;"")),"")&lt;&gt;"ENCERRADA"),1,0),0)</f>
        <v/>
      </c>
      <c r="B1734">
        <f>B1733+A1734</f>
        <v/>
      </c>
    </row>
    <row r="1735">
      <c r="A1735">
        <f>IFERROR(IF(AND(BASELINE!I1735&lt;&gt;"",INT(IF(CALC!$F$1&gt;0,IF(N(INDEX(BASELINE!$A1735:$ZZ1735,CALC!$F$1))&gt;0,N(INDEX(BASELINE!$A1735:$ZZ1735,CALC!$F$1)),N(BASELINE!E1735)),N(BASELINE!E1735)))=INT(SIMOPS!$D$3),IFERROR(UPPER(TRIM(BASELINE!D1735&amp;"")),"")&lt;&gt;"ENCERRADA"),1,0),0)</f>
        <v/>
      </c>
      <c r="B1735">
        <f>B1734+A1735</f>
        <v/>
      </c>
    </row>
    <row r="1736">
      <c r="A1736">
        <f>IFERROR(IF(AND(BASELINE!I1736&lt;&gt;"",INT(IF(CALC!$F$1&gt;0,IF(N(INDEX(BASELINE!$A1736:$ZZ1736,CALC!$F$1))&gt;0,N(INDEX(BASELINE!$A1736:$ZZ1736,CALC!$F$1)),N(BASELINE!E1736)),N(BASELINE!E1736)))=INT(SIMOPS!$D$3),IFERROR(UPPER(TRIM(BASELINE!D1736&amp;"")),"")&lt;&gt;"ENCERRADA"),1,0),0)</f>
        <v/>
      </c>
      <c r="B1736">
        <f>B1735+A1736</f>
        <v/>
      </c>
    </row>
    <row r="1737">
      <c r="A1737">
        <f>IFERROR(IF(AND(BASELINE!I1737&lt;&gt;"",INT(IF(CALC!$F$1&gt;0,IF(N(INDEX(BASELINE!$A1737:$ZZ1737,CALC!$F$1))&gt;0,N(INDEX(BASELINE!$A1737:$ZZ1737,CALC!$F$1)),N(BASELINE!E1737)),N(BASELINE!E1737)))=INT(SIMOPS!$D$3),IFERROR(UPPER(TRIM(BASELINE!D1737&amp;"")),"")&lt;&gt;"ENCERRADA"),1,0),0)</f>
        <v/>
      </c>
      <c r="B1737">
        <f>B1736+A1737</f>
        <v/>
      </c>
    </row>
    <row r="1738">
      <c r="A1738">
        <f>IFERROR(IF(AND(BASELINE!I1738&lt;&gt;"",INT(IF(CALC!$F$1&gt;0,IF(N(INDEX(BASELINE!$A1738:$ZZ1738,CALC!$F$1))&gt;0,N(INDEX(BASELINE!$A1738:$ZZ1738,CALC!$F$1)),N(BASELINE!E1738)),N(BASELINE!E1738)))=INT(SIMOPS!$D$3),IFERROR(UPPER(TRIM(BASELINE!D1738&amp;"")),"")&lt;&gt;"ENCERRADA"),1,0),0)</f>
        <v/>
      </c>
      <c r="B1738">
        <f>B1737+A1738</f>
        <v/>
      </c>
    </row>
    <row r="1739">
      <c r="A1739">
        <f>IFERROR(IF(AND(BASELINE!I1739&lt;&gt;"",INT(IF(CALC!$F$1&gt;0,IF(N(INDEX(BASELINE!$A1739:$ZZ1739,CALC!$F$1))&gt;0,N(INDEX(BASELINE!$A1739:$ZZ1739,CALC!$F$1)),N(BASELINE!E1739)),N(BASELINE!E1739)))=INT(SIMOPS!$D$3),IFERROR(UPPER(TRIM(BASELINE!D1739&amp;"")),"")&lt;&gt;"ENCERRADA"),1,0),0)</f>
        <v/>
      </c>
      <c r="B1739">
        <f>B1738+A1739</f>
        <v/>
      </c>
    </row>
    <row r="1740">
      <c r="A1740">
        <f>IFERROR(IF(AND(BASELINE!I1740&lt;&gt;"",INT(IF(CALC!$F$1&gt;0,IF(N(INDEX(BASELINE!$A1740:$ZZ1740,CALC!$F$1))&gt;0,N(INDEX(BASELINE!$A1740:$ZZ1740,CALC!$F$1)),N(BASELINE!E1740)),N(BASELINE!E1740)))=INT(SIMOPS!$D$3),IFERROR(UPPER(TRIM(BASELINE!D1740&amp;"")),"")&lt;&gt;"ENCERRADA"),1,0),0)</f>
        <v/>
      </c>
      <c r="B1740">
        <f>B1739+A1740</f>
        <v/>
      </c>
    </row>
    <row r="1741">
      <c r="A1741">
        <f>IFERROR(IF(AND(BASELINE!I1741&lt;&gt;"",INT(IF(CALC!$F$1&gt;0,IF(N(INDEX(BASELINE!$A1741:$ZZ1741,CALC!$F$1))&gt;0,N(INDEX(BASELINE!$A1741:$ZZ1741,CALC!$F$1)),N(BASELINE!E1741)),N(BASELINE!E1741)))=INT(SIMOPS!$D$3),IFERROR(UPPER(TRIM(BASELINE!D1741&amp;"")),"")&lt;&gt;"ENCERRADA"),1,0),0)</f>
        <v/>
      </c>
      <c r="B1741">
        <f>B1740+A1741</f>
        <v/>
      </c>
    </row>
    <row r="1742">
      <c r="A1742">
        <f>IFERROR(IF(AND(BASELINE!I1742&lt;&gt;"",INT(IF(CALC!$F$1&gt;0,IF(N(INDEX(BASELINE!$A1742:$ZZ1742,CALC!$F$1))&gt;0,N(INDEX(BASELINE!$A1742:$ZZ1742,CALC!$F$1)),N(BASELINE!E1742)),N(BASELINE!E1742)))=INT(SIMOPS!$D$3),IFERROR(UPPER(TRIM(BASELINE!D1742&amp;"")),"")&lt;&gt;"ENCERRADA"),1,0),0)</f>
        <v/>
      </c>
      <c r="B1742">
        <f>B1741+A1742</f>
        <v/>
      </c>
    </row>
    <row r="1743">
      <c r="A1743">
        <f>IFERROR(IF(AND(BASELINE!I1743&lt;&gt;"",INT(IF(CALC!$F$1&gt;0,IF(N(INDEX(BASELINE!$A1743:$ZZ1743,CALC!$F$1))&gt;0,N(INDEX(BASELINE!$A1743:$ZZ1743,CALC!$F$1)),N(BASELINE!E1743)),N(BASELINE!E1743)))=INT(SIMOPS!$D$3),IFERROR(UPPER(TRIM(BASELINE!D1743&amp;"")),"")&lt;&gt;"ENCERRADA"),1,0),0)</f>
        <v/>
      </c>
      <c r="B1743">
        <f>B1742+A1743</f>
        <v/>
      </c>
    </row>
    <row r="1744">
      <c r="A1744">
        <f>IFERROR(IF(AND(BASELINE!I1744&lt;&gt;"",INT(IF(CALC!$F$1&gt;0,IF(N(INDEX(BASELINE!$A1744:$ZZ1744,CALC!$F$1))&gt;0,N(INDEX(BASELINE!$A1744:$ZZ1744,CALC!$F$1)),N(BASELINE!E1744)),N(BASELINE!E1744)))=INT(SIMOPS!$D$3),IFERROR(UPPER(TRIM(BASELINE!D1744&amp;"")),"")&lt;&gt;"ENCERRADA"),1,0),0)</f>
        <v/>
      </c>
      <c r="B1744">
        <f>B1743+A1744</f>
        <v/>
      </c>
    </row>
    <row r="1745">
      <c r="A1745">
        <f>IFERROR(IF(AND(BASELINE!I1745&lt;&gt;"",INT(IF(CALC!$F$1&gt;0,IF(N(INDEX(BASELINE!$A1745:$ZZ1745,CALC!$F$1))&gt;0,N(INDEX(BASELINE!$A1745:$ZZ1745,CALC!$F$1)),N(BASELINE!E1745)),N(BASELINE!E1745)))=INT(SIMOPS!$D$3),IFERROR(UPPER(TRIM(BASELINE!D1745&amp;"")),"")&lt;&gt;"ENCERRADA"),1,0),0)</f>
        <v/>
      </c>
      <c r="B1745">
        <f>B1744+A1745</f>
        <v/>
      </c>
    </row>
    <row r="1746">
      <c r="A1746">
        <f>IFERROR(IF(AND(BASELINE!I1746&lt;&gt;"",INT(IF(CALC!$F$1&gt;0,IF(N(INDEX(BASELINE!$A1746:$ZZ1746,CALC!$F$1))&gt;0,N(INDEX(BASELINE!$A1746:$ZZ1746,CALC!$F$1)),N(BASELINE!E1746)),N(BASELINE!E1746)))=INT(SIMOPS!$D$3),IFERROR(UPPER(TRIM(BASELINE!D1746&amp;"")),"")&lt;&gt;"ENCERRADA"),1,0),0)</f>
        <v/>
      </c>
      <c r="B1746">
        <f>B1745+A1746</f>
        <v/>
      </c>
    </row>
    <row r="1747">
      <c r="A1747">
        <f>IFERROR(IF(AND(BASELINE!I1747&lt;&gt;"",INT(IF(CALC!$F$1&gt;0,IF(N(INDEX(BASELINE!$A1747:$ZZ1747,CALC!$F$1))&gt;0,N(INDEX(BASELINE!$A1747:$ZZ1747,CALC!$F$1)),N(BASELINE!E1747)),N(BASELINE!E1747)))=INT(SIMOPS!$D$3),IFERROR(UPPER(TRIM(BASELINE!D1747&amp;"")),"")&lt;&gt;"ENCERRADA"),1,0),0)</f>
        <v/>
      </c>
      <c r="B1747">
        <f>B1746+A1747</f>
        <v/>
      </c>
    </row>
    <row r="1748">
      <c r="A1748">
        <f>IFERROR(IF(AND(BASELINE!I1748&lt;&gt;"",INT(IF(CALC!$F$1&gt;0,IF(N(INDEX(BASELINE!$A1748:$ZZ1748,CALC!$F$1))&gt;0,N(INDEX(BASELINE!$A1748:$ZZ1748,CALC!$F$1)),N(BASELINE!E1748)),N(BASELINE!E1748)))=INT(SIMOPS!$D$3),IFERROR(UPPER(TRIM(BASELINE!D1748&amp;"")),"")&lt;&gt;"ENCERRADA"),1,0),0)</f>
        <v/>
      </c>
      <c r="B1748">
        <f>B1747+A1748</f>
        <v/>
      </c>
    </row>
    <row r="1749">
      <c r="A1749">
        <f>IFERROR(IF(AND(BASELINE!I1749&lt;&gt;"",INT(IF(CALC!$F$1&gt;0,IF(N(INDEX(BASELINE!$A1749:$ZZ1749,CALC!$F$1))&gt;0,N(INDEX(BASELINE!$A1749:$ZZ1749,CALC!$F$1)),N(BASELINE!E1749)),N(BASELINE!E1749)))=INT(SIMOPS!$D$3),IFERROR(UPPER(TRIM(BASELINE!D1749&amp;"")),"")&lt;&gt;"ENCERRADA"),1,0),0)</f>
        <v/>
      </c>
      <c r="B1749">
        <f>B1748+A1749</f>
        <v/>
      </c>
    </row>
    <row r="1750">
      <c r="A1750">
        <f>IFERROR(IF(AND(BASELINE!I1750&lt;&gt;"",INT(IF(CALC!$F$1&gt;0,IF(N(INDEX(BASELINE!$A1750:$ZZ1750,CALC!$F$1))&gt;0,N(INDEX(BASELINE!$A1750:$ZZ1750,CALC!$F$1)),N(BASELINE!E1750)),N(BASELINE!E1750)))=INT(SIMOPS!$D$3),IFERROR(UPPER(TRIM(BASELINE!D1750&amp;"")),"")&lt;&gt;"ENCERRADA"),1,0),0)</f>
        <v/>
      </c>
      <c r="B1750">
        <f>B1749+A1750</f>
        <v/>
      </c>
    </row>
    <row r="1751">
      <c r="A1751">
        <f>IFERROR(IF(AND(BASELINE!I1751&lt;&gt;"",INT(IF(CALC!$F$1&gt;0,IF(N(INDEX(BASELINE!$A1751:$ZZ1751,CALC!$F$1))&gt;0,N(INDEX(BASELINE!$A1751:$ZZ1751,CALC!$F$1)),N(BASELINE!E1751)),N(BASELINE!E1751)))=INT(SIMOPS!$D$3),IFERROR(UPPER(TRIM(BASELINE!D1751&amp;"")),"")&lt;&gt;"ENCERRADA"),1,0),0)</f>
        <v/>
      </c>
      <c r="B1751">
        <f>B1750+A1751</f>
        <v/>
      </c>
    </row>
    <row r="1752">
      <c r="A1752">
        <f>IFERROR(IF(AND(BASELINE!I1752&lt;&gt;"",INT(IF(CALC!$F$1&gt;0,IF(N(INDEX(BASELINE!$A1752:$ZZ1752,CALC!$F$1))&gt;0,N(INDEX(BASELINE!$A1752:$ZZ1752,CALC!$F$1)),N(BASELINE!E1752)),N(BASELINE!E1752)))=INT(SIMOPS!$D$3),IFERROR(UPPER(TRIM(BASELINE!D1752&amp;"")),"")&lt;&gt;"ENCERRADA"),1,0),0)</f>
        <v/>
      </c>
      <c r="B1752">
        <f>B1751+A1752</f>
        <v/>
      </c>
    </row>
    <row r="1753">
      <c r="A1753">
        <f>IFERROR(IF(AND(BASELINE!I1753&lt;&gt;"",INT(IF(CALC!$F$1&gt;0,IF(N(INDEX(BASELINE!$A1753:$ZZ1753,CALC!$F$1))&gt;0,N(INDEX(BASELINE!$A1753:$ZZ1753,CALC!$F$1)),N(BASELINE!E1753)),N(BASELINE!E1753)))=INT(SIMOPS!$D$3),IFERROR(UPPER(TRIM(BASELINE!D1753&amp;"")),"")&lt;&gt;"ENCERRADA"),1,0),0)</f>
        <v/>
      </c>
      <c r="B1753">
        <f>B1752+A1753</f>
        <v/>
      </c>
    </row>
    <row r="1754">
      <c r="A1754">
        <f>IFERROR(IF(AND(BASELINE!I1754&lt;&gt;"",INT(IF(CALC!$F$1&gt;0,IF(N(INDEX(BASELINE!$A1754:$ZZ1754,CALC!$F$1))&gt;0,N(INDEX(BASELINE!$A1754:$ZZ1754,CALC!$F$1)),N(BASELINE!E1754)),N(BASELINE!E1754)))=INT(SIMOPS!$D$3),IFERROR(UPPER(TRIM(BASELINE!D1754&amp;"")),"")&lt;&gt;"ENCERRADA"),1,0),0)</f>
        <v/>
      </c>
      <c r="B1754">
        <f>B1753+A1754</f>
        <v/>
      </c>
    </row>
    <row r="1755">
      <c r="A1755">
        <f>IFERROR(IF(AND(BASELINE!I1755&lt;&gt;"",INT(IF(CALC!$F$1&gt;0,IF(N(INDEX(BASELINE!$A1755:$ZZ1755,CALC!$F$1))&gt;0,N(INDEX(BASELINE!$A1755:$ZZ1755,CALC!$F$1)),N(BASELINE!E1755)),N(BASELINE!E1755)))=INT(SIMOPS!$D$3),IFERROR(UPPER(TRIM(BASELINE!D1755&amp;"")),"")&lt;&gt;"ENCERRADA"),1,0),0)</f>
        <v/>
      </c>
      <c r="B1755">
        <f>B1754+A1755</f>
        <v/>
      </c>
    </row>
    <row r="1756">
      <c r="A1756">
        <f>IFERROR(IF(AND(BASELINE!I1756&lt;&gt;"",INT(IF(CALC!$F$1&gt;0,IF(N(INDEX(BASELINE!$A1756:$ZZ1756,CALC!$F$1))&gt;0,N(INDEX(BASELINE!$A1756:$ZZ1756,CALC!$F$1)),N(BASELINE!E1756)),N(BASELINE!E1756)))=INT(SIMOPS!$D$3),IFERROR(UPPER(TRIM(BASELINE!D1756&amp;"")),"")&lt;&gt;"ENCERRADA"),1,0),0)</f>
        <v/>
      </c>
      <c r="B1756">
        <f>B1755+A1756</f>
        <v/>
      </c>
    </row>
    <row r="1757">
      <c r="A1757">
        <f>IFERROR(IF(AND(BASELINE!I1757&lt;&gt;"",INT(IF(CALC!$F$1&gt;0,IF(N(INDEX(BASELINE!$A1757:$ZZ1757,CALC!$F$1))&gt;0,N(INDEX(BASELINE!$A1757:$ZZ1757,CALC!$F$1)),N(BASELINE!E1757)),N(BASELINE!E1757)))=INT(SIMOPS!$D$3),IFERROR(UPPER(TRIM(BASELINE!D1757&amp;"")),"")&lt;&gt;"ENCERRADA"),1,0),0)</f>
        <v/>
      </c>
      <c r="B1757">
        <f>B1756+A1757</f>
        <v/>
      </c>
    </row>
    <row r="1758">
      <c r="A1758">
        <f>IFERROR(IF(AND(BASELINE!I1758&lt;&gt;"",INT(IF(CALC!$F$1&gt;0,IF(N(INDEX(BASELINE!$A1758:$ZZ1758,CALC!$F$1))&gt;0,N(INDEX(BASELINE!$A1758:$ZZ1758,CALC!$F$1)),N(BASELINE!E1758)),N(BASELINE!E1758)))=INT(SIMOPS!$D$3),IFERROR(UPPER(TRIM(BASELINE!D1758&amp;"")),"")&lt;&gt;"ENCERRADA"),1,0),0)</f>
        <v/>
      </c>
      <c r="B1758">
        <f>B1757+A1758</f>
        <v/>
      </c>
    </row>
    <row r="1759">
      <c r="A1759">
        <f>IFERROR(IF(AND(BASELINE!I1759&lt;&gt;"",INT(IF(CALC!$F$1&gt;0,IF(N(INDEX(BASELINE!$A1759:$ZZ1759,CALC!$F$1))&gt;0,N(INDEX(BASELINE!$A1759:$ZZ1759,CALC!$F$1)),N(BASELINE!E1759)),N(BASELINE!E1759)))=INT(SIMOPS!$D$3),IFERROR(UPPER(TRIM(BASELINE!D1759&amp;"")),"")&lt;&gt;"ENCERRADA"),1,0),0)</f>
        <v/>
      </c>
      <c r="B1759">
        <f>B1758+A1759</f>
        <v/>
      </c>
    </row>
    <row r="1760">
      <c r="A1760">
        <f>IFERROR(IF(AND(BASELINE!I1760&lt;&gt;"",INT(IF(CALC!$F$1&gt;0,IF(N(INDEX(BASELINE!$A1760:$ZZ1760,CALC!$F$1))&gt;0,N(INDEX(BASELINE!$A1760:$ZZ1760,CALC!$F$1)),N(BASELINE!E1760)),N(BASELINE!E1760)))=INT(SIMOPS!$D$3),IFERROR(UPPER(TRIM(BASELINE!D1760&amp;"")),"")&lt;&gt;"ENCERRADA"),1,0),0)</f>
        <v/>
      </c>
      <c r="B1760">
        <f>B1759+A1760</f>
        <v/>
      </c>
    </row>
    <row r="1761">
      <c r="A1761">
        <f>IFERROR(IF(AND(BASELINE!I1761&lt;&gt;"",INT(IF(CALC!$F$1&gt;0,IF(N(INDEX(BASELINE!$A1761:$ZZ1761,CALC!$F$1))&gt;0,N(INDEX(BASELINE!$A1761:$ZZ1761,CALC!$F$1)),N(BASELINE!E1761)),N(BASELINE!E1761)))=INT(SIMOPS!$D$3),IFERROR(UPPER(TRIM(BASELINE!D1761&amp;"")),"")&lt;&gt;"ENCERRADA"),1,0),0)</f>
        <v/>
      </c>
      <c r="B1761">
        <f>B1760+A1761</f>
        <v/>
      </c>
    </row>
    <row r="1762">
      <c r="A1762">
        <f>IFERROR(IF(AND(BASELINE!I1762&lt;&gt;"",INT(IF(CALC!$F$1&gt;0,IF(N(INDEX(BASELINE!$A1762:$ZZ1762,CALC!$F$1))&gt;0,N(INDEX(BASELINE!$A1762:$ZZ1762,CALC!$F$1)),N(BASELINE!E1762)),N(BASELINE!E1762)))=INT(SIMOPS!$D$3),IFERROR(UPPER(TRIM(BASELINE!D1762&amp;"")),"")&lt;&gt;"ENCERRADA"),1,0),0)</f>
        <v/>
      </c>
      <c r="B1762">
        <f>B1761+A1762</f>
        <v/>
      </c>
    </row>
    <row r="1763">
      <c r="A1763">
        <f>IFERROR(IF(AND(BASELINE!I1763&lt;&gt;"",INT(IF(CALC!$F$1&gt;0,IF(N(INDEX(BASELINE!$A1763:$ZZ1763,CALC!$F$1))&gt;0,N(INDEX(BASELINE!$A1763:$ZZ1763,CALC!$F$1)),N(BASELINE!E1763)),N(BASELINE!E1763)))=INT(SIMOPS!$D$3),IFERROR(UPPER(TRIM(BASELINE!D1763&amp;"")),"")&lt;&gt;"ENCERRADA"),1,0),0)</f>
        <v/>
      </c>
      <c r="B1763">
        <f>B1762+A1763</f>
        <v/>
      </c>
    </row>
    <row r="1764">
      <c r="A1764">
        <f>IFERROR(IF(AND(BASELINE!I1764&lt;&gt;"",INT(IF(CALC!$F$1&gt;0,IF(N(INDEX(BASELINE!$A1764:$ZZ1764,CALC!$F$1))&gt;0,N(INDEX(BASELINE!$A1764:$ZZ1764,CALC!$F$1)),N(BASELINE!E1764)),N(BASELINE!E1764)))=INT(SIMOPS!$D$3),IFERROR(UPPER(TRIM(BASELINE!D1764&amp;"")),"")&lt;&gt;"ENCERRADA"),1,0),0)</f>
        <v/>
      </c>
      <c r="B1764">
        <f>B1763+A1764</f>
        <v/>
      </c>
    </row>
    <row r="1765">
      <c r="A1765">
        <f>IFERROR(IF(AND(BASELINE!I1765&lt;&gt;"",INT(IF(CALC!$F$1&gt;0,IF(N(INDEX(BASELINE!$A1765:$ZZ1765,CALC!$F$1))&gt;0,N(INDEX(BASELINE!$A1765:$ZZ1765,CALC!$F$1)),N(BASELINE!E1765)),N(BASELINE!E1765)))=INT(SIMOPS!$D$3),IFERROR(UPPER(TRIM(BASELINE!D1765&amp;"")),"")&lt;&gt;"ENCERRADA"),1,0),0)</f>
        <v/>
      </c>
      <c r="B1765">
        <f>B1764+A1765</f>
        <v/>
      </c>
    </row>
    <row r="1766">
      <c r="A1766">
        <f>IFERROR(IF(AND(BASELINE!I1766&lt;&gt;"",INT(IF(CALC!$F$1&gt;0,IF(N(INDEX(BASELINE!$A1766:$ZZ1766,CALC!$F$1))&gt;0,N(INDEX(BASELINE!$A1766:$ZZ1766,CALC!$F$1)),N(BASELINE!E1766)),N(BASELINE!E1766)))=INT(SIMOPS!$D$3),IFERROR(UPPER(TRIM(BASELINE!D1766&amp;"")),"")&lt;&gt;"ENCERRADA"),1,0),0)</f>
        <v/>
      </c>
      <c r="B1766">
        <f>B1765+A1766</f>
        <v/>
      </c>
    </row>
    <row r="1767">
      <c r="A1767">
        <f>IFERROR(IF(AND(BASELINE!I1767&lt;&gt;"",INT(IF(CALC!$F$1&gt;0,IF(N(INDEX(BASELINE!$A1767:$ZZ1767,CALC!$F$1))&gt;0,N(INDEX(BASELINE!$A1767:$ZZ1767,CALC!$F$1)),N(BASELINE!E1767)),N(BASELINE!E1767)))=INT(SIMOPS!$D$3),IFERROR(UPPER(TRIM(BASELINE!D1767&amp;"")),"")&lt;&gt;"ENCERRADA"),1,0),0)</f>
        <v/>
      </c>
      <c r="B1767">
        <f>B1766+A1767</f>
        <v/>
      </c>
    </row>
    <row r="1768">
      <c r="A1768">
        <f>IFERROR(IF(AND(BASELINE!I1768&lt;&gt;"",INT(IF(CALC!$F$1&gt;0,IF(N(INDEX(BASELINE!$A1768:$ZZ1768,CALC!$F$1))&gt;0,N(INDEX(BASELINE!$A1768:$ZZ1768,CALC!$F$1)),N(BASELINE!E1768)),N(BASELINE!E1768)))=INT(SIMOPS!$D$3),IFERROR(UPPER(TRIM(BASELINE!D1768&amp;"")),"")&lt;&gt;"ENCERRADA"),1,0),0)</f>
        <v/>
      </c>
      <c r="B1768">
        <f>B1767+A1768</f>
        <v/>
      </c>
    </row>
    <row r="1769">
      <c r="A1769">
        <f>IFERROR(IF(AND(BASELINE!I1769&lt;&gt;"",INT(IF(CALC!$F$1&gt;0,IF(N(INDEX(BASELINE!$A1769:$ZZ1769,CALC!$F$1))&gt;0,N(INDEX(BASELINE!$A1769:$ZZ1769,CALC!$F$1)),N(BASELINE!E1769)),N(BASELINE!E1769)))=INT(SIMOPS!$D$3),IFERROR(UPPER(TRIM(BASELINE!D1769&amp;"")),"")&lt;&gt;"ENCERRADA"),1,0),0)</f>
        <v/>
      </c>
      <c r="B1769">
        <f>B1768+A1769</f>
        <v/>
      </c>
    </row>
    <row r="1770">
      <c r="A1770">
        <f>IFERROR(IF(AND(BASELINE!I1770&lt;&gt;"",INT(IF(CALC!$F$1&gt;0,IF(N(INDEX(BASELINE!$A1770:$ZZ1770,CALC!$F$1))&gt;0,N(INDEX(BASELINE!$A1770:$ZZ1770,CALC!$F$1)),N(BASELINE!E1770)),N(BASELINE!E1770)))=INT(SIMOPS!$D$3),IFERROR(UPPER(TRIM(BASELINE!D1770&amp;"")),"")&lt;&gt;"ENCERRADA"),1,0),0)</f>
        <v/>
      </c>
      <c r="B1770">
        <f>B1769+A1770</f>
        <v/>
      </c>
    </row>
    <row r="1771">
      <c r="A1771">
        <f>IFERROR(IF(AND(BASELINE!I1771&lt;&gt;"",INT(IF(CALC!$F$1&gt;0,IF(N(INDEX(BASELINE!$A1771:$ZZ1771,CALC!$F$1))&gt;0,N(INDEX(BASELINE!$A1771:$ZZ1771,CALC!$F$1)),N(BASELINE!E1771)),N(BASELINE!E1771)))=INT(SIMOPS!$D$3),IFERROR(UPPER(TRIM(BASELINE!D1771&amp;"")),"")&lt;&gt;"ENCERRADA"),1,0),0)</f>
        <v/>
      </c>
      <c r="B1771">
        <f>B1770+A1771</f>
        <v/>
      </c>
    </row>
    <row r="1772">
      <c r="A1772">
        <f>IFERROR(IF(AND(BASELINE!I1772&lt;&gt;"",INT(IF(CALC!$F$1&gt;0,IF(N(INDEX(BASELINE!$A1772:$ZZ1772,CALC!$F$1))&gt;0,N(INDEX(BASELINE!$A1772:$ZZ1772,CALC!$F$1)),N(BASELINE!E1772)),N(BASELINE!E1772)))=INT(SIMOPS!$D$3),IFERROR(UPPER(TRIM(BASELINE!D1772&amp;"")),"")&lt;&gt;"ENCERRADA"),1,0),0)</f>
        <v/>
      </c>
      <c r="B1772">
        <f>B1771+A1772</f>
        <v/>
      </c>
    </row>
    <row r="1773">
      <c r="A1773">
        <f>IFERROR(IF(AND(BASELINE!I1773&lt;&gt;"",INT(IF(CALC!$F$1&gt;0,IF(N(INDEX(BASELINE!$A1773:$ZZ1773,CALC!$F$1))&gt;0,N(INDEX(BASELINE!$A1773:$ZZ1773,CALC!$F$1)),N(BASELINE!E1773)),N(BASELINE!E1773)))=INT(SIMOPS!$D$3),IFERROR(UPPER(TRIM(BASELINE!D1773&amp;"")),"")&lt;&gt;"ENCERRADA"),1,0),0)</f>
        <v/>
      </c>
      <c r="B1773">
        <f>B1772+A1773</f>
        <v/>
      </c>
    </row>
    <row r="1774">
      <c r="A1774">
        <f>IFERROR(IF(AND(BASELINE!I1774&lt;&gt;"",INT(IF(CALC!$F$1&gt;0,IF(N(INDEX(BASELINE!$A1774:$ZZ1774,CALC!$F$1))&gt;0,N(INDEX(BASELINE!$A1774:$ZZ1774,CALC!$F$1)),N(BASELINE!E1774)),N(BASELINE!E1774)))=INT(SIMOPS!$D$3),IFERROR(UPPER(TRIM(BASELINE!D1774&amp;"")),"")&lt;&gt;"ENCERRADA"),1,0),0)</f>
        <v/>
      </c>
      <c r="B1774">
        <f>B1773+A1774</f>
        <v/>
      </c>
    </row>
    <row r="1775">
      <c r="A1775">
        <f>IFERROR(IF(AND(BASELINE!I1775&lt;&gt;"",INT(IF(CALC!$F$1&gt;0,IF(N(INDEX(BASELINE!$A1775:$ZZ1775,CALC!$F$1))&gt;0,N(INDEX(BASELINE!$A1775:$ZZ1775,CALC!$F$1)),N(BASELINE!E1775)),N(BASELINE!E1775)))=INT(SIMOPS!$D$3),IFERROR(UPPER(TRIM(BASELINE!D1775&amp;"")),"")&lt;&gt;"ENCERRADA"),1,0),0)</f>
        <v/>
      </c>
      <c r="B1775">
        <f>B1774+A1775</f>
        <v/>
      </c>
    </row>
    <row r="1776">
      <c r="A1776">
        <f>IFERROR(IF(AND(BASELINE!I1776&lt;&gt;"",INT(IF(CALC!$F$1&gt;0,IF(N(INDEX(BASELINE!$A1776:$ZZ1776,CALC!$F$1))&gt;0,N(INDEX(BASELINE!$A1776:$ZZ1776,CALC!$F$1)),N(BASELINE!E1776)),N(BASELINE!E1776)))=INT(SIMOPS!$D$3),IFERROR(UPPER(TRIM(BASELINE!D1776&amp;"")),"")&lt;&gt;"ENCERRADA"),1,0),0)</f>
        <v/>
      </c>
      <c r="B1776">
        <f>B1775+A1776</f>
        <v/>
      </c>
    </row>
    <row r="1777">
      <c r="A1777">
        <f>IFERROR(IF(AND(BASELINE!I1777&lt;&gt;"",INT(IF(CALC!$F$1&gt;0,IF(N(INDEX(BASELINE!$A1777:$ZZ1777,CALC!$F$1))&gt;0,N(INDEX(BASELINE!$A1777:$ZZ1777,CALC!$F$1)),N(BASELINE!E1777)),N(BASELINE!E1777)))=INT(SIMOPS!$D$3),IFERROR(UPPER(TRIM(BASELINE!D1777&amp;"")),"")&lt;&gt;"ENCERRADA"),1,0),0)</f>
        <v/>
      </c>
      <c r="B1777">
        <f>B1776+A1777</f>
        <v/>
      </c>
    </row>
    <row r="1778">
      <c r="A1778">
        <f>IFERROR(IF(AND(BASELINE!I1778&lt;&gt;"",INT(IF(CALC!$F$1&gt;0,IF(N(INDEX(BASELINE!$A1778:$ZZ1778,CALC!$F$1))&gt;0,N(INDEX(BASELINE!$A1778:$ZZ1778,CALC!$F$1)),N(BASELINE!E1778)),N(BASELINE!E1778)))=INT(SIMOPS!$D$3),IFERROR(UPPER(TRIM(BASELINE!D1778&amp;"")),"")&lt;&gt;"ENCERRADA"),1,0),0)</f>
        <v/>
      </c>
      <c r="B1778">
        <f>B1777+A1778</f>
        <v/>
      </c>
    </row>
    <row r="1779">
      <c r="A1779">
        <f>IFERROR(IF(AND(BASELINE!I1779&lt;&gt;"",INT(IF(CALC!$F$1&gt;0,IF(N(INDEX(BASELINE!$A1779:$ZZ1779,CALC!$F$1))&gt;0,N(INDEX(BASELINE!$A1779:$ZZ1779,CALC!$F$1)),N(BASELINE!E1779)),N(BASELINE!E1779)))=INT(SIMOPS!$D$3),IFERROR(UPPER(TRIM(BASELINE!D1779&amp;"")),"")&lt;&gt;"ENCERRADA"),1,0),0)</f>
        <v/>
      </c>
      <c r="B1779">
        <f>B1778+A1779</f>
        <v/>
      </c>
    </row>
    <row r="1780">
      <c r="A1780">
        <f>IFERROR(IF(AND(BASELINE!I1780&lt;&gt;"",INT(IF(CALC!$F$1&gt;0,IF(N(INDEX(BASELINE!$A1780:$ZZ1780,CALC!$F$1))&gt;0,N(INDEX(BASELINE!$A1780:$ZZ1780,CALC!$F$1)),N(BASELINE!E1780)),N(BASELINE!E1780)))=INT(SIMOPS!$D$3),IFERROR(UPPER(TRIM(BASELINE!D1780&amp;"")),"")&lt;&gt;"ENCERRADA"),1,0),0)</f>
        <v/>
      </c>
      <c r="B1780">
        <f>B1779+A1780</f>
        <v/>
      </c>
    </row>
    <row r="1781">
      <c r="A1781">
        <f>IFERROR(IF(AND(BASELINE!I1781&lt;&gt;"",INT(IF(CALC!$F$1&gt;0,IF(N(INDEX(BASELINE!$A1781:$ZZ1781,CALC!$F$1))&gt;0,N(INDEX(BASELINE!$A1781:$ZZ1781,CALC!$F$1)),N(BASELINE!E1781)),N(BASELINE!E1781)))=INT(SIMOPS!$D$3),IFERROR(UPPER(TRIM(BASELINE!D1781&amp;"")),"")&lt;&gt;"ENCERRADA"),1,0),0)</f>
        <v/>
      </c>
      <c r="B1781">
        <f>B1780+A1781</f>
        <v/>
      </c>
    </row>
    <row r="1782">
      <c r="A1782">
        <f>IFERROR(IF(AND(BASELINE!I1782&lt;&gt;"",INT(IF(CALC!$F$1&gt;0,IF(N(INDEX(BASELINE!$A1782:$ZZ1782,CALC!$F$1))&gt;0,N(INDEX(BASELINE!$A1782:$ZZ1782,CALC!$F$1)),N(BASELINE!E1782)),N(BASELINE!E1782)))=INT(SIMOPS!$D$3),IFERROR(UPPER(TRIM(BASELINE!D1782&amp;"")),"")&lt;&gt;"ENCERRADA"),1,0),0)</f>
        <v/>
      </c>
      <c r="B1782">
        <f>B1781+A1782</f>
        <v/>
      </c>
    </row>
    <row r="1783">
      <c r="A1783">
        <f>IFERROR(IF(AND(BASELINE!I1783&lt;&gt;"",INT(IF(CALC!$F$1&gt;0,IF(N(INDEX(BASELINE!$A1783:$ZZ1783,CALC!$F$1))&gt;0,N(INDEX(BASELINE!$A1783:$ZZ1783,CALC!$F$1)),N(BASELINE!E1783)),N(BASELINE!E1783)))=INT(SIMOPS!$D$3),IFERROR(UPPER(TRIM(BASELINE!D1783&amp;"")),"")&lt;&gt;"ENCERRADA"),1,0),0)</f>
        <v/>
      </c>
      <c r="B1783">
        <f>B1782+A1783</f>
        <v/>
      </c>
    </row>
    <row r="1784">
      <c r="A1784">
        <f>IFERROR(IF(AND(BASELINE!I1784&lt;&gt;"",INT(IF(CALC!$F$1&gt;0,IF(N(INDEX(BASELINE!$A1784:$ZZ1784,CALC!$F$1))&gt;0,N(INDEX(BASELINE!$A1784:$ZZ1784,CALC!$F$1)),N(BASELINE!E1784)),N(BASELINE!E1784)))=INT(SIMOPS!$D$3),IFERROR(UPPER(TRIM(BASELINE!D1784&amp;"")),"")&lt;&gt;"ENCERRADA"),1,0),0)</f>
        <v/>
      </c>
      <c r="B1784">
        <f>B1783+A1784</f>
        <v/>
      </c>
    </row>
    <row r="1785">
      <c r="A1785">
        <f>IFERROR(IF(AND(BASELINE!I1785&lt;&gt;"",INT(IF(CALC!$F$1&gt;0,IF(N(INDEX(BASELINE!$A1785:$ZZ1785,CALC!$F$1))&gt;0,N(INDEX(BASELINE!$A1785:$ZZ1785,CALC!$F$1)),N(BASELINE!E1785)),N(BASELINE!E1785)))=INT(SIMOPS!$D$3),IFERROR(UPPER(TRIM(BASELINE!D1785&amp;"")),"")&lt;&gt;"ENCERRADA"),1,0),0)</f>
        <v/>
      </c>
      <c r="B1785">
        <f>B1784+A1785</f>
        <v/>
      </c>
    </row>
    <row r="1786">
      <c r="A1786">
        <f>IFERROR(IF(AND(BASELINE!I1786&lt;&gt;"",INT(IF(CALC!$F$1&gt;0,IF(N(INDEX(BASELINE!$A1786:$ZZ1786,CALC!$F$1))&gt;0,N(INDEX(BASELINE!$A1786:$ZZ1786,CALC!$F$1)),N(BASELINE!E1786)),N(BASELINE!E1786)))=INT(SIMOPS!$D$3),IFERROR(UPPER(TRIM(BASELINE!D1786&amp;"")),"")&lt;&gt;"ENCERRADA"),1,0),0)</f>
        <v/>
      </c>
      <c r="B1786">
        <f>B1785+A1786</f>
        <v/>
      </c>
    </row>
    <row r="1787">
      <c r="A1787">
        <f>IFERROR(IF(AND(BASELINE!I1787&lt;&gt;"",INT(IF(CALC!$F$1&gt;0,IF(N(INDEX(BASELINE!$A1787:$ZZ1787,CALC!$F$1))&gt;0,N(INDEX(BASELINE!$A1787:$ZZ1787,CALC!$F$1)),N(BASELINE!E1787)),N(BASELINE!E1787)))=INT(SIMOPS!$D$3),IFERROR(UPPER(TRIM(BASELINE!D1787&amp;"")),"")&lt;&gt;"ENCERRADA"),1,0),0)</f>
        <v/>
      </c>
      <c r="B1787">
        <f>B1786+A1787</f>
        <v/>
      </c>
    </row>
    <row r="1788">
      <c r="A1788">
        <f>IFERROR(IF(AND(BASELINE!I1788&lt;&gt;"",INT(IF(CALC!$F$1&gt;0,IF(N(INDEX(BASELINE!$A1788:$ZZ1788,CALC!$F$1))&gt;0,N(INDEX(BASELINE!$A1788:$ZZ1788,CALC!$F$1)),N(BASELINE!E1788)),N(BASELINE!E1788)))=INT(SIMOPS!$D$3),IFERROR(UPPER(TRIM(BASELINE!D1788&amp;"")),"")&lt;&gt;"ENCERRADA"),1,0),0)</f>
        <v/>
      </c>
      <c r="B1788">
        <f>B1787+A1788</f>
        <v/>
      </c>
    </row>
    <row r="1789">
      <c r="A1789">
        <f>IFERROR(IF(AND(BASELINE!I1789&lt;&gt;"",INT(IF(CALC!$F$1&gt;0,IF(N(INDEX(BASELINE!$A1789:$ZZ1789,CALC!$F$1))&gt;0,N(INDEX(BASELINE!$A1789:$ZZ1789,CALC!$F$1)),N(BASELINE!E1789)),N(BASELINE!E1789)))=INT(SIMOPS!$D$3),IFERROR(UPPER(TRIM(BASELINE!D1789&amp;"")),"")&lt;&gt;"ENCERRADA"),1,0),0)</f>
        <v/>
      </c>
      <c r="B1789">
        <f>B1788+A1789</f>
        <v/>
      </c>
    </row>
    <row r="1790">
      <c r="A1790">
        <f>IFERROR(IF(AND(BASELINE!I1790&lt;&gt;"",INT(IF(CALC!$F$1&gt;0,IF(N(INDEX(BASELINE!$A1790:$ZZ1790,CALC!$F$1))&gt;0,N(INDEX(BASELINE!$A1790:$ZZ1790,CALC!$F$1)),N(BASELINE!E1790)),N(BASELINE!E1790)))=INT(SIMOPS!$D$3),IFERROR(UPPER(TRIM(BASELINE!D1790&amp;"")),"")&lt;&gt;"ENCERRADA"),1,0),0)</f>
        <v/>
      </c>
      <c r="B1790">
        <f>B1789+A1790</f>
        <v/>
      </c>
    </row>
    <row r="1791">
      <c r="A1791">
        <f>IFERROR(IF(AND(BASELINE!I1791&lt;&gt;"",INT(IF(CALC!$F$1&gt;0,IF(N(INDEX(BASELINE!$A1791:$ZZ1791,CALC!$F$1))&gt;0,N(INDEX(BASELINE!$A1791:$ZZ1791,CALC!$F$1)),N(BASELINE!E1791)),N(BASELINE!E1791)))=INT(SIMOPS!$D$3),IFERROR(UPPER(TRIM(BASELINE!D1791&amp;"")),"")&lt;&gt;"ENCERRADA"),1,0),0)</f>
        <v/>
      </c>
      <c r="B1791">
        <f>B1790+A1791</f>
        <v/>
      </c>
    </row>
    <row r="1792">
      <c r="A1792">
        <f>IFERROR(IF(AND(BASELINE!I1792&lt;&gt;"",INT(IF(CALC!$F$1&gt;0,IF(N(INDEX(BASELINE!$A1792:$ZZ1792,CALC!$F$1))&gt;0,N(INDEX(BASELINE!$A1792:$ZZ1792,CALC!$F$1)),N(BASELINE!E1792)),N(BASELINE!E1792)))=INT(SIMOPS!$D$3),IFERROR(UPPER(TRIM(BASELINE!D1792&amp;"")),"")&lt;&gt;"ENCERRADA"),1,0),0)</f>
        <v/>
      </c>
      <c r="B1792">
        <f>B1791+A1792</f>
        <v/>
      </c>
    </row>
    <row r="1793">
      <c r="A1793">
        <f>IFERROR(IF(AND(BASELINE!I1793&lt;&gt;"",INT(IF(CALC!$F$1&gt;0,IF(N(INDEX(BASELINE!$A1793:$ZZ1793,CALC!$F$1))&gt;0,N(INDEX(BASELINE!$A1793:$ZZ1793,CALC!$F$1)),N(BASELINE!E1793)),N(BASELINE!E1793)))=INT(SIMOPS!$D$3),IFERROR(UPPER(TRIM(BASELINE!D1793&amp;"")),"")&lt;&gt;"ENCERRADA"),1,0),0)</f>
        <v/>
      </c>
      <c r="B1793">
        <f>B1792+A1793</f>
        <v/>
      </c>
    </row>
    <row r="1794">
      <c r="A1794">
        <f>IFERROR(IF(AND(BASELINE!I1794&lt;&gt;"",INT(IF(CALC!$F$1&gt;0,IF(N(INDEX(BASELINE!$A1794:$ZZ1794,CALC!$F$1))&gt;0,N(INDEX(BASELINE!$A1794:$ZZ1794,CALC!$F$1)),N(BASELINE!E1794)),N(BASELINE!E1794)))=INT(SIMOPS!$D$3),IFERROR(UPPER(TRIM(BASELINE!D1794&amp;"")),"")&lt;&gt;"ENCERRADA"),1,0),0)</f>
        <v/>
      </c>
      <c r="B1794">
        <f>B1793+A1794</f>
        <v/>
      </c>
    </row>
    <row r="1795">
      <c r="A1795">
        <f>IFERROR(IF(AND(BASELINE!I1795&lt;&gt;"",INT(IF(CALC!$F$1&gt;0,IF(N(INDEX(BASELINE!$A1795:$ZZ1795,CALC!$F$1))&gt;0,N(INDEX(BASELINE!$A1795:$ZZ1795,CALC!$F$1)),N(BASELINE!E1795)),N(BASELINE!E1795)))=INT(SIMOPS!$D$3),IFERROR(UPPER(TRIM(BASELINE!D1795&amp;"")),"")&lt;&gt;"ENCERRADA"),1,0),0)</f>
        <v/>
      </c>
      <c r="B1795">
        <f>B1794+A1795</f>
        <v/>
      </c>
    </row>
    <row r="1796">
      <c r="A1796">
        <f>IFERROR(IF(AND(BASELINE!I1796&lt;&gt;"",INT(IF(CALC!$F$1&gt;0,IF(N(INDEX(BASELINE!$A1796:$ZZ1796,CALC!$F$1))&gt;0,N(INDEX(BASELINE!$A1796:$ZZ1796,CALC!$F$1)),N(BASELINE!E1796)),N(BASELINE!E1796)))=INT(SIMOPS!$D$3),IFERROR(UPPER(TRIM(BASELINE!D1796&amp;"")),"")&lt;&gt;"ENCERRADA"),1,0),0)</f>
        <v/>
      </c>
      <c r="B1796">
        <f>B1795+A1796</f>
        <v/>
      </c>
    </row>
    <row r="1797">
      <c r="A1797">
        <f>IFERROR(IF(AND(BASELINE!I1797&lt;&gt;"",INT(IF(CALC!$F$1&gt;0,IF(N(INDEX(BASELINE!$A1797:$ZZ1797,CALC!$F$1))&gt;0,N(INDEX(BASELINE!$A1797:$ZZ1797,CALC!$F$1)),N(BASELINE!E1797)),N(BASELINE!E1797)))=INT(SIMOPS!$D$3),IFERROR(UPPER(TRIM(BASELINE!D1797&amp;"")),"")&lt;&gt;"ENCERRADA"),1,0),0)</f>
        <v/>
      </c>
      <c r="B1797">
        <f>B1796+A1797</f>
        <v/>
      </c>
    </row>
    <row r="1798">
      <c r="A1798">
        <f>IFERROR(IF(AND(BASELINE!I1798&lt;&gt;"",INT(IF(CALC!$F$1&gt;0,IF(N(INDEX(BASELINE!$A1798:$ZZ1798,CALC!$F$1))&gt;0,N(INDEX(BASELINE!$A1798:$ZZ1798,CALC!$F$1)),N(BASELINE!E1798)),N(BASELINE!E1798)))=INT(SIMOPS!$D$3),IFERROR(UPPER(TRIM(BASELINE!D1798&amp;"")),"")&lt;&gt;"ENCERRADA"),1,0),0)</f>
        <v/>
      </c>
      <c r="B1798">
        <f>B1797+A1798</f>
        <v/>
      </c>
    </row>
    <row r="1799">
      <c r="A1799">
        <f>IFERROR(IF(AND(BASELINE!I1799&lt;&gt;"",INT(IF(CALC!$F$1&gt;0,IF(N(INDEX(BASELINE!$A1799:$ZZ1799,CALC!$F$1))&gt;0,N(INDEX(BASELINE!$A1799:$ZZ1799,CALC!$F$1)),N(BASELINE!E1799)),N(BASELINE!E1799)))=INT(SIMOPS!$D$3),IFERROR(UPPER(TRIM(BASELINE!D1799&amp;"")),"")&lt;&gt;"ENCERRADA"),1,0),0)</f>
        <v/>
      </c>
      <c r="B1799">
        <f>B1798+A1799</f>
        <v/>
      </c>
    </row>
    <row r="1800">
      <c r="A1800">
        <f>IFERROR(IF(AND(BASELINE!I1800&lt;&gt;"",INT(IF(CALC!$F$1&gt;0,IF(N(INDEX(BASELINE!$A1800:$ZZ1800,CALC!$F$1))&gt;0,N(INDEX(BASELINE!$A1800:$ZZ1800,CALC!$F$1)),N(BASELINE!E1800)),N(BASELINE!E1800)))=INT(SIMOPS!$D$3),IFERROR(UPPER(TRIM(BASELINE!D1800&amp;"")),"")&lt;&gt;"ENCERRADA"),1,0),0)</f>
        <v/>
      </c>
      <c r="B1800">
        <f>B1799+A1800</f>
        <v/>
      </c>
    </row>
    <row r="1801">
      <c r="A1801">
        <f>IFERROR(IF(AND(BASELINE!I1801&lt;&gt;"",INT(IF(CALC!$F$1&gt;0,IF(N(INDEX(BASELINE!$A1801:$ZZ1801,CALC!$F$1))&gt;0,N(INDEX(BASELINE!$A1801:$ZZ1801,CALC!$F$1)),N(BASELINE!E1801)),N(BASELINE!E1801)))=INT(SIMOPS!$D$3),IFERROR(UPPER(TRIM(BASELINE!D1801&amp;"")),"")&lt;&gt;"ENCERRADA"),1,0),0)</f>
        <v/>
      </c>
      <c r="B1801">
        <f>B1800+A1801</f>
        <v/>
      </c>
    </row>
    <row r="1802">
      <c r="A1802">
        <f>IFERROR(IF(AND(BASELINE!I1802&lt;&gt;"",INT(IF(CALC!$F$1&gt;0,IF(N(INDEX(BASELINE!$A1802:$ZZ1802,CALC!$F$1))&gt;0,N(INDEX(BASELINE!$A1802:$ZZ1802,CALC!$F$1)),N(BASELINE!E1802)),N(BASELINE!E1802)))=INT(SIMOPS!$D$3),IFERROR(UPPER(TRIM(BASELINE!D1802&amp;"")),"")&lt;&gt;"ENCERRADA"),1,0),0)</f>
        <v/>
      </c>
      <c r="B1802">
        <f>B1801+A1802</f>
        <v/>
      </c>
    </row>
    <row r="1803">
      <c r="A1803">
        <f>IFERROR(IF(AND(BASELINE!I1803&lt;&gt;"",INT(IF(CALC!$F$1&gt;0,IF(N(INDEX(BASELINE!$A1803:$ZZ1803,CALC!$F$1))&gt;0,N(INDEX(BASELINE!$A1803:$ZZ1803,CALC!$F$1)),N(BASELINE!E1803)),N(BASELINE!E1803)))=INT(SIMOPS!$D$3),IFERROR(UPPER(TRIM(BASELINE!D1803&amp;"")),"")&lt;&gt;"ENCERRADA"),1,0),0)</f>
        <v/>
      </c>
      <c r="B1803">
        <f>B1802+A1803</f>
        <v/>
      </c>
    </row>
    <row r="1804">
      <c r="A1804">
        <f>IFERROR(IF(AND(BASELINE!I1804&lt;&gt;"",INT(IF(CALC!$F$1&gt;0,IF(N(INDEX(BASELINE!$A1804:$ZZ1804,CALC!$F$1))&gt;0,N(INDEX(BASELINE!$A1804:$ZZ1804,CALC!$F$1)),N(BASELINE!E1804)),N(BASELINE!E1804)))=INT(SIMOPS!$D$3),IFERROR(UPPER(TRIM(BASELINE!D1804&amp;"")),"")&lt;&gt;"ENCERRADA"),1,0),0)</f>
        <v/>
      </c>
      <c r="B1804">
        <f>B1803+A1804</f>
        <v/>
      </c>
    </row>
    <row r="1805">
      <c r="A1805">
        <f>IFERROR(IF(AND(BASELINE!I1805&lt;&gt;"",INT(IF(CALC!$F$1&gt;0,IF(N(INDEX(BASELINE!$A1805:$ZZ1805,CALC!$F$1))&gt;0,N(INDEX(BASELINE!$A1805:$ZZ1805,CALC!$F$1)),N(BASELINE!E1805)),N(BASELINE!E1805)))=INT(SIMOPS!$D$3),IFERROR(UPPER(TRIM(BASELINE!D1805&amp;"")),"")&lt;&gt;"ENCERRADA"),1,0),0)</f>
        <v/>
      </c>
      <c r="B1805">
        <f>B1804+A1805</f>
        <v/>
      </c>
    </row>
    <row r="1806">
      <c r="A1806">
        <f>IFERROR(IF(AND(BASELINE!I1806&lt;&gt;"",INT(IF(CALC!$F$1&gt;0,IF(N(INDEX(BASELINE!$A1806:$ZZ1806,CALC!$F$1))&gt;0,N(INDEX(BASELINE!$A1806:$ZZ1806,CALC!$F$1)),N(BASELINE!E1806)),N(BASELINE!E1806)))=INT(SIMOPS!$D$3),IFERROR(UPPER(TRIM(BASELINE!D1806&amp;"")),"")&lt;&gt;"ENCERRADA"),1,0),0)</f>
        <v/>
      </c>
      <c r="B1806">
        <f>B1805+A1806</f>
        <v/>
      </c>
    </row>
    <row r="1807">
      <c r="A1807">
        <f>IFERROR(IF(AND(BASELINE!I1807&lt;&gt;"",INT(IF(CALC!$F$1&gt;0,IF(N(INDEX(BASELINE!$A1807:$ZZ1807,CALC!$F$1))&gt;0,N(INDEX(BASELINE!$A1807:$ZZ1807,CALC!$F$1)),N(BASELINE!E1807)),N(BASELINE!E1807)))=INT(SIMOPS!$D$3),IFERROR(UPPER(TRIM(BASELINE!D1807&amp;"")),"")&lt;&gt;"ENCERRADA"),1,0),0)</f>
        <v/>
      </c>
      <c r="B1807">
        <f>B1806+A1807</f>
        <v/>
      </c>
    </row>
    <row r="1808">
      <c r="A1808">
        <f>IFERROR(IF(AND(BASELINE!I1808&lt;&gt;"",INT(IF(CALC!$F$1&gt;0,IF(N(INDEX(BASELINE!$A1808:$ZZ1808,CALC!$F$1))&gt;0,N(INDEX(BASELINE!$A1808:$ZZ1808,CALC!$F$1)),N(BASELINE!E1808)),N(BASELINE!E1808)))=INT(SIMOPS!$D$3),IFERROR(UPPER(TRIM(BASELINE!D1808&amp;"")),"")&lt;&gt;"ENCERRADA"),1,0),0)</f>
        <v/>
      </c>
      <c r="B1808">
        <f>B1807+A1808</f>
        <v/>
      </c>
    </row>
    <row r="1809">
      <c r="A1809">
        <f>IFERROR(IF(AND(BASELINE!I1809&lt;&gt;"",INT(IF(CALC!$F$1&gt;0,IF(N(INDEX(BASELINE!$A1809:$ZZ1809,CALC!$F$1))&gt;0,N(INDEX(BASELINE!$A1809:$ZZ1809,CALC!$F$1)),N(BASELINE!E1809)),N(BASELINE!E1809)))=INT(SIMOPS!$D$3),IFERROR(UPPER(TRIM(BASELINE!D1809&amp;"")),"")&lt;&gt;"ENCERRADA"),1,0),0)</f>
        <v/>
      </c>
      <c r="B1809">
        <f>B1808+A1809</f>
        <v/>
      </c>
    </row>
    <row r="1810">
      <c r="A1810">
        <f>IFERROR(IF(AND(BASELINE!I1810&lt;&gt;"",INT(IF(CALC!$F$1&gt;0,IF(N(INDEX(BASELINE!$A1810:$ZZ1810,CALC!$F$1))&gt;0,N(INDEX(BASELINE!$A1810:$ZZ1810,CALC!$F$1)),N(BASELINE!E1810)),N(BASELINE!E1810)))=INT(SIMOPS!$D$3),IFERROR(UPPER(TRIM(BASELINE!D1810&amp;"")),"")&lt;&gt;"ENCERRADA"),1,0),0)</f>
        <v/>
      </c>
      <c r="B1810">
        <f>B1809+A1810</f>
        <v/>
      </c>
    </row>
    <row r="1811">
      <c r="A1811">
        <f>IFERROR(IF(AND(BASELINE!I1811&lt;&gt;"",INT(IF(CALC!$F$1&gt;0,IF(N(INDEX(BASELINE!$A1811:$ZZ1811,CALC!$F$1))&gt;0,N(INDEX(BASELINE!$A1811:$ZZ1811,CALC!$F$1)),N(BASELINE!E1811)),N(BASELINE!E1811)))=INT(SIMOPS!$D$3),IFERROR(UPPER(TRIM(BASELINE!D1811&amp;"")),"")&lt;&gt;"ENCERRADA"),1,0),0)</f>
        <v/>
      </c>
      <c r="B1811">
        <f>B1810+A1811</f>
        <v/>
      </c>
    </row>
    <row r="1812">
      <c r="A1812">
        <f>IFERROR(IF(AND(BASELINE!I1812&lt;&gt;"",INT(IF(CALC!$F$1&gt;0,IF(N(INDEX(BASELINE!$A1812:$ZZ1812,CALC!$F$1))&gt;0,N(INDEX(BASELINE!$A1812:$ZZ1812,CALC!$F$1)),N(BASELINE!E1812)),N(BASELINE!E1812)))=INT(SIMOPS!$D$3),IFERROR(UPPER(TRIM(BASELINE!D1812&amp;"")),"")&lt;&gt;"ENCERRADA"),1,0),0)</f>
        <v/>
      </c>
      <c r="B1812">
        <f>B1811+A1812</f>
        <v/>
      </c>
    </row>
    <row r="1813">
      <c r="A1813">
        <f>IFERROR(IF(AND(BASELINE!I1813&lt;&gt;"",INT(IF(CALC!$F$1&gt;0,IF(N(INDEX(BASELINE!$A1813:$ZZ1813,CALC!$F$1))&gt;0,N(INDEX(BASELINE!$A1813:$ZZ1813,CALC!$F$1)),N(BASELINE!E1813)),N(BASELINE!E1813)))=INT(SIMOPS!$D$3),IFERROR(UPPER(TRIM(BASELINE!D1813&amp;"")),"")&lt;&gt;"ENCERRADA"),1,0),0)</f>
        <v/>
      </c>
      <c r="B1813">
        <f>B1812+A1813</f>
        <v/>
      </c>
    </row>
    <row r="1814">
      <c r="A1814">
        <f>IFERROR(IF(AND(BASELINE!I1814&lt;&gt;"",INT(IF(CALC!$F$1&gt;0,IF(N(INDEX(BASELINE!$A1814:$ZZ1814,CALC!$F$1))&gt;0,N(INDEX(BASELINE!$A1814:$ZZ1814,CALC!$F$1)),N(BASELINE!E1814)),N(BASELINE!E1814)))=INT(SIMOPS!$D$3),IFERROR(UPPER(TRIM(BASELINE!D1814&amp;"")),"")&lt;&gt;"ENCERRADA"),1,0),0)</f>
        <v/>
      </c>
      <c r="B1814">
        <f>B1813+A1814</f>
        <v/>
      </c>
    </row>
    <row r="1815">
      <c r="A1815">
        <f>IFERROR(IF(AND(BASELINE!I1815&lt;&gt;"",INT(IF(CALC!$F$1&gt;0,IF(N(INDEX(BASELINE!$A1815:$ZZ1815,CALC!$F$1))&gt;0,N(INDEX(BASELINE!$A1815:$ZZ1815,CALC!$F$1)),N(BASELINE!E1815)),N(BASELINE!E1815)))=INT(SIMOPS!$D$3),IFERROR(UPPER(TRIM(BASELINE!D1815&amp;"")),"")&lt;&gt;"ENCERRADA"),1,0),0)</f>
        <v/>
      </c>
      <c r="B1815">
        <f>B1814+A1815</f>
        <v/>
      </c>
    </row>
    <row r="1816">
      <c r="A1816">
        <f>IFERROR(IF(AND(BASELINE!I1816&lt;&gt;"",INT(IF(CALC!$F$1&gt;0,IF(N(INDEX(BASELINE!$A1816:$ZZ1816,CALC!$F$1))&gt;0,N(INDEX(BASELINE!$A1816:$ZZ1816,CALC!$F$1)),N(BASELINE!E1816)),N(BASELINE!E1816)))=INT(SIMOPS!$D$3),IFERROR(UPPER(TRIM(BASELINE!D1816&amp;"")),"")&lt;&gt;"ENCERRADA"),1,0),0)</f>
        <v/>
      </c>
      <c r="B1816">
        <f>B1815+A1816</f>
        <v/>
      </c>
    </row>
    <row r="1817">
      <c r="A1817">
        <f>IFERROR(IF(AND(BASELINE!I1817&lt;&gt;"",INT(IF(CALC!$F$1&gt;0,IF(N(INDEX(BASELINE!$A1817:$ZZ1817,CALC!$F$1))&gt;0,N(INDEX(BASELINE!$A1817:$ZZ1817,CALC!$F$1)),N(BASELINE!E1817)),N(BASELINE!E1817)))=INT(SIMOPS!$D$3),IFERROR(UPPER(TRIM(BASELINE!D1817&amp;"")),"")&lt;&gt;"ENCERRADA"),1,0),0)</f>
        <v/>
      </c>
      <c r="B1817">
        <f>B1816+A1817</f>
        <v/>
      </c>
    </row>
    <row r="1818">
      <c r="A1818">
        <f>IFERROR(IF(AND(BASELINE!I1818&lt;&gt;"",INT(IF(CALC!$F$1&gt;0,IF(N(INDEX(BASELINE!$A1818:$ZZ1818,CALC!$F$1))&gt;0,N(INDEX(BASELINE!$A1818:$ZZ1818,CALC!$F$1)),N(BASELINE!E1818)),N(BASELINE!E1818)))=INT(SIMOPS!$D$3),IFERROR(UPPER(TRIM(BASELINE!D1818&amp;"")),"")&lt;&gt;"ENCERRADA"),1,0),0)</f>
        <v/>
      </c>
      <c r="B1818">
        <f>B1817+A1818</f>
        <v/>
      </c>
    </row>
    <row r="1819">
      <c r="A1819">
        <f>IFERROR(IF(AND(BASELINE!I1819&lt;&gt;"",INT(IF(CALC!$F$1&gt;0,IF(N(INDEX(BASELINE!$A1819:$ZZ1819,CALC!$F$1))&gt;0,N(INDEX(BASELINE!$A1819:$ZZ1819,CALC!$F$1)),N(BASELINE!E1819)),N(BASELINE!E1819)))=INT(SIMOPS!$D$3),IFERROR(UPPER(TRIM(BASELINE!D1819&amp;"")),"")&lt;&gt;"ENCERRADA"),1,0),0)</f>
        <v/>
      </c>
      <c r="B1819">
        <f>B1818+A1819</f>
        <v/>
      </c>
    </row>
    <row r="1820">
      <c r="A1820">
        <f>IFERROR(IF(AND(BASELINE!I1820&lt;&gt;"",INT(IF(CALC!$F$1&gt;0,IF(N(INDEX(BASELINE!$A1820:$ZZ1820,CALC!$F$1))&gt;0,N(INDEX(BASELINE!$A1820:$ZZ1820,CALC!$F$1)),N(BASELINE!E1820)),N(BASELINE!E1820)))=INT(SIMOPS!$D$3),IFERROR(UPPER(TRIM(BASELINE!D1820&amp;"")),"")&lt;&gt;"ENCERRADA"),1,0),0)</f>
        <v/>
      </c>
      <c r="B1820">
        <f>B1819+A1820</f>
        <v/>
      </c>
    </row>
    <row r="1821">
      <c r="A1821">
        <f>IFERROR(IF(AND(BASELINE!I1821&lt;&gt;"",INT(IF(CALC!$F$1&gt;0,IF(N(INDEX(BASELINE!$A1821:$ZZ1821,CALC!$F$1))&gt;0,N(INDEX(BASELINE!$A1821:$ZZ1821,CALC!$F$1)),N(BASELINE!E1821)),N(BASELINE!E1821)))=INT(SIMOPS!$D$3),IFERROR(UPPER(TRIM(BASELINE!D1821&amp;"")),"")&lt;&gt;"ENCERRADA"),1,0),0)</f>
        <v/>
      </c>
      <c r="B1821">
        <f>B1820+A1821</f>
        <v/>
      </c>
    </row>
    <row r="1822">
      <c r="A1822">
        <f>IFERROR(IF(AND(BASELINE!I1822&lt;&gt;"",INT(IF(CALC!$F$1&gt;0,IF(N(INDEX(BASELINE!$A1822:$ZZ1822,CALC!$F$1))&gt;0,N(INDEX(BASELINE!$A1822:$ZZ1822,CALC!$F$1)),N(BASELINE!E1822)),N(BASELINE!E1822)))=INT(SIMOPS!$D$3),IFERROR(UPPER(TRIM(BASELINE!D1822&amp;"")),"")&lt;&gt;"ENCERRADA"),1,0),0)</f>
        <v/>
      </c>
      <c r="B1822">
        <f>B1821+A1822</f>
        <v/>
      </c>
    </row>
    <row r="1823">
      <c r="A1823">
        <f>IFERROR(IF(AND(BASELINE!I1823&lt;&gt;"",INT(IF(CALC!$F$1&gt;0,IF(N(INDEX(BASELINE!$A1823:$ZZ1823,CALC!$F$1))&gt;0,N(INDEX(BASELINE!$A1823:$ZZ1823,CALC!$F$1)),N(BASELINE!E1823)),N(BASELINE!E1823)))=INT(SIMOPS!$D$3),IFERROR(UPPER(TRIM(BASELINE!D1823&amp;"")),"")&lt;&gt;"ENCERRADA"),1,0),0)</f>
        <v/>
      </c>
      <c r="B1823">
        <f>B1822+A1823</f>
        <v/>
      </c>
    </row>
    <row r="1824">
      <c r="A1824">
        <f>IFERROR(IF(AND(BASELINE!I1824&lt;&gt;"",INT(IF(CALC!$F$1&gt;0,IF(N(INDEX(BASELINE!$A1824:$ZZ1824,CALC!$F$1))&gt;0,N(INDEX(BASELINE!$A1824:$ZZ1824,CALC!$F$1)),N(BASELINE!E1824)),N(BASELINE!E1824)))=INT(SIMOPS!$D$3),IFERROR(UPPER(TRIM(BASELINE!D1824&amp;"")),"")&lt;&gt;"ENCERRADA"),1,0),0)</f>
        <v/>
      </c>
      <c r="B1824">
        <f>B1823+A1824</f>
        <v/>
      </c>
    </row>
    <row r="1825">
      <c r="A1825">
        <f>IFERROR(IF(AND(BASELINE!I1825&lt;&gt;"",INT(IF(CALC!$F$1&gt;0,IF(N(INDEX(BASELINE!$A1825:$ZZ1825,CALC!$F$1))&gt;0,N(INDEX(BASELINE!$A1825:$ZZ1825,CALC!$F$1)),N(BASELINE!E1825)),N(BASELINE!E1825)))=INT(SIMOPS!$D$3),IFERROR(UPPER(TRIM(BASELINE!D1825&amp;"")),"")&lt;&gt;"ENCERRADA"),1,0),0)</f>
        <v/>
      </c>
      <c r="B1825">
        <f>B1824+A1825</f>
        <v/>
      </c>
    </row>
    <row r="1826">
      <c r="A1826">
        <f>IFERROR(IF(AND(BASELINE!I1826&lt;&gt;"",INT(IF(CALC!$F$1&gt;0,IF(N(INDEX(BASELINE!$A1826:$ZZ1826,CALC!$F$1))&gt;0,N(INDEX(BASELINE!$A1826:$ZZ1826,CALC!$F$1)),N(BASELINE!E1826)),N(BASELINE!E1826)))=INT(SIMOPS!$D$3),IFERROR(UPPER(TRIM(BASELINE!D1826&amp;"")),"")&lt;&gt;"ENCERRADA"),1,0),0)</f>
        <v/>
      </c>
      <c r="B1826">
        <f>B1825+A1826</f>
        <v/>
      </c>
    </row>
    <row r="1827">
      <c r="A1827">
        <f>IFERROR(IF(AND(BASELINE!I1827&lt;&gt;"",INT(IF(CALC!$F$1&gt;0,IF(N(INDEX(BASELINE!$A1827:$ZZ1827,CALC!$F$1))&gt;0,N(INDEX(BASELINE!$A1827:$ZZ1827,CALC!$F$1)),N(BASELINE!E1827)),N(BASELINE!E1827)))=INT(SIMOPS!$D$3),IFERROR(UPPER(TRIM(BASELINE!D1827&amp;"")),"")&lt;&gt;"ENCERRADA"),1,0),0)</f>
        <v/>
      </c>
      <c r="B1827">
        <f>B1826+A1827</f>
        <v/>
      </c>
    </row>
    <row r="1828">
      <c r="A1828">
        <f>IFERROR(IF(AND(BASELINE!I1828&lt;&gt;"",INT(IF(CALC!$F$1&gt;0,IF(N(INDEX(BASELINE!$A1828:$ZZ1828,CALC!$F$1))&gt;0,N(INDEX(BASELINE!$A1828:$ZZ1828,CALC!$F$1)),N(BASELINE!E1828)),N(BASELINE!E1828)))=INT(SIMOPS!$D$3),IFERROR(UPPER(TRIM(BASELINE!D1828&amp;"")),"")&lt;&gt;"ENCERRADA"),1,0),0)</f>
        <v/>
      </c>
      <c r="B1828">
        <f>B1827+A1828</f>
        <v/>
      </c>
    </row>
    <row r="1829">
      <c r="A1829">
        <f>IFERROR(IF(AND(BASELINE!I1829&lt;&gt;"",INT(IF(CALC!$F$1&gt;0,IF(N(INDEX(BASELINE!$A1829:$ZZ1829,CALC!$F$1))&gt;0,N(INDEX(BASELINE!$A1829:$ZZ1829,CALC!$F$1)),N(BASELINE!E1829)),N(BASELINE!E1829)))=INT(SIMOPS!$D$3),IFERROR(UPPER(TRIM(BASELINE!D1829&amp;"")),"")&lt;&gt;"ENCERRADA"),1,0),0)</f>
        <v/>
      </c>
      <c r="B1829">
        <f>B1828+A1829</f>
        <v/>
      </c>
    </row>
    <row r="1830">
      <c r="A1830">
        <f>IFERROR(IF(AND(BASELINE!I1830&lt;&gt;"",INT(IF(CALC!$F$1&gt;0,IF(N(INDEX(BASELINE!$A1830:$ZZ1830,CALC!$F$1))&gt;0,N(INDEX(BASELINE!$A1830:$ZZ1830,CALC!$F$1)),N(BASELINE!E1830)),N(BASELINE!E1830)))=INT(SIMOPS!$D$3),IFERROR(UPPER(TRIM(BASELINE!D1830&amp;"")),"")&lt;&gt;"ENCERRADA"),1,0),0)</f>
        <v/>
      </c>
      <c r="B1830">
        <f>B1829+A1830</f>
        <v/>
      </c>
    </row>
    <row r="1831">
      <c r="A1831">
        <f>IFERROR(IF(AND(BASELINE!I1831&lt;&gt;"",INT(IF(CALC!$F$1&gt;0,IF(N(INDEX(BASELINE!$A1831:$ZZ1831,CALC!$F$1))&gt;0,N(INDEX(BASELINE!$A1831:$ZZ1831,CALC!$F$1)),N(BASELINE!E1831)),N(BASELINE!E1831)))=INT(SIMOPS!$D$3),IFERROR(UPPER(TRIM(BASELINE!D1831&amp;"")),"")&lt;&gt;"ENCERRADA"),1,0),0)</f>
        <v/>
      </c>
      <c r="B1831">
        <f>B1830+A1831</f>
        <v/>
      </c>
    </row>
    <row r="1832">
      <c r="A1832">
        <f>IFERROR(IF(AND(BASELINE!I1832&lt;&gt;"",INT(IF(CALC!$F$1&gt;0,IF(N(INDEX(BASELINE!$A1832:$ZZ1832,CALC!$F$1))&gt;0,N(INDEX(BASELINE!$A1832:$ZZ1832,CALC!$F$1)),N(BASELINE!E1832)),N(BASELINE!E1832)))=INT(SIMOPS!$D$3),IFERROR(UPPER(TRIM(BASELINE!D1832&amp;"")),"")&lt;&gt;"ENCERRADA"),1,0),0)</f>
        <v/>
      </c>
      <c r="B1832">
        <f>B1831+A1832</f>
        <v/>
      </c>
    </row>
    <row r="1833">
      <c r="A1833">
        <f>IFERROR(IF(AND(BASELINE!I1833&lt;&gt;"",INT(IF(CALC!$F$1&gt;0,IF(N(INDEX(BASELINE!$A1833:$ZZ1833,CALC!$F$1))&gt;0,N(INDEX(BASELINE!$A1833:$ZZ1833,CALC!$F$1)),N(BASELINE!E1833)),N(BASELINE!E1833)))=INT(SIMOPS!$D$3),IFERROR(UPPER(TRIM(BASELINE!D1833&amp;"")),"")&lt;&gt;"ENCERRADA"),1,0),0)</f>
        <v/>
      </c>
      <c r="B1833">
        <f>B1832+A1833</f>
        <v/>
      </c>
    </row>
    <row r="1834">
      <c r="A1834">
        <f>IFERROR(IF(AND(BASELINE!I1834&lt;&gt;"",INT(IF(CALC!$F$1&gt;0,IF(N(INDEX(BASELINE!$A1834:$ZZ1834,CALC!$F$1))&gt;0,N(INDEX(BASELINE!$A1834:$ZZ1834,CALC!$F$1)),N(BASELINE!E1834)),N(BASELINE!E1834)))=INT(SIMOPS!$D$3),IFERROR(UPPER(TRIM(BASELINE!D1834&amp;"")),"")&lt;&gt;"ENCERRADA"),1,0),0)</f>
        <v/>
      </c>
      <c r="B1834">
        <f>B1833+A1834</f>
        <v/>
      </c>
    </row>
    <row r="1835">
      <c r="A1835">
        <f>IFERROR(IF(AND(BASELINE!I1835&lt;&gt;"",INT(IF(CALC!$F$1&gt;0,IF(N(INDEX(BASELINE!$A1835:$ZZ1835,CALC!$F$1))&gt;0,N(INDEX(BASELINE!$A1835:$ZZ1835,CALC!$F$1)),N(BASELINE!E1835)),N(BASELINE!E1835)))=INT(SIMOPS!$D$3),IFERROR(UPPER(TRIM(BASELINE!D1835&amp;"")),"")&lt;&gt;"ENCERRADA"),1,0),0)</f>
        <v/>
      </c>
      <c r="B1835">
        <f>B1834+A1835</f>
        <v/>
      </c>
    </row>
    <row r="1836">
      <c r="A1836">
        <f>IFERROR(IF(AND(BASELINE!I1836&lt;&gt;"",INT(IF(CALC!$F$1&gt;0,IF(N(INDEX(BASELINE!$A1836:$ZZ1836,CALC!$F$1))&gt;0,N(INDEX(BASELINE!$A1836:$ZZ1836,CALC!$F$1)),N(BASELINE!E1836)),N(BASELINE!E1836)))=INT(SIMOPS!$D$3),IFERROR(UPPER(TRIM(BASELINE!D1836&amp;"")),"")&lt;&gt;"ENCERRADA"),1,0),0)</f>
        <v/>
      </c>
      <c r="B1836">
        <f>B1835+A1836</f>
        <v/>
      </c>
    </row>
    <row r="1837">
      <c r="A1837">
        <f>IFERROR(IF(AND(BASELINE!I1837&lt;&gt;"",INT(IF(CALC!$F$1&gt;0,IF(N(INDEX(BASELINE!$A1837:$ZZ1837,CALC!$F$1))&gt;0,N(INDEX(BASELINE!$A1837:$ZZ1837,CALC!$F$1)),N(BASELINE!E1837)),N(BASELINE!E1837)))=INT(SIMOPS!$D$3),IFERROR(UPPER(TRIM(BASELINE!D1837&amp;"")),"")&lt;&gt;"ENCERRADA"),1,0),0)</f>
        <v/>
      </c>
      <c r="B1837">
        <f>B1836+A1837</f>
        <v/>
      </c>
    </row>
    <row r="1838">
      <c r="A1838">
        <f>IFERROR(IF(AND(BASELINE!I1838&lt;&gt;"",INT(IF(CALC!$F$1&gt;0,IF(N(INDEX(BASELINE!$A1838:$ZZ1838,CALC!$F$1))&gt;0,N(INDEX(BASELINE!$A1838:$ZZ1838,CALC!$F$1)),N(BASELINE!E1838)),N(BASELINE!E1838)))=INT(SIMOPS!$D$3),IFERROR(UPPER(TRIM(BASELINE!D1838&amp;"")),"")&lt;&gt;"ENCERRADA"),1,0),0)</f>
        <v/>
      </c>
      <c r="B1838">
        <f>B1837+A1838</f>
        <v/>
      </c>
    </row>
    <row r="1839">
      <c r="A1839">
        <f>IFERROR(IF(AND(BASELINE!I1839&lt;&gt;"",INT(IF(CALC!$F$1&gt;0,IF(N(INDEX(BASELINE!$A1839:$ZZ1839,CALC!$F$1))&gt;0,N(INDEX(BASELINE!$A1839:$ZZ1839,CALC!$F$1)),N(BASELINE!E1839)),N(BASELINE!E1839)))=INT(SIMOPS!$D$3),IFERROR(UPPER(TRIM(BASELINE!D1839&amp;"")),"")&lt;&gt;"ENCERRADA"),1,0),0)</f>
        <v/>
      </c>
      <c r="B1839">
        <f>B1838+A1839</f>
        <v/>
      </c>
    </row>
    <row r="1840">
      <c r="A1840">
        <f>IFERROR(IF(AND(BASELINE!I1840&lt;&gt;"",INT(IF(CALC!$F$1&gt;0,IF(N(INDEX(BASELINE!$A1840:$ZZ1840,CALC!$F$1))&gt;0,N(INDEX(BASELINE!$A1840:$ZZ1840,CALC!$F$1)),N(BASELINE!E1840)),N(BASELINE!E1840)))=INT(SIMOPS!$D$3),IFERROR(UPPER(TRIM(BASELINE!D1840&amp;"")),"")&lt;&gt;"ENCERRADA"),1,0),0)</f>
        <v/>
      </c>
      <c r="B1840">
        <f>B1839+A1840</f>
        <v/>
      </c>
    </row>
    <row r="1841">
      <c r="A1841">
        <f>IFERROR(IF(AND(BASELINE!I1841&lt;&gt;"",INT(IF(CALC!$F$1&gt;0,IF(N(INDEX(BASELINE!$A1841:$ZZ1841,CALC!$F$1))&gt;0,N(INDEX(BASELINE!$A1841:$ZZ1841,CALC!$F$1)),N(BASELINE!E1841)),N(BASELINE!E1841)))=INT(SIMOPS!$D$3),IFERROR(UPPER(TRIM(BASELINE!D1841&amp;"")),"")&lt;&gt;"ENCERRADA"),1,0),0)</f>
        <v/>
      </c>
      <c r="B1841">
        <f>B1840+A1841</f>
        <v/>
      </c>
    </row>
    <row r="1842">
      <c r="A1842">
        <f>IFERROR(IF(AND(BASELINE!I1842&lt;&gt;"",INT(IF(CALC!$F$1&gt;0,IF(N(INDEX(BASELINE!$A1842:$ZZ1842,CALC!$F$1))&gt;0,N(INDEX(BASELINE!$A1842:$ZZ1842,CALC!$F$1)),N(BASELINE!E1842)),N(BASELINE!E1842)))=INT(SIMOPS!$D$3),IFERROR(UPPER(TRIM(BASELINE!D1842&amp;"")),"")&lt;&gt;"ENCERRADA"),1,0),0)</f>
        <v/>
      </c>
      <c r="B1842">
        <f>B1841+A1842</f>
        <v/>
      </c>
    </row>
    <row r="1843">
      <c r="A1843">
        <f>IFERROR(IF(AND(BASELINE!I1843&lt;&gt;"",INT(IF(CALC!$F$1&gt;0,IF(N(INDEX(BASELINE!$A1843:$ZZ1843,CALC!$F$1))&gt;0,N(INDEX(BASELINE!$A1843:$ZZ1843,CALC!$F$1)),N(BASELINE!E1843)),N(BASELINE!E1843)))=INT(SIMOPS!$D$3),IFERROR(UPPER(TRIM(BASELINE!D1843&amp;"")),"")&lt;&gt;"ENCERRADA"),1,0),0)</f>
        <v/>
      </c>
      <c r="B1843">
        <f>B1842+A1843</f>
        <v/>
      </c>
    </row>
    <row r="1844">
      <c r="A1844">
        <f>IFERROR(IF(AND(BASELINE!I1844&lt;&gt;"",INT(IF(CALC!$F$1&gt;0,IF(N(INDEX(BASELINE!$A1844:$ZZ1844,CALC!$F$1))&gt;0,N(INDEX(BASELINE!$A1844:$ZZ1844,CALC!$F$1)),N(BASELINE!E1844)),N(BASELINE!E1844)))=INT(SIMOPS!$D$3),IFERROR(UPPER(TRIM(BASELINE!D1844&amp;"")),"")&lt;&gt;"ENCERRADA"),1,0),0)</f>
        <v/>
      </c>
      <c r="B1844">
        <f>B1843+A1844</f>
        <v/>
      </c>
    </row>
    <row r="1845">
      <c r="A1845">
        <f>IFERROR(IF(AND(BASELINE!I1845&lt;&gt;"",INT(IF(CALC!$F$1&gt;0,IF(N(INDEX(BASELINE!$A1845:$ZZ1845,CALC!$F$1))&gt;0,N(INDEX(BASELINE!$A1845:$ZZ1845,CALC!$F$1)),N(BASELINE!E1845)),N(BASELINE!E1845)))=INT(SIMOPS!$D$3),IFERROR(UPPER(TRIM(BASELINE!D1845&amp;"")),"")&lt;&gt;"ENCERRADA"),1,0),0)</f>
        <v/>
      </c>
      <c r="B1845">
        <f>B1844+A1845</f>
        <v/>
      </c>
    </row>
    <row r="1846">
      <c r="A1846">
        <f>IFERROR(IF(AND(BASELINE!I1846&lt;&gt;"",INT(IF(CALC!$F$1&gt;0,IF(N(INDEX(BASELINE!$A1846:$ZZ1846,CALC!$F$1))&gt;0,N(INDEX(BASELINE!$A1846:$ZZ1846,CALC!$F$1)),N(BASELINE!E1846)),N(BASELINE!E1846)))=INT(SIMOPS!$D$3),IFERROR(UPPER(TRIM(BASELINE!D1846&amp;"")),"")&lt;&gt;"ENCERRADA"),1,0),0)</f>
        <v/>
      </c>
      <c r="B1846">
        <f>B1845+A1846</f>
        <v/>
      </c>
    </row>
    <row r="1847">
      <c r="A1847">
        <f>IFERROR(IF(AND(BASELINE!I1847&lt;&gt;"",INT(IF(CALC!$F$1&gt;0,IF(N(INDEX(BASELINE!$A1847:$ZZ1847,CALC!$F$1))&gt;0,N(INDEX(BASELINE!$A1847:$ZZ1847,CALC!$F$1)),N(BASELINE!E1847)),N(BASELINE!E1847)))=INT(SIMOPS!$D$3),IFERROR(UPPER(TRIM(BASELINE!D1847&amp;"")),"")&lt;&gt;"ENCERRADA"),1,0),0)</f>
        <v/>
      </c>
      <c r="B1847">
        <f>B1846+A1847</f>
        <v/>
      </c>
    </row>
    <row r="1848">
      <c r="A1848">
        <f>IFERROR(IF(AND(BASELINE!I1848&lt;&gt;"",INT(IF(CALC!$F$1&gt;0,IF(N(INDEX(BASELINE!$A1848:$ZZ1848,CALC!$F$1))&gt;0,N(INDEX(BASELINE!$A1848:$ZZ1848,CALC!$F$1)),N(BASELINE!E1848)),N(BASELINE!E1848)))=INT(SIMOPS!$D$3),IFERROR(UPPER(TRIM(BASELINE!D1848&amp;"")),"")&lt;&gt;"ENCERRADA"),1,0),0)</f>
        <v/>
      </c>
      <c r="B1848">
        <f>B1847+A1848</f>
        <v/>
      </c>
    </row>
    <row r="1849">
      <c r="A1849">
        <f>IFERROR(IF(AND(BASELINE!I1849&lt;&gt;"",INT(IF(CALC!$F$1&gt;0,IF(N(INDEX(BASELINE!$A1849:$ZZ1849,CALC!$F$1))&gt;0,N(INDEX(BASELINE!$A1849:$ZZ1849,CALC!$F$1)),N(BASELINE!E1849)),N(BASELINE!E1849)))=INT(SIMOPS!$D$3),IFERROR(UPPER(TRIM(BASELINE!D1849&amp;"")),"")&lt;&gt;"ENCERRADA"),1,0),0)</f>
        <v/>
      </c>
      <c r="B1849">
        <f>B1848+A1849</f>
        <v/>
      </c>
    </row>
    <row r="1850">
      <c r="A1850">
        <f>IFERROR(IF(AND(BASELINE!I1850&lt;&gt;"",INT(IF(CALC!$F$1&gt;0,IF(N(INDEX(BASELINE!$A1850:$ZZ1850,CALC!$F$1))&gt;0,N(INDEX(BASELINE!$A1850:$ZZ1850,CALC!$F$1)),N(BASELINE!E1850)),N(BASELINE!E1850)))=INT(SIMOPS!$D$3),IFERROR(UPPER(TRIM(BASELINE!D1850&amp;"")),"")&lt;&gt;"ENCERRADA"),1,0),0)</f>
        <v/>
      </c>
      <c r="B1850">
        <f>B1849+A1850</f>
        <v/>
      </c>
    </row>
    <row r="1851">
      <c r="A1851">
        <f>IFERROR(IF(AND(BASELINE!I1851&lt;&gt;"",INT(IF(CALC!$F$1&gt;0,IF(N(INDEX(BASELINE!$A1851:$ZZ1851,CALC!$F$1))&gt;0,N(INDEX(BASELINE!$A1851:$ZZ1851,CALC!$F$1)),N(BASELINE!E1851)),N(BASELINE!E1851)))=INT(SIMOPS!$D$3),IFERROR(UPPER(TRIM(BASELINE!D1851&amp;"")),"")&lt;&gt;"ENCERRADA"),1,0),0)</f>
        <v/>
      </c>
      <c r="B1851">
        <f>B1850+A1851</f>
        <v/>
      </c>
    </row>
    <row r="1852">
      <c r="A1852">
        <f>IFERROR(IF(AND(BASELINE!I1852&lt;&gt;"",INT(IF(CALC!$F$1&gt;0,IF(N(INDEX(BASELINE!$A1852:$ZZ1852,CALC!$F$1))&gt;0,N(INDEX(BASELINE!$A1852:$ZZ1852,CALC!$F$1)),N(BASELINE!E1852)),N(BASELINE!E1852)))=INT(SIMOPS!$D$3),IFERROR(UPPER(TRIM(BASELINE!D1852&amp;"")),"")&lt;&gt;"ENCERRADA"),1,0),0)</f>
        <v/>
      </c>
      <c r="B1852">
        <f>B1851+A1852</f>
        <v/>
      </c>
    </row>
    <row r="1853">
      <c r="A1853">
        <f>IFERROR(IF(AND(BASELINE!I1853&lt;&gt;"",INT(IF(CALC!$F$1&gt;0,IF(N(INDEX(BASELINE!$A1853:$ZZ1853,CALC!$F$1))&gt;0,N(INDEX(BASELINE!$A1853:$ZZ1853,CALC!$F$1)),N(BASELINE!E1853)),N(BASELINE!E1853)))=INT(SIMOPS!$D$3),IFERROR(UPPER(TRIM(BASELINE!D1853&amp;"")),"")&lt;&gt;"ENCERRADA"),1,0),0)</f>
        <v/>
      </c>
      <c r="B1853">
        <f>B1852+A1853</f>
        <v/>
      </c>
    </row>
    <row r="1854">
      <c r="A1854">
        <f>IFERROR(IF(AND(BASELINE!I1854&lt;&gt;"",INT(IF(CALC!$F$1&gt;0,IF(N(INDEX(BASELINE!$A1854:$ZZ1854,CALC!$F$1))&gt;0,N(INDEX(BASELINE!$A1854:$ZZ1854,CALC!$F$1)),N(BASELINE!E1854)),N(BASELINE!E1854)))=INT(SIMOPS!$D$3),IFERROR(UPPER(TRIM(BASELINE!D1854&amp;"")),"")&lt;&gt;"ENCERRADA"),1,0),0)</f>
        <v/>
      </c>
      <c r="B1854">
        <f>B1853+A1854</f>
        <v/>
      </c>
    </row>
    <row r="1855">
      <c r="A1855">
        <f>IFERROR(IF(AND(BASELINE!I1855&lt;&gt;"",INT(IF(CALC!$F$1&gt;0,IF(N(INDEX(BASELINE!$A1855:$ZZ1855,CALC!$F$1))&gt;0,N(INDEX(BASELINE!$A1855:$ZZ1855,CALC!$F$1)),N(BASELINE!E1855)),N(BASELINE!E1855)))=INT(SIMOPS!$D$3),IFERROR(UPPER(TRIM(BASELINE!D1855&amp;"")),"")&lt;&gt;"ENCERRADA"),1,0),0)</f>
        <v/>
      </c>
      <c r="B1855">
        <f>B1854+A1855</f>
        <v/>
      </c>
    </row>
    <row r="1856">
      <c r="A1856">
        <f>IFERROR(IF(AND(BASELINE!I1856&lt;&gt;"",INT(IF(CALC!$F$1&gt;0,IF(N(INDEX(BASELINE!$A1856:$ZZ1856,CALC!$F$1))&gt;0,N(INDEX(BASELINE!$A1856:$ZZ1856,CALC!$F$1)),N(BASELINE!E1856)),N(BASELINE!E1856)))=INT(SIMOPS!$D$3),IFERROR(UPPER(TRIM(BASELINE!D1856&amp;"")),"")&lt;&gt;"ENCERRADA"),1,0),0)</f>
        <v/>
      </c>
      <c r="B1856">
        <f>B1855+A1856</f>
        <v/>
      </c>
    </row>
    <row r="1857">
      <c r="A1857">
        <f>IFERROR(IF(AND(BASELINE!I1857&lt;&gt;"",INT(IF(CALC!$F$1&gt;0,IF(N(INDEX(BASELINE!$A1857:$ZZ1857,CALC!$F$1))&gt;0,N(INDEX(BASELINE!$A1857:$ZZ1857,CALC!$F$1)),N(BASELINE!E1857)),N(BASELINE!E1857)))=INT(SIMOPS!$D$3),IFERROR(UPPER(TRIM(BASELINE!D1857&amp;"")),"")&lt;&gt;"ENCERRADA"),1,0),0)</f>
        <v/>
      </c>
      <c r="B1857">
        <f>B1856+A1857</f>
        <v/>
      </c>
    </row>
    <row r="1858">
      <c r="A1858">
        <f>IFERROR(IF(AND(BASELINE!I1858&lt;&gt;"",INT(IF(CALC!$F$1&gt;0,IF(N(INDEX(BASELINE!$A1858:$ZZ1858,CALC!$F$1))&gt;0,N(INDEX(BASELINE!$A1858:$ZZ1858,CALC!$F$1)),N(BASELINE!E1858)),N(BASELINE!E1858)))=INT(SIMOPS!$D$3),IFERROR(UPPER(TRIM(BASELINE!D1858&amp;"")),"")&lt;&gt;"ENCERRADA"),1,0),0)</f>
        <v/>
      </c>
      <c r="B1858">
        <f>B1857+A1858</f>
        <v/>
      </c>
    </row>
    <row r="1859">
      <c r="A1859">
        <f>IFERROR(IF(AND(BASELINE!I1859&lt;&gt;"",INT(IF(CALC!$F$1&gt;0,IF(N(INDEX(BASELINE!$A1859:$ZZ1859,CALC!$F$1))&gt;0,N(INDEX(BASELINE!$A1859:$ZZ1859,CALC!$F$1)),N(BASELINE!E1859)),N(BASELINE!E1859)))=INT(SIMOPS!$D$3),IFERROR(UPPER(TRIM(BASELINE!D1859&amp;"")),"")&lt;&gt;"ENCERRADA"),1,0),0)</f>
        <v/>
      </c>
      <c r="B1859">
        <f>B1858+A1859</f>
        <v/>
      </c>
    </row>
    <row r="1860">
      <c r="A1860">
        <f>IFERROR(IF(AND(BASELINE!I1860&lt;&gt;"",INT(IF(CALC!$F$1&gt;0,IF(N(INDEX(BASELINE!$A1860:$ZZ1860,CALC!$F$1))&gt;0,N(INDEX(BASELINE!$A1860:$ZZ1860,CALC!$F$1)),N(BASELINE!E1860)),N(BASELINE!E1860)))=INT(SIMOPS!$D$3),IFERROR(UPPER(TRIM(BASELINE!D1860&amp;"")),"")&lt;&gt;"ENCERRADA"),1,0),0)</f>
        <v/>
      </c>
      <c r="B1860">
        <f>B1859+A1860</f>
        <v/>
      </c>
    </row>
    <row r="1861">
      <c r="A1861">
        <f>IFERROR(IF(AND(BASELINE!I1861&lt;&gt;"",INT(IF(CALC!$F$1&gt;0,IF(N(INDEX(BASELINE!$A1861:$ZZ1861,CALC!$F$1))&gt;0,N(INDEX(BASELINE!$A1861:$ZZ1861,CALC!$F$1)),N(BASELINE!E1861)),N(BASELINE!E1861)))=INT(SIMOPS!$D$3),IFERROR(UPPER(TRIM(BASELINE!D1861&amp;"")),"")&lt;&gt;"ENCERRADA"),1,0),0)</f>
        <v/>
      </c>
      <c r="B1861">
        <f>B1860+A1861</f>
        <v/>
      </c>
    </row>
    <row r="1862">
      <c r="A1862">
        <f>IFERROR(IF(AND(BASELINE!I1862&lt;&gt;"",INT(IF(CALC!$F$1&gt;0,IF(N(INDEX(BASELINE!$A1862:$ZZ1862,CALC!$F$1))&gt;0,N(INDEX(BASELINE!$A1862:$ZZ1862,CALC!$F$1)),N(BASELINE!E1862)),N(BASELINE!E1862)))=INT(SIMOPS!$D$3),IFERROR(UPPER(TRIM(BASELINE!D1862&amp;"")),"")&lt;&gt;"ENCERRADA"),1,0),0)</f>
        <v/>
      </c>
      <c r="B1862">
        <f>B1861+A1862</f>
        <v/>
      </c>
    </row>
    <row r="1863">
      <c r="A1863">
        <f>IFERROR(IF(AND(BASELINE!I1863&lt;&gt;"",INT(IF(CALC!$F$1&gt;0,IF(N(INDEX(BASELINE!$A1863:$ZZ1863,CALC!$F$1))&gt;0,N(INDEX(BASELINE!$A1863:$ZZ1863,CALC!$F$1)),N(BASELINE!E1863)),N(BASELINE!E1863)))=INT(SIMOPS!$D$3),IFERROR(UPPER(TRIM(BASELINE!D1863&amp;"")),"")&lt;&gt;"ENCERRADA"),1,0),0)</f>
        <v/>
      </c>
      <c r="B1863">
        <f>B1862+A1863</f>
        <v/>
      </c>
    </row>
    <row r="1864">
      <c r="A1864">
        <f>IFERROR(IF(AND(BASELINE!I1864&lt;&gt;"",INT(IF(CALC!$F$1&gt;0,IF(N(INDEX(BASELINE!$A1864:$ZZ1864,CALC!$F$1))&gt;0,N(INDEX(BASELINE!$A1864:$ZZ1864,CALC!$F$1)),N(BASELINE!E1864)),N(BASELINE!E1864)))=INT(SIMOPS!$D$3),IFERROR(UPPER(TRIM(BASELINE!D1864&amp;"")),"")&lt;&gt;"ENCERRADA"),1,0),0)</f>
        <v/>
      </c>
      <c r="B1864">
        <f>B1863+A1864</f>
        <v/>
      </c>
    </row>
    <row r="1865">
      <c r="A1865">
        <f>IFERROR(IF(AND(BASELINE!I1865&lt;&gt;"",INT(IF(CALC!$F$1&gt;0,IF(N(INDEX(BASELINE!$A1865:$ZZ1865,CALC!$F$1))&gt;0,N(INDEX(BASELINE!$A1865:$ZZ1865,CALC!$F$1)),N(BASELINE!E1865)),N(BASELINE!E1865)))=INT(SIMOPS!$D$3),IFERROR(UPPER(TRIM(BASELINE!D1865&amp;"")),"")&lt;&gt;"ENCERRADA"),1,0),0)</f>
        <v/>
      </c>
      <c r="B1865">
        <f>B1864+A1865</f>
        <v/>
      </c>
    </row>
    <row r="1866">
      <c r="A1866">
        <f>IFERROR(IF(AND(BASELINE!I1866&lt;&gt;"",INT(IF(CALC!$F$1&gt;0,IF(N(INDEX(BASELINE!$A1866:$ZZ1866,CALC!$F$1))&gt;0,N(INDEX(BASELINE!$A1866:$ZZ1866,CALC!$F$1)),N(BASELINE!E1866)),N(BASELINE!E1866)))=INT(SIMOPS!$D$3),IFERROR(UPPER(TRIM(BASELINE!D1866&amp;"")),"")&lt;&gt;"ENCERRADA"),1,0),0)</f>
        <v/>
      </c>
      <c r="B1866">
        <f>B1865+A1866</f>
        <v/>
      </c>
    </row>
    <row r="1867">
      <c r="A1867">
        <f>IFERROR(IF(AND(BASELINE!I1867&lt;&gt;"",INT(IF(CALC!$F$1&gt;0,IF(N(INDEX(BASELINE!$A1867:$ZZ1867,CALC!$F$1))&gt;0,N(INDEX(BASELINE!$A1867:$ZZ1867,CALC!$F$1)),N(BASELINE!E1867)),N(BASELINE!E1867)))=INT(SIMOPS!$D$3),IFERROR(UPPER(TRIM(BASELINE!D1867&amp;"")),"")&lt;&gt;"ENCERRADA"),1,0),0)</f>
        <v/>
      </c>
      <c r="B1867">
        <f>B1866+A1867</f>
        <v/>
      </c>
    </row>
    <row r="1868">
      <c r="A1868">
        <f>IFERROR(IF(AND(BASELINE!I1868&lt;&gt;"",INT(IF(CALC!$F$1&gt;0,IF(N(INDEX(BASELINE!$A1868:$ZZ1868,CALC!$F$1))&gt;0,N(INDEX(BASELINE!$A1868:$ZZ1868,CALC!$F$1)),N(BASELINE!E1868)),N(BASELINE!E1868)))=INT(SIMOPS!$D$3),IFERROR(UPPER(TRIM(BASELINE!D1868&amp;"")),"")&lt;&gt;"ENCERRADA"),1,0),0)</f>
        <v/>
      </c>
      <c r="B1868">
        <f>B1867+A1868</f>
        <v/>
      </c>
    </row>
    <row r="1869">
      <c r="A1869">
        <f>IFERROR(IF(AND(BASELINE!I1869&lt;&gt;"",INT(IF(CALC!$F$1&gt;0,IF(N(INDEX(BASELINE!$A1869:$ZZ1869,CALC!$F$1))&gt;0,N(INDEX(BASELINE!$A1869:$ZZ1869,CALC!$F$1)),N(BASELINE!E1869)),N(BASELINE!E1869)))=INT(SIMOPS!$D$3),IFERROR(UPPER(TRIM(BASELINE!D1869&amp;"")),"")&lt;&gt;"ENCERRADA"),1,0),0)</f>
        <v/>
      </c>
      <c r="B1869">
        <f>B1868+A1869</f>
        <v/>
      </c>
    </row>
    <row r="1870">
      <c r="A1870">
        <f>IFERROR(IF(AND(BASELINE!I1870&lt;&gt;"",INT(IF(CALC!$F$1&gt;0,IF(N(INDEX(BASELINE!$A1870:$ZZ1870,CALC!$F$1))&gt;0,N(INDEX(BASELINE!$A1870:$ZZ1870,CALC!$F$1)),N(BASELINE!E1870)),N(BASELINE!E1870)))=INT(SIMOPS!$D$3),IFERROR(UPPER(TRIM(BASELINE!D1870&amp;"")),"")&lt;&gt;"ENCERRADA"),1,0),0)</f>
        <v/>
      </c>
      <c r="B1870">
        <f>B1869+A1870</f>
        <v/>
      </c>
    </row>
    <row r="1871">
      <c r="A1871">
        <f>IFERROR(IF(AND(BASELINE!I1871&lt;&gt;"",INT(IF(CALC!$F$1&gt;0,IF(N(INDEX(BASELINE!$A1871:$ZZ1871,CALC!$F$1))&gt;0,N(INDEX(BASELINE!$A1871:$ZZ1871,CALC!$F$1)),N(BASELINE!E1871)),N(BASELINE!E1871)))=INT(SIMOPS!$D$3),IFERROR(UPPER(TRIM(BASELINE!D1871&amp;"")),"")&lt;&gt;"ENCERRADA"),1,0),0)</f>
        <v/>
      </c>
      <c r="B1871">
        <f>B1870+A1871</f>
        <v/>
      </c>
    </row>
    <row r="1872">
      <c r="A1872">
        <f>IFERROR(IF(AND(BASELINE!I1872&lt;&gt;"",INT(IF(CALC!$F$1&gt;0,IF(N(INDEX(BASELINE!$A1872:$ZZ1872,CALC!$F$1))&gt;0,N(INDEX(BASELINE!$A1872:$ZZ1872,CALC!$F$1)),N(BASELINE!E1872)),N(BASELINE!E1872)))=INT(SIMOPS!$D$3),IFERROR(UPPER(TRIM(BASELINE!D1872&amp;"")),"")&lt;&gt;"ENCERRADA"),1,0),0)</f>
        <v/>
      </c>
      <c r="B1872">
        <f>B1871+A1872</f>
        <v/>
      </c>
    </row>
    <row r="1873">
      <c r="A1873">
        <f>IFERROR(IF(AND(BASELINE!I1873&lt;&gt;"",INT(IF(CALC!$F$1&gt;0,IF(N(INDEX(BASELINE!$A1873:$ZZ1873,CALC!$F$1))&gt;0,N(INDEX(BASELINE!$A1873:$ZZ1873,CALC!$F$1)),N(BASELINE!E1873)),N(BASELINE!E1873)))=INT(SIMOPS!$D$3),IFERROR(UPPER(TRIM(BASELINE!D1873&amp;"")),"")&lt;&gt;"ENCERRADA"),1,0),0)</f>
        <v/>
      </c>
      <c r="B1873">
        <f>B1872+A1873</f>
        <v/>
      </c>
    </row>
    <row r="1874">
      <c r="A1874">
        <f>IFERROR(IF(AND(BASELINE!I1874&lt;&gt;"",INT(IF(CALC!$F$1&gt;0,IF(N(INDEX(BASELINE!$A1874:$ZZ1874,CALC!$F$1))&gt;0,N(INDEX(BASELINE!$A1874:$ZZ1874,CALC!$F$1)),N(BASELINE!E1874)),N(BASELINE!E1874)))=INT(SIMOPS!$D$3),IFERROR(UPPER(TRIM(BASELINE!D1874&amp;"")),"")&lt;&gt;"ENCERRADA"),1,0),0)</f>
        <v/>
      </c>
      <c r="B1874">
        <f>B1873+A1874</f>
        <v/>
      </c>
    </row>
    <row r="1875">
      <c r="A1875">
        <f>IFERROR(IF(AND(BASELINE!I1875&lt;&gt;"",INT(IF(CALC!$F$1&gt;0,IF(N(INDEX(BASELINE!$A1875:$ZZ1875,CALC!$F$1))&gt;0,N(INDEX(BASELINE!$A1875:$ZZ1875,CALC!$F$1)),N(BASELINE!E1875)),N(BASELINE!E1875)))=INT(SIMOPS!$D$3),IFERROR(UPPER(TRIM(BASELINE!D1875&amp;"")),"")&lt;&gt;"ENCERRADA"),1,0),0)</f>
        <v/>
      </c>
      <c r="B1875">
        <f>B1874+A1875</f>
        <v/>
      </c>
    </row>
    <row r="1876">
      <c r="A1876">
        <f>IFERROR(IF(AND(BASELINE!I1876&lt;&gt;"",INT(IF(CALC!$F$1&gt;0,IF(N(INDEX(BASELINE!$A1876:$ZZ1876,CALC!$F$1))&gt;0,N(INDEX(BASELINE!$A1876:$ZZ1876,CALC!$F$1)),N(BASELINE!E1876)),N(BASELINE!E1876)))=INT(SIMOPS!$D$3),IFERROR(UPPER(TRIM(BASELINE!D1876&amp;"")),"")&lt;&gt;"ENCERRADA"),1,0),0)</f>
        <v/>
      </c>
      <c r="B1876">
        <f>B1875+A1876</f>
        <v/>
      </c>
    </row>
    <row r="1877">
      <c r="A1877">
        <f>IFERROR(IF(AND(BASELINE!I1877&lt;&gt;"",INT(IF(CALC!$F$1&gt;0,IF(N(INDEX(BASELINE!$A1877:$ZZ1877,CALC!$F$1))&gt;0,N(INDEX(BASELINE!$A1877:$ZZ1877,CALC!$F$1)),N(BASELINE!E1877)),N(BASELINE!E1877)))=INT(SIMOPS!$D$3),IFERROR(UPPER(TRIM(BASELINE!D1877&amp;"")),"")&lt;&gt;"ENCERRADA"),1,0),0)</f>
        <v/>
      </c>
      <c r="B1877">
        <f>B1876+A1877</f>
        <v/>
      </c>
    </row>
    <row r="1878">
      <c r="A1878">
        <f>IFERROR(IF(AND(BASELINE!I1878&lt;&gt;"",INT(IF(CALC!$F$1&gt;0,IF(N(INDEX(BASELINE!$A1878:$ZZ1878,CALC!$F$1))&gt;0,N(INDEX(BASELINE!$A1878:$ZZ1878,CALC!$F$1)),N(BASELINE!E1878)),N(BASELINE!E1878)))=INT(SIMOPS!$D$3),IFERROR(UPPER(TRIM(BASELINE!D1878&amp;"")),"")&lt;&gt;"ENCERRADA"),1,0),0)</f>
        <v/>
      </c>
      <c r="B1878">
        <f>B1877+A1878</f>
        <v/>
      </c>
    </row>
    <row r="1879">
      <c r="A1879">
        <f>IFERROR(IF(AND(BASELINE!I1879&lt;&gt;"",INT(IF(CALC!$F$1&gt;0,IF(N(INDEX(BASELINE!$A1879:$ZZ1879,CALC!$F$1))&gt;0,N(INDEX(BASELINE!$A1879:$ZZ1879,CALC!$F$1)),N(BASELINE!E1879)),N(BASELINE!E1879)))=INT(SIMOPS!$D$3),IFERROR(UPPER(TRIM(BASELINE!D1879&amp;"")),"")&lt;&gt;"ENCERRADA"),1,0),0)</f>
        <v/>
      </c>
      <c r="B1879">
        <f>B1878+A1879</f>
        <v/>
      </c>
    </row>
    <row r="1880">
      <c r="A1880">
        <f>IFERROR(IF(AND(BASELINE!I1880&lt;&gt;"",INT(IF(CALC!$F$1&gt;0,IF(N(INDEX(BASELINE!$A1880:$ZZ1880,CALC!$F$1))&gt;0,N(INDEX(BASELINE!$A1880:$ZZ1880,CALC!$F$1)),N(BASELINE!E1880)),N(BASELINE!E1880)))=INT(SIMOPS!$D$3),IFERROR(UPPER(TRIM(BASELINE!D1880&amp;"")),"")&lt;&gt;"ENCERRADA"),1,0),0)</f>
        <v/>
      </c>
      <c r="B1880">
        <f>B1879+A1880</f>
        <v/>
      </c>
    </row>
    <row r="1881">
      <c r="A1881">
        <f>IFERROR(IF(AND(BASELINE!I1881&lt;&gt;"",INT(IF(CALC!$F$1&gt;0,IF(N(INDEX(BASELINE!$A1881:$ZZ1881,CALC!$F$1))&gt;0,N(INDEX(BASELINE!$A1881:$ZZ1881,CALC!$F$1)),N(BASELINE!E1881)),N(BASELINE!E1881)))=INT(SIMOPS!$D$3),IFERROR(UPPER(TRIM(BASELINE!D1881&amp;"")),"")&lt;&gt;"ENCERRADA"),1,0),0)</f>
        <v/>
      </c>
      <c r="B1881">
        <f>B1880+A1881</f>
        <v/>
      </c>
    </row>
    <row r="1882">
      <c r="A1882">
        <f>IFERROR(IF(AND(BASELINE!I1882&lt;&gt;"",INT(IF(CALC!$F$1&gt;0,IF(N(INDEX(BASELINE!$A1882:$ZZ1882,CALC!$F$1))&gt;0,N(INDEX(BASELINE!$A1882:$ZZ1882,CALC!$F$1)),N(BASELINE!E1882)),N(BASELINE!E1882)))=INT(SIMOPS!$D$3),IFERROR(UPPER(TRIM(BASELINE!D1882&amp;"")),"")&lt;&gt;"ENCERRADA"),1,0),0)</f>
        <v/>
      </c>
      <c r="B1882">
        <f>B1881+A1882</f>
        <v/>
      </c>
    </row>
    <row r="1883">
      <c r="A1883">
        <f>IFERROR(IF(AND(BASELINE!I1883&lt;&gt;"",INT(IF(CALC!$F$1&gt;0,IF(N(INDEX(BASELINE!$A1883:$ZZ1883,CALC!$F$1))&gt;0,N(INDEX(BASELINE!$A1883:$ZZ1883,CALC!$F$1)),N(BASELINE!E1883)),N(BASELINE!E1883)))=INT(SIMOPS!$D$3),IFERROR(UPPER(TRIM(BASELINE!D1883&amp;"")),"")&lt;&gt;"ENCERRADA"),1,0),0)</f>
        <v/>
      </c>
      <c r="B1883">
        <f>B1882+A1883</f>
        <v/>
      </c>
    </row>
    <row r="1884">
      <c r="A1884">
        <f>IFERROR(IF(AND(BASELINE!I1884&lt;&gt;"",INT(IF(CALC!$F$1&gt;0,IF(N(INDEX(BASELINE!$A1884:$ZZ1884,CALC!$F$1))&gt;0,N(INDEX(BASELINE!$A1884:$ZZ1884,CALC!$F$1)),N(BASELINE!E1884)),N(BASELINE!E1884)))=INT(SIMOPS!$D$3),IFERROR(UPPER(TRIM(BASELINE!D1884&amp;"")),"")&lt;&gt;"ENCERRADA"),1,0),0)</f>
        <v/>
      </c>
      <c r="B1884">
        <f>B1883+A1884</f>
        <v/>
      </c>
    </row>
    <row r="1885">
      <c r="A1885">
        <f>IFERROR(IF(AND(BASELINE!I1885&lt;&gt;"",INT(IF(CALC!$F$1&gt;0,IF(N(INDEX(BASELINE!$A1885:$ZZ1885,CALC!$F$1))&gt;0,N(INDEX(BASELINE!$A1885:$ZZ1885,CALC!$F$1)),N(BASELINE!E1885)),N(BASELINE!E1885)))=INT(SIMOPS!$D$3),IFERROR(UPPER(TRIM(BASELINE!D1885&amp;"")),"")&lt;&gt;"ENCERRADA"),1,0),0)</f>
        <v/>
      </c>
      <c r="B1885">
        <f>B1884+A1885</f>
        <v/>
      </c>
    </row>
    <row r="1886">
      <c r="A1886">
        <f>IFERROR(IF(AND(BASELINE!I1886&lt;&gt;"",INT(IF(CALC!$F$1&gt;0,IF(N(INDEX(BASELINE!$A1886:$ZZ1886,CALC!$F$1))&gt;0,N(INDEX(BASELINE!$A1886:$ZZ1886,CALC!$F$1)),N(BASELINE!E1886)),N(BASELINE!E1886)))=INT(SIMOPS!$D$3),IFERROR(UPPER(TRIM(BASELINE!D1886&amp;"")),"")&lt;&gt;"ENCERRADA"),1,0),0)</f>
        <v/>
      </c>
      <c r="B1886">
        <f>B1885+A1886</f>
        <v/>
      </c>
    </row>
    <row r="1887">
      <c r="A1887">
        <f>IFERROR(IF(AND(BASELINE!I1887&lt;&gt;"",INT(IF(CALC!$F$1&gt;0,IF(N(INDEX(BASELINE!$A1887:$ZZ1887,CALC!$F$1))&gt;0,N(INDEX(BASELINE!$A1887:$ZZ1887,CALC!$F$1)),N(BASELINE!E1887)),N(BASELINE!E1887)))=INT(SIMOPS!$D$3),IFERROR(UPPER(TRIM(BASELINE!D1887&amp;"")),"")&lt;&gt;"ENCERRADA"),1,0),0)</f>
        <v/>
      </c>
      <c r="B1887">
        <f>B1886+A1887</f>
        <v/>
      </c>
    </row>
    <row r="1888">
      <c r="A1888">
        <f>IFERROR(IF(AND(BASELINE!I1888&lt;&gt;"",INT(IF(CALC!$F$1&gt;0,IF(N(INDEX(BASELINE!$A1888:$ZZ1888,CALC!$F$1))&gt;0,N(INDEX(BASELINE!$A1888:$ZZ1888,CALC!$F$1)),N(BASELINE!E1888)),N(BASELINE!E1888)))=INT(SIMOPS!$D$3),IFERROR(UPPER(TRIM(BASELINE!D1888&amp;"")),"")&lt;&gt;"ENCERRADA"),1,0),0)</f>
        <v/>
      </c>
      <c r="B1888">
        <f>B1887+A1888</f>
        <v/>
      </c>
    </row>
    <row r="1889">
      <c r="A1889">
        <f>IFERROR(IF(AND(BASELINE!I1889&lt;&gt;"",INT(IF(CALC!$F$1&gt;0,IF(N(INDEX(BASELINE!$A1889:$ZZ1889,CALC!$F$1))&gt;0,N(INDEX(BASELINE!$A1889:$ZZ1889,CALC!$F$1)),N(BASELINE!E1889)),N(BASELINE!E1889)))=INT(SIMOPS!$D$3),IFERROR(UPPER(TRIM(BASELINE!D1889&amp;"")),"")&lt;&gt;"ENCERRADA"),1,0),0)</f>
        <v/>
      </c>
      <c r="B1889">
        <f>B1888+A1889</f>
        <v/>
      </c>
    </row>
    <row r="1890">
      <c r="A1890">
        <f>IFERROR(IF(AND(BASELINE!I1890&lt;&gt;"",INT(IF(CALC!$F$1&gt;0,IF(N(INDEX(BASELINE!$A1890:$ZZ1890,CALC!$F$1))&gt;0,N(INDEX(BASELINE!$A1890:$ZZ1890,CALC!$F$1)),N(BASELINE!E1890)),N(BASELINE!E1890)))=INT(SIMOPS!$D$3),IFERROR(UPPER(TRIM(BASELINE!D1890&amp;"")),"")&lt;&gt;"ENCERRADA"),1,0),0)</f>
        <v/>
      </c>
      <c r="B1890">
        <f>B1889+A1890</f>
        <v/>
      </c>
    </row>
    <row r="1891">
      <c r="A1891">
        <f>IFERROR(IF(AND(BASELINE!I1891&lt;&gt;"",INT(IF(CALC!$F$1&gt;0,IF(N(INDEX(BASELINE!$A1891:$ZZ1891,CALC!$F$1))&gt;0,N(INDEX(BASELINE!$A1891:$ZZ1891,CALC!$F$1)),N(BASELINE!E1891)),N(BASELINE!E1891)))=INT(SIMOPS!$D$3),IFERROR(UPPER(TRIM(BASELINE!D1891&amp;"")),"")&lt;&gt;"ENCERRADA"),1,0),0)</f>
        <v/>
      </c>
      <c r="B1891">
        <f>B1890+A1891</f>
        <v/>
      </c>
    </row>
    <row r="1892">
      <c r="A1892">
        <f>IFERROR(IF(AND(BASELINE!I1892&lt;&gt;"",INT(IF(CALC!$F$1&gt;0,IF(N(INDEX(BASELINE!$A1892:$ZZ1892,CALC!$F$1))&gt;0,N(INDEX(BASELINE!$A1892:$ZZ1892,CALC!$F$1)),N(BASELINE!E1892)),N(BASELINE!E1892)))=INT(SIMOPS!$D$3),IFERROR(UPPER(TRIM(BASELINE!D1892&amp;"")),"")&lt;&gt;"ENCERRADA"),1,0),0)</f>
        <v/>
      </c>
      <c r="B1892">
        <f>B1891+A1892</f>
        <v/>
      </c>
    </row>
    <row r="1893">
      <c r="A1893">
        <f>IFERROR(IF(AND(BASELINE!I1893&lt;&gt;"",INT(IF(CALC!$F$1&gt;0,IF(N(INDEX(BASELINE!$A1893:$ZZ1893,CALC!$F$1))&gt;0,N(INDEX(BASELINE!$A1893:$ZZ1893,CALC!$F$1)),N(BASELINE!E1893)),N(BASELINE!E1893)))=INT(SIMOPS!$D$3),IFERROR(UPPER(TRIM(BASELINE!D1893&amp;"")),"")&lt;&gt;"ENCERRADA"),1,0),0)</f>
        <v/>
      </c>
      <c r="B1893">
        <f>B1892+A1893</f>
        <v/>
      </c>
    </row>
    <row r="1894">
      <c r="A1894">
        <f>IFERROR(IF(AND(BASELINE!I1894&lt;&gt;"",INT(IF(CALC!$F$1&gt;0,IF(N(INDEX(BASELINE!$A1894:$ZZ1894,CALC!$F$1))&gt;0,N(INDEX(BASELINE!$A1894:$ZZ1894,CALC!$F$1)),N(BASELINE!E1894)),N(BASELINE!E1894)))=INT(SIMOPS!$D$3),IFERROR(UPPER(TRIM(BASELINE!D1894&amp;"")),"")&lt;&gt;"ENCERRADA"),1,0),0)</f>
        <v/>
      </c>
      <c r="B1894">
        <f>B1893+A1894</f>
        <v/>
      </c>
    </row>
    <row r="1895">
      <c r="A1895">
        <f>IFERROR(IF(AND(BASELINE!I1895&lt;&gt;"",INT(IF(CALC!$F$1&gt;0,IF(N(INDEX(BASELINE!$A1895:$ZZ1895,CALC!$F$1))&gt;0,N(INDEX(BASELINE!$A1895:$ZZ1895,CALC!$F$1)),N(BASELINE!E1895)),N(BASELINE!E1895)))=INT(SIMOPS!$D$3),IFERROR(UPPER(TRIM(BASELINE!D1895&amp;"")),"")&lt;&gt;"ENCERRADA"),1,0),0)</f>
        <v/>
      </c>
      <c r="B1895">
        <f>B1894+A1895</f>
        <v/>
      </c>
    </row>
    <row r="1896">
      <c r="A1896">
        <f>IFERROR(IF(AND(BASELINE!I1896&lt;&gt;"",INT(IF(CALC!$F$1&gt;0,IF(N(INDEX(BASELINE!$A1896:$ZZ1896,CALC!$F$1))&gt;0,N(INDEX(BASELINE!$A1896:$ZZ1896,CALC!$F$1)),N(BASELINE!E1896)),N(BASELINE!E1896)))=INT(SIMOPS!$D$3),IFERROR(UPPER(TRIM(BASELINE!D1896&amp;"")),"")&lt;&gt;"ENCERRADA"),1,0),0)</f>
        <v/>
      </c>
      <c r="B1896">
        <f>B1895+A1896</f>
        <v/>
      </c>
    </row>
    <row r="1897">
      <c r="A1897">
        <f>IFERROR(IF(AND(BASELINE!I1897&lt;&gt;"",INT(IF(CALC!$F$1&gt;0,IF(N(INDEX(BASELINE!$A1897:$ZZ1897,CALC!$F$1))&gt;0,N(INDEX(BASELINE!$A1897:$ZZ1897,CALC!$F$1)),N(BASELINE!E1897)),N(BASELINE!E1897)))=INT(SIMOPS!$D$3),IFERROR(UPPER(TRIM(BASELINE!D1897&amp;"")),"")&lt;&gt;"ENCERRADA"),1,0),0)</f>
        <v/>
      </c>
      <c r="B1897">
        <f>B1896+A1897</f>
        <v/>
      </c>
    </row>
    <row r="1898">
      <c r="A1898">
        <f>IFERROR(IF(AND(BASELINE!I1898&lt;&gt;"",INT(IF(CALC!$F$1&gt;0,IF(N(INDEX(BASELINE!$A1898:$ZZ1898,CALC!$F$1))&gt;0,N(INDEX(BASELINE!$A1898:$ZZ1898,CALC!$F$1)),N(BASELINE!E1898)),N(BASELINE!E1898)))=INT(SIMOPS!$D$3),IFERROR(UPPER(TRIM(BASELINE!D1898&amp;"")),"")&lt;&gt;"ENCERRADA"),1,0),0)</f>
        <v/>
      </c>
      <c r="B1898">
        <f>B1897+A1898</f>
        <v/>
      </c>
    </row>
    <row r="1899">
      <c r="A1899">
        <f>IFERROR(IF(AND(BASELINE!I1899&lt;&gt;"",INT(IF(CALC!$F$1&gt;0,IF(N(INDEX(BASELINE!$A1899:$ZZ1899,CALC!$F$1))&gt;0,N(INDEX(BASELINE!$A1899:$ZZ1899,CALC!$F$1)),N(BASELINE!E1899)),N(BASELINE!E1899)))=INT(SIMOPS!$D$3),IFERROR(UPPER(TRIM(BASELINE!D1899&amp;"")),"")&lt;&gt;"ENCERRADA"),1,0),0)</f>
        <v/>
      </c>
      <c r="B1899">
        <f>B1898+A1899</f>
        <v/>
      </c>
    </row>
    <row r="1900">
      <c r="A1900">
        <f>IFERROR(IF(AND(BASELINE!I1900&lt;&gt;"",INT(IF(CALC!$F$1&gt;0,IF(N(INDEX(BASELINE!$A1900:$ZZ1900,CALC!$F$1))&gt;0,N(INDEX(BASELINE!$A1900:$ZZ1900,CALC!$F$1)),N(BASELINE!E1900)),N(BASELINE!E1900)))=INT(SIMOPS!$D$3),IFERROR(UPPER(TRIM(BASELINE!D1900&amp;"")),"")&lt;&gt;"ENCERRADA"),1,0),0)</f>
        <v/>
      </c>
      <c r="B1900">
        <f>B1899+A1900</f>
        <v/>
      </c>
    </row>
    <row r="1901">
      <c r="A1901">
        <f>IFERROR(IF(AND(BASELINE!I1901&lt;&gt;"",INT(IF(CALC!$F$1&gt;0,IF(N(INDEX(BASELINE!$A1901:$ZZ1901,CALC!$F$1))&gt;0,N(INDEX(BASELINE!$A1901:$ZZ1901,CALC!$F$1)),N(BASELINE!E1901)),N(BASELINE!E1901)))=INT(SIMOPS!$D$3),IFERROR(UPPER(TRIM(BASELINE!D1901&amp;"")),"")&lt;&gt;"ENCERRADA"),1,0),0)</f>
        <v/>
      </c>
      <c r="B1901">
        <f>B1900+A1901</f>
        <v/>
      </c>
    </row>
    <row r="1902">
      <c r="A1902">
        <f>IFERROR(IF(AND(BASELINE!I1902&lt;&gt;"",INT(IF(CALC!$F$1&gt;0,IF(N(INDEX(BASELINE!$A1902:$ZZ1902,CALC!$F$1))&gt;0,N(INDEX(BASELINE!$A1902:$ZZ1902,CALC!$F$1)),N(BASELINE!E1902)),N(BASELINE!E1902)))=INT(SIMOPS!$D$3),IFERROR(UPPER(TRIM(BASELINE!D1902&amp;"")),"")&lt;&gt;"ENCERRADA"),1,0),0)</f>
        <v/>
      </c>
      <c r="B1902">
        <f>B1901+A1902</f>
        <v/>
      </c>
    </row>
    <row r="1903">
      <c r="A1903">
        <f>IFERROR(IF(AND(BASELINE!I1903&lt;&gt;"",INT(IF(CALC!$F$1&gt;0,IF(N(INDEX(BASELINE!$A1903:$ZZ1903,CALC!$F$1))&gt;0,N(INDEX(BASELINE!$A1903:$ZZ1903,CALC!$F$1)),N(BASELINE!E1903)),N(BASELINE!E1903)))=INT(SIMOPS!$D$3),IFERROR(UPPER(TRIM(BASELINE!D1903&amp;"")),"")&lt;&gt;"ENCERRADA"),1,0),0)</f>
        <v/>
      </c>
      <c r="B1903">
        <f>B1902+A1903</f>
        <v/>
      </c>
    </row>
    <row r="1904">
      <c r="A1904">
        <f>IFERROR(IF(AND(BASELINE!I1904&lt;&gt;"",INT(IF(CALC!$F$1&gt;0,IF(N(INDEX(BASELINE!$A1904:$ZZ1904,CALC!$F$1))&gt;0,N(INDEX(BASELINE!$A1904:$ZZ1904,CALC!$F$1)),N(BASELINE!E1904)),N(BASELINE!E1904)))=INT(SIMOPS!$D$3),IFERROR(UPPER(TRIM(BASELINE!D1904&amp;"")),"")&lt;&gt;"ENCERRADA"),1,0),0)</f>
        <v/>
      </c>
      <c r="B1904">
        <f>B1903+A1904</f>
        <v/>
      </c>
    </row>
    <row r="1905">
      <c r="A1905">
        <f>IFERROR(IF(AND(BASELINE!I1905&lt;&gt;"",INT(IF(CALC!$F$1&gt;0,IF(N(INDEX(BASELINE!$A1905:$ZZ1905,CALC!$F$1))&gt;0,N(INDEX(BASELINE!$A1905:$ZZ1905,CALC!$F$1)),N(BASELINE!E1905)),N(BASELINE!E1905)))=INT(SIMOPS!$D$3),IFERROR(UPPER(TRIM(BASELINE!D1905&amp;"")),"")&lt;&gt;"ENCERRADA"),1,0),0)</f>
        <v/>
      </c>
      <c r="B1905">
        <f>B1904+A1905</f>
        <v/>
      </c>
    </row>
    <row r="1906">
      <c r="A1906">
        <f>IFERROR(IF(AND(BASELINE!I1906&lt;&gt;"",INT(IF(CALC!$F$1&gt;0,IF(N(INDEX(BASELINE!$A1906:$ZZ1906,CALC!$F$1))&gt;0,N(INDEX(BASELINE!$A1906:$ZZ1906,CALC!$F$1)),N(BASELINE!E1906)),N(BASELINE!E1906)))=INT(SIMOPS!$D$3),IFERROR(UPPER(TRIM(BASELINE!D1906&amp;"")),"")&lt;&gt;"ENCERRADA"),1,0),0)</f>
        <v/>
      </c>
      <c r="B1906">
        <f>B1905+A1906</f>
        <v/>
      </c>
    </row>
    <row r="1907">
      <c r="A1907">
        <f>IFERROR(IF(AND(BASELINE!I1907&lt;&gt;"",INT(IF(CALC!$F$1&gt;0,IF(N(INDEX(BASELINE!$A1907:$ZZ1907,CALC!$F$1))&gt;0,N(INDEX(BASELINE!$A1907:$ZZ1907,CALC!$F$1)),N(BASELINE!E1907)),N(BASELINE!E1907)))=INT(SIMOPS!$D$3),IFERROR(UPPER(TRIM(BASELINE!D1907&amp;"")),"")&lt;&gt;"ENCERRADA"),1,0),0)</f>
        <v/>
      </c>
      <c r="B1907">
        <f>B1906+A1907</f>
        <v/>
      </c>
    </row>
    <row r="1908">
      <c r="A1908">
        <f>IFERROR(IF(AND(BASELINE!I1908&lt;&gt;"",INT(IF(CALC!$F$1&gt;0,IF(N(INDEX(BASELINE!$A1908:$ZZ1908,CALC!$F$1))&gt;0,N(INDEX(BASELINE!$A1908:$ZZ1908,CALC!$F$1)),N(BASELINE!E1908)),N(BASELINE!E1908)))=INT(SIMOPS!$D$3),IFERROR(UPPER(TRIM(BASELINE!D1908&amp;"")),"")&lt;&gt;"ENCERRADA"),1,0),0)</f>
        <v/>
      </c>
      <c r="B1908">
        <f>B1907+A1908</f>
        <v/>
      </c>
    </row>
    <row r="1909">
      <c r="A1909">
        <f>IFERROR(IF(AND(BASELINE!I1909&lt;&gt;"",INT(IF(CALC!$F$1&gt;0,IF(N(INDEX(BASELINE!$A1909:$ZZ1909,CALC!$F$1))&gt;0,N(INDEX(BASELINE!$A1909:$ZZ1909,CALC!$F$1)),N(BASELINE!E1909)),N(BASELINE!E1909)))=INT(SIMOPS!$D$3),IFERROR(UPPER(TRIM(BASELINE!D1909&amp;"")),"")&lt;&gt;"ENCERRADA"),1,0),0)</f>
        <v/>
      </c>
      <c r="B1909">
        <f>B1908+A1909</f>
        <v/>
      </c>
    </row>
    <row r="1910">
      <c r="A1910">
        <f>IFERROR(IF(AND(BASELINE!I1910&lt;&gt;"",INT(IF(CALC!$F$1&gt;0,IF(N(INDEX(BASELINE!$A1910:$ZZ1910,CALC!$F$1))&gt;0,N(INDEX(BASELINE!$A1910:$ZZ1910,CALC!$F$1)),N(BASELINE!E1910)),N(BASELINE!E1910)))=INT(SIMOPS!$D$3),IFERROR(UPPER(TRIM(BASELINE!D1910&amp;"")),"")&lt;&gt;"ENCERRADA"),1,0),0)</f>
        <v/>
      </c>
      <c r="B1910">
        <f>B1909+A1910</f>
        <v/>
      </c>
    </row>
    <row r="1911">
      <c r="A1911">
        <f>IFERROR(IF(AND(BASELINE!I1911&lt;&gt;"",INT(IF(CALC!$F$1&gt;0,IF(N(INDEX(BASELINE!$A1911:$ZZ1911,CALC!$F$1))&gt;0,N(INDEX(BASELINE!$A1911:$ZZ1911,CALC!$F$1)),N(BASELINE!E1911)),N(BASELINE!E1911)))=INT(SIMOPS!$D$3),IFERROR(UPPER(TRIM(BASELINE!D1911&amp;"")),"")&lt;&gt;"ENCERRADA"),1,0),0)</f>
        <v/>
      </c>
      <c r="B1911">
        <f>B1910+A1911</f>
        <v/>
      </c>
    </row>
    <row r="1912">
      <c r="A1912">
        <f>IFERROR(IF(AND(BASELINE!I1912&lt;&gt;"",INT(IF(CALC!$F$1&gt;0,IF(N(INDEX(BASELINE!$A1912:$ZZ1912,CALC!$F$1))&gt;0,N(INDEX(BASELINE!$A1912:$ZZ1912,CALC!$F$1)),N(BASELINE!E1912)),N(BASELINE!E1912)))=INT(SIMOPS!$D$3),IFERROR(UPPER(TRIM(BASELINE!D1912&amp;"")),"")&lt;&gt;"ENCERRADA"),1,0),0)</f>
        <v/>
      </c>
      <c r="B1912">
        <f>B1911+A1912</f>
        <v/>
      </c>
    </row>
    <row r="1913">
      <c r="A1913">
        <f>IFERROR(IF(AND(BASELINE!I1913&lt;&gt;"",INT(IF(CALC!$F$1&gt;0,IF(N(INDEX(BASELINE!$A1913:$ZZ1913,CALC!$F$1))&gt;0,N(INDEX(BASELINE!$A1913:$ZZ1913,CALC!$F$1)),N(BASELINE!E1913)),N(BASELINE!E1913)))=INT(SIMOPS!$D$3),IFERROR(UPPER(TRIM(BASELINE!D1913&amp;"")),"")&lt;&gt;"ENCERRADA"),1,0),0)</f>
        <v/>
      </c>
      <c r="B1913">
        <f>B1912+A1913</f>
        <v/>
      </c>
    </row>
    <row r="1914">
      <c r="A1914">
        <f>IFERROR(IF(AND(BASELINE!I1914&lt;&gt;"",INT(IF(CALC!$F$1&gt;0,IF(N(INDEX(BASELINE!$A1914:$ZZ1914,CALC!$F$1))&gt;0,N(INDEX(BASELINE!$A1914:$ZZ1914,CALC!$F$1)),N(BASELINE!E1914)),N(BASELINE!E1914)))=INT(SIMOPS!$D$3),IFERROR(UPPER(TRIM(BASELINE!D1914&amp;"")),"")&lt;&gt;"ENCERRADA"),1,0),0)</f>
        <v/>
      </c>
      <c r="B1914">
        <f>B1913+A1914</f>
        <v/>
      </c>
    </row>
    <row r="1915">
      <c r="A1915">
        <f>IFERROR(IF(AND(BASELINE!I1915&lt;&gt;"",INT(IF(CALC!$F$1&gt;0,IF(N(INDEX(BASELINE!$A1915:$ZZ1915,CALC!$F$1))&gt;0,N(INDEX(BASELINE!$A1915:$ZZ1915,CALC!$F$1)),N(BASELINE!E1915)),N(BASELINE!E1915)))=INT(SIMOPS!$D$3),IFERROR(UPPER(TRIM(BASELINE!D1915&amp;"")),"")&lt;&gt;"ENCERRADA"),1,0),0)</f>
        <v/>
      </c>
      <c r="B1915">
        <f>B1914+A1915</f>
        <v/>
      </c>
    </row>
    <row r="1916">
      <c r="A1916">
        <f>IFERROR(IF(AND(BASELINE!I1916&lt;&gt;"",INT(IF(CALC!$F$1&gt;0,IF(N(INDEX(BASELINE!$A1916:$ZZ1916,CALC!$F$1))&gt;0,N(INDEX(BASELINE!$A1916:$ZZ1916,CALC!$F$1)),N(BASELINE!E1916)),N(BASELINE!E1916)))=INT(SIMOPS!$D$3),IFERROR(UPPER(TRIM(BASELINE!D1916&amp;"")),"")&lt;&gt;"ENCERRADA"),1,0),0)</f>
        <v/>
      </c>
      <c r="B1916">
        <f>B1915+A1916</f>
        <v/>
      </c>
    </row>
    <row r="1917">
      <c r="A1917">
        <f>IFERROR(IF(AND(BASELINE!I1917&lt;&gt;"",INT(IF(CALC!$F$1&gt;0,IF(N(INDEX(BASELINE!$A1917:$ZZ1917,CALC!$F$1))&gt;0,N(INDEX(BASELINE!$A1917:$ZZ1917,CALC!$F$1)),N(BASELINE!E1917)),N(BASELINE!E1917)))=INT(SIMOPS!$D$3),IFERROR(UPPER(TRIM(BASELINE!D1917&amp;"")),"")&lt;&gt;"ENCERRADA"),1,0),0)</f>
        <v/>
      </c>
      <c r="B1917">
        <f>B1916+A1917</f>
        <v/>
      </c>
    </row>
    <row r="1918">
      <c r="A1918">
        <f>IFERROR(IF(AND(BASELINE!I1918&lt;&gt;"",INT(IF(CALC!$F$1&gt;0,IF(N(INDEX(BASELINE!$A1918:$ZZ1918,CALC!$F$1))&gt;0,N(INDEX(BASELINE!$A1918:$ZZ1918,CALC!$F$1)),N(BASELINE!E1918)),N(BASELINE!E1918)))=INT(SIMOPS!$D$3),IFERROR(UPPER(TRIM(BASELINE!D1918&amp;"")),"")&lt;&gt;"ENCERRADA"),1,0),0)</f>
        <v/>
      </c>
      <c r="B1918">
        <f>B1917+A1918</f>
        <v/>
      </c>
    </row>
    <row r="1919">
      <c r="A1919">
        <f>IFERROR(IF(AND(BASELINE!I1919&lt;&gt;"",INT(IF(CALC!$F$1&gt;0,IF(N(INDEX(BASELINE!$A1919:$ZZ1919,CALC!$F$1))&gt;0,N(INDEX(BASELINE!$A1919:$ZZ1919,CALC!$F$1)),N(BASELINE!E1919)),N(BASELINE!E1919)))=INT(SIMOPS!$D$3),IFERROR(UPPER(TRIM(BASELINE!D1919&amp;"")),"")&lt;&gt;"ENCERRADA"),1,0),0)</f>
        <v/>
      </c>
      <c r="B1919">
        <f>B1918+A1919</f>
        <v/>
      </c>
    </row>
    <row r="1920">
      <c r="A1920">
        <f>IFERROR(IF(AND(BASELINE!I1920&lt;&gt;"",INT(IF(CALC!$F$1&gt;0,IF(N(INDEX(BASELINE!$A1920:$ZZ1920,CALC!$F$1))&gt;0,N(INDEX(BASELINE!$A1920:$ZZ1920,CALC!$F$1)),N(BASELINE!E1920)),N(BASELINE!E1920)))=INT(SIMOPS!$D$3),IFERROR(UPPER(TRIM(BASELINE!D1920&amp;"")),"")&lt;&gt;"ENCERRADA"),1,0),0)</f>
        <v/>
      </c>
      <c r="B1920">
        <f>B1919+A1920</f>
        <v/>
      </c>
    </row>
    <row r="1921">
      <c r="A1921">
        <f>IFERROR(IF(AND(BASELINE!I1921&lt;&gt;"",INT(IF(CALC!$F$1&gt;0,IF(N(INDEX(BASELINE!$A1921:$ZZ1921,CALC!$F$1))&gt;0,N(INDEX(BASELINE!$A1921:$ZZ1921,CALC!$F$1)),N(BASELINE!E1921)),N(BASELINE!E1921)))=INT(SIMOPS!$D$3),IFERROR(UPPER(TRIM(BASELINE!D1921&amp;"")),"")&lt;&gt;"ENCERRADA"),1,0),0)</f>
        <v/>
      </c>
      <c r="B1921">
        <f>B1920+A1921</f>
        <v/>
      </c>
    </row>
    <row r="1922">
      <c r="A1922">
        <f>IFERROR(IF(AND(BASELINE!I1922&lt;&gt;"",INT(IF(CALC!$F$1&gt;0,IF(N(INDEX(BASELINE!$A1922:$ZZ1922,CALC!$F$1))&gt;0,N(INDEX(BASELINE!$A1922:$ZZ1922,CALC!$F$1)),N(BASELINE!E1922)),N(BASELINE!E1922)))=INT(SIMOPS!$D$3),IFERROR(UPPER(TRIM(BASELINE!D1922&amp;"")),"")&lt;&gt;"ENCERRADA"),1,0),0)</f>
        <v/>
      </c>
      <c r="B1922">
        <f>B1921+A1922</f>
        <v/>
      </c>
    </row>
    <row r="1923">
      <c r="A1923">
        <f>IFERROR(IF(AND(BASELINE!I1923&lt;&gt;"",INT(IF(CALC!$F$1&gt;0,IF(N(INDEX(BASELINE!$A1923:$ZZ1923,CALC!$F$1))&gt;0,N(INDEX(BASELINE!$A1923:$ZZ1923,CALC!$F$1)),N(BASELINE!E1923)),N(BASELINE!E1923)))=INT(SIMOPS!$D$3),IFERROR(UPPER(TRIM(BASELINE!D1923&amp;"")),"")&lt;&gt;"ENCERRADA"),1,0),0)</f>
        <v/>
      </c>
      <c r="B1923">
        <f>B1922+A1923</f>
        <v/>
      </c>
    </row>
    <row r="1924">
      <c r="A1924">
        <f>IFERROR(IF(AND(BASELINE!I1924&lt;&gt;"",INT(IF(CALC!$F$1&gt;0,IF(N(INDEX(BASELINE!$A1924:$ZZ1924,CALC!$F$1))&gt;0,N(INDEX(BASELINE!$A1924:$ZZ1924,CALC!$F$1)),N(BASELINE!E1924)),N(BASELINE!E1924)))=INT(SIMOPS!$D$3),IFERROR(UPPER(TRIM(BASELINE!D1924&amp;"")),"")&lt;&gt;"ENCERRADA"),1,0),0)</f>
        <v/>
      </c>
      <c r="B1924">
        <f>B1923+A1924</f>
        <v/>
      </c>
    </row>
    <row r="1925">
      <c r="A1925">
        <f>IFERROR(IF(AND(BASELINE!I1925&lt;&gt;"",INT(IF(CALC!$F$1&gt;0,IF(N(INDEX(BASELINE!$A1925:$ZZ1925,CALC!$F$1))&gt;0,N(INDEX(BASELINE!$A1925:$ZZ1925,CALC!$F$1)),N(BASELINE!E1925)),N(BASELINE!E1925)))=INT(SIMOPS!$D$3),IFERROR(UPPER(TRIM(BASELINE!D1925&amp;"")),"")&lt;&gt;"ENCERRADA"),1,0),0)</f>
        <v/>
      </c>
      <c r="B1925">
        <f>B1924+A1925</f>
        <v/>
      </c>
    </row>
    <row r="1926">
      <c r="A1926">
        <f>IFERROR(IF(AND(BASELINE!I1926&lt;&gt;"",INT(IF(CALC!$F$1&gt;0,IF(N(INDEX(BASELINE!$A1926:$ZZ1926,CALC!$F$1))&gt;0,N(INDEX(BASELINE!$A1926:$ZZ1926,CALC!$F$1)),N(BASELINE!E1926)),N(BASELINE!E1926)))=INT(SIMOPS!$D$3),IFERROR(UPPER(TRIM(BASELINE!D1926&amp;"")),"")&lt;&gt;"ENCERRADA"),1,0),0)</f>
        <v/>
      </c>
      <c r="B1926">
        <f>B1925+A1926</f>
        <v/>
      </c>
    </row>
    <row r="1927">
      <c r="A1927">
        <f>IFERROR(IF(AND(BASELINE!I1927&lt;&gt;"",INT(IF(CALC!$F$1&gt;0,IF(N(INDEX(BASELINE!$A1927:$ZZ1927,CALC!$F$1))&gt;0,N(INDEX(BASELINE!$A1927:$ZZ1927,CALC!$F$1)),N(BASELINE!E1927)),N(BASELINE!E1927)))=INT(SIMOPS!$D$3),IFERROR(UPPER(TRIM(BASELINE!D1927&amp;"")),"")&lt;&gt;"ENCERRADA"),1,0),0)</f>
        <v/>
      </c>
      <c r="B1927">
        <f>B1926+A1927</f>
        <v/>
      </c>
    </row>
    <row r="1928">
      <c r="A1928">
        <f>IFERROR(IF(AND(BASELINE!I1928&lt;&gt;"",INT(IF(CALC!$F$1&gt;0,IF(N(INDEX(BASELINE!$A1928:$ZZ1928,CALC!$F$1))&gt;0,N(INDEX(BASELINE!$A1928:$ZZ1928,CALC!$F$1)),N(BASELINE!E1928)),N(BASELINE!E1928)))=INT(SIMOPS!$D$3),IFERROR(UPPER(TRIM(BASELINE!D1928&amp;"")),"")&lt;&gt;"ENCERRADA"),1,0),0)</f>
        <v/>
      </c>
      <c r="B1928">
        <f>B1927+A1928</f>
        <v/>
      </c>
    </row>
    <row r="1929">
      <c r="A1929">
        <f>IFERROR(IF(AND(BASELINE!I1929&lt;&gt;"",INT(IF(CALC!$F$1&gt;0,IF(N(INDEX(BASELINE!$A1929:$ZZ1929,CALC!$F$1))&gt;0,N(INDEX(BASELINE!$A1929:$ZZ1929,CALC!$F$1)),N(BASELINE!E1929)),N(BASELINE!E1929)))=INT(SIMOPS!$D$3),IFERROR(UPPER(TRIM(BASELINE!D1929&amp;"")),"")&lt;&gt;"ENCERRADA"),1,0),0)</f>
        <v/>
      </c>
      <c r="B1929">
        <f>B1928+A1929</f>
        <v/>
      </c>
    </row>
    <row r="1930">
      <c r="A1930">
        <f>IFERROR(IF(AND(BASELINE!I1930&lt;&gt;"",INT(IF(CALC!$F$1&gt;0,IF(N(INDEX(BASELINE!$A1930:$ZZ1930,CALC!$F$1))&gt;0,N(INDEX(BASELINE!$A1930:$ZZ1930,CALC!$F$1)),N(BASELINE!E1930)),N(BASELINE!E1930)))=INT(SIMOPS!$D$3),IFERROR(UPPER(TRIM(BASELINE!D1930&amp;"")),"")&lt;&gt;"ENCERRADA"),1,0),0)</f>
        <v/>
      </c>
      <c r="B1930">
        <f>B1929+A1930</f>
        <v/>
      </c>
    </row>
    <row r="1931">
      <c r="A1931">
        <f>IFERROR(IF(AND(BASELINE!I1931&lt;&gt;"",INT(IF(CALC!$F$1&gt;0,IF(N(INDEX(BASELINE!$A1931:$ZZ1931,CALC!$F$1))&gt;0,N(INDEX(BASELINE!$A1931:$ZZ1931,CALC!$F$1)),N(BASELINE!E1931)),N(BASELINE!E1931)))=INT(SIMOPS!$D$3),IFERROR(UPPER(TRIM(BASELINE!D1931&amp;"")),"")&lt;&gt;"ENCERRADA"),1,0),0)</f>
        <v/>
      </c>
      <c r="B1931">
        <f>B1930+A1931</f>
        <v/>
      </c>
    </row>
    <row r="1932">
      <c r="A1932">
        <f>IFERROR(IF(AND(BASELINE!I1932&lt;&gt;"",INT(IF(CALC!$F$1&gt;0,IF(N(INDEX(BASELINE!$A1932:$ZZ1932,CALC!$F$1))&gt;0,N(INDEX(BASELINE!$A1932:$ZZ1932,CALC!$F$1)),N(BASELINE!E1932)),N(BASELINE!E1932)))=INT(SIMOPS!$D$3),IFERROR(UPPER(TRIM(BASELINE!D1932&amp;"")),"")&lt;&gt;"ENCERRADA"),1,0),0)</f>
        <v/>
      </c>
      <c r="B1932">
        <f>B1931+A1932</f>
        <v/>
      </c>
    </row>
    <row r="1933">
      <c r="A1933">
        <f>IFERROR(IF(AND(BASELINE!I1933&lt;&gt;"",INT(IF(CALC!$F$1&gt;0,IF(N(INDEX(BASELINE!$A1933:$ZZ1933,CALC!$F$1))&gt;0,N(INDEX(BASELINE!$A1933:$ZZ1933,CALC!$F$1)),N(BASELINE!E1933)),N(BASELINE!E1933)))=INT(SIMOPS!$D$3),IFERROR(UPPER(TRIM(BASELINE!D1933&amp;"")),"")&lt;&gt;"ENCERRADA"),1,0),0)</f>
        <v/>
      </c>
      <c r="B1933">
        <f>B1932+A1933</f>
        <v/>
      </c>
    </row>
    <row r="1934">
      <c r="A1934">
        <f>IFERROR(IF(AND(BASELINE!I1934&lt;&gt;"",INT(IF(CALC!$F$1&gt;0,IF(N(INDEX(BASELINE!$A1934:$ZZ1934,CALC!$F$1))&gt;0,N(INDEX(BASELINE!$A1934:$ZZ1934,CALC!$F$1)),N(BASELINE!E1934)),N(BASELINE!E1934)))=INT(SIMOPS!$D$3),IFERROR(UPPER(TRIM(BASELINE!D1934&amp;"")),"")&lt;&gt;"ENCERRADA"),1,0),0)</f>
        <v/>
      </c>
      <c r="B1934">
        <f>B1933+A1934</f>
        <v/>
      </c>
    </row>
    <row r="1935">
      <c r="A1935">
        <f>IFERROR(IF(AND(BASELINE!I1935&lt;&gt;"",INT(IF(CALC!$F$1&gt;0,IF(N(INDEX(BASELINE!$A1935:$ZZ1935,CALC!$F$1))&gt;0,N(INDEX(BASELINE!$A1935:$ZZ1935,CALC!$F$1)),N(BASELINE!E1935)),N(BASELINE!E1935)))=INT(SIMOPS!$D$3),IFERROR(UPPER(TRIM(BASELINE!D1935&amp;"")),"")&lt;&gt;"ENCERRADA"),1,0),0)</f>
        <v/>
      </c>
      <c r="B1935">
        <f>B1934+A1935</f>
        <v/>
      </c>
    </row>
    <row r="1936">
      <c r="A1936">
        <f>IFERROR(IF(AND(BASELINE!I1936&lt;&gt;"",INT(IF(CALC!$F$1&gt;0,IF(N(INDEX(BASELINE!$A1936:$ZZ1936,CALC!$F$1))&gt;0,N(INDEX(BASELINE!$A1936:$ZZ1936,CALC!$F$1)),N(BASELINE!E1936)),N(BASELINE!E1936)))=INT(SIMOPS!$D$3),IFERROR(UPPER(TRIM(BASELINE!D1936&amp;"")),"")&lt;&gt;"ENCERRADA"),1,0),0)</f>
        <v/>
      </c>
      <c r="B1936">
        <f>B1935+A1936</f>
        <v/>
      </c>
    </row>
    <row r="1937">
      <c r="A1937">
        <f>IFERROR(IF(AND(BASELINE!I1937&lt;&gt;"",INT(IF(CALC!$F$1&gt;0,IF(N(INDEX(BASELINE!$A1937:$ZZ1937,CALC!$F$1))&gt;0,N(INDEX(BASELINE!$A1937:$ZZ1937,CALC!$F$1)),N(BASELINE!E1937)),N(BASELINE!E1937)))=INT(SIMOPS!$D$3),IFERROR(UPPER(TRIM(BASELINE!D1937&amp;"")),"")&lt;&gt;"ENCERRADA"),1,0),0)</f>
        <v/>
      </c>
      <c r="B1937">
        <f>B1936+A1937</f>
        <v/>
      </c>
    </row>
    <row r="1938">
      <c r="A1938">
        <f>IFERROR(IF(AND(BASELINE!I1938&lt;&gt;"",INT(IF(CALC!$F$1&gt;0,IF(N(INDEX(BASELINE!$A1938:$ZZ1938,CALC!$F$1))&gt;0,N(INDEX(BASELINE!$A1938:$ZZ1938,CALC!$F$1)),N(BASELINE!E1938)),N(BASELINE!E1938)))=INT(SIMOPS!$D$3),IFERROR(UPPER(TRIM(BASELINE!D1938&amp;"")),"")&lt;&gt;"ENCERRADA"),1,0),0)</f>
        <v/>
      </c>
      <c r="B1938">
        <f>B1937+A1938</f>
        <v/>
      </c>
    </row>
    <row r="1939">
      <c r="A1939">
        <f>IFERROR(IF(AND(BASELINE!I1939&lt;&gt;"",INT(IF(CALC!$F$1&gt;0,IF(N(INDEX(BASELINE!$A1939:$ZZ1939,CALC!$F$1))&gt;0,N(INDEX(BASELINE!$A1939:$ZZ1939,CALC!$F$1)),N(BASELINE!E1939)),N(BASELINE!E1939)))=INT(SIMOPS!$D$3),IFERROR(UPPER(TRIM(BASELINE!D1939&amp;"")),"")&lt;&gt;"ENCERRADA"),1,0),0)</f>
        <v/>
      </c>
      <c r="B1939">
        <f>B1938+A1939</f>
        <v/>
      </c>
    </row>
    <row r="1940">
      <c r="A1940">
        <f>IFERROR(IF(AND(BASELINE!I1940&lt;&gt;"",INT(IF(CALC!$F$1&gt;0,IF(N(INDEX(BASELINE!$A1940:$ZZ1940,CALC!$F$1))&gt;0,N(INDEX(BASELINE!$A1940:$ZZ1940,CALC!$F$1)),N(BASELINE!E1940)),N(BASELINE!E1940)))=INT(SIMOPS!$D$3),IFERROR(UPPER(TRIM(BASELINE!D1940&amp;"")),"")&lt;&gt;"ENCERRADA"),1,0),0)</f>
        <v/>
      </c>
      <c r="B1940">
        <f>B1939+A1940</f>
        <v/>
      </c>
    </row>
    <row r="1941">
      <c r="A1941">
        <f>IFERROR(IF(AND(BASELINE!I1941&lt;&gt;"",INT(IF(CALC!$F$1&gt;0,IF(N(INDEX(BASELINE!$A1941:$ZZ1941,CALC!$F$1))&gt;0,N(INDEX(BASELINE!$A1941:$ZZ1941,CALC!$F$1)),N(BASELINE!E1941)),N(BASELINE!E1941)))=INT(SIMOPS!$D$3),IFERROR(UPPER(TRIM(BASELINE!D1941&amp;"")),"")&lt;&gt;"ENCERRADA"),1,0),0)</f>
        <v/>
      </c>
      <c r="B1941">
        <f>B1940+A1941</f>
        <v/>
      </c>
    </row>
    <row r="1942">
      <c r="A1942">
        <f>IFERROR(IF(AND(BASELINE!I1942&lt;&gt;"",INT(IF(CALC!$F$1&gt;0,IF(N(INDEX(BASELINE!$A1942:$ZZ1942,CALC!$F$1))&gt;0,N(INDEX(BASELINE!$A1942:$ZZ1942,CALC!$F$1)),N(BASELINE!E1942)),N(BASELINE!E1942)))=INT(SIMOPS!$D$3),IFERROR(UPPER(TRIM(BASELINE!D1942&amp;"")),"")&lt;&gt;"ENCERRADA"),1,0),0)</f>
        <v/>
      </c>
      <c r="B1942">
        <f>B1941+A1942</f>
        <v/>
      </c>
    </row>
    <row r="1943">
      <c r="A1943">
        <f>IFERROR(IF(AND(BASELINE!I1943&lt;&gt;"",INT(IF(CALC!$F$1&gt;0,IF(N(INDEX(BASELINE!$A1943:$ZZ1943,CALC!$F$1))&gt;0,N(INDEX(BASELINE!$A1943:$ZZ1943,CALC!$F$1)),N(BASELINE!E1943)),N(BASELINE!E1943)))=INT(SIMOPS!$D$3),IFERROR(UPPER(TRIM(BASELINE!D1943&amp;"")),"")&lt;&gt;"ENCERRADA"),1,0),0)</f>
        <v/>
      </c>
      <c r="B1943">
        <f>B1942+A1943</f>
        <v/>
      </c>
    </row>
    <row r="1944">
      <c r="A1944">
        <f>IFERROR(IF(AND(BASELINE!I1944&lt;&gt;"",INT(IF(CALC!$F$1&gt;0,IF(N(INDEX(BASELINE!$A1944:$ZZ1944,CALC!$F$1))&gt;0,N(INDEX(BASELINE!$A1944:$ZZ1944,CALC!$F$1)),N(BASELINE!E1944)),N(BASELINE!E1944)))=INT(SIMOPS!$D$3),IFERROR(UPPER(TRIM(BASELINE!D1944&amp;"")),"")&lt;&gt;"ENCERRADA"),1,0),0)</f>
        <v/>
      </c>
      <c r="B1944">
        <f>B1943+A1944</f>
        <v/>
      </c>
    </row>
    <row r="1945">
      <c r="A1945">
        <f>IFERROR(IF(AND(BASELINE!I1945&lt;&gt;"",INT(IF(CALC!$F$1&gt;0,IF(N(INDEX(BASELINE!$A1945:$ZZ1945,CALC!$F$1))&gt;0,N(INDEX(BASELINE!$A1945:$ZZ1945,CALC!$F$1)),N(BASELINE!E1945)),N(BASELINE!E1945)))=INT(SIMOPS!$D$3),IFERROR(UPPER(TRIM(BASELINE!D1945&amp;"")),"")&lt;&gt;"ENCERRADA"),1,0),0)</f>
        <v/>
      </c>
      <c r="B1945">
        <f>B1944+A1945</f>
        <v/>
      </c>
    </row>
    <row r="1946">
      <c r="A1946">
        <f>IFERROR(IF(AND(BASELINE!I1946&lt;&gt;"",INT(IF(CALC!$F$1&gt;0,IF(N(INDEX(BASELINE!$A1946:$ZZ1946,CALC!$F$1))&gt;0,N(INDEX(BASELINE!$A1946:$ZZ1946,CALC!$F$1)),N(BASELINE!E1946)),N(BASELINE!E1946)))=INT(SIMOPS!$D$3),IFERROR(UPPER(TRIM(BASELINE!D1946&amp;"")),"")&lt;&gt;"ENCERRADA"),1,0),0)</f>
        <v/>
      </c>
      <c r="B1946">
        <f>B1945+A1946</f>
        <v/>
      </c>
    </row>
    <row r="1947">
      <c r="A1947">
        <f>IFERROR(IF(AND(BASELINE!I1947&lt;&gt;"",INT(IF(CALC!$F$1&gt;0,IF(N(INDEX(BASELINE!$A1947:$ZZ1947,CALC!$F$1))&gt;0,N(INDEX(BASELINE!$A1947:$ZZ1947,CALC!$F$1)),N(BASELINE!E1947)),N(BASELINE!E1947)))=INT(SIMOPS!$D$3),IFERROR(UPPER(TRIM(BASELINE!D1947&amp;"")),"")&lt;&gt;"ENCERRADA"),1,0),0)</f>
        <v/>
      </c>
      <c r="B1947">
        <f>B1946+A1947</f>
        <v/>
      </c>
    </row>
    <row r="1948">
      <c r="A1948">
        <f>IFERROR(IF(AND(BASELINE!I1948&lt;&gt;"",INT(IF(CALC!$F$1&gt;0,IF(N(INDEX(BASELINE!$A1948:$ZZ1948,CALC!$F$1))&gt;0,N(INDEX(BASELINE!$A1948:$ZZ1948,CALC!$F$1)),N(BASELINE!E1948)),N(BASELINE!E1948)))=INT(SIMOPS!$D$3),IFERROR(UPPER(TRIM(BASELINE!D1948&amp;"")),"")&lt;&gt;"ENCERRADA"),1,0),0)</f>
        <v/>
      </c>
      <c r="B1948">
        <f>B1947+A1948</f>
        <v/>
      </c>
    </row>
    <row r="1949">
      <c r="A1949">
        <f>IFERROR(IF(AND(BASELINE!I1949&lt;&gt;"",INT(IF(CALC!$F$1&gt;0,IF(N(INDEX(BASELINE!$A1949:$ZZ1949,CALC!$F$1))&gt;0,N(INDEX(BASELINE!$A1949:$ZZ1949,CALC!$F$1)),N(BASELINE!E1949)),N(BASELINE!E1949)))=INT(SIMOPS!$D$3),IFERROR(UPPER(TRIM(BASELINE!D1949&amp;"")),"")&lt;&gt;"ENCERRADA"),1,0),0)</f>
        <v/>
      </c>
      <c r="B1949">
        <f>B1948+A1949</f>
        <v/>
      </c>
    </row>
    <row r="1950">
      <c r="A1950">
        <f>IFERROR(IF(AND(BASELINE!I1950&lt;&gt;"",INT(IF(CALC!$F$1&gt;0,IF(N(INDEX(BASELINE!$A1950:$ZZ1950,CALC!$F$1))&gt;0,N(INDEX(BASELINE!$A1950:$ZZ1950,CALC!$F$1)),N(BASELINE!E1950)),N(BASELINE!E1950)))=INT(SIMOPS!$D$3),IFERROR(UPPER(TRIM(BASELINE!D1950&amp;"")),"")&lt;&gt;"ENCERRADA"),1,0),0)</f>
        <v/>
      </c>
      <c r="B1950">
        <f>B1949+A1950</f>
        <v/>
      </c>
    </row>
    <row r="1951">
      <c r="A1951">
        <f>IFERROR(IF(AND(BASELINE!I1951&lt;&gt;"",INT(IF(CALC!$F$1&gt;0,IF(N(INDEX(BASELINE!$A1951:$ZZ1951,CALC!$F$1))&gt;0,N(INDEX(BASELINE!$A1951:$ZZ1951,CALC!$F$1)),N(BASELINE!E1951)),N(BASELINE!E1951)))=INT(SIMOPS!$D$3),IFERROR(UPPER(TRIM(BASELINE!D1951&amp;"")),"")&lt;&gt;"ENCERRADA"),1,0),0)</f>
        <v/>
      </c>
      <c r="B1951">
        <f>B1950+A1951</f>
        <v/>
      </c>
    </row>
    <row r="1952">
      <c r="A1952">
        <f>IFERROR(IF(AND(BASELINE!I1952&lt;&gt;"",INT(IF(CALC!$F$1&gt;0,IF(N(INDEX(BASELINE!$A1952:$ZZ1952,CALC!$F$1))&gt;0,N(INDEX(BASELINE!$A1952:$ZZ1952,CALC!$F$1)),N(BASELINE!E1952)),N(BASELINE!E1952)))=INT(SIMOPS!$D$3),IFERROR(UPPER(TRIM(BASELINE!D1952&amp;"")),"")&lt;&gt;"ENCERRADA"),1,0),0)</f>
        <v/>
      </c>
      <c r="B1952">
        <f>B1951+A1952</f>
        <v/>
      </c>
    </row>
    <row r="1953">
      <c r="A1953">
        <f>IFERROR(IF(AND(BASELINE!I1953&lt;&gt;"",INT(IF(CALC!$F$1&gt;0,IF(N(INDEX(BASELINE!$A1953:$ZZ1953,CALC!$F$1))&gt;0,N(INDEX(BASELINE!$A1953:$ZZ1953,CALC!$F$1)),N(BASELINE!E1953)),N(BASELINE!E1953)))=INT(SIMOPS!$D$3),IFERROR(UPPER(TRIM(BASELINE!D1953&amp;"")),"")&lt;&gt;"ENCERRADA"),1,0),0)</f>
        <v/>
      </c>
      <c r="B1953">
        <f>B1952+A1953</f>
        <v/>
      </c>
    </row>
    <row r="1954">
      <c r="A1954">
        <f>IFERROR(IF(AND(BASELINE!I1954&lt;&gt;"",INT(IF(CALC!$F$1&gt;0,IF(N(INDEX(BASELINE!$A1954:$ZZ1954,CALC!$F$1))&gt;0,N(INDEX(BASELINE!$A1954:$ZZ1954,CALC!$F$1)),N(BASELINE!E1954)),N(BASELINE!E1954)))=INT(SIMOPS!$D$3),IFERROR(UPPER(TRIM(BASELINE!D1954&amp;"")),"")&lt;&gt;"ENCERRADA"),1,0),0)</f>
        <v/>
      </c>
      <c r="B1954">
        <f>B1953+A1954</f>
        <v/>
      </c>
    </row>
    <row r="1955">
      <c r="A1955">
        <f>IFERROR(IF(AND(BASELINE!I1955&lt;&gt;"",INT(IF(CALC!$F$1&gt;0,IF(N(INDEX(BASELINE!$A1955:$ZZ1955,CALC!$F$1))&gt;0,N(INDEX(BASELINE!$A1955:$ZZ1955,CALC!$F$1)),N(BASELINE!E1955)),N(BASELINE!E1955)))=INT(SIMOPS!$D$3),IFERROR(UPPER(TRIM(BASELINE!D1955&amp;"")),"")&lt;&gt;"ENCERRADA"),1,0),0)</f>
        <v/>
      </c>
      <c r="B1955">
        <f>B1954+A1955</f>
        <v/>
      </c>
    </row>
    <row r="1956">
      <c r="A1956">
        <f>IFERROR(IF(AND(BASELINE!I1956&lt;&gt;"",INT(IF(CALC!$F$1&gt;0,IF(N(INDEX(BASELINE!$A1956:$ZZ1956,CALC!$F$1))&gt;0,N(INDEX(BASELINE!$A1956:$ZZ1956,CALC!$F$1)),N(BASELINE!E1956)),N(BASELINE!E1956)))=INT(SIMOPS!$D$3),IFERROR(UPPER(TRIM(BASELINE!D1956&amp;"")),"")&lt;&gt;"ENCERRADA"),1,0),0)</f>
        <v/>
      </c>
      <c r="B1956">
        <f>B1955+A1956</f>
        <v/>
      </c>
    </row>
    <row r="1957">
      <c r="A1957">
        <f>IFERROR(IF(AND(BASELINE!I1957&lt;&gt;"",INT(IF(CALC!$F$1&gt;0,IF(N(INDEX(BASELINE!$A1957:$ZZ1957,CALC!$F$1))&gt;0,N(INDEX(BASELINE!$A1957:$ZZ1957,CALC!$F$1)),N(BASELINE!E1957)),N(BASELINE!E1957)))=INT(SIMOPS!$D$3),IFERROR(UPPER(TRIM(BASELINE!D1957&amp;"")),"")&lt;&gt;"ENCERRADA"),1,0),0)</f>
        <v/>
      </c>
      <c r="B1957">
        <f>B1956+A1957</f>
        <v/>
      </c>
    </row>
    <row r="1958">
      <c r="A1958">
        <f>IFERROR(IF(AND(BASELINE!I1958&lt;&gt;"",INT(IF(CALC!$F$1&gt;0,IF(N(INDEX(BASELINE!$A1958:$ZZ1958,CALC!$F$1))&gt;0,N(INDEX(BASELINE!$A1958:$ZZ1958,CALC!$F$1)),N(BASELINE!E1958)),N(BASELINE!E1958)))=INT(SIMOPS!$D$3),IFERROR(UPPER(TRIM(BASELINE!D1958&amp;"")),"")&lt;&gt;"ENCERRADA"),1,0),0)</f>
        <v/>
      </c>
      <c r="B1958">
        <f>B1957+A1958</f>
        <v/>
      </c>
    </row>
    <row r="1959">
      <c r="A1959">
        <f>IFERROR(IF(AND(BASELINE!I1959&lt;&gt;"",INT(IF(CALC!$F$1&gt;0,IF(N(INDEX(BASELINE!$A1959:$ZZ1959,CALC!$F$1))&gt;0,N(INDEX(BASELINE!$A1959:$ZZ1959,CALC!$F$1)),N(BASELINE!E1959)),N(BASELINE!E1959)))=INT(SIMOPS!$D$3),IFERROR(UPPER(TRIM(BASELINE!D1959&amp;"")),"")&lt;&gt;"ENCERRADA"),1,0),0)</f>
        <v/>
      </c>
      <c r="B1959">
        <f>B1958+A1959</f>
        <v/>
      </c>
    </row>
    <row r="1960">
      <c r="A1960">
        <f>IFERROR(IF(AND(BASELINE!I1960&lt;&gt;"",INT(IF(CALC!$F$1&gt;0,IF(N(INDEX(BASELINE!$A1960:$ZZ1960,CALC!$F$1))&gt;0,N(INDEX(BASELINE!$A1960:$ZZ1960,CALC!$F$1)),N(BASELINE!E1960)),N(BASELINE!E1960)))=INT(SIMOPS!$D$3),IFERROR(UPPER(TRIM(BASELINE!D1960&amp;"")),"")&lt;&gt;"ENCERRADA"),1,0),0)</f>
        <v/>
      </c>
      <c r="B1960">
        <f>B1959+A1960</f>
        <v/>
      </c>
    </row>
    <row r="1961">
      <c r="A1961">
        <f>IFERROR(IF(AND(BASELINE!I1961&lt;&gt;"",INT(IF(CALC!$F$1&gt;0,IF(N(INDEX(BASELINE!$A1961:$ZZ1961,CALC!$F$1))&gt;0,N(INDEX(BASELINE!$A1961:$ZZ1961,CALC!$F$1)),N(BASELINE!E1961)),N(BASELINE!E1961)))=INT(SIMOPS!$D$3),IFERROR(UPPER(TRIM(BASELINE!D1961&amp;"")),"")&lt;&gt;"ENCERRADA"),1,0),0)</f>
        <v/>
      </c>
      <c r="B1961">
        <f>B1960+A1961</f>
        <v/>
      </c>
    </row>
    <row r="1962">
      <c r="A1962">
        <f>IFERROR(IF(AND(BASELINE!I1962&lt;&gt;"",INT(IF(CALC!$F$1&gt;0,IF(N(INDEX(BASELINE!$A1962:$ZZ1962,CALC!$F$1))&gt;0,N(INDEX(BASELINE!$A1962:$ZZ1962,CALC!$F$1)),N(BASELINE!E1962)),N(BASELINE!E1962)))=INT(SIMOPS!$D$3),IFERROR(UPPER(TRIM(BASELINE!D1962&amp;"")),"")&lt;&gt;"ENCERRADA"),1,0),0)</f>
        <v/>
      </c>
      <c r="B1962">
        <f>B1961+A1962</f>
        <v/>
      </c>
    </row>
    <row r="1963">
      <c r="A1963">
        <f>IFERROR(IF(AND(BASELINE!I1963&lt;&gt;"",INT(IF(CALC!$F$1&gt;0,IF(N(INDEX(BASELINE!$A1963:$ZZ1963,CALC!$F$1))&gt;0,N(INDEX(BASELINE!$A1963:$ZZ1963,CALC!$F$1)),N(BASELINE!E1963)),N(BASELINE!E1963)))=INT(SIMOPS!$D$3),IFERROR(UPPER(TRIM(BASELINE!D1963&amp;"")),"")&lt;&gt;"ENCERRADA"),1,0),0)</f>
        <v/>
      </c>
      <c r="B1963">
        <f>B1962+A1963</f>
        <v/>
      </c>
    </row>
    <row r="1964">
      <c r="A1964">
        <f>IFERROR(IF(AND(BASELINE!I1964&lt;&gt;"",INT(IF(CALC!$F$1&gt;0,IF(N(INDEX(BASELINE!$A1964:$ZZ1964,CALC!$F$1))&gt;0,N(INDEX(BASELINE!$A1964:$ZZ1964,CALC!$F$1)),N(BASELINE!E1964)),N(BASELINE!E1964)))=INT(SIMOPS!$D$3),IFERROR(UPPER(TRIM(BASELINE!D1964&amp;"")),"")&lt;&gt;"ENCERRADA"),1,0),0)</f>
        <v/>
      </c>
      <c r="B1964">
        <f>B1963+A1964</f>
        <v/>
      </c>
    </row>
    <row r="1965">
      <c r="A1965">
        <f>IFERROR(IF(AND(BASELINE!I1965&lt;&gt;"",INT(IF(CALC!$F$1&gt;0,IF(N(INDEX(BASELINE!$A1965:$ZZ1965,CALC!$F$1))&gt;0,N(INDEX(BASELINE!$A1965:$ZZ1965,CALC!$F$1)),N(BASELINE!E1965)),N(BASELINE!E1965)))=INT(SIMOPS!$D$3),IFERROR(UPPER(TRIM(BASELINE!D1965&amp;"")),"")&lt;&gt;"ENCERRADA"),1,0),0)</f>
        <v/>
      </c>
      <c r="B1965">
        <f>B1964+A1965</f>
        <v/>
      </c>
    </row>
    <row r="1966">
      <c r="A1966">
        <f>IFERROR(IF(AND(BASELINE!I1966&lt;&gt;"",INT(IF(CALC!$F$1&gt;0,IF(N(INDEX(BASELINE!$A1966:$ZZ1966,CALC!$F$1))&gt;0,N(INDEX(BASELINE!$A1966:$ZZ1966,CALC!$F$1)),N(BASELINE!E1966)),N(BASELINE!E1966)))=INT(SIMOPS!$D$3),IFERROR(UPPER(TRIM(BASELINE!D1966&amp;"")),"")&lt;&gt;"ENCERRADA"),1,0),0)</f>
        <v/>
      </c>
      <c r="B1966">
        <f>B1965+A1966</f>
        <v/>
      </c>
    </row>
    <row r="1967">
      <c r="A1967">
        <f>IFERROR(IF(AND(BASELINE!I1967&lt;&gt;"",INT(IF(CALC!$F$1&gt;0,IF(N(INDEX(BASELINE!$A1967:$ZZ1967,CALC!$F$1))&gt;0,N(INDEX(BASELINE!$A1967:$ZZ1967,CALC!$F$1)),N(BASELINE!E1967)),N(BASELINE!E1967)))=INT(SIMOPS!$D$3),IFERROR(UPPER(TRIM(BASELINE!D1967&amp;"")),"")&lt;&gt;"ENCERRADA"),1,0),0)</f>
        <v/>
      </c>
      <c r="B1967">
        <f>B1966+A1967</f>
        <v/>
      </c>
    </row>
    <row r="1968">
      <c r="A1968">
        <f>IFERROR(IF(AND(BASELINE!I1968&lt;&gt;"",INT(IF(CALC!$F$1&gt;0,IF(N(INDEX(BASELINE!$A1968:$ZZ1968,CALC!$F$1))&gt;0,N(INDEX(BASELINE!$A1968:$ZZ1968,CALC!$F$1)),N(BASELINE!E1968)),N(BASELINE!E1968)))=INT(SIMOPS!$D$3),IFERROR(UPPER(TRIM(BASELINE!D1968&amp;"")),"")&lt;&gt;"ENCERRADA"),1,0),0)</f>
        <v/>
      </c>
      <c r="B1968">
        <f>B1967+A1968</f>
        <v/>
      </c>
    </row>
    <row r="1969">
      <c r="A1969">
        <f>IFERROR(IF(AND(BASELINE!I1969&lt;&gt;"",INT(IF(CALC!$F$1&gt;0,IF(N(INDEX(BASELINE!$A1969:$ZZ1969,CALC!$F$1))&gt;0,N(INDEX(BASELINE!$A1969:$ZZ1969,CALC!$F$1)),N(BASELINE!E1969)),N(BASELINE!E1969)))=INT(SIMOPS!$D$3),IFERROR(UPPER(TRIM(BASELINE!D1969&amp;"")),"")&lt;&gt;"ENCERRADA"),1,0),0)</f>
        <v/>
      </c>
      <c r="B1969">
        <f>B1968+A1969</f>
        <v/>
      </c>
    </row>
    <row r="1970">
      <c r="A1970">
        <f>IFERROR(IF(AND(BASELINE!I1970&lt;&gt;"",INT(IF(CALC!$F$1&gt;0,IF(N(INDEX(BASELINE!$A1970:$ZZ1970,CALC!$F$1))&gt;0,N(INDEX(BASELINE!$A1970:$ZZ1970,CALC!$F$1)),N(BASELINE!E1970)),N(BASELINE!E1970)))=INT(SIMOPS!$D$3),IFERROR(UPPER(TRIM(BASELINE!D1970&amp;"")),"")&lt;&gt;"ENCERRADA"),1,0),0)</f>
        <v/>
      </c>
      <c r="B1970">
        <f>B1969+A1970</f>
        <v/>
      </c>
    </row>
    <row r="1971">
      <c r="A1971">
        <f>IFERROR(IF(AND(BASELINE!I1971&lt;&gt;"",INT(IF(CALC!$F$1&gt;0,IF(N(INDEX(BASELINE!$A1971:$ZZ1971,CALC!$F$1))&gt;0,N(INDEX(BASELINE!$A1971:$ZZ1971,CALC!$F$1)),N(BASELINE!E1971)),N(BASELINE!E1971)))=INT(SIMOPS!$D$3),IFERROR(UPPER(TRIM(BASELINE!D1971&amp;"")),"")&lt;&gt;"ENCERRADA"),1,0),0)</f>
        <v/>
      </c>
      <c r="B1971">
        <f>B1970+A1971</f>
        <v/>
      </c>
    </row>
    <row r="1972">
      <c r="A1972">
        <f>IFERROR(IF(AND(BASELINE!I1972&lt;&gt;"",INT(IF(CALC!$F$1&gt;0,IF(N(INDEX(BASELINE!$A1972:$ZZ1972,CALC!$F$1))&gt;0,N(INDEX(BASELINE!$A1972:$ZZ1972,CALC!$F$1)),N(BASELINE!E1972)),N(BASELINE!E1972)))=INT(SIMOPS!$D$3),IFERROR(UPPER(TRIM(BASELINE!D1972&amp;"")),"")&lt;&gt;"ENCERRADA"),1,0),0)</f>
        <v/>
      </c>
      <c r="B1972">
        <f>B1971+A1972</f>
        <v/>
      </c>
    </row>
    <row r="1973">
      <c r="A1973">
        <f>IFERROR(IF(AND(BASELINE!I1973&lt;&gt;"",INT(IF(CALC!$F$1&gt;0,IF(N(INDEX(BASELINE!$A1973:$ZZ1973,CALC!$F$1))&gt;0,N(INDEX(BASELINE!$A1973:$ZZ1973,CALC!$F$1)),N(BASELINE!E1973)),N(BASELINE!E1973)))=INT(SIMOPS!$D$3),IFERROR(UPPER(TRIM(BASELINE!D1973&amp;"")),"")&lt;&gt;"ENCERRADA"),1,0),0)</f>
        <v/>
      </c>
      <c r="B1973">
        <f>B1972+A1973</f>
        <v/>
      </c>
    </row>
    <row r="1974">
      <c r="A1974">
        <f>IFERROR(IF(AND(BASELINE!I1974&lt;&gt;"",INT(IF(CALC!$F$1&gt;0,IF(N(INDEX(BASELINE!$A1974:$ZZ1974,CALC!$F$1))&gt;0,N(INDEX(BASELINE!$A1974:$ZZ1974,CALC!$F$1)),N(BASELINE!E1974)),N(BASELINE!E1974)))=INT(SIMOPS!$D$3),IFERROR(UPPER(TRIM(BASELINE!D1974&amp;"")),"")&lt;&gt;"ENCERRADA"),1,0),0)</f>
        <v/>
      </c>
      <c r="B1974">
        <f>B1973+A1974</f>
        <v/>
      </c>
    </row>
    <row r="1975">
      <c r="A1975">
        <f>IFERROR(IF(AND(BASELINE!I1975&lt;&gt;"",INT(IF(CALC!$F$1&gt;0,IF(N(INDEX(BASELINE!$A1975:$ZZ1975,CALC!$F$1))&gt;0,N(INDEX(BASELINE!$A1975:$ZZ1975,CALC!$F$1)),N(BASELINE!E1975)),N(BASELINE!E1975)))=INT(SIMOPS!$D$3),IFERROR(UPPER(TRIM(BASELINE!D1975&amp;"")),"")&lt;&gt;"ENCERRADA"),1,0),0)</f>
        <v/>
      </c>
      <c r="B1975">
        <f>B1974+A1975</f>
        <v/>
      </c>
    </row>
    <row r="1976">
      <c r="A1976">
        <f>IFERROR(IF(AND(BASELINE!I1976&lt;&gt;"",INT(IF(CALC!$F$1&gt;0,IF(N(INDEX(BASELINE!$A1976:$ZZ1976,CALC!$F$1))&gt;0,N(INDEX(BASELINE!$A1976:$ZZ1976,CALC!$F$1)),N(BASELINE!E1976)),N(BASELINE!E1976)))=INT(SIMOPS!$D$3),IFERROR(UPPER(TRIM(BASELINE!D1976&amp;"")),"")&lt;&gt;"ENCERRADA"),1,0),0)</f>
        <v/>
      </c>
      <c r="B1976">
        <f>B1975+A1976</f>
        <v/>
      </c>
    </row>
    <row r="1977">
      <c r="A1977">
        <f>IFERROR(IF(AND(BASELINE!I1977&lt;&gt;"",INT(IF(CALC!$F$1&gt;0,IF(N(INDEX(BASELINE!$A1977:$ZZ1977,CALC!$F$1))&gt;0,N(INDEX(BASELINE!$A1977:$ZZ1977,CALC!$F$1)),N(BASELINE!E1977)),N(BASELINE!E1977)))=INT(SIMOPS!$D$3),IFERROR(UPPER(TRIM(BASELINE!D1977&amp;"")),"")&lt;&gt;"ENCERRADA"),1,0),0)</f>
        <v/>
      </c>
      <c r="B1977">
        <f>B1976+A1977</f>
        <v/>
      </c>
    </row>
    <row r="1978">
      <c r="A1978">
        <f>IFERROR(IF(AND(BASELINE!I1978&lt;&gt;"",INT(IF(CALC!$F$1&gt;0,IF(N(INDEX(BASELINE!$A1978:$ZZ1978,CALC!$F$1))&gt;0,N(INDEX(BASELINE!$A1978:$ZZ1978,CALC!$F$1)),N(BASELINE!E1978)),N(BASELINE!E1978)))=INT(SIMOPS!$D$3),IFERROR(UPPER(TRIM(BASELINE!D1978&amp;"")),"")&lt;&gt;"ENCERRADA"),1,0),0)</f>
        <v/>
      </c>
      <c r="B1978">
        <f>B1977+A1978</f>
        <v/>
      </c>
    </row>
    <row r="1979">
      <c r="A1979">
        <f>IFERROR(IF(AND(BASELINE!I1979&lt;&gt;"",INT(IF(CALC!$F$1&gt;0,IF(N(INDEX(BASELINE!$A1979:$ZZ1979,CALC!$F$1))&gt;0,N(INDEX(BASELINE!$A1979:$ZZ1979,CALC!$F$1)),N(BASELINE!E1979)),N(BASELINE!E1979)))=INT(SIMOPS!$D$3),IFERROR(UPPER(TRIM(BASELINE!D1979&amp;"")),"")&lt;&gt;"ENCERRADA"),1,0),0)</f>
        <v/>
      </c>
      <c r="B1979">
        <f>B1978+A1979</f>
        <v/>
      </c>
    </row>
    <row r="1980">
      <c r="A1980">
        <f>IFERROR(IF(AND(BASELINE!I1980&lt;&gt;"",INT(IF(CALC!$F$1&gt;0,IF(N(INDEX(BASELINE!$A1980:$ZZ1980,CALC!$F$1))&gt;0,N(INDEX(BASELINE!$A1980:$ZZ1980,CALC!$F$1)),N(BASELINE!E1980)),N(BASELINE!E1980)))=INT(SIMOPS!$D$3),IFERROR(UPPER(TRIM(BASELINE!D1980&amp;"")),"")&lt;&gt;"ENCERRADA"),1,0),0)</f>
        <v/>
      </c>
      <c r="B1980">
        <f>B1979+A1980</f>
        <v/>
      </c>
    </row>
    <row r="1981">
      <c r="A1981">
        <f>IFERROR(IF(AND(BASELINE!I1981&lt;&gt;"",INT(IF(CALC!$F$1&gt;0,IF(N(INDEX(BASELINE!$A1981:$ZZ1981,CALC!$F$1))&gt;0,N(INDEX(BASELINE!$A1981:$ZZ1981,CALC!$F$1)),N(BASELINE!E1981)),N(BASELINE!E1981)))=INT(SIMOPS!$D$3),IFERROR(UPPER(TRIM(BASELINE!D1981&amp;"")),"")&lt;&gt;"ENCERRADA"),1,0),0)</f>
        <v/>
      </c>
      <c r="B1981">
        <f>B1980+A1981</f>
        <v/>
      </c>
    </row>
    <row r="1982">
      <c r="A1982">
        <f>IFERROR(IF(AND(BASELINE!I1982&lt;&gt;"",INT(IF(CALC!$F$1&gt;0,IF(N(INDEX(BASELINE!$A1982:$ZZ1982,CALC!$F$1))&gt;0,N(INDEX(BASELINE!$A1982:$ZZ1982,CALC!$F$1)),N(BASELINE!E1982)),N(BASELINE!E1982)))=INT(SIMOPS!$D$3),IFERROR(UPPER(TRIM(BASELINE!D1982&amp;"")),"")&lt;&gt;"ENCERRADA"),1,0),0)</f>
        <v/>
      </c>
      <c r="B1982">
        <f>B1981+A1982</f>
        <v/>
      </c>
    </row>
    <row r="1983">
      <c r="A1983">
        <f>IFERROR(IF(AND(BASELINE!I1983&lt;&gt;"",INT(IF(CALC!$F$1&gt;0,IF(N(INDEX(BASELINE!$A1983:$ZZ1983,CALC!$F$1))&gt;0,N(INDEX(BASELINE!$A1983:$ZZ1983,CALC!$F$1)),N(BASELINE!E1983)),N(BASELINE!E1983)))=INT(SIMOPS!$D$3),IFERROR(UPPER(TRIM(BASELINE!D1983&amp;"")),"")&lt;&gt;"ENCERRADA"),1,0),0)</f>
        <v/>
      </c>
      <c r="B1983">
        <f>B1982+A1983</f>
        <v/>
      </c>
    </row>
    <row r="1984">
      <c r="A1984">
        <f>IFERROR(IF(AND(BASELINE!I1984&lt;&gt;"",INT(IF(CALC!$F$1&gt;0,IF(N(INDEX(BASELINE!$A1984:$ZZ1984,CALC!$F$1))&gt;0,N(INDEX(BASELINE!$A1984:$ZZ1984,CALC!$F$1)),N(BASELINE!E1984)),N(BASELINE!E1984)))=INT(SIMOPS!$D$3),IFERROR(UPPER(TRIM(BASELINE!D1984&amp;"")),"")&lt;&gt;"ENCERRADA"),1,0),0)</f>
        <v/>
      </c>
      <c r="B1984">
        <f>B1983+A1984</f>
        <v/>
      </c>
    </row>
    <row r="1985">
      <c r="A1985">
        <f>IFERROR(IF(AND(BASELINE!I1985&lt;&gt;"",INT(IF(CALC!$F$1&gt;0,IF(N(INDEX(BASELINE!$A1985:$ZZ1985,CALC!$F$1))&gt;0,N(INDEX(BASELINE!$A1985:$ZZ1985,CALC!$F$1)),N(BASELINE!E1985)),N(BASELINE!E1985)))=INT(SIMOPS!$D$3),IFERROR(UPPER(TRIM(BASELINE!D1985&amp;"")),"")&lt;&gt;"ENCERRADA"),1,0),0)</f>
        <v/>
      </c>
      <c r="B1985">
        <f>B1984+A1985</f>
        <v/>
      </c>
    </row>
    <row r="1986">
      <c r="A1986">
        <f>IFERROR(IF(AND(BASELINE!I1986&lt;&gt;"",INT(IF(CALC!$F$1&gt;0,IF(N(INDEX(BASELINE!$A1986:$ZZ1986,CALC!$F$1))&gt;0,N(INDEX(BASELINE!$A1986:$ZZ1986,CALC!$F$1)),N(BASELINE!E1986)),N(BASELINE!E1986)))=INT(SIMOPS!$D$3),IFERROR(UPPER(TRIM(BASELINE!D1986&amp;"")),"")&lt;&gt;"ENCERRADA"),1,0),0)</f>
        <v/>
      </c>
      <c r="B1986">
        <f>B1985+A1986</f>
        <v/>
      </c>
    </row>
    <row r="1987">
      <c r="A1987">
        <f>IFERROR(IF(AND(BASELINE!I1987&lt;&gt;"",INT(IF(CALC!$F$1&gt;0,IF(N(INDEX(BASELINE!$A1987:$ZZ1987,CALC!$F$1))&gt;0,N(INDEX(BASELINE!$A1987:$ZZ1987,CALC!$F$1)),N(BASELINE!E1987)),N(BASELINE!E1987)))=INT(SIMOPS!$D$3),IFERROR(UPPER(TRIM(BASELINE!D1987&amp;"")),"")&lt;&gt;"ENCERRADA"),1,0),0)</f>
        <v/>
      </c>
      <c r="B1987">
        <f>B1986+A1987</f>
        <v/>
      </c>
    </row>
    <row r="1988">
      <c r="A1988">
        <f>IFERROR(IF(AND(BASELINE!I1988&lt;&gt;"",INT(IF(CALC!$F$1&gt;0,IF(N(INDEX(BASELINE!$A1988:$ZZ1988,CALC!$F$1))&gt;0,N(INDEX(BASELINE!$A1988:$ZZ1988,CALC!$F$1)),N(BASELINE!E1988)),N(BASELINE!E1988)))=INT(SIMOPS!$D$3),IFERROR(UPPER(TRIM(BASELINE!D1988&amp;"")),"")&lt;&gt;"ENCERRADA"),1,0),0)</f>
        <v/>
      </c>
      <c r="B1988">
        <f>B1987+A1988</f>
        <v/>
      </c>
    </row>
    <row r="1989">
      <c r="A1989">
        <f>IFERROR(IF(AND(BASELINE!I1989&lt;&gt;"",INT(IF(CALC!$F$1&gt;0,IF(N(INDEX(BASELINE!$A1989:$ZZ1989,CALC!$F$1))&gt;0,N(INDEX(BASELINE!$A1989:$ZZ1989,CALC!$F$1)),N(BASELINE!E1989)),N(BASELINE!E1989)))=INT(SIMOPS!$D$3),IFERROR(UPPER(TRIM(BASELINE!D1989&amp;"")),"")&lt;&gt;"ENCERRADA"),1,0),0)</f>
        <v/>
      </c>
      <c r="B1989">
        <f>B1988+A1989</f>
        <v/>
      </c>
    </row>
    <row r="1990">
      <c r="A1990">
        <f>IFERROR(IF(AND(BASELINE!I1990&lt;&gt;"",INT(IF(CALC!$F$1&gt;0,IF(N(INDEX(BASELINE!$A1990:$ZZ1990,CALC!$F$1))&gt;0,N(INDEX(BASELINE!$A1990:$ZZ1990,CALC!$F$1)),N(BASELINE!E1990)),N(BASELINE!E1990)))=INT(SIMOPS!$D$3),IFERROR(UPPER(TRIM(BASELINE!D1990&amp;"")),"")&lt;&gt;"ENCERRADA"),1,0),0)</f>
        <v/>
      </c>
      <c r="B1990">
        <f>B1989+A1990</f>
        <v/>
      </c>
    </row>
    <row r="1991">
      <c r="A1991">
        <f>IFERROR(IF(AND(BASELINE!I1991&lt;&gt;"",INT(IF(CALC!$F$1&gt;0,IF(N(INDEX(BASELINE!$A1991:$ZZ1991,CALC!$F$1))&gt;0,N(INDEX(BASELINE!$A1991:$ZZ1991,CALC!$F$1)),N(BASELINE!E1991)),N(BASELINE!E1991)))=INT(SIMOPS!$D$3),IFERROR(UPPER(TRIM(BASELINE!D1991&amp;"")),"")&lt;&gt;"ENCERRADA"),1,0),0)</f>
        <v/>
      </c>
      <c r="B1991">
        <f>B1990+A1991</f>
        <v/>
      </c>
    </row>
    <row r="1992">
      <c r="A1992">
        <f>IFERROR(IF(AND(BASELINE!I1992&lt;&gt;"",INT(IF(CALC!$F$1&gt;0,IF(N(INDEX(BASELINE!$A1992:$ZZ1992,CALC!$F$1))&gt;0,N(INDEX(BASELINE!$A1992:$ZZ1992,CALC!$F$1)),N(BASELINE!E1992)),N(BASELINE!E1992)))=INT(SIMOPS!$D$3),IFERROR(UPPER(TRIM(BASELINE!D1992&amp;"")),"")&lt;&gt;"ENCERRADA"),1,0),0)</f>
        <v/>
      </c>
      <c r="B1992">
        <f>B1991+A1992</f>
        <v/>
      </c>
    </row>
    <row r="1993">
      <c r="A1993">
        <f>IFERROR(IF(AND(BASELINE!I1993&lt;&gt;"",INT(IF(CALC!$F$1&gt;0,IF(N(INDEX(BASELINE!$A1993:$ZZ1993,CALC!$F$1))&gt;0,N(INDEX(BASELINE!$A1993:$ZZ1993,CALC!$F$1)),N(BASELINE!E1993)),N(BASELINE!E1993)))=INT(SIMOPS!$D$3),IFERROR(UPPER(TRIM(BASELINE!D1993&amp;"")),"")&lt;&gt;"ENCERRADA"),1,0),0)</f>
        <v/>
      </c>
      <c r="B1993">
        <f>B1992+A1993</f>
        <v/>
      </c>
    </row>
    <row r="1994">
      <c r="A1994">
        <f>IFERROR(IF(AND(BASELINE!I1994&lt;&gt;"",INT(IF(CALC!$F$1&gt;0,IF(N(INDEX(BASELINE!$A1994:$ZZ1994,CALC!$F$1))&gt;0,N(INDEX(BASELINE!$A1994:$ZZ1994,CALC!$F$1)),N(BASELINE!E1994)),N(BASELINE!E1994)))=INT(SIMOPS!$D$3),IFERROR(UPPER(TRIM(BASELINE!D1994&amp;"")),"")&lt;&gt;"ENCERRADA"),1,0),0)</f>
        <v/>
      </c>
      <c r="B1994">
        <f>B1993+A1994</f>
        <v/>
      </c>
    </row>
    <row r="1995">
      <c r="A1995">
        <f>IFERROR(IF(AND(BASELINE!I1995&lt;&gt;"",INT(IF(CALC!$F$1&gt;0,IF(N(INDEX(BASELINE!$A1995:$ZZ1995,CALC!$F$1))&gt;0,N(INDEX(BASELINE!$A1995:$ZZ1995,CALC!$F$1)),N(BASELINE!E1995)),N(BASELINE!E1995)))=INT(SIMOPS!$D$3),IFERROR(UPPER(TRIM(BASELINE!D1995&amp;"")),"")&lt;&gt;"ENCERRADA"),1,0),0)</f>
        <v/>
      </c>
      <c r="B1995">
        <f>B1994+A1995</f>
        <v/>
      </c>
    </row>
    <row r="1996">
      <c r="A1996">
        <f>IFERROR(IF(AND(BASELINE!I1996&lt;&gt;"",INT(IF(CALC!$F$1&gt;0,IF(N(INDEX(BASELINE!$A1996:$ZZ1996,CALC!$F$1))&gt;0,N(INDEX(BASELINE!$A1996:$ZZ1996,CALC!$F$1)),N(BASELINE!E1996)),N(BASELINE!E1996)))=INT(SIMOPS!$D$3),IFERROR(UPPER(TRIM(BASELINE!D1996&amp;"")),"")&lt;&gt;"ENCERRADA"),1,0),0)</f>
        <v/>
      </c>
      <c r="B1996">
        <f>B1995+A1996</f>
        <v/>
      </c>
    </row>
    <row r="1997">
      <c r="A1997">
        <f>IFERROR(IF(AND(BASELINE!I1997&lt;&gt;"",INT(IF(CALC!$F$1&gt;0,IF(N(INDEX(BASELINE!$A1997:$ZZ1997,CALC!$F$1))&gt;0,N(INDEX(BASELINE!$A1997:$ZZ1997,CALC!$F$1)),N(BASELINE!E1997)),N(BASELINE!E1997)))=INT(SIMOPS!$D$3),IFERROR(UPPER(TRIM(BASELINE!D1997&amp;"")),"")&lt;&gt;"ENCERRADA"),1,0),0)</f>
        <v/>
      </c>
      <c r="B1997">
        <f>B1996+A1997</f>
        <v/>
      </c>
    </row>
    <row r="1998">
      <c r="A1998">
        <f>IFERROR(IF(AND(BASELINE!I1998&lt;&gt;"",INT(IF(CALC!$F$1&gt;0,IF(N(INDEX(BASELINE!$A1998:$ZZ1998,CALC!$F$1))&gt;0,N(INDEX(BASELINE!$A1998:$ZZ1998,CALC!$F$1)),N(BASELINE!E1998)),N(BASELINE!E1998)))=INT(SIMOPS!$D$3),IFERROR(UPPER(TRIM(BASELINE!D1998&amp;"")),"")&lt;&gt;"ENCERRADA"),1,0),0)</f>
        <v/>
      </c>
      <c r="B1998">
        <f>B1997+A1998</f>
        <v/>
      </c>
    </row>
    <row r="1999">
      <c r="A1999">
        <f>IFERROR(IF(AND(BASELINE!I1999&lt;&gt;"",INT(IF(CALC!$F$1&gt;0,IF(N(INDEX(BASELINE!$A1999:$ZZ1999,CALC!$F$1))&gt;0,N(INDEX(BASELINE!$A1999:$ZZ1999,CALC!$F$1)),N(BASELINE!E1999)),N(BASELINE!E1999)))=INT(SIMOPS!$D$3),IFERROR(UPPER(TRIM(BASELINE!D1999&amp;"")),"")&lt;&gt;"ENCERRADA"),1,0),0)</f>
        <v/>
      </c>
      <c r="B1999">
        <f>B1998+A1999</f>
        <v/>
      </c>
    </row>
    <row r="2000">
      <c r="A2000">
        <f>IFERROR(IF(AND(BASELINE!I2000&lt;&gt;"",INT(IF(CALC!$F$1&gt;0,IF(N(INDEX(BASELINE!$A2000:$ZZ2000,CALC!$F$1))&gt;0,N(INDEX(BASELINE!$A2000:$ZZ2000,CALC!$F$1)),N(BASELINE!E2000)),N(BASELINE!E2000)))=INT(SIMOPS!$D$3),IFERROR(UPPER(TRIM(BASELINE!D2000&amp;"")),"")&lt;&gt;"ENCERRADA"),1,0),0)</f>
        <v/>
      </c>
      <c r="B2000">
        <f>B1999+A2000</f>
        <v/>
      </c>
    </row>
    <row r="2001">
      <c r="A2001">
        <f>IFERROR(IF(AND(BASELINE!I2001&lt;&gt;"",INT(IF(CALC!$F$1&gt;0,IF(N(INDEX(BASELINE!$A2001:$ZZ2001,CALC!$F$1))&gt;0,N(INDEX(BASELINE!$A2001:$ZZ2001,CALC!$F$1)),N(BASELINE!E2001)),N(BASELINE!E2001)))=INT(SIMOPS!$D$3),IFERROR(UPPER(TRIM(BASELINE!D2001&amp;"")),"")&lt;&gt;"ENCERRADA"),1,0),0)</f>
        <v/>
      </c>
      <c r="B2001">
        <f>B2000+A2001</f>
        <v/>
      </c>
    </row>
    <row r="2002">
      <c r="A2002">
        <f>IFERROR(IF(AND(BASELINE!I2002&lt;&gt;"",INT(IF(CALC!$F$1&gt;0,IF(N(INDEX(BASELINE!$A2002:$ZZ2002,CALC!$F$1))&gt;0,N(INDEX(BASELINE!$A2002:$ZZ2002,CALC!$F$1)),N(BASELINE!E2002)),N(BASELINE!E2002)))=INT(SIMOPS!$D$3),IFERROR(UPPER(TRIM(BASELINE!D2002&amp;"")),"")&lt;&gt;"ENCERRADA"),1,0),0)</f>
        <v/>
      </c>
      <c r="B2002">
        <f>B2001+A2002</f>
        <v/>
      </c>
    </row>
    <row r="2003">
      <c r="A2003">
        <f>IFERROR(IF(AND(BASELINE!I2003&lt;&gt;"",INT(IF(CALC!$F$1&gt;0,IF(N(INDEX(BASELINE!$A2003:$ZZ2003,CALC!$F$1))&gt;0,N(INDEX(BASELINE!$A2003:$ZZ2003,CALC!$F$1)),N(BASELINE!E2003)),N(BASELINE!E2003)))=INT(SIMOPS!$D$3),IFERROR(UPPER(TRIM(BASELINE!D2003&amp;"")),"")&lt;&gt;"ENCERRADA"),1,0),0)</f>
        <v/>
      </c>
      <c r="B2003">
        <f>B2002+A2003</f>
        <v/>
      </c>
    </row>
    <row r="2004">
      <c r="A2004">
        <f>IFERROR(IF(AND(BASELINE!I2004&lt;&gt;"",INT(IF(CALC!$F$1&gt;0,IF(N(INDEX(BASELINE!$A2004:$ZZ2004,CALC!$F$1))&gt;0,N(INDEX(BASELINE!$A2004:$ZZ2004,CALC!$F$1)),N(BASELINE!E2004)),N(BASELINE!E2004)))=INT(SIMOPS!$D$3),IFERROR(UPPER(TRIM(BASELINE!D2004&amp;"")),"")&lt;&gt;"ENCERRADA"),1,0),0)</f>
        <v/>
      </c>
      <c r="B2004">
        <f>B2003+A2004</f>
        <v/>
      </c>
    </row>
    <row r="2005">
      <c r="A2005">
        <f>IFERROR(IF(AND(BASELINE!I2005&lt;&gt;"",INT(IF(CALC!$F$1&gt;0,IF(N(INDEX(BASELINE!$A2005:$ZZ2005,CALC!$F$1))&gt;0,N(INDEX(BASELINE!$A2005:$ZZ2005,CALC!$F$1)),N(BASELINE!E2005)),N(BASELINE!E2005)))=INT(SIMOPS!$D$3),IFERROR(UPPER(TRIM(BASELINE!D2005&amp;"")),"")&lt;&gt;"ENCERRADA"),1,0),0)</f>
        <v/>
      </c>
      <c r="B2005">
        <f>B2004+A2005</f>
        <v/>
      </c>
    </row>
    <row r="2006">
      <c r="A2006">
        <f>IFERROR(IF(AND(BASELINE!I2006&lt;&gt;"",INT(IF(CALC!$F$1&gt;0,IF(N(INDEX(BASELINE!$A2006:$ZZ2006,CALC!$F$1))&gt;0,N(INDEX(BASELINE!$A2006:$ZZ2006,CALC!$F$1)),N(BASELINE!E2006)),N(BASELINE!E2006)))=INT(SIMOPS!$D$3),IFERROR(UPPER(TRIM(BASELINE!D2006&amp;"")),"")&lt;&gt;"ENCERRADA"),1,0),0)</f>
        <v/>
      </c>
      <c r="B2006">
        <f>B2005+A2006</f>
        <v/>
      </c>
    </row>
    <row r="2007">
      <c r="A2007">
        <f>IFERROR(IF(AND(BASELINE!I2007&lt;&gt;"",INT(IF(CALC!$F$1&gt;0,IF(N(INDEX(BASELINE!$A2007:$ZZ2007,CALC!$F$1))&gt;0,N(INDEX(BASELINE!$A2007:$ZZ2007,CALC!$F$1)),N(BASELINE!E2007)),N(BASELINE!E2007)))=INT(SIMOPS!$D$3),IFERROR(UPPER(TRIM(BASELINE!D2007&amp;"")),"")&lt;&gt;"ENCERRADA"),1,0),0)</f>
        <v/>
      </c>
      <c r="B2007">
        <f>B2006+A2007</f>
        <v/>
      </c>
    </row>
    <row r="2008">
      <c r="A2008">
        <f>IFERROR(IF(AND(BASELINE!I2008&lt;&gt;"",INT(IF(CALC!$F$1&gt;0,IF(N(INDEX(BASELINE!$A2008:$ZZ2008,CALC!$F$1))&gt;0,N(INDEX(BASELINE!$A2008:$ZZ2008,CALC!$F$1)),N(BASELINE!E2008)),N(BASELINE!E2008)))=INT(SIMOPS!$D$3),IFERROR(UPPER(TRIM(BASELINE!D2008&amp;"")),"")&lt;&gt;"ENCERRADA"),1,0),0)</f>
        <v/>
      </c>
      <c r="B2008">
        <f>B2007+A2008</f>
        <v/>
      </c>
    </row>
    <row r="2009">
      <c r="A2009">
        <f>IFERROR(IF(AND(BASELINE!I2009&lt;&gt;"",INT(IF(CALC!$F$1&gt;0,IF(N(INDEX(BASELINE!$A2009:$ZZ2009,CALC!$F$1))&gt;0,N(INDEX(BASELINE!$A2009:$ZZ2009,CALC!$F$1)),N(BASELINE!E2009)),N(BASELINE!E2009)))=INT(SIMOPS!$D$3),IFERROR(UPPER(TRIM(BASELINE!D2009&amp;"")),"")&lt;&gt;"ENCERRADA"),1,0),0)</f>
        <v/>
      </c>
      <c r="B2009">
        <f>B2008+A2009</f>
        <v/>
      </c>
    </row>
    <row r="2010">
      <c r="A2010">
        <f>IFERROR(IF(AND(BASELINE!I2010&lt;&gt;"",INT(IF(CALC!$F$1&gt;0,IF(N(INDEX(BASELINE!$A2010:$ZZ2010,CALC!$F$1))&gt;0,N(INDEX(BASELINE!$A2010:$ZZ2010,CALC!$F$1)),N(BASELINE!E2010)),N(BASELINE!E2010)))=INT(SIMOPS!$D$3),IFERROR(UPPER(TRIM(BASELINE!D2010&amp;"")),"")&lt;&gt;"ENCERRADA"),1,0),0)</f>
        <v/>
      </c>
      <c r="B2010">
        <f>B2009+A2010</f>
        <v/>
      </c>
    </row>
    <row r="2011">
      <c r="A2011">
        <f>IFERROR(IF(AND(BASELINE!I2011&lt;&gt;"",INT(IF(CALC!$F$1&gt;0,IF(N(INDEX(BASELINE!$A2011:$ZZ2011,CALC!$F$1))&gt;0,N(INDEX(BASELINE!$A2011:$ZZ2011,CALC!$F$1)),N(BASELINE!E2011)),N(BASELINE!E2011)))=INT(SIMOPS!$D$3),IFERROR(UPPER(TRIM(BASELINE!D2011&amp;"")),"")&lt;&gt;"ENCERRADA"),1,0),0)</f>
        <v/>
      </c>
      <c r="B2011">
        <f>B2010+A2011</f>
        <v/>
      </c>
    </row>
    <row r="2012">
      <c r="A2012">
        <f>IFERROR(IF(AND(BASELINE!I2012&lt;&gt;"",INT(IF(CALC!$F$1&gt;0,IF(N(INDEX(BASELINE!$A2012:$ZZ2012,CALC!$F$1))&gt;0,N(INDEX(BASELINE!$A2012:$ZZ2012,CALC!$F$1)),N(BASELINE!E2012)),N(BASELINE!E2012)))=INT(SIMOPS!$D$3),IFERROR(UPPER(TRIM(BASELINE!D2012&amp;"")),"")&lt;&gt;"ENCERRADA"),1,0),0)</f>
        <v/>
      </c>
      <c r="B2012">
        <f>B2011+A2012</f>
        <v/>
      </c>
    </row>
    <row r="2013">
      <c r="A2013">
        <f>IFERROR(IF(AND(BASELINE!I2013&lt;&gt;"",INT(IF(CALC!$F$1&gt;0,IF(N(INDEX(BASELINE!$A2013:$ZZ2013,CALC!$F$1))&gt;0,N(INDEX(BASELINE!$A2013:$ZZ2013,CALC!$F$1)),N(BASELINE!E2013)),N(BASELINE!E2013)))=INT(SIMOPS!$D$3),IFERROR(UPPER(TRIM(BASELINE!D2013&amp;"")),"")&lt;&gt;"ENCERRADA"),1,0),0)</f>
        <v/>
      </c>
      <c r="B2013">
        <f>B2012+A2013</f>
        <v/>
      </c>
    </row>
    <row r="2014">
      <c r="A2014">
        <f>IFERROR(IF(AND(BASELINE!I2014&lt;&gt;"",INT(IF(CALC!$F$1&gt;0,IF(N(INDEX(BASELINE!$A2014:$ZZ2014,CALC!$F$1))&gt;0,N(INDEX(BASELINE!$A2014:$ZZ2014,CALC!$F$1)),N(BASELINE!E2014)),N(BASELINE!E2014)))=INT(SIMOPS!$D$3),IFERROR(UPPER(TRIM(BASELINE!D2014&amp;"")),"")&lt;&gt;"ENCERRADA"),1,0),0)</f>
        <v/>
      </c>
      <c r="B2014">
        <f>B2013+A2014</f>
        <v/>
      </c>
    </row>
    <row r="2015">
      <c r="A2015">
        <f>IFERROR(IF(AND(BASELINE!I2015&lt;&gt;"",INT(IF(CALC!$F$1&gt;0,IF(N(INDEX(BASELINE!$A2015:$ZZ2015,CALC!$F$1))&gt;0,N(INDEX(BASELINE!$A2015:$ZZ2015,CALC!$F$1)),N(BASELINE!E2015)),N(BASELINE!E2015)))=INT(SIMOPS!$D$3),IFERROR(UPPER(TRIM(BASELINE!D2015&amp;"")),"")&lt;&gt;"ENCERRADA"),1,0),0)</f>
        <v/>
      </c>
      <c r="B2015">
        <f>B2014+A2015</f>
        <v/>
      </c>
    </row>
    <row r="2016">
      <c r="A2016">
        <f>IFERROR(IF(AND(BASELINE!I2016&lt;&gt;"",INT(IF(CALC!$F$1&gt;0,IF(N(INDEX(BASELINE!$A2016:$ZZ2016,CALC!$F$1))&gt;0,N(INDEX(BASELINE!$A2016:$ZZ2016,CALC!$F$1)),N(BASELINE!E2016)),N(BASELINE!E2016)))=INT(SIMOPS!$D$3),IFERROR(UPPER(TRIM(BASELINE!D2016&amp;"")),"")&lt;&gt;"ENCERRADA"),1,0),0)</f>
        <v/>
      </c>
      <c r="B2016">
        <f>B2015+A2016</f>
        <v/>
      </c>
    </row>
    <row r="2017">
      <c r="A2017">
        <f>IFERROR(IF(AND(BASELINE!I2017&lt;&gt;"",INT(IF(CALC!$F$1&gt;0,IF(N(INDEX(BASELINE!$A2017:$ZZ2017,CALC!$F$1))&gt;0,N(INDEX(BASELINE!$A2017:$ZZ2017,CALC!$F$1)),N(BASELINE!E2017)),N(BASELINE!E2017)))=INT(SIMOPS!$D$3),IFERROR(UPPER(TRIM(BASELINE!D2017&amp;"")),"")&lt;&gt;"ENCERRADA"),1,0),0)</f>
        <v/>
      </c>
      <c r="B2017">
        <f>B2016+A2017</f>
        <v/>
      </c>
    </row>
    <row r="2018">
      <c r="A2018">
        <f>IFERROR(IF(AND(BASELINE!I2018&lt;&gt;"",INT(IF(CALC!$F$1&gt;0,IF(N(INDEX(BASELINE!$A2018:$ZZ2018,CALC!$F$1))&gt;0,N(INDEX(BASELINE!$A2018:$ZZ2018,CALC!$F$1)),N(BASELINE!E2018)),N(BASELINE!E2018)))=INT(SIMOPS!$D$3),IFERROR(UPPER(TRIM(BASELINE!D2018&amp;"")),"")&lt;&gt;"ENCERRADA"),1,0),0)</f>
        <v/>
      </c>
      <c r="B2018">
        <f>B2017+A2018</f>
        <v/>
      </c>
    </row>
    <row r="2019">
      <c r="A2019">
        <f>IFERROR(IF(AND(BASELINE!I2019&lt;&gt;"",INT(IF(CALC!$F$1&gt;0,IF(N(INDEX(BASELINE!$A2019:$ZZ2019,CALC!$F$1))&gt;0,N(INDEX(BASELINE!$A2019:$ZZ2019,CALC!$F$1)),N(BASELINE!E2019)),N(BASELINE!E2019)))=INT(SIMOPS!$D$3),IFERROR(UPPER(TRIM(BASELINE!D2019&amp;"")),"")&lt;&gt;"ENCERRADA"),1,0),0)</f>
        <v/>
      </c>
      <c r="B2019">
        <f>B2018+A2019</f>
        <v/>
      </c>
    </row>
    <row r="2020">
      <c r="A2020">
        <f>IFERROR(IF(AND(BASELINE!I2020&lt;&gt;"",INT(IF(CALC!$F$1&gt;0,IF(N(INDEX(BASELINE!$A2020:$ZZ2020,CALC!$F$1))&gt;0,N(INDEX(BASELINE!$A2020:$ZZ2020,CALC!$F$1)),N(BASELINE!E2020)),N(BASELINE!E2020)))=INT(SIMOPS!$D$3),IFERROR(UPPER(TRIM(BASELINE!D2020&amp;"")),"")&lt;&gt;"ENCERRADA"),1,0),0)</f>
        <v/>
      </c>
      <c r="B2020">
        <f>B2019+A2020</f>
        <v/>
      </c>
    </row>
    <row r="2021">
      <c r="A2021">
        <f>IFERROR(IF(AND(BASELINE!I2021&lt;&gt;"",INT(IF(CALC!$F$1&gt;0,IF(N(INDEX(BASELINE!$A2021:$ZZ2021,CALC!$F$1))&gt;0,N(INDEX(BASELINE!$A2021:$ZZ2021,CALC!$F$1)),N(BASELINE!E2021)),N(BASELINE!E2021)))=INT(SIMOPS!$D$3),IFERROR(UPPER(TRIM(BASELINE!D2021&amp;"")),"")&lt;&gt;"ENCERRADA"),1,0),0)</f>
        <v/>
      </c>
      <c r="B2021">
        <f>B2020+A2021</f>
        <v/>
      </c>
    </row>
    <row r="2022">
      <c r="A2022">
        <f>IFERROR(IF(AND(BASELINE!I2022&lt;&gt;"",INT(IF(CALC!$F$1&gt;0,IF(N(INDEX(BASELINE!$A2022:$ZZ2022,CALC!$F$1))&gt;0,N(INDEX(BASELINE!$A2022:$ZZ2022,CALC!$F$1)),N(BASELINE!E2022)),N(BASELINE!E2022)))=INT(SIMOPS!$D$3),IFERROR(UPPER(TRIM(BASELINE!D2022&amp;"")),"")&lt;&gt;"ENCERRADA"),1,0),0)</f>
        <v/>
      </c>
      <c r="B2022">
        <f>B2021+A2022</f>
        <v/>
      </c>
    </row>
    <row r="2023">
      <c r="A2023">
        <f>IFERROR(IF(AND(BASELINE!I2023&lt;&gt;"",INT(IF(CALC!$F$1&gt;0,IF(N(INDEX(BASELINE!$A2023:$ZZ2023,CALC!$F$1))&gt;0,N(INDEX(BASELINE!$A2023:$ZZ2023,CALC!$F$1)),N(BASELINE!E2023)),N(BASELINE!E2023)))=INT(SIMOPS!$D$3),IFERROR(UPPER(TRIM(BASELINE!D2023&amp;"")),"")&lt;&gt;"ENCERRADA"),1,0),0)</f>
        <v/>
      </c>
      <c r="B2023">
        <f>B2022+A2023</f>
        <v/>
      </c>
    </row>
    <row r="2024">
      <c r="A2024">
        <f>IFERROR(IF(AND(BASELINE!I2024&lt;&gt;"",INT(IF(CALC!$F$1&gt;0,IF(N(INDEX(BASELINE!$A2024:$ZZ2024,CALC!$F$1))&gt;0,N(INDEX(BASELINE!$A2024:$ZZ2024,CALC!$F$1)),N(BASELINE!E2024)),N(BASELINE!E2024)))=INT(SIMOPS!$D$3),IFERROR(UPPER(TRIM(BASELINE!D2024&amp;"")),"")&lt;&gt;"ENCERRADA"),1,0),0)</f>
        <v/>
      </c>
      <c r="B2024">
        <f>B2023+A2024</f>
        <v/>
      </c>
    </row>
    <row r="2025">
      <c r="A2025">
        <f>IFERROR(IF(AND(BASELINE!I2025&lt;&gt;"",INT(IF(CALC!$F$1&gt;0,IF(N(INDEX(BASELINE!$A2025:$ZZ2025,CALC!$F$1))&gt;0,N(INDEX(BASELINE!$A2025:$ZZ2025,CALC!$F$1)),N(BASELINE!E2025)),N(BASELINE!E2025)))=INT(SIMOPS!$D$3),IFERROR(UPPER(TRIM(BASELINE!D2025&amp;"")),"")&lt;&gt;"ENCERRADA"),1,0),0)</f>
        <v/>
      </c>
      <c r="B2025">
        <f>B2024+A2025</f>
        <v/>
      </c>
    </row>
    <row r="2026">
      <c r="A2026">
        <f>IFERROR(IF(AND(BASELINE!I2026&lt;&gt;"",INT(IF(CALC!$F$1&gt;0,IF(N(INDEX(BASELINE!$A2026:$ZZ2026,CALC!$F$1))&gt;0,N(INDEX(BASELINE!$A2026:$ZZ2026,CALC!$F$1)),N(BASELINE!E2026)),N(BASELINE!E2026)))=INT(SIMOPS!$D$3),IFERROR(UPPER(TRIM(BASELINE!D2026&amp;"")),"")&lt;&gt;"ENCERRADA"),1,0),0)</f>
        <v/>
      </c>
      <c r="B2026">
        <f>B2025+A2026</f>
        <v/>
      </c>
    </row>
    <row r="2027">
      <c r="A2027">
        <f>IFERROR(IF(AND(BASELINE!I2027&lt;&gt;"",INT(IF(CALC!$F$1&gt;0,IF(N(INDEX(BASELINE!$A2027:$ZZ2027,CALC!$F$1))&gt;0,N(INDEX(BASELINE!$A2027:$ZZ2027,CALC!$F$1)),N(BASELINE!E2027)),N(BASELINE!E2027)))=INT(SIMOPS!$D$3),IFERROR(UPPER(TRIM(BASELINE!D2027&amp;"")),"")&lt;&gt;"ENCERRADA"),1,0),0)</f>
        <v/>
      </c>
      <c r="B2027">
        <f>B2026+A2027</f>
        <v/>
      </c>
    </row>
    <row r="2028">
      <c r="A2028">
        <f>IFERROR(IF(AND(BASELINE!I2028&lt;&gt;"",INT(IF(CALC!$F$1&gt;0,IF(N(INDEX(BASELINE!$A2028:$ZZ2028,CALC!$F$1))&gt;0,N(INDEX(BASELINE!$A2028:$ZZ2028,CALC!$F$1)),N(BASELINE!E2028)),N(BASELINE!E2028)))=INT(SIMOPS!$D$3),IFERROR(UPPER(TRIM(BASELINE!D2028&amp;"")),"")&lt;&gt;"ENCERRADA"),1,0),0)</f>
        <v/>
      </c>
      <c r="B2028">
        <f>B2027+A2028</f>
        <v/>
      </c>
    </row>
    <row r="2029">
      <c r="A2029">
        <f>IFERROR(IF(AND(BASELINE!I2029&lt;&gt;"",INT(IF(CALC!$F$1&gt;0,IF(N(INDEX(BASELINE!$A2029:$ZZ2029,CALC!$F$1))&gt;0,N(INDEX(BASELINE!$A2029:$ZZ2029,CALC!$F$1)),N(BASELINE!E2029)),N(BASELINE!E2029)))=INT(SIMOPS!$D$3),IFERROR(UPPER(TRIM(BASELINE!D2029&amp;"")),"")&lt;&gt;"ENCERRADA"),1,0),0)</f>
        <v/>
      </c>
      <c r="B2029">
        <f>B2028+A2029</f>
        <v/>
      </c>
    </row>
    <row r="2030">
      <c r="A2030">
        <f>IFERROR(IF(AND(BASELINE!I2030&lt;&gt;"",INT(IF(CALC!$F$1&gt;0,IF(N(INDEX(BASELINE!$A2030:$ZZ2030,CALC!$F$1))&gt;0,N(INDEX(BASELINE!$A2030:$ZZ2030,CALC!$F$1)),N(BASELINE!E2030)),N(BASELINE!E2030)))=INT(SIMOPS!$D$3),IFERROR(UPPER(TRIM(BASELINE!D2030&amp;"")),"")&lt;&gt;"ENCERRADA"),1,0),0)</f>
        <v/>
      </c>
      <c r="B2030">
        <f>B2029+A2030</f>
        <v/>
      </c>
    </row>
    <row r="2031">
      <c r="A2031">
        <f>IFERROR(IF(AND(BASELINE!I2031&lt;&gt;"",INT(IF(CALC!$F$1&gt;0,IF(N(INDEX(BASELINE!$A2031:$ZZ2031,CALC!$F$1))&gt;0,N(INDEX(BASELINE!$A2031:$ZZ2031,CALC!$F$1)),N(BASELINE!E2031)),N(BASELINE!E2031)))=INT(SIMOPS!$D$3),IFERROR(UPPER(TRIM(BASELINE!D2031&amp;"")),"")&lt;&gt;"ENCERRADA"),1,0),0)</f>
        <v/>
      </c>
      <c r="B2031">
        <f>B2030+A2031</f>
        <v/>
      </c>
    </row>
    <row r="2032">
      <c r="A2032">
        <f>IFERROR(IF(AND(BASELINE!I2032&lt;&gt;"",INT(IF(CALC!$F$1&gt;0,IF(N(INDEX(BASELINE!$A2032:$ZZ2032,CALC!$F$1))&gt;0,N(INDEX(BASELINE!$A2032:$ZZ2032,CALC!$F$1)),N(BASELINE!E2032)),N(BASELINE!E2032)))=INT(SIMOPS!$D$3),IFERROR(UPPER(TRIM(BASELINE!D2032&amp;"")),"")&lt;&gt;"ENCERRADA"),1,0),0)</f>
        <v/>
      </c>
      <c r="B2032">
        <f>B2031+A2032</f>
        <v/>
      </c>
    </row>
    <row r="2033">
      <c r="A2033">
        <f>IFERROR(IF(AND(BASELINE!I2033&lt;&gt;"",INT(IF(CALC!$F$1&gt;0,IF(N(INDEX(BASELINE!$A2033:$ZZ2033,CALC!$F$1))&gt;0,N(INDEX(BASELINE!$A2033:$ZZ2033,CALC!$F$1)),N(BASELINE!E2033)),N(BASELINE!E2033)))=INT(SIMOPS!$D$3),IFERROR(UPPER(TRIM(BASELINE!D2033&amp;"")),"")&lt;&gt;"ENCERRADA"),1,0),0)</f>
        <v/>
      </c>
      <c r="B2033">
        <f>B2032+A2033</f>
        <v/>
      </c>
    </row>
    <row r="2034">
      <c r="A2034">
        <f>IFERROR(IF(AND(BASELINE!I2034&lt;&gt;"",INT(IF(CALC!$F$1&gt;0,IF(N(INDEX(BASELINE!$A2034:$ZZ2034,CALC!$F$1))&gt;0,N(INDEX(BASELINE!$A2034:$ZZ2034,CALC!$F$1)),N(BASELINE!E2034)),N(BASELINE!E2034)))=INT(SIMOPS!$D$3),IFERROR(UPPER(TRIM(BASELINE!D2034&amp;"")),"")&lt;&gt;"ENCERRADA"),1,0),0)</f>
        <v/>
      </c>
      <c r="B2034">
        <f>B2033+A2034</f>
        <v/>
      </c>
    </row>
    <row r="2035">
      <c r="A2035">
        <f>IFERROR(IF(AND(BASELINE!I2035&lt;&gt;"",INT(IF(CALC!$F$1&gt;0,IF(N(INDEX(BASELINE!$A2035:$ZZ2035,CALC!$F$1))&gt;0,N(INDEX(BASELINE!$A2035:$ZZ2035,CALC!$F$1)),N(BASELINE!E2035)),N(BASELINE!E2035)))=INT(SIMOPS!$D$3),IFERROR(UPPER(TRIM(BASELINE!D2035&amp;"")),"")&lt;&gt;"ENCERRADA"),1,0),0)</f>
        <v/>
      </c>
      <c r="B2035">
        <f>B2034+A2035</f>
        <v/>
      </c>
    </row>
    <row r="2036">
      <c r="A2036">
        <f>IFERROR(IF(AND(BASELINE!I2036&lt;&gt;"",INT(IF(CALC!$F$1&gt;0,IF(N(INDEX(BASELINE!$A2036:$ZZ2036,CALC!$F$1))&gt;0,N(INDEX(BASELINE!$A2036:$ZZ2036,CALC!$F$1)),N(BASELINE!E2036)),N(BASELINE!E2036)))=INT(SIMOPS!$D$3),IFERROR(UPPER(TRIM(BASELINE!D2036&amp;"")),"")&lt;&gt;"ENCERRADA"),1,0),0)</f>
        <v/>
      </c>
      <c r="B2036">
        <f>B2035+A2036</f>
        <v/>
      </c>
    </row>
    <row r="2037">
      <c r="A2037">
        <f>IFERROR(IF(AND(BASELINE!I2037&lt;&gt;"",INT(IF(CALC!$F$1&gt;0,IF(N(INDEX(BASELINE!$A2037:$ZZ2037,CALC!$F$1))&gt;0,N(INDEX(BASELINE!$A2037:$ZZ2037,CALC!$F$1)),N(BASELINE!E2037)),N(BASELINE!E2037)))=INT(SIMOPS!$D$3),IFERROR(UPPER(TRIM(BASELINE!D2037&amp;"")),"")&lt;&gt;"ENCERRADA"),1,0),0)</f>
        <v/>
      </c>
      <c r="B2037">
        <f>B2036+A2037</f>
        <v/>
      </c>
    </row>
    <row r="2038">
      <c r="A2038">
        <f>IFERROR(IF(AND(BASELINE!I2038&lt;&gt;"",INT(IF(CALC!$F$1&gt;0,IF(N(INDEX(BASELINE!$A2038:$ZZ2038,CALC!$F$1))&gt;0,N(INDEX(BASELINE!$A2038:$ZZ2038,CALC!$F$1)),N(BASELINE!E2038)),N(BASELINE!E2038)))=INT(SIMOPS!$D$3),IFERROR(UPPER(TRIM(BASELINE!D2038&amp;"")),"")&lt;&gt;"ENCERRADA"),1,0),0)</f>
        <v/>
      </c>
      <c r="B2038">
        <f>B2037+A2038</f>
        <v/>
      </c>
    </row>
    <row r="2039">
      <c r="A2039">
        <f>IFERROR(IF(AND(BASELINE!I2039&lt;&gt;"",INT(IF(CALC!$F$1&gt;0,IF(N(INDEX(BASELINE!$A2039:$ZZ2039,CALC!$F$1))&gt;0,N(INDEX(BASELINE!$A2039:$ZZ2039,CALC!$F$1)),N(BASELINE!E2039)),N(BASELINE!E2039)))=INT(SIMOPS!$D$3),IFERROR(UPPER(TRIM(BASELINE!D2039&amp;"")),"")&lt;&gt;"ENCERRADA"),1,0),0)</f>
        <v/>
      </c>
      <c r="B2039">
        <f>B2038+A2039</f>
        <v/>
      </c>
    </row>
    <row r="2040">
      <c r="A2040">
        <f>IFERROR(IF(AND(BASELINE!I2040&lt;&gt;"",INT(IF(CALC!$F$1&gt;0,IF(N(INDEX(BASELINE!$A2040:$ZZ2040,CALC!$F$1))&gt;0,N(INDEX(BASELINE!$A2040:$ZZ2040,CALC!$F$1)),N(BASELINE!E2040)),N(BASELINE!E2040)))=INT(SIMOPS!$D$3),IFERROR(UPPER(TRIM(BASELINE!D2040&amp;"")),"")&lt;&gt;"ENCERRADA"),1,0),0)</f>
        <v/>
      </c>
      <c r="B2040">
        <f>B2039+A2040</f>
        <v/>
      </c>
    </row>
    <row r="2041">
      <c r="A2041">
        <f>IFERROR(IF(AND(BASELINE!I2041&lt;&gt;"",INT(IF(CALC!$F$1&gt;0,IF(N(INDEX(BASELINE!$A2041:$ZZ2041,CALC!$F$1))&gt;0,N(INDEX(BASELINE!$A2041:$ZZ2041,CALC!$F$1)),N(BASELINE!E2041)),N(BASELINE!E2041)))=INT(SIMOPS!$D$3),IFERROR(UPPER(TRIM(BASELINE!D2041&amp;"")),"")&lt;&gt;"ENCERRADA"),1,0),0)</f>
        <v/>
      </c>
      <c r="B2041">
        <f>B2040+A2041</f>
        <v/>
      </c>
    </row>
    <row r="2042">
      <c r="A2042">
        <f>IFERROR(IF(AND(BASELINE!I2042&lt;&gt;"",INT(IF(CALC!$F$1&gt;0,IF(N(INDEX(BASELINE!$A2042:$ZZ2042,CALC!$F$1))&gt;0,N(INDEX(BASELINE!$A2042:$ZZ2042,CALC!$F$1)),N(BASELINE!E2042)),N(BASELINE!E2042)))=INT(SIMOPS!$D$3),IFERROR(UPPER(TRIM(BASELINE!D2042&amp;"")),"")&lt;&gt;"ENCERRADA"),1,0),0)</f>
        <v/>
      </c>
      <c r="B2042">
        <f>B2041+A2042</f>
        <v/>
      </c>
    </row>
    <row r="2043">
      <c r="A2043">
        <f>IFERROR(IF(AND(BASELINE!I2043&lt;&gt;"",INT(IF(CALC!$F$1&gt;0,IF(N(INDEX(BASELINE!$A2043:$ZZ2043,CALC!$F$1))&gt;0,N(INDEX(BASELINE!$A2043:$ZZ2043,CALC!$F$1)),N(BASELINE!E2043)),N(BASELINE!E2043)))=INT(SIMOPS!$D$3),IFERROR(UPPER(TRIM(BASELINE!D2043&amp;"")),"")&lt;&gt;"ENCERRADA"),1,0),0)</f>
        <v/>
      </c>
      <c r="B2043">
        <f>B2042+A2043</f>
        <v/>
      </c>
    </row>
    <row r="2044">
      <c r="A2044">
        <f>IFERROR(IF(AND(BASELINE!I2044&lt;&gt;"",INT(IF(CALC!$F$1&gt;0,IF(N(INDEX(BASELINE!$A2044:$ZZ2044,CALC!$F$1))&gt;0,N(INDEX(BASELINE!$A2044:$ZZ2044,CALC!$F$1)),N(BASELINE!E2044)),N(BASELINE!E2044)))=INT(SIMOPS!$D$3),IFERROR(UPPER(TRIM(BASELINE!D2044&amp;"")),"")&lt;&gt;"ENCERRADA"),1,0),0)</f>
        <v/>
      </c>
      <c r="B2044">
        <f>B2043+A2044</f>
        <v/>
      </c>
    </row>
    <row r="2045">
      <c r="A2045">
        <f>IFERROR(IF(AND(BASELINE!I2045&lt;&gt;"",INT(IF(CALC!$F$1&gt;0,IF(N(INDEX(BASELINE!$A2045:$ZZ2045,CALC!$F$1))&gt;0,N(INDEX(BASELINE!$A2045:$ZZ2045,CALC!$F$1)),N(BASELINE!E2045)),N(BASELINE!E2045)))=INT(SIMOPS!$D$3),IFERROR(UPPER(TRIM(BASELINE!D2045&amp;"")),"")&lt;&gt;"ENCERRADA"),1,0),0)</f>
        <v/>
      </c>
      <c r="B2045">
        <f>B2044+A2045</f>
        <v/>
      </c>
    </row>
    <row r="2046">
      <c r="A2046">
        <f>IFERROR(IF(AND(BASELINE!I2046&lt;&gt;"",INT(IF(CALC!$F$1&gt;0,IF(N(INDEX(BASELINE!$A2046:$ZZ2046,CALC!$F$1))&gt;0,N(INDEX(BASELINE!$A2046:$ZZ2046,CALC!$F$1)),N(BASELINE!E2046)),N(BASELINE!E2046)))=INT(SIMOPS!$D$3),IFERROR(UPPER(TRIM(BASELINE!D2046&amp;"")),"")&lt;&gt;"ENCERRADA"),1,0),0)</f>
        <v/>
      </c>
      <c r="B2046">
        <f>B2045+A2046</f>
        <v/>
      </c>
    </row>
    <row r="2047">
      <c r="A2047">
        <f>IFERROR(IF(AND(BASELINE!I2047&lt;&gt;"",INT(IF(CALC!$F$1&gt;0,IF(N(INDEX(BASELINE!$A2047:$ZZ2047,CALC!$F$1))&gt;0,N(INDEX(BASELINE!$A2047:$ZZ2047,CALC!$F$1)),N(BASELINE!E2047)),N(BASELINE!E2047)))=INT(SIMOPS!$D$3),IFERROR(UPPER(TRIM(BASELINE!D2047&amp;"")),"")&lt;&gt;"ENCERRADA"),1,0),0)</f>
        <v/>
      </c>
      <c r="B2047">
        <f>B2046+A2047</f>
        <v/>
      </c>
    </row>
    <row r="2048">
      <c r="A2048">
        <f>IFERROR(IF(AND(BASELINE!I2048&lt;&gt;"",INT(IF(CALC!$F$1&gt;0,IF(N(INDEX(BASELINE!$A2048:$ZZ2048,CALC!$F$1))&gt;0,N(INDEX(BASELINE!$A2048:$ZZ2048,CALC!$F$1)),N(BASELINE!E2048)),N(BASELINE!E2048)))=INT(SIMOPS!$D$3),IFERROR(UPPER(TRIM(BASELINE!D2048&amp;"")),"")&lt;&gt;"ENCERRADA"),1,0),0)</f>
        <v/>
      </c>
      <c r="B2048">
        <f>B2047+A2048</f>
        <v/>
      </c>
    </row>
    <row r="2049">
      <c r="A2049">
        <f>IFERROR(IF(AND(BASELINE!I2049&lt;&gt;"",INT(IF(CALC!$F$1&gt;0,IF(N(INDEX(BASELINE!$A2049:$ZZ2049,CALC!$F$1))&gt;0,N(INDEX(BASELINE!$A2049:$ZZ2049,CALC!$F$1)),N(BASELINE!E2049)),N(BASELINE!E2049)))=INT(SIMOPS!$D$3),IFERROR(UPPER(TRIM(BASELINE!D2049&amp;"")),"")&lt;&gt;"ENCERRADA"),1,0),0)</f>
        <v/>
      </c>
      <c r="B2049">
        <f>B2048+A2049</f>
        <v/>
      </c>
    </row>
    <row r="2050">
      <c r="A2050">
        <f>IFERROR(IF(AND(BASELINE!I2050&lt;&gt;"",INT(IF(CALC!$F$1&gt;0,IF(N(INDEX(BASELINE!$A2050:$ZZ2050,CALC!$F$1))&gt;0,N(INDEX(BASELINE!$A2050:$ZZ2050,CALC!$F$1)),N(BASELINE!E2050)),N(BASELINE!E2050)))=INT(SIMOPS!$D$3),IFERROR(UPPER(TRIM(BASELINE!D2050&amp;"")),"")&lt;&gt;"ENCERRADA"),1,0),0)</f>
        <v/>
      </c>
      <c r="B2050">
        <f>B2049+A2050</f>
        <v/>
      </c>
    </row>
    <row r="2051">
      <c r="A2051">
        <f>IFERROR(IF(AND(BASELINE!I2051&lt;&gt;"",INT(IF(CALC!$F$1&gt;0,IF(N(INDEX(BASELINE!$A2051:$ZZ2051,CALC!$F$1))&gt;0,N(INDEX(BASELINE!$A2051:$ZZ2051,CALC!$F$1)),N(BASELINE!E2051)),N(BASELINE!E2051)))=INT(SIMOPS!$D$3),IFERROR(UPPER(TRIM(BASELINE!D2051&amp;"")),"")&lt;&gt;"ENCERRADA"),1,0),0)</f>
        <v/>
      </c>
      <c r="B2051">
        <f>B2050+A2051</f>
        <v/>
      </c>
    </row>
    <row r="2052">
      <c r="A2052">
        <f>IFERROR(IF(AND(BASELINE!I2052&lt;&gt;"",INT(IF(CALC!$F$1&gt;0,IF(N(INDEX(BASELINE!$A2052:$ZZ2052,CALC!$F$1))&gt;0,N(INDEX(BASELINE!$A2052:$ZZ2052,CALC!$F$1)),N(BASELINE!E2052)),N(BASELINE!E2052)))=INT(SIMOPS!$D$3),IFERROR(UPPER(TRIM(BASELINE!D2052&amp;"")),"")&lt;&gt;"ENCERRADA"),1,0),0)</f>
        <v/>
      </c>
      <c r="B2052">
        <f>B2051+A2052</f>
        <v/>
      </c>
    </row>
    <row r="2053">
      <c r="A2053">
        <f>IFERROR(IF(AND(BASELINE!I2053&lt;&gt;"",INT(IF(CALC!$F$1&gt;0,IF(N(INDEX(BASELINE!$A2053:$ZZ2053,CALC!$F$1))&gt;0,N(INDEX(BASELINE!$A2053:$ZZ2053,CALC!$F$1)),N(BASELINE!E2053)),N(BASELINE!E2053)))=INT(SIMOPS!$D$3),IFERROR(UPPER(TRIM(BASELINE!D2053&amp;"")),"")&lt;&gt;"ENCERRADA"),1,0),0)</f>
        <v/>
      </c>
      <c r="B2053">
        <f>B2052+A2053</f>
        <v/>
      </c>
    </row>
    <row r="2054">
      <c r="A2054">
        <f>IFERROR(IF(AND(BASELINE!I2054&lt;&gt;"",INT(IF(CALC!$F$1&gt;0,IF(N(INDEX(BASELINE!$A2054:$ZZ2054,CALC!$F$1))&gt;0,N(INDEX(BASELINE!$A2054:$ZZ2054,CALC!$F$1)),N(BASELINE!E2054)),N(BASELINE!E2054)))=INT(SIMOPS!$D$3),IFERROR(UPPER(TRIM(BASELINE!D2054&amp;"")),"")&lt;&gt;"ENCERRADA"),1,0),0)</f>
        <v/>
      </c>
      <c r="B2054">
        <f>B2053+A2054</f>
        <v/>
      </c>
    </row>
    <row r="2055">
      <c r="A2055">
        <f>IFERROR(IF(AND(BASELINE!I2055&lt;&gt;"",INT(IF(CALC!$F$1&gt;0,IF(N(INDEX(BASELINE!$A2055:$ZZ2055,CALC!$F$1))&gt;0,N(INDEX(BASELINE!$A2055:$ZZ2055,CALC!$F$1)),N(BASELINE!E2055)),N(BASELINE!E2055)))=INT(SIMOPS!$D$3),IFERROR(UPPER(TRIM(BASELINE!D2055&amp;"")),"")&lt;&gt;"ENCERRADA"),1,0),0)</f>
        <v/>
      </c>
      <c r="B2055">
        <f>B2054+A2055</f>
        <v/>
      </c>
    </row>
    <row r="2056">
      <c r="A2056">
        <f>IFERROR(IF(AND(BASELINE!I2056&lt;&gt;"",INT(IF(CALC!$F$1&gt;0,IF(N(INDEX(BASELINE!$A2056:$ZZ2056,CALC!$F$1))&gt;0,N(INDEX(BASELINE!$A2056:$ZZ2056,CALC!$F$1)),N(BASELINE!E2056)),N(BASELINE!E2056)))=INT(SIMOPS!$D$3),IFERROR(UPPER(TRIM(BASELINE!D2056&amp;"")),"")&lt;&gt;"ENCERRADA"),1,0),0)</f>
        <v/>
      </c>
      <c r="B2056">
        <f>B2055+A2056</f>
        <v/>
      </c>
    </row>
    <row r="2057">
      <c r="A2057">
        <f>IFERROR(IF(AND(BASELINE!I2057&lt;&gt;"",INT(IF(CALC!$F$1&gt;0,IF(N(INDEX(BASELINE!$A2057:$ZZ2057,CALC!$F$1))&gt;0,N(INDEX(BASELINE!$A2057:$ZZ2057,CALC!$F$1)),N(BASELINE!E2057)),N(BASELINE!E2057)))=INT(SIMOPS!$D$3),IFERROR(UPPER(TRIM(BASELINE!D2057&amp;"")),"")&lt;&gt;"ENCERRADA"),1,0),0)</f>
        <v/>
      </c>
      <c r="B2057">
        <f>B2056+A2057</f>
        <v/>
      </c>
    </row>
    <row r="2058">
      <c r="A2058">
        <f>IFERROR(IF(AND(BASELINE!I2058&lt;&gt;"",INT(IF(CALC!$F$1&gt;0,IF(N(INDEX(BASELINE!$A2058:$ZZ2058,CALC!$F$1))&gt;0,N(INDEX(BASELINE!$A2058:$ZZ2058,CALC!$F$1)),N(BASELINE!E2058)),N(BASELINE!E2058)))=INT(SIMOPS!$D$3),IFERROR(UPPER(TRIM(BASELINE!D2058&amp;"")),"")&lt;&gt;"ENCERRADA"),1,0),0)</f>
        <v/>
      </c>
      <c r="B2058">
        <f>B2057+A2058</f>
        <v/>
      </c>
    </row>
    <row r="2059">
      <c r="A2059">
        <f>IFERROR(IF(AND(BASELINE!I2059&lt;&gt;"",INT(IF(CALC!$F$1&gt;0,IF(N(INDEX(BASELINE!$A2059:$ZZ2059,CALC!$F$1))&gt;0,N(INDEX(BASELINE!$A2059:$ZZ2059,CALC!$F$1)),N(BASELINE!E2059)),N(BASELINE!E2059)))=INT(SIMOPS!$D$3),IFERROR(UPPER(TRIM(BASELINE!D2059&amp;"")),"")&lt;&gt;"ENCERRADA"),1,0),0)</f>
        <v/>
      </c>
      <c r="B2059">
        <f>B2058+A2059</f>
        <v/>
      </c>
    </row>
    <row r="2060">
      <c r="A2060">
        <f>IFERROR(IF(AND(BASELINE!I2060&lt;&gt;"",INT(IF(CALC!$F$1&gt;0,IF(N(INDEX(BASELINE!$A2060:$ZZ2060,CALC!$F$1))&gt;0,N(INDEX(BASELINE!$A2060:$ZZ2060,CALC!$F$1)),N(BASELINE!E2060)),N(BASELINE!E2060)))=INT(SIMOPS!$D$3),IFERROR(UPPER(TRIM(BASELINE!D2060&amp;"")),"")&lt;&gt;"ENCERRADA"),1,0),0)</f>
        <v/>
      </c>
      <c r="B2060">
        <f>B2059+A2060</f>
        <v/>
      </c>
    </row>
    <row r="2061">
      <c r="A2061">
        <f>IFERROR(IF(AND(BASELINE!I2061&lt;&gt;"",INT(IF(CALC!$F$1&gt;0,IF(N(INDEX(BASELINE!$A2061:$ZZ2061,CALC!$F$1))&gt;0,N(INDEX(BASELINE!$A2061:$ZZ2061,CALC!$F$1)),N(BASELINE!E2061)),N(BASELINE!E2061)))=INT(SIMOPS!$D$3),IFERROR(UPPER(TRIM(BASELINE!D2061&amp;"")),"")&lt;&gt;"ENCERRADA"),1,0),0)</f>
        <v/>
      </c>
      <c r="B2061">
        <f>B2060+A2061</f>
        <v/>
      </c>
    </row>
    <row r="2062">
      <c r="A2062">
        <f>IFERROR(IF(AND(BASELINE!I2062&lt;&gt;"",INT(IF(CALC!$F$1&gt;0,IF(N(INDEX(BASELINE!$A2062:$ZZ2062,CALC!$F$1))&gt;0,N(INDEX(BASELINE!$A2062:$ZZ2062,CALC!$F$1)),N(BASELINE!E2062)),N(BASELINE!E2062)))=INT(SIMOPS!$D$3),IFERROR(UPPER(TRIM(BASELINE!D2062&amp;"")),"")&lt;&gt;"ENCERRADA"),1,0),0)</f>
        <v/>
      </c>
      <c r="B2062">
        <f>B2061+A2062</f>
        <v/>
      </c>
    </row>
    <row r="2063">
      <c r="A2063">
        <f>IFERROR(IF(AND(BASELINE!I2063&lt;&gt;"",INT(IF(CALC!$F$1&gt;0,IF(N(INDEX(BASELINE!$A2063:$ZZ2063,CALC!$F$1))&gt;0,N(INDEX(BASELINE!$A2063:$ZZ2063,CALC!$F$1)),N(BASELINE!E2063)),N(BASELINE!E2063)))=INT(SIMOPS!$D$3),IFERROR(UPPER(TRIM(BASELINE!D2063&amp;"")),"")&lt;&gt;"ENCERRADA"),1,0),0)</f>
        <v/>
      </c>
      <c r="B2063">
        <f>B2062+A2063</f>
        <v/>
      </c>
    </row>
    <row r="2064">
      <c r="A2064">
        <f>IFERROR(IF(AND(BASELINE!I2064&lt;&gt;"",INT(IF(CALC!$F$1&gt;0,IF(N(INDEX(BASELINE!$A2064:$ZZ2064,CALC!$F$1))&gt;0,N(INDEX(BASELINE!$A2064:$ZZ2064,CALC!$F$1)),N(BASELINE!E2064)),N(BASELINE!E2064)))=INT(SIMOPS!$D$3),IFERROR(UPPER(TRIM(BASELINE!D2064&amp;"")),"")&lt;&gt;"ENCERRADA"),1,0),0)</f>
        <v/>
      </c>
      <c r="B2064">
        <f>B2063+A2064</f>
        <v/>
      </c>
    </row>
    <row r="2065">
      <c r="A2065">
        <f>IFERROR(IF(AND(BASELINE!I2065&lt;&gt;"",INT(IF(CALC!$F$1&gt;0,IF(N(INDEX(BASELINE!$A2065:$ZZ2065,CALC!$F$1))&gt;0,N(INDEX(BASELINE!$A2065:$ZZ2065,CALC!$F$1)),N(BASELINE!E2065)),N(BASELINE!E2065)))=INT(SIMOPS!$D$3),IFERROR(UPPER(TRIM(BASELINE!D2065&amp;"")),"")&lt;&gt;"ENCERRADA"),1,0),0)</f>
        <v/>
      </c>
      <c r="B2065">
        <f>B2064+A2065</f>
        <v/>
      </c>
    </row>
    <row r="2066">
      <c r="A2066">
        <f>IFERROR(IF(AND(BASELINE!I2066&lt;&gt;"",INT(IF(CALC!$F$1&gt;0,IF(N(INDEX(BASELINE!$A2066:$ZZ2066,CALC!$F$1))&gt;0,N(INDEX(BASELINE!$A2066:$ZZ2066,CALC!$F$1)),N(BASELINE!E2066)),N(BASELINE!E2066)))=INT(SIMOPS!$D$3),IFERROR(UPPER(TRIM(BASELINE!D2066&amp;"")),"")&lt;&gt;"ENCERRADA"),1,0),0)</f>
        <v/>
      </c>
      <c r="B2066">
        <f>B2065+A2066</f>
        <v/>
      </c>
    </row>
    <row r="2067">
      <c r="A2067">
        <f>IFERROR(IF(AND(BASELINE!I2067&lt;&gt;"",INT(IF(CALC!$F$1&gt;0,IF(N(INDEX(BASELINE!$A2067:$ZZ2067,CALC!$F$1))&gt;0,N(INDEX(BASELINE!$A2067:$ZZ2067,CALC!$F$1)),N(BASELINE!E2067)),N(BASELINE!E2067)))=INT(SIMOPS!$D$3),IFERROR(UPPER(TRIM(BASELINE!D2067&amp;"")),"")&lt;&gt;"ENCERRADA"),1,0),0)</f>
        <v/>
      </c>
      <c r="B2067">
        <f>B2066+A2067</f>
        <v/>
      </c>
    </row>
    <row r="2068">
      <c r="A2068">
        <f>IFERROR(IF(AND(BASELINE!I2068&lt;&gt;"",INT(IF(CALC!$F$1&gt;0,IF(N(INDEX(BASELINE!$A2068:$ZZ2068,CALC!$F$1))&gt;0,N(INDEX(BASELINE!$A2068:$ZZ2068,CALC!$F$1)),N(BASELINE!E2068)),N(BASELINE!E2068)))=INT(SIMOPS!$D$3),IFERROR(UPPER(TRIM(BASELINE!D2068&amp;"")),"")&lt;&gt;"ENCERRADA"),1,0),0)</f>
        <v/>
      </c>
      <c r="B2068">
        <f>B2067+A2068</f>
        <v/>
      </c>
    </row>
    <row r="2069">
      <c r="A2069">
        <f>IFERROR(IF(AND(BASELINE!I2069&lt;&gt;"",INT(IF(CALC!$F$1&gt;0,IF(N(INDEX(BASELINE!$A2069:$ZZ2069,CALC!$F$1))&gt;0,N(INDEX(BASELINE!$A2069:$ZZ2069,CALC!$F$1)),N(BASELINE!E2069)),N(BASELINE!E2069)))=INT(SIMOPS!$D$3),IFERROR(UPPER(TRIM(BASELINE!D2069&amp;"")),"")&lt;&gt;"ENCERRADA"),1,0),0)</f>
        <v/>
      </c>
      <c r="B2069">
        <f>B2068+A2069</f>
        <v/>
      </c>
    </row>
    <row r="2070">
      <c r="A2070">
        <f>IFERROR(IF(AND(BASELINE!I2070&lt;&gt;"",INT(IF(CALC!$F$1&gt;0,IF(N(INDEX(BASELINE!$A2070:$ZZ2070,CALC!$F$1))&gt;0,N(INDEX(BASELINE!$A2070:$ZZ2070,CALC!$F$1)),N(BASELINE!E2070)),N(BASELINE!E2070)))=INT(SIMOPS!$D$3),IFERROR(UPPER(TRIM(BASELINE!D2070&amp;"")),"")&lt;&gt;"ENCERRADA"),1,0),0)</f>
        <v/>
      </c>
      <c r="B2070">
        <f>B2069+A2070</f>
        <v/>
      </c>
    </row>
    <row r="2071">
      <c r="A2071">
        <f>IFERROR(IF(AND(BASELINE!I2071&lt;&gt;"",INT(IF(CALC!$F$1&gt;0,IF(N(INDEX(BASELINE!$A2071:$ZZ2071,CALC!$F$1))&gt;0,N(INDEX(BASELINE!$A2071:$ZZ2071,CALC!$F$1)),N(BASELINE!E2071)),N(BASELINE!E2071)))=INT(SIMOPS!$D$3),IFERROR(UPPER(TRIM(BASELINE!D2071&amp;"")),"")&lt;&gt;"ENCERRADA"),1,0),0)</f>
        <v/>
      </c>
      <c r="B2071">
        <f>B2070+A2071</f>
        <v/>
      </c>
    </row>
    <row r="2072">
      <c r="A2072">
        <f>IFERROR(IF(AND(BASELINE!I2072&lt;&gt;"",INT(IF(CALC!$F$1&gt;0,IF(N(INDEX(BASELINE!$A2072:$ZZ2072,CALC!$F$1))&gt;0,N(INDEX(BASELINE!$A2072:$ZZ2072,CALC!$F$1)),N(BASELINE!E2072)),N(BASELINE!E2072)))=INT(SIMOPS!$D$3),IFERROR(UPPER(TRIM(BASELINE!D2072&amp;"")),"")&lt;&gt;"ENCERRADA"),1,0),0)</f>
        <v/>
      </c>
      <c r="B2072">
        <f>B2071+A2072</f>
        <v/>
      </c>
    </row>
    <row r="2073">
      <c r="A2073">
        <f>IFERROR(IF(AND(BASELINE!I2073&lt;&gt;"",INT(IF(CALC!$F$1&gt;0,IF(N(INDEX(BASELINE!$A2073:$ZZ2073,CALC!$F$1))&gt;0,N(INDEX(BASELINE!$A2073:$ZZ2073,CALC!$F$1)),N(BASELINE!E2073)),N(BASELINE!E2073)))=INT(SIMOPS!$D$3),IFERROR(UPPER(TRIM(BASELINE!D2073&amp;"")),"")&lt;&gt;"ENCERRADA"),1,0),0)</f>
        <v/>
      </c>
      <c r="B2073">
        <f>B2072+A2073</f>
        <v/>
      </c>
    </row>
    <row r="2074">
      <c r="A2074">
        <f>IFERROR(IF(AND(BASELINE!I2074&lt;&gt;"",INT(IF(CALC!$F$1&gt;0,IF(N(INDEX(BASELINE!$A2074:$ZZ2074,CALC!$F$1))&gt;0,N(INDEX(BASELINE!$A2074:$ZZ2074,CALC!$F$1)),N(BASELINE!E2074)),N(BASELINE!E2074)))=INT(SIMOPS!$D$3),IFERROR(UPPER(TRIM(BASELINE!D2074&amp;"")),"")&lt;&gt;"ENCERRADA"),1,0),0)</f>
        <v/>
      </c>
      <c r="B2074">
        <f>B2073+A2074</f>
        <v/>
      </c>
    </row>
    <row r="2075">
      <c r="A2075">
        <f>IFERROR(IF(AND(BASELINE!I2075&lt;&gt;"",INT(IF(CALC!$F$1&gt;0,IF(N(INDEX(BASELINE!$A2075:$ZZ2075,CALC!$F$1))&gt;0,N(INDEX(BASELINE!$A2075:$ZZ2075,CALC!$F$1)),N(BASELINE!E2075)),N(BASELINE!E2075)))=INT(SIMOPS!$D$3),IFERROR(UPPER(TRIM(BASELINE!D2075&amp;"")),"")&lt;&gt;"ENCERRADA"),1,0),0)</f>
        <v/>
      </c>
      <c r="B2075">
        <f>B2074+A2075</f>
        <v/>
      </c>
    </row>
    <row r="2076">
      <c r="A2076">
        <f>IFERROR(IF(AND(BASELINE!I2076&lt;&gt;"",INT(IF(CALC!$F$1&gt;0,IF(N(INDEX(BASELINE!$A2076:$ZZ2076,CALC!$F$1))&gt;0,N(INDEX(BASELINE!$A2076:$ZZ2076,CALC!$F$1)),N(BASELINE!E2076)),N(BASELINE!E2076)))=INT(SIMOPS!$D$3),IFERROR(UPPER(TRIM(BASELINE!D2076&amp;"")),"")&lt;&gt;"ENCERRADA"),1,0),0)</f>
        <v/>
      </c>
      <c r="B2076">
        <f>B2075+A2076</f>
        <v/>
      </c>
    </row>
    <row r="2077">
      <c r="A2077">
        <f>IFERROR(IF(AND(BASELINE!I2077&lt;&gt;"",INT(IF(CALC!$F$1&gt;0,IF(N(INDEX(BASELINE!$A2077:$ZZ2077,CALC!$F$1))&gt;0,N(INDEX(BASELINE!$A2077:$ZZ2077,CALC!$F$1)),N(BASELINE!E2077)),N(BASELINE!E2077)))=INT(SIMOPS!$D$3),IFERROR(UPPER(TRIM(BASELINE!D2077&amp;"")),"")&lt;&gt;"ENCERRADA"),1,0),0)</f>
        <v/>
      </c>
      <c r="B2077">
        <f>B2076+A2077</f>
        <v/>
      </c>
    </row>
    <row r="2078">
      <c r="A2078">
        <f>IFERROR(IF(AND(BASELINE!I2078&lt;&gt;"",INT(IF(CALC!$F$1&gt;0,IF(N(INDEX(BASELINE!$A2078:$ZZ2078,CALC!$F$1))&gt;0,N(INDEX(BASELINE!$A2078:$ZZ2078,CALC!$F$1)),N(BASELINE!E2078)),N(BASELINE!E2078)))=INT(SIMOPS!$D$3),IFERROR(UPPER(TRIM(BASELINE!D2078&amp;"")),"")&lt;&gt;"ENCERRADA"),1,0),0)</f>
        <v/>
      </c>
      <c r="B2078">
        <f>B2077+A2078</f>
        <v/>
      </c>
    </row>
    <row r="2079">
      <c r="A2079">
        <f>IFERROR(IF(AND(BASELINE!I2079&lt;&gt;"",INT(IF(CALC!$F$1&gt;0,IF(N(INDEX(BASELINE!$A2079:$ZZ2079,CALC!$F$1))&gt;0,N(INDEX(BASELINE!$A2079:$ZZ2079,CALC!$F$1)),N(BASELINE!E2079)),N(BASELINE!E2079)))=INT(SIMOPS!$D$3),IFERROR(UPPER(TRIM(BASELINE!D2079&amp;"")),"")&lt;&gt;"ENCERRADA"),1,0),0)</f>
        <v/>
      </c>
      <c r="B2079">
        <f>B2078+A2079</f>
        <v/>
      </c>
    </row>
    <row r="2080">
      <c r="A2080">
        <f>IFERROR(IF(AND(BASELINE!I2080&lt;&gt;"",INT(IF(CALC!$F$1&gt;0,IF(N(INDEX(BASELINE!$A2080:$ZZ2080,CALC!$F$1))&gt;0,N(INDEX(BASELINE!$A2080:$ZZ2080,CALC!$F$1)),N(BASELINE!E2080)),N(BASELINE!E2080)))=INT(SIMOPS!$D$3),IFERROR(UPPER(TRIM(BASELINE!D2080&amp;"")),"")&lt;&gt;"ENCERRADA"),1,0),0)</f>
        <v/>
      </c>
      <c r="B2080">
        <f>B2079+A2080</f>
        <v/>
      </c>
    </row>
    <row r="2081">
      <c r="A2081">
        <f>IFERROR(IF(AND(BASELINE!I2081&lt;&gt;"",INT(IF(CALC!$F$1&gt;0,IF(N(INDEX(BASELINE!$A2081:$ZZ2081,CALC!$F$1))&gt;0,N(INDEX(BASELINE!$A2081:$ZZ2081,CALC!$F$1)),N(BASELINE!E2081)),N(BASELINE!E2081)))=INT(SIMOPS!$D$3),IFERROR(UPPER(TRIM(BASELINE!D2081&amp;"")),"")&lt;&gt;"ENCERRADA"),1,0),0)</f>
        <v/>
      </c>
      <c r="B2081">
        <f>B2080+A2081</f>
        <v/>
      </c>
    </row>
    <row r="2082">
      <c r="A2082">
        <f>IFERROR(IF(AND(BASELINE!I2082&lt;&gt;"",INT(IF(CALC!$F$1&gt;0,IF(N(INDEX(BASELINE!$A2082:$ZZ2082,CALC!$F$1))&gt;0,N(INDEX(BASELINE!$A2082:$ZZ2082,CALC!$F$1)),N(BASELINE!E2082)),N(BASELINE!E2082)))=INT(SIMOPS!$D$3),IFERROR(UPPER(TRIM(BASELINE!D2082&amp;"")),"")&lt;&gt;"ENCERRADA"),1,0),0)</f>
        <v/>
      </c>
      <c r="B2082">
        <f>B2081+A2082</f>
        <v/>
      </c>
    </row>
    <row r="2083">
      <c r="A2083">
        <f>IFERROR(IF(AND(BASELINE!I2083&lt;&gt;"",INT(IF(CALC!$F$1&gt;0,IF(N(INDEX(BASELINE!$A2083:$ZZ2083,CALC!$F$1))&gt;0,N(INDEX(BASELINE!$A2083:$ZZ2083,CALC!$F$1)),N(BASELINE!E2083)),N(BASELINE!E2083)))=INT(SIMOPS!$D$3),IFERROR(UPPER(TRIM(BASELINE!D2083&amp;"")),"")&lt;&gt;"ENCERRADA"),1,0),0)</f>
        <v/>
      </c>
      <c r="B2083">
        <f>B2082+A2083</f>
        <v/>
      </c>
    </row>
    <row r="2084">
      <c r="A2084">
        <f>IFERROR(IF(AND(BASELINE!I2084&lt;&gt;"",INT(IF(CALC!$F$1&gt;0,IF(N(INDEX(BASELINE!$A2084:$ZZ2084,CALC!$F$1))&gt;0,N(INDEX(BASELINE!$A2084:$ZZ2084,CALC!$F$1)),N(BASELINE!E2084)),N(BASELINE!E2084)))=INT(SIMOPS!$D$3),IFERROR(UPPER(TRIM(BASELINE!D2084&amp;"")),"")&lt;&gt;"ENCERRADA"),1,0),0)</f>
        <v/>
      </c>
      <c r="B2084">
        <f>B2083+A2084</f>
        <v/>
      </c>
    </row>
    <row r="2085">
      <c r="A2085">
        <f>IFERROR(IF(AND(BASELINE!I2085&lt;&gt;"",INT(IF(CALC!$F$1&gt;0,IF(N(INDEX(BASELINE!$A2085:$ZZ2085,CALC!$F$1))&gt;0,N(INDEX(BASELINE!$A2085:$ZZ2085,CALC!$F$1)),N(BASELINE!E2085)),N(BASELINE!E2085)))=INT(SIMOPS!$D$3),IFERROR(UPPER(TRIM(BASELINE!D2085&amp;"")),"")&lt;&gt;"ENCERRADA"),1,0),0)</f>
        <v/>
      </c>
      <c r="B2085">
        <f>B2084+A2085</f>
        <v/>
      </c>
    </row>
    <row r="2086">
      <c r="A2086">
        <f>IFERROR(IF(AND(BASELINE!I2086&lt;&gt;"",INT(IF(CALC!$F$1&gt;0,IF(N(INDEX(BASELINE!$A2086:$ZZ2086,CALC!$F$1))&gt;0,N(INDEX(BASELINE!$A2086:$ZZ2086,CALC!$F$1)),N(BASELINE!E2086)),N(BASELINE!E2086)))=INT(SIMOPS!$D$3),IFERROR(UPPER(TRIM(BASELINE!D2086&amp;"")),"")&lt;&gt;"ENCERRADA"),1,0),0)</f>
        <v/>
      </c>
      <c r="B2086">
        <f>B2085+A2086</f>
        <v/>
      </c>
    </row>
    <row r="2087">
      <c r="A2087">
        <f>IFERROR(IF(AND(BASELINE!I2087&lt;&gt;"",INT(IF(CALC!$F$1&gt;0,IF(N(INDEX(BASELINE!$A2087:$ZZ2087,CALC!$F$1))&gt;0,N(INDEX(BASELINE!$A2087:$ZZ2087,CALC!$F$1)),N(BASELINE!E2087)),N(BASELINE!E2087)))=INT(SIMOPS!$D$3),IFERROR(UPPER(TRIM(BASELINE!D2087&amp;"")),"")&lt;&gt;"ENCERRADA"),1,0),0)</f>
        <v/>
      </c>
      <c r="B2087">
        <f>B2086+A2087</f>
        <v/>
      </c>
    </row>
    <row r="2088">
      <c r="A2088">
        <f>IFERROR(IF(AND(BASELINE!I2088&lt;&gt;"",INT(IF(CALC!$F$1&gt;0,IF(N(INDEX(BASELINE!$A2088:$ZZ2088,CALC!$F$1))&gt;0,N(INDEX(BASELINE!$A2088:$ZZ2088,CALC!$F$1)),N(BASELINE!E2088)),N(BASELINE!E2088)))=INT(SIMOPS!$D$3),IFERROR(UPPER(TRIM(BASELINE!D2088&amp;"")),"")&lt;&gt;"ENCERRADA"),1,0),0)</f>
        <v/>
      </c>
      <c r="B2088">
        <f>B2087+A2088</f>
        <v/>
      </c>
    </row>
    <row r="2089">
      <c r="A2089">
        <f>IFERROR(IF(AND(BASELINE!I2089&lt;&gt;"",INT(IF(CALC!$F$1&gt;0,IF(N(INDEX(BASELINE!$A2089:$ZZ2089,CALC!$F$1))&gt;0,N(INDEX(BASELINE!$A2089:$ZZ2089,CALC!$F$1)),N(BASELINE!E2089)),N(BASELINE!E2089)))=INT(SIMOPS!$D$3),IFERROR(UPPER(TRIM(BASELINE!D2089&amp;"")),"")&lt;&gt;"ENCERRADA"),1,0),0)</f>
        <v/>
      </c>
      <c r="B2089">
        <f>B2088+A2089</f>
        <v/>
      </c>
    </row>
    <row r="2090">
      <c r="A2090">
        <f>IFERROR(IF(AND(BASELINE!I2090&lt;&gt;"",INT(IF(CALC!$F$1&gt;0,IF(N(INDEX(BASELINE!$A2090:$ZZ2090,CALC!$F$1))&gt;0,N(INDEX(BASELINE!$A2090:$ZZ2090,CALC!$F$1)),N(BASELINE!E2090)),N(BASELINE!E2090)))=INT(SIMOPS!$D$3),IFERROR(UPPER(TRIM(BASELINE!D2090&amp;"")),"")&lt;&gt;"ENCERRADA"),1,0),0)</f>
        <v/>
      </c>
      <c r="B2090">
        <f>B2089+A2090</f>
        <v/>
      </c>
    </row>
    <row r="2091">
      <c r="A2091">
        <f>IFERROR(IF(AND(BASELINE!I2091&lt;&gt;"",INT(IF(CALC!$F$1&gt;0,IF(N(INDEX(BASELINE!$A2091:$ZZ2091,CALC!$F$1))&gt;0,N(INDEX(BASELINE!$A2091:$ZZ2091,CALC!$F$1)),N(BASELINE!E2091)),N(BASELINE!E2091)))=INT(SIMOPS!$D$3),IFERROR(UPPER(TRIM(BASELINE!D2091&amp;"")),"")&lt;&gt;"ENCERRADA"),1,0),0)</f>
        <v/>
      </c>
      <c r="B2091">
        <f>B2090+A2091</f>
        <v/>
      </c>
    </row>
    <row r="2092">
      <c r="A2092">
        <f>IFERROR(IF(AND(BASELINE!I2092&lt;&gt;"",INT(IF(CALC!$F$1&gt;0,IF(N(INDEX(BASELINE!$A2092:$ZZ2092,CALC!$F$1))&gt;0,N(INDEX(BASELINE!$A2092:$ZZ2092,CALC!$F$1)),N(BASELINE!E2092)),N(BASELINE!E2092)))=INT(SIMOPS!$D$3),IFERROR(UPPER(TRIM(BASELINE!D2092&amp;"")),"")&lt;&gt;"ENCERRADA"),1,0),0)</f>
        <v/>
      </c>
      <c r="B2092">
        <f>B2091+A2092</f>
        <v/>
      </c>
    </row>
    <row r="2093">
      <c r="A2093">
        <f>IFERROR(IF(AND(BASELINE!I2093&lt;&gt;"",INT(IF(CALC!$F$1&gt;0,IF(N(INDEX(BASELINE!$A2093:$ZZ2093,CALC!$F$1))&gt;0,N(INDEX(BASELINE!$A2093:$ZZ2093,CALC!$F$1)),N(BASELINE!E2093)),N(BASELINE!E2093)))=INT(SIMOPS!$D$3),IFERROR(UPPER(TRIM(BASELINE!D2093&amp;"")),"")&lt;&gt;"ENCERRADA"),1,0),0)</f>
        <v/>
      </c>
      <c r="B2093">
        <f>B2092+A2093</f>
        <v/>
      </c>
    </row>
    <row r="2094">
      <c r="A2094">
        <f>IFERROR(IF(AND(BASELINE!I2094&lt;&gt;"",INT(IF(CALC!$F$1&gt;0,IF(N(INDEX(BASELINE!$A2094:$ZZ2094,CALC!$F$1))&gt;0,N(INDEX(BASELINE!$A2094:$ZZ2094,CALC!$F$1)),N(BASELINE!E2094)),N(BASELINE!E2094)))=INT(SIMOPS!$D$3),IFERROR(UPPER(TRIM(BASELINE!D2094&amp;"")),"")&lt;&gt;"ENCERRADA"),1,0),0)</f>
        <v/>
      </c>
      <c r="B2094">
        <f>B2093+A2094</f>
        <v/>
      </c>
    </row>
    <row r="2095">
      <c r="A2095">
        <f>IFERROR(IF(AND(BASELINE!I2095&lt;&gt;"",INT(IF(CALC!$F$1&gt;0,IF(N(INDEX(BASELINE!$A2095:$ZZ2095,CALC!$F$1))&gt;0,N(INDEX(BASELINE!$A2095:$ZZ2095,CALC!$F$1)),N(BASELINE!E2095)),N(BASELINE!E2095)))=INT(SIMOPS!$D$3),IFERROR(UPPER(TRIM(BASELINE!D2095&amp;"")),"")&lt;&gt;"ENCERRADA"),1,0),0)</f>
        <v/>
      </c>
      <c r="B2095">
        <f>B2094+A2095</f>
        <v/>
      </c>
    </row>
    <row r="2096">
      <c r="A2096">
        <f>IFERROR(IF(AND(BASELINE!I2096&lt;&gt;"",INT(IF(CALC!$F$1&gt;0,IF(N(INDEX(BASELINE!$A2096:$ZZ2096,CALC!$F$1))&gt;0,N(INDEX(BASELINE!$A2096:$ZZ2096,CALC!$F$1)),N(BASELINE!E2096)),N(BASELINE!E2096)))=INT(SIMOPS!$D$3),IFERROR(UPPER(TRIM(BASELINE!D2096&amp;"")),"")&lt;&gt;"ENCERRADA"),1,0),0)</f>
        <v/>
      </c>
      <c r="B2096">
        <f>B2095+A2096</f>
        <v/>
      </c>
    </row>
    <row r="2097">
      <c r="A2097">
        <f>IFERROR(IF(AND(BASELINE!I2097&lt;&gt;"",INT(IF(CALC!$F$1&gt;0,IF(N(INDEX(BASELINE!$A2097:$ZZ2097,CALC!$F$1))&gt;0,N(INDEX(BASELINE!$A2097:$ZZ2097,CALC!$F$1)),N(BASELINE!E2097)),N(BASELINE!E2097)))=INT(SIMOPS!$D$3),IFERROR(UPPER(TRIM(BASELINE!D2097&amp;"")),"")&lt;&gt;"ENCERRADA"),1,0),0)</f>
        <v/>
      </c>
      <c r="B2097">
        <f>B2096+A2097</f>
        <v/>
      </c>
    </row>
    <row r="2098">
      <c r="A2098">
        <f>IFERROR(IF(AND(BASELINE!I2098&lt;&gt;"",INT(IF(CALC!$F$1&gt;0,IF(N(INDEX(BASELINE!$A2098:$ZZ2098,CALC!$F$1))&gt;0,N(INDEX(BASELINE!$A2098:$ZZ2098,CALC!$F$1)),N(BASELINE!E2098)),N(BASELINE!E2098)))=INT(SIMOPS!$D$3),IFERROR(UPPER(TRIM(BASELINE!D2098&amp;"")),"")&lt;&gt;"ENCERRADA"),1,0),0)</f>
        <v/>
      </c>
      <c r="B2098">
        <f>B2097+A2098</f>
        <v/>
      </c>
    </row>
    <row r="2099">
      <c r="A2099">
        <f>IFERROR(IF(AND(BASELINE!I2099&lt;&gt;"",INT(IF(CALC!$F$1&gt;0,IF(N(INDEX(BASELINE!$A2099:$ZZ2099,CALC!$F$1))&gt;0,N(INDEX(BASELINE!$A2099:$ZZ2099,CALC!$F$1)),N(BASELINE!E2099)),N(BASELINE!E2099)))=INT(SIMOPS!$D$3),IFERROR(UPPER(TRIM(BASELINE!D2099&amp;"")),"")&lt;&gt;"ENCERRADA"),1,0),0)</f>
        <v/>
      </c>
      <c r="B2099">
        <f>B2098+A2099</f>
        <v/>
      </c>
    </row>
    <row r="2100">
      <c r="A2100">
        <f>IFERROR(IF(AND(BASELINE!I2100&lt;&gt;"",INT(IF(CALC!$F$1&gt;0,IF(N(INDEX(BASELINE!$A2100:$ZZ2100,CALC!$F$1))&gt;0,N(INDEX(BASELINE!$A2100:$ZZ2100,CALC!$F$1)),N(BASELINE!E2100)),N(BASELINE!E2100)))=INT(SIMOPS!$D$3),IFERROR(UPPER(TRIM(BASELINE!D2100&amp;"")),"")&lt;&gt;"ENCERRADA"),1,0),0)</f>
        <v/>
      </c>
      <c r="B2100">
        <f>B2099+A2100</f>
        <v/>
      </c>
    </row>
    <row r="2101">
      <c r="A2101">
        <f>IFERROR(IF(AND(BASELINE!I2101&lt;&gt;"",INT(IF(CALC!$F$1&gt;0,IF(N(INDEX(BASELINE!$A2101:$ZZ2101,CALC!$F$1))&gt;0,N(INDEX(BASELINE!$A2101:$ZZ2101,CALC!$F$1)),N(BASELINE!E2101)),N(BASELINE!E2101)))=INT(SIMOPS!$D$3),IFERROR(UPPER(TRIM(BASELINE!D2101&amp;"")),"")&lt;&gt;"ENCERRADA"),1,0),0)</f>
        <v/>
      </c>
      <c r="B2101">
        <f>B2100+A2101</f>
        <v/>
      </c>
    </row>
    <row r="2102">
      <c r="A2102">
        <f>IFERROR(IF(AND(BASELINE!I2102&lt;&gt;"",INT(IF(CALC!$F$1&gt;0,IF(N(INDEX(BASELINE!$A2102:$ZZ2102,CALC!$F$1))&gt;0,N(INDEX(BASELINE!$A2102:$ZZ2102,CALC!$F$1)),N(BASELINE!E2102)),N(BASELINE!E2102)))=INT(SIMOPS!$D$3),IFERROR(UPPER(TRIM(BASELINE!D2102&amp;"")),"")&lt;&gt;"ENCERRADA"),1,0),0)</f>
        <v/>
      </c>
      <c r="B2102">
        <f>B2101+A2102</f>
        <v/>
      </c>
    </row>
    <row r="2103">
      <c r="A2103">
        <f>IFERROR(IF(AND(BASELINE!I2103&lt;&gt;"",INT(IF(CALC!$F$1&gt;0,IF(N(INDEX(BASELINE!$A2103:$ZZ2103,CALC!$F$1))&gt;0,N(INDEX(BASELINE!$A2103:$ZZ2103,CALC!$F$1)),N(BASELINE!E2103)),N(BASELINE!E2103)))=INT(SIMOPS!$D$3),IFERROR(UPPER(TRIM(BASELINE!D2103&amp;"")),"")&lt;&gt;"ENCERRADA"),1,0),0)</f>
        <v/>
      </c>
      <c r="B2103">
        <f>B2102+A2103</f>
        <v/>
      </c>
    </row>
    <row r="2104">
      <c r="A2104">
        <f>IFERROR(IF(AND(BASELINE!I2104&lt;&gt;"",INT(IF(CALC!$F$1&gt;0,IF(N(INDEX(BASELINE!$A2104:$ZZ2104,CALC!$F$1))&gt;0,N(INDEX(BASELINE!$A2104:$ZZ2104,CALC!$F$1)),N(BASELINE!E2104)),N(BASELINE!E2104)))=INT(SIMOPS!$D$3),IFERROR(UPPER(TRIM(BASELINE!D2104&amp;"")),"")&lt;&gt;"ENCERRADA"),1,0),0)</f>
        <v/>
      </c>
      <c r="B2104">
        <f>B2103+A2104</f>
        <v/>
      </c>
    </row>
    <row r="2105">
      <c r="A2105">
        <f>IFERROR(IF(AND(BASELINE!I2105&lt;&gt;"",INT(IF(CALC!$F$1&gt;0,IF(N(INDEX(BASELINE!$A2105:$ZZ2105,CALC!$F$1))&gt;0,N(INDEX(BASELINE!$A2105:$ZZ2105,CALC!$F$1)),N(BASELINE!E2105)),N(BASELINE!E2105)))=INT(SIMOPS!$D$3),IFERROR(UPPER(TRIM(BASELINE!D2105&amp;"")),"")&lt;&gt;"ENCERRADA"),1,0),0)</f>
        <v/>
      </c>
      <c r="B2105">
        <f>B2104+A2105</f>
        <v/>
      </c>
    </row>
    <row r="2106">
      <c r="A2106">
        <f>IFERROR(IF(AND(BASELINE!I2106&lt;&gt;"",INT(IF(CALC!$F$1&gt;0,IF(N(INDEX(BASELINE!$A2106:$ZZ2106,CALC!$F$1))&gt;0,N(INDEX(BASELINE!$A2106:$ZZ2106,CALC!$F$1)),N(BASELINE!E2106)),N(BASELINE!E2106)))=INT(SIMOPS!$D$3),IFERROR(UPPER(TRIM(BASELINE!D2106&amp;"")),"")&lt;&gt;"ENCERRADA"),1,0),0)</f>
        <v/>
      </c>
      <c r="B2106">
        <f>B2105+A2106</f>
        <v/>
      </c>
    </row>
    <row r="2107">
      <c r="A2107">
        <f>IFERROR(IF(AND(BASELINE!I2107&lt;&gt;"",INT(IF(CALC!$F$1&gt;0,IF(N(INDEX(BASELINE!$A2107:$ZZ2107,CALC!$F$1))&gt;0,N(INDEX(BASELINE!$A2107:$ZZ2107,CALC!$F$1)),N(BASELINE!E2107)),N(BASELINE!E2107)))=INT(SIMOPS!$D$3),IFERROR(UPPER(TRIM(BASELINE!D2107&amp;"")),"")&lt;&gt;"ENCERRADA"),1,0),0)</f>
        <v/>
      </c>
      <c r="B2107">
        <f>B2106+A2107</f>
        <v/>
      </c>
    </row>
    <row r="2108">
      <c r="A2108">
        <f>IFERROR(IF(AND(BASELINE!I2108&lt;&gt;"",INT(IF(CALC!$F$1&gt;0,IF(N(INDEX(BASELINE!$A2108:$ZZ2108,CALC!$F$1))&gt;0,N(INDEX(BASELINE!$A2108:$ZZ2108,CALC!$F$1)),N(BASELINE!E2108)),N(BASELINE!E2108)))=INT(SIMOPS!$D$3),IFERROR(UPPER(TRIM(BASELINE!D2108&amp;"")),"")&lt;&gt;"ENCERRADA"),1,0),0)</f>
        <v/>
      </c>
      <c r="B2108">
        <f>B2107+A2108</f>
        <v/>
      </c>
    </row>
    <row r="2109">
      <c r="A2109">
        <f>IFERROR(IF(AND(BASELINE!I2109&lt;&gt;"",INT(IF(CALC!$F$1&gt;0,IF(N(INDEX(BASELINE!$A2109:$ZZ2109,CALC!$F$1))&gt;0,N(INDEX(BASELINE!$A2109:$ZZ2109,CALC!$F$1)),N(BASELINE!E2109)),N(BASELINE!E2109)))=INT(SIMOPS!$D$3),IFERROR(UPPER(TRIM(BASELINE!D2109&amp;"")),"")&lt;&gt;"ENCERRADA"),1,0),0)</f>
        <v/>
      </c>
      <c r="B2109">
        <f>B2108+A2109</f>
        <v/>
      </c>
    </row>
    <row r="2110">
      <c r="A2110">
        <f>IFERROR(IF(AND(BASELINE!I2110&lt;&gt;"",INT(IF(CALC!$F$1&gt;0,IF(N(INDEX(BASELINE!$A2110:$ZZ2110,CALC!$F$1))&gt;0,N(INDEX(BASELINE!$A2110:$ZZ2110,CALC!$F$1)),N(BASELINE!E2110)),N(BASELINE!E2110)))=INT(SIMOPS!$D$3),IFERROR(UPPER(TRIM(BASELINE!D2110&amp;"")),"")&lt;&gt;"ENCERRADA"),1,0),0)</f>
        <v/>
      </c>
      <c r="B2110">
        <f>B2109+A2110</f>
        <v/>
      </c>
    </row>
    <row r="2111">
      <c r="A2111">
        <f>IFERROR(IF(AND(BASELINE!I2111&lt;&gt;"",INT(IF(CALC!$F$1&gt;0,IF(N(INDEX(BASELINE!$A2111:$ZZ2111,CALC!$F$1))&gt;0,N(INDEX(BASELINE!$A2111:$ZZ2111,CALC!$F$1)),N(BASELINE!E2111)),N(BASELINE!E2111)))=INT(SIMOPS!$D$3),IFERROR(UPPER(TRIM(BASELINE!D2111&amp;"")),"")&lt;&gt;"ENCERRADA"),1,0),0)</f>
        <v/>
      </c>
      <c r="B2111">
        <f>B2110+A2111</f>
        <v/>
      </c>
    </row>
    <row r="2112">
      <c r="A2112">
        <f>IFERROR(IF(AND(BASELINE!I2112&lt;&gt;"",INT(IF(CALC!$F$1&gt;0,IF(N(INDEX(BASELINE!$A2112:$ZZ2112,CALC!$F$1))&gt;0,N(INDEX(BASELINE!$A2112:$ZZ2112,CALC!$F$1)),N(BASELINE!E2112)),N(BASELINE!E2112)))=INT(SIMOPS!$D$3),IFERROR(UPPER(TRIM(BASELINE!D2112&amp;"")),"")&lt;&gt;"ENCERRADA"),1,0),0)</f>
        <v/>
      </c>
      <c r="B2112">
        <f>B2111+A2112</f>
        <v/>
      </c>
    </row>
    <row r="2113">
      <c r="A2113">
        <f>IFERROR(IF(AND(BASELINE!I2113&lt;&gt;"",INT(IF(CALC!$F$1&gt;0,IF(N(INDEX(BASELINE!$A2113:$ZZ2113,CALC!$F$1))&gt;0,N(INDEX(BASELINE!$A2113:$ZZ2113,CALC!$F$1)),N(BASELINE!E2113)),N(BASELINE!E2113)))=INT(SIMOPS!$D$3),IFERROR(UPPER(TRIM(BASELINE!D2113&amp;"")),"")&lt;&gt;"ENCERRADA"),1,0),0)</f>
        <v/>
      </c>
      <c r="B2113">
        <f>B2112+A2113</f>
        <v/>
      </c>
    </row>
    <row r="2114">
      <c r="A2114">
        <f>IFERROR(IF(AND(BASELINE!I2114&lt;&gt;"",INT(IF(CALC!$F$1&gt;0,IF(N(INDEX(BASELINE!$A2114:$ZZ2114,CALC!$F$1))&gt;0,N(INDEX(BASELINE!$A2114:$ZZ2114,CALC!$F$1)),N(BASELINE!E2114)),N(BASELINE!E2114)))=INT(SIMOPS!$D$3),IFERROR(UPPER(TRIM(BASELINE!D2114&amp;"")),"")&lt;&gt;"ENCERRADA"),1,0),0)</f>
        <v/>
      </c>
      <c r="B2114">
        <f>B2113+A2114</f>
        <v/>
      </c>
    </row>
    <row r="2115">
      <c r="A2115">
        <f>IFERROR(IF(AND(BASELINE!I2115&lt;&gt;"",INT(IF(CALC!$F$1&gt;0,IF(N(INDEX(BASELINE!$A2115:$ZZ2115,CALC!$F$1))&gt;0,N(INDEX(BASELINE!$A2115:$ZZ2115,CALC!$F$1)),N(BASELINE!E2115)),N(BASELINE!E2115)))=INT(SIMOPS!$D$3),IFERROR(UPPER(TRIM(BASELINE!D2115&amp;"")),"")&lt;&gt;"ENCERRADA"),1,0),0)</f>
        <v/>
      </c>
      <c r="B2115">
        <f>B2114+A2115</f>
        <v/>
      </c>
    </row>
    <row r="2116">
      <c r="A2116">
        <f>IFERROR(IF(AND(BASELINE!I2116&lt;&gt;"",INT(IF(CALC!$F$1&gt;0,IF(N(INDEX(BASELINE!$A2116:$ZZ2116,CALC!$F$1))&gt;0,N(INDEX(BASELINE!$A2116:$ZZ2116,CALC!$F$1)),N(BASELINE!E2116)),N(BASELINE!E2116)))=INT(SIMOPS!$D$3),IFERROR(UPPER(TRIM(BASELINE!D2116&amp;"")),"")&lt;&gt;"ENCERRADA"),1,0),0)</f>
        <v/>
      </c>
      <c r="B2116">
        <f>B2115+A2116</f>
        <v/>
      </c>
    </row>
    <row r="2117">
      <c r="A2117">
        <f>IFERROR(IF(AND(BASELINE!I2117&lt;&gt;"",INT(IF(CALC!$F$1&gt;0,IF(N(INDEX(BASELINE!$A2117:$ZZ2117,CALC!$F$1))&gt;0,N(INDEX(BASELINE!$A2117:$ZZ2117,CALC!$F$1)),N(BASELINE!E2117)),N(BASELINE!E2117)))=INT(SIMOPS!$D$3),IFERROR(UPPER(TRIM(BASELINE!D2117&amp;"")),"")&lt;&gt;"ENCERRADA"),1,0),0)</f>
        <v/>
      </c>
      <c r="B2117">
        <f>B2116+A2117</f>
        <v/>
      </c>
    </row>
    <row r="2118">
      <c r="A2118">
        <f>IFERROR(IF(AND(BASELINE!I2118&lt;&gt;"",INT(IF(CALC!$F$1&gt;0,IF(N(INDEX(BASELINE!$A2118:$ZZ2118,CALC!$F$1))&gt;0,N(INDEX(BASELINE!$A2118:$ZZ2118,CALC!$F$1)),N(BASELINE!E2118)),N(BASELINE!E2118)))=INT(SIMOPS!$D$3),IFERROR(UPPER(TRIM(BASELINE!D2118&amp;"")),"")&lt;&gt;"ENCERRADA"),1,0),0)</f>
        <v/>
      </c>
      <c r="B2118">
        <f>B2117+A2118</f>
        <v/>
      </c>
    </row>
    <row r="2119">
      <c r="A2119">
        <f>IFERROR(IF(AND(BASELINE!I2119&lt;&gt;"",INT(IF(CALC!$F$1&gt;0,IF(N(INDEX(BASELINE!$A2119:$ZZ2119,CALC!$F$1))&gt;0,N(INDEX(BASELINE!$A2119:$ZZ2119,CALC!$F$1)),N(BASELINE!E2119)),N(BASELINE!E2119)))=INT(SIMOPS!$D$3),IFERROR(UPPER(TRIM(BASELINE!D2119&amp;"")),"")&lt;&gt;"ENCERRADA"),1,0),0)</f>
        <v/>
      </c>
      <c r="B2119">
        <f>B2118+A2119</f>
        <v/>
      </c>
    </row>
    <row r="2120">
      <c r="A2120">
        <f>IFERROR(IF(AND(BASELINE!I2120&lt;&gt;"",INT(IF(CALC!$F$1&gt;0,IF(N(INDEX(BASELINE!$A2120:$ZZ2120,CALC!$F$1))&gt;0,N(INDEX(BASELINE!$A2120:$ZZ2120,CALC!$F$1)),N(BASELINE!E2120)),N(BASELINE!E2120)))=INT(SIMOPS!$D$3),IFERROR(UPPER(TRIM(BASELINE!D2120&amp;"")),"")&lt;&gt;"ENCERRADA"),1,0),0)</f>
        <v/>
      </c>
      <c r="B2120">
        <f>B2119+A2120</f>
        <v/>
      </c>
    </row>
    <row r="2121">
      <c r="A2121">
        <f>IFERROR(IF(AND(BASELINE!I2121&lt;&gt;"",INT(IF(CALC!$F$1&gt;0,IF(N(INDEX(BASELINE!$A2121:$ZZ2121,CALC!$F$1))&gt;0,N(INDEX(BASELINE!$A2121:$ZZ2121,CALC!$F$1)),N(BASELINE!E2121)),N(BASELINE!E2121)))=INT(SIMOPS!$D$3),IFERROR(UPPER(TRIM(BASELINE!D2121&amp;"")),"")&lt;&gt;"ENCERRADA"),1,0),0)</f>
        <v/>
      </c>
      <c r="B2121">
        <f>B2120+A2121</f>
        <v/>
      </c>
    </row>
    <row r="2122">
      <c r="A2122">
        <f>IFERROR(IF(AND(BASELINE!I2122&lt;&gt;"",INT(IF(CALC!$F$1&gt;0,IF(N(INDEX(BASELINE!$A2122:$ZZ2122,CALC!$F$1))&gt;0,N(INDEX(BASELINE!$A2122:$ZZ2122,CALC!$F$1)),N(BASELINE!E2122)),N(BASELINE!E2122)))=INT(SIMOPS!$D$3),IFERROR(UPPER(TRIM(BASELINE!D2122&amp;"")),"")&lt;&gt;"ENCERRADA"),1,0),0)</f>
        <v/>
      </c>
      <c r="B2122">
        <f>B2121+A2122</f>
        <v/>
      </c>
    </row>
    <row r="2123">
      <c r="A2123">
        <f>IFERROR(IF(AND(BASELINE!I2123&lt;&gt;"",INT(IF(CALC!$F$1&gt;0,IF(N(INDEX(BASELINE!$A2123:$ZZ2123,CALC!$F$1))&gt;0,N(INDEX(BASELINE!$A2123:$ZZ2123,CALC!$F$1)),N(BASELINE!E2123)),N(BASELINE!E2123)))=INT(SIMOPS!$D$3),IFERROR(UPPER(TRIM(BASELINE!D2123&amp;"")),"")&lt;&gt;"ENCERRADA"),1,0),0)</f>
        <v/>
      </c>
      <c r="B2123">
        <f>B2122+A2123</f>
        <v/>
      </c>
    </row>
    <row r="2124">
      <c r="A2124">
        <f>IFERROR(IF(AND(BASELINE!I2124&lt;&gt;"",INT(IF(CALC!$F$1&gt;0,IF(N(INDEX(BASELINE!$A2124:$ZZ2124,CALC!$F$1))&gt;0,N(INDEX(BASELINE!$A2124:$ZZ2124,CALC!$F$1)),N(BASELINE!E2124)),N(BASELINE!E2124)))=INT(SIMOPS!$D$3),IFERROR(UPPER(TRIM(BASELINE!D2124&amp;"")),"")&lt;&gt;"ENCERRADA"),1,0),0)</f>
        <v/>
      </c>
      <c r="B2124">
        <f>B2123+A2124</f>
        <v/>
      </c>
    </row>
    <row r="2125">
      <c r="A2125">
        <f>IFERROR(IF(AND(BASELINE!I2125&lt;&gt;"",INT(IF(CALC!$F$1&gt;0,IF(N(INDEX(BASELINE!$A2125:$ZZ2125,CALC!$F$1))&gt;0,N(INDEX(BASELINE!$A2125:$ZZ2125,CALC!$F$1)),N(BASELINE!E2125)),N(BASELINE!E2125)))=INT(SIMOPS!$D$3),IFERROR(UPPER(TRIM(BASELINE!D2125&amp;"")),"")&lt;&gt;"ENCERRADA"),1,0),0)</f>
        <v/>
      </c>
      <c r="B2125">
        <f>B2124+A2125</f>
        <v/>
      </c>
    </row>
    <row r="2126">
      <c r="A2126">
        <f>IFERROR(IF(AND(BASELINE!I2126&lt;&gt;"",INT(IF(CALC!$F$1&gt;0,IF(N(INDEX(BASELINE!$A2126:$ZZ2126,CALC!$F$1))&gt;0,N(INDEX(BASELINE!$A2126:$ZZ2126,CALC!$F$1)),N(BASELINE!E2126)),N(BASELINE!E2126)))=INT(SIMOPS!$D$3),IFERROR(UPPER(TRIM(BASELINE!D2126&amp;"")),"")&lt;&gt;"ENCERRADA"),1,0),0)</f>
        <v/>
      </c>
      <c r="B2126">
        <f>B2125+A2126</f>
        <v/>
      </c>
    </row>
    <row r="2127">
      <c r="A2127">
        <f>IFERROR(IF(AND(BASELINE!I2127&lt;&gt;"",INT(IF(CALC!$F$1&gt;0,IF(N(INDEX(BASELINE!$A2127:$ZZ2127,CALC!$F$1))&gt;0,N(INDEX(BASELINE!$A2127:$ZZ2127,CALC!$F$1)),N(BASELINE!E2127)),N(BASELINE!E2127)))=INT(SIMOPS!$D$3),IFERROR(UPPER(TRIM(BASELINE!D2127&amp;"")),"")&lt;&gt;"ENCERRADA"),1,0),0)</f>
        <v/>
      </c>
      <c r="B2127">
        <f>B2126+A2127</f>
        <v/>
      </c>
    </row>
    <row r="2128">
      <c r="A2128">
        <f>IFERROR(IF(AND(BASELINE!I2128&lt;&gt;"",INT(IF(CALC!$F$1&gt;0,IF(N(INDEX(BASELINE!$A2128:$ZZ2128,CALC!$F$1))&gt;0,N(INDEX(BASELINE!$A2128:$ZZ2128,CALC!$F$1)),N(BASELINE!E2128)),N(BASELINE!E2128)))=INT(SIMOPS!$D$3),IFERROR(UPPER(TRIM(BASELINE!D2128&amp;"")),"")&lt;&gt;"ENCERRADA"),1,0),0)</f>
        <v/>
      </c>
      <c r="B2128">
        <f>B2127+A2128</f>
        <v/>
      </c>
    </row>
    <row r="2129">
      <c r="A2129">
        <f>IFERROR(IF(AND(BASELINE!I2129&lt;&gt;"",INT(IF(CALC!$F$1&gt;0,IF(N(INDEX(BASELINE!$A2129:$ZZ2129,CALC!$F$1))&gt;0,N(INDEX(BASELINE!$A2129:$ZZ2129,CALC!$F$1)),N(BASELINE!E2129)),N(BASELINE!E2129)))=INT(SIMOPS!$D$3),IFERROR(UPPER(TRIM(BASELINE!D2129&amp;"")),"")&lt;&gt;"ENCERRADA"),1,0),0)</f>
        <v/>
      </c>
      <c r="B2129">
        <f>B2128+A2129</f>
        <v/>
      </c>
    </row>
    <row r="2130">
      <c r="A2130">
        <f>IFERROR(IF(AND(BASELINE!I2130&lt;&gt;"",INT(IF(CALC!$F$1&gt;0,IF(N(INDEX(BASELINE!$A2130:$ZZ2130,CALC!$F$1))&gt;0,N(INDEX(BASELINE!$A2130:$ZZ2130,CALC!$F$1)),N(BASELINE!E2130)),N(BASELINE!E2130)))=INT(SIMOPS!$D$3),IFERROR(UPPER(TRIM(BASELINE!D2130&amp;"")),"")&lt;&gt;"ENCERRADA"),1,0),0)</f>
        <v/>
      </c>
      <c r="B2130">
        <f>B2129+A2130</f>
        <v/>
      </c>
    </row>
    <row r="2131">
      <c r="A2131">
        <f>IFERROR(IF(AND(BASELINE!I2131&lt;&gt;"",INT(IF(CALC!$F$1&gt;0,IF(N(INDEX(BASELINE!$A2131:$ZZ2131,CALC!$F$1))&gt;0,N(INDEX(BASELINE!$A2131:$ZZ2131,CALC!$F$1)),N(BASELINE!E2131)),N(BASELINE!E2131)))=INT(SIMOPS!$D$3),IFERROR(UPPER(TRIM(BASELINE!D2131&amp;"")),"")&lt;&gt;"ENCERRADA"),1,0),0)</f>
        <v/>
      </c>
      <c r="B2131">
        <f>B2130+A2131</f>
        <v/>
      </c>
    </row>
    <row r="2132">
      <c r="A2132">
        <f>IFERROR(IF(AND(BASELINE!I2132&lt;&gt;"",INT(IF(CALC!$F$1&gt;0,IF(N(INDEX(BASELINE!$A2132:$ZZ2132,CALC!$F$1))&gt;0,N(INDEX(BASELINE!$A2132:$ZZ2132,CALC!$F$1)),N(BASELINE!E2132)),N(BASELINE!E2132)))=INT(SIMOPS!$D$3),IFERROR(UPPER(TRIM(BASELINE!D2132&amp;"")),"")&lt;&gt;"ENCERRADA"),1,0),0)</f>
        <v/>
      </c>
      <c r="B2132">
        <f>B2131+A2132</f>
        <v/>
      </c>
    </row>
    <row r="2133">
      <c r="A2133">
        <f>IFERROR(IF(AND(BASELINE!I2133&lt;&gt;"",INT(IF(CALC!$F$1&gt;0,IF(N(INDEX(BASELINE!$A2133:$ZZ2133,CALC!$F$1))&gt;0,N(INDEX(BASELINE!$A2133:$ZZ2133,CALC!$F$1)),N(BASELINE!E2133)),N(BASELINE!E2133)))=INT(SIMOPS!$D$3),IFERROR(UPPER(TRIM(BASELINE!D2133&amp;"")),"")&lt;&gt;"ENCERRADA"),1,0),0)</f>
        <v/>
      </c>
      <c r="B2133">
        <f>B2132+A2133</f>
        <v/>
      </c>
    </row>
    <row r="2134">
      <c r="A2134">
        <f>IFERROR(IF(AND(BASELINE!I2134&lt;&gt;"",INT(IF(CALC!$F$1&gt;0,IF(N(INDEX(BASELINE!$A2134:$ZZ2134,CALC!$F$1))&gt;0,N(INDEX(BASELINE!$A2134:$ZZ2134,CALC!$F$1)),N(BASELINE!E2134)),N(BASELINE!E2134)))=INT(SIMOPS!$D$3),IFERROR(UPPER(TRIM(BASELINE!D2134&amp;"")),"")&lt;&gt;"ENCERRADA"),1,0),0)</f>
        <v/>
      </c>
      <c r="B2134">
        <f>B2133+A2134</f>
        <v/>
      </c>
    </row>
    <row r="2135">
      <c r="A2135">
        <f>IFERROR(IF(AND(BASELINE!I2135&lt;&gt;"",INT(IF(CALC!$F$1&gt;0,IF(N(INDEX(BASELINE!$A2135:$ZZ2135,CALC!$F$1))&gt;0,N(INDEX(BASELINE!$A2135:$ZZ2135,CALC!$F$1)),N(BASELINE!E2135)),N(BASELINE!E2135)))=INT(SIMOPS!$D$3),IFERROR(UPPER(TRIM(BASELINE!D2135&amp;"")),"")&lt;&gt;"ENCERRADA"),1,0),0)</f>
        <v/>
      </c>
      <c r="B2135">
        <f>B2134+A2135</f>
        <v/>
      </c>
    </row>
    <row r="2136">
      <c r="A2136">
        <f>IFERROR(IF(AND(BASELINE!I2136&lt;&gt;"",INT(IF(CALC!$F$1&gt;0,IF(N(INDEX(BASELINE!$A2136:$ZZ2136,CALC!$F$1))&gt;0,N(INDEX(BASELINE!$A2136:$ZZ2136,CALC!$F$1)),N(BASELINE!E2136)),N(BASELINE!E2136)))=INT(SIMOPS!$D$3),IFERROR(UPPER(TRIM(BASELINE!D2136&amp;"")),"")&lt;&gt;"ENCERRADA"),1,0),0)</f>
        <v/>
      </c>
      <c r="B2136">
        <f>B2135+A2136</f>
        <v/>
      </c>
    </row>
    <row r="2137">
      <c r="A2137">
        <f>IFERROR(IF(AND(BASELINE!I2137&lt;&gt;"",INT(IF(CALC!$F$1&gt;0,IF(N(INDEX(BASELINE!$A2137:$ZZ2137,CALC!$F$1))&gt;0,N(INDEX(BASELINE!$A2137:$ZZ2137,CALC!$F$1)),N(BASELINE!E2137)),N(BASELINE!E2137)))=INT(SIMOPS!$D$3),IFERROR(UPPER(TRIM(BASELINE!D2137&amp;"")),"")&lt;&gt;"ENCERRADA"),1,0),0)</f>
        <v/>
      </c>
      <c r="B2137">
        <f>B2136+A2137</f>
        <v/>
      </c>
    </row>
    <row r="2138">
      <c r="A2138">
        <f>IFERROR(IF(AND(BASELINE!I2138&lt;&gt;"",INT(IF(CALC!$F$1&gt;0,IF(N(INDEX(BASELINE!$A2138:$ZZ2138,CALC!$F$1))&gt;0,N(INDEX(BASELINE!$A2138:$ZZ2138,CALC!$F$1)),N(BASELINE!E2138)),N(BASELINE!E2138)))=INT(SIMOPS!$D$3),IFERROR(UPPER(TRIM(BASELINE!D2138&amp;"")),"")&lt;&gt;"ENCERRADA"),1,0),0)</f>
        <v/>
      </c>
      <c r="B2138">
        <f>B2137+A2138</f>
        <v/>
      </c>
    </row>
    <row r="2139">
      <c r="A2139">
        <f>IFERROR(IF(AND(BASELINE!I2139&lt;&gt;"",INT(IF(CALC!$F$1&gt;0,IF(N(INDEX(BASELINE!$A2139:$ZZ2139,CALC!$F$1))&gt;0,N(INDEX(BASELINE!$A2139:$ZZ2139,CALC!$F$1)),N(BASELINE!E2139)),N(BASELINE!E2139)))=INT(SIMOPS!$D$3),IFERROR(UPPER(TRIM(BASELINE!D2139&amp;"")),"")&lt;&gt;"ENCERRADA"),1,0),0)</f>
        <v/>
      </c>
      <c r="B2139">
        <f>B2138+A2139</f>
        <v/>
      </c>
    </row>
    <row r="2140">
      <c r="A2140">
        <f>IFERROR(IF(AND(BASELINE!I2140&lt;&gt;"",INT(IF(CALC!$F$1&gt;0,IF(N(INDEX(BASELINE!$A2140:$ZZ2140,CALC!$F$1))&gt;0,N(INDEX(BASELINE!$A2140:$ZZ2140,CALC!$F$1)),N(BASELINE!E2140)),N(BASELINE!E2140)))=INT(SIMOPS!$D$3),IFERROR(UPPER(TRIM(BASELINE!D2140&amp;"")),"")&lt;&gt;"ENCERRADA"),1,0),0)</f>
        <v/>
      </c>
      <c r="B2140">
        <f>B2139+A2140</f>
        <v/>
      </c>
    </row>
    <row r="2141">
      <c r="A2141">
        <f>IFERROR(IF(AND(BASELINE!I2141&lt;&gt;"",INT(IF(CALC!$F$1&gt;0,IF(N(INDEX(BASELINE!$A2141:$ZZ2141,CALC!$F$1))&gt;0,N(INDEX(BASELINE!$A2141:$ZZ2141,CALC!$F$1)),N(BASELINE!E2141)),N(BASELINE!E2141)))=INT(SIMOPS!$D$3),IFERROR(UPPER(TRIM(BASELINE!D2141&amp;"")),"")&lt;&gt;"ENCERRADA"),1,0),0)</f>
        <v/>
      </c>
      <c r="B2141">
        <f>B2140+A2141</f>
        <v/>
      </c>
    </row>
    <row r="2142">
      <c r="A2142">
        <f>IFERROR(IF(AND(BASELINE!I2142&lt;&gt;"",INT(IF(CALC!$F$1&gt;0,IF(N(INDEX(BASELINE!$A2142:$ZZ2142,CALC!$F$1))&gt;0,N(INDEX(BASELINE!$A2142:$ZZ2142,CALC!$F$1)),N(BASELINE!E2142)),N(BASELINE!E2142)))=INT(SIMOPS!$D$3),IFERROR(UPPER(TRIM(BASELINE!D2142&amp;"")),"")&lt;&gt;"ENCERRADA"),1,0),0)</f>
        <v/>
      </c>
      <c r="B2142">
        <f>B2141+A2142</f>
        <v/>
      </c>
    </row>
    <row r="2143">
      <c r="A2143">
        <f>IFERROR(IF(AND(BASELINE!I2143&lt;&gt;"",INT(IF(CALC!$F$1&gt;0,IF(N(INDEX(BASELINE!$A2143:$ZZ2143,CALC!$F$1))&gt;0,N(INDEX(BASELINE!$A2143:$ZZ2143,CALC!$F$1)),N(BASELINE!E2143)),N(BASELINE!E2143)))=INT(SIMOPS!$D$3),IFERROR(UPPER(TRIM(BASELINE!D2143&amp;"")),"")&lt;&gt;"ENCERRADA"),1,0),0)</f>
        <v/>
      </c>
      <c r="B2143">
        <f>B2142+A2143</f>
        <v/>
      </c>
    </row>
    <row r="2144">
      <c r="A2144">
        <f>IFERROR(IF(AND(BASELINE!I2144&lt;&gt;"",INT(IF(CALC!$F$1&gt;0,IF(N(INDEX(BASELINE!$A2144:$ZZ2144,CALC!$F$1))&gt;0,N(INDEX(BASELINE!$A2144:$ZZ2144,CALC!$F$1)),N(BASELINE!E2144)),N(BASELINE!E2144)))=INT(SIMOPS!$D$3),IFERROR(UPPER(TRIM(BASELINE!D2144&amp;"")),"")&lt;&gt;"ENCERRADA"),1,0),0)</f>
        <v/>
      </c>
      <c r="B2144">
        <f>B2143+A2144</f>
        <v/>
      </c>
    </row>
    <row r="2145">
      <c r="A2145">
        <f>IFERROR(IF(AND(BASELINE!I2145&lt;&gt;"",INT(IF(CALC!$F$1&gt;0,IF(N(INDEX(BASELINE!$A2145:$ZZ2145,CALC!$F$1))&gt;0,N(INDEX(BASELINE!$A2145:$ZZ2145,CALC!$F$1)),N(BASELINE!E2145)),N(BASELINE!E2145)))=INT(SIMOPS!$D$3),IFERROR(UPPER(TRIM(BASELINE!D2145&amp;"")),"")&lt;&gt;"ENCERRADA"),1,0),0)</f>
        <v/>
      </c>
      <c r="B2145">
        <f>B2144+A2145</f>
        <v/>
      </c>
    </row>
    <row r="2146">
      <c r="A2146">
        <f>IFERROR(IF(AND(BASELINE!I2146&lt;&gt;"",INT(IF(CALC!$F$1&gt;0,IF(N(INDEX(BASELINE!$A2146:$ZZ2146,CALC!$F$1))&gt;0,N(INDEX(BASELINE!$A2146:$ZZ2146,CALC!$F$1)),N(BASELINE!E2146)),N(BASELINE!E2146)))=INT(SIMOPS!$D$3),IFERROR(UPPER(TRIM(BASELINE!D2146&amp;"")),"")&lt;&gt;"ENCERRADA"),1,0),0)</f>
        <v/>
      </c>
      <c r="B2146">
        <f>B2145+A2146</f>
        <v/>
      </c>
    </row>
    <row r="2147">
      <c r="A2147">
        <f>IFERROR(IF(AND(BASELINE!I2147&lt;&gt;"",INT(IF(CALC!$F$1&gt;0,IF(N(INDEX(BASELINE!$A2147:$ZZ2147,CALC!$F$1))&gt;0,N(INDEX(BASELINE!$A2147:$ZZ2147,CALC!$F$1)),N(BASELINE!E2147)),N(BASELINE!E2147)))=INT(SIMOPS!$D$3),IFERROR(UPPER(TRIM(BASELINE!D2147&amp;"")),"")&lt;&gt;"ENCERRADA"),1,0),0)</f>
        <v/>
      </c>
      <c r="B2147">
        <f>B2146+A2147</f>
        <v/>
      </c>
    </row>
    <row r="2148">
      <c r="A2148">
        <f>IFERROR(IF(AND(BASELINE!I2148&lt;&gt;"",INT(IF(CALC!$F$1&gt;0,IF(N(INDEX(BASELINE!$A2148:$ZZ2148,CALC!$F$1))&gt;0,N(INDEX(BASELINE!$A2148:$ZZ2148,CALC!$F$1)),N(BASELINE!E2148)),N(BASELINE!E2148)))=INT(SIMOPS!$D$3),IFERROR(UPPER(TRIM(BASELINE!D2148&amp;"")),"")&lt;&gt;"ENCERRADA"),1,0),0)</f>
        <v/>
      </c>
      <c r="B2148">
        <f>B2147+A2148</f>
        <v/>
      </c>
    </row>
    <row r="2149">
      <c r="A2149">
        <f>IFERROR(IF(AND(BASELINE!I2149&lt;&gt;"",INT(IF(CALC!$F$1&gt;0,IF(N(INDEX(BASELINE!$A2149:$ZZ2149,CALC!$F$1))&gt;0,N(INDEX(BASELINE!$A2149:$ZZ2149,CALC!$F$1)),N(BASELINE!E2149)),N(BASELINE!E2149)))=INT(SIMOPS!$D$3),IFERROR(UPPER(TRIM(BASELINE!D2149&amp;"")),"")&lt;&gt;"ENCERRADA"),1,0),0)</f>
        <v/>
      </c>
      <c r="B2149">
        <f>B2148+A2149</f>
        <v/>
      </c>
    </row>
    <row r="2150">
      <c r="A2150">
        <f>IFERROR(IF(AND(BASELINE!I2150&lt;&gt;"",INT(IF(CALC!$F$1&gt;0,IF(N(INDEX(BASELINE!$A2150:$ZZ2150,CALC!$F$1))&gt;0,N(INDEX(BASELINE!$A2150:$ZZ2150,CALC!$F$1)),N(BASELINE!E2150)),N(BASELINE!E2150)))=INT(SIMOPS!$D$3),IFERROR(UPPER(TRIM(BASELINE!D2150&amp;"")),"")&lt;&gt;"ENCERRADA"),1,0),0)</f>
        <v/>
      </c>
      <c r="B2150">
        <f>B2149+A2150</f>
        <v/>
      </c>
    </row>
    <row r="2151">
      <c r="A2151">
        <f>IFERROR(IF(AND(BASELINE!I2151&lt;&gt;"",INT(IF(CALC!$F$1&gt;0,IF(N(INDEX(BASELINE!$A2151:$ZZ2151,CALC!$F$1))&gt;0,N(INDEX(BASELINE!$A2151:$ZZ2151,CALC!$F$1)),N(BASELINE!E2151)),N(BASELINE!E2151)))=INT(SIMOPS!$D$3),IFERROR(UPPER(TRIM(BASELINE!D2151&amp;"")),"")&lt;&gt;"ENCERRADA"),1,0),0)</f>
        <v/>
      </c>
      <c r="B2151">
        <f>B2150+A2151</f>
        <v/>
      </c>
    </row>
    <row r="2152">
      <c r="A2152">
        <f>IFERROR(IF(AND(BASELINE!I2152&lt;&gt;"",INT(IF(CALC!$F$1&gt;0,IF(N(INDEX(BASELINE!$A2152:$ZZ2152,CALC!$F$1))&gt;0,N(INDEX(BASELINE!$A2152:$ZZ2152,CALC!$F$1)),N(BASELINE!E2152)),N(BASELINE!E2152)))=INT(SIMOPS!$D$3),IFERROR(UPPER(TRIM(BASELINE!D2152&amp;"")),"")&lt;&gt;"ENCERRADA"),1,0),0)</f>
        <v/>
      </c>
      <c r="B2152">
        <f>B2151+A2152</f>
        <v/>
      </c>
    </row>
    <row r="2153">
      <c r="A2153">
        <f>IFERROR(IF(AND(BASELINE!I2153&lt;&gt;"",INT(IF(CALC!$F$1&gt;0,IF(N(INDEX(BASELINE!$A2153:$ZZ2153,CALC!$F$1))&gt;0,N(INDEX(BASELINE!$A2153:$ZZ2153,CALC!$F$1)),N(BASELINE!E2153)),N(BASELINE!E2153)))=INT(SIMOPS!$D$3),IFERROR(UPPER(TRIM(BASELINE!D2153&amp;"")),"")&lt;&gt;"ENCERRADA"),1,0),0)</f>
        <v/>
      </c>
      <c r="B2153">
        <f>B2152+A2153</f>
        <v/>
      </c>
    </row>
    <row r="2154">
      <c r="A2154">
        <f>IFERROR(IF(AND(BASELINE!I2154&lt;&gt;"",INT(IF(CALC!$F$1&gt;0,IF(N(INDEX(BASELINE!$A2154:$ZZ2154,CALC!$F$1))&gt;0,N(INDEX(BASELINE!$A2154:$ZZ2154,CALC!$F$1)),N(BASELINE!E2154)),N(BASELINE!E2154)))=INT(SIMOPS!$D$3),IFERROR(UPPER(TRIM(BASELINE!D2154&amp;"")),"")&lt;&gt;"ENCERRADA"),1,0),0)</f>
        <v/>
      </c>
      <c r="B2154">
        <f>B2153+A2154</f>
        <v/>
      </c>
    </row>
    <row r="2155">
      <c r="A2155">
        <f>IFERROR(IF(AND(BASELINE!I2155&lt;&gt;"",INT(IF(CALC!$F$1&gt;0,IF(N(INDEX(BASELINE!$A2155:$ZZ2155,CALC!$F$1))&gt;0,N(INDEX(BASELINE!$A2155:$ZZ2155,CALC!$F$1)),N(BASELINE!E2155)),N(BASELINE!E2155)))=INT(SIMOPS!$D$3),IFERROR(UPPER(TRIM(BASELINE!D2155&amp;"")),"")&lt;&gt;"ENCERRADA"),1,0),0)</f>
        <v/>
      </c>
      <c r="B2155">
        <f>B2154+A2155</f>
        <v/>
      </c>
    </row>
    <row r="2156">
      <c r="A2156">
        <f>IFERROR(IF(AND(BASELINE!I2156&lt;&gt;"",INT(IF(CALC!$F$1&gt;0,IF(N(INDEX(BASELINE!$A2156:$ZZ2156,CALC!$F$1))&gt;0,N(INDEX(BASELINE!$A2156:$ZZ2156,CALC!$F$1)),N(BASELINE!E2156)),N(BASELINE!E2156)))=INT(SIMOPS!$D$3),IFERROR(UPPER(TRIM(BASELINE!D2156&amp;"")),"")&lt;&gt;"ENCERRADA"),1,0),0)</f>
        <v/>
      </c>
      <c r="B2156">
        <f>B2155+A2156</f>
        <v/>
      </c>
    </row>
    <row r="2157">
      <c r="A2157">
        <f>IFERROR(IF(AND(BASELINE!I2157&lt;&gt;"",INT(IF(CALC!$F$1&gt;0,IF(N(INDEX(BASELINE!$A2157:$ZZ2157,CALC!$F$1))&gt;0,N(INDEX(BASELINE!$A2157:$ZZ2157,CALC!$F$1)),N(BASELINE!E2157)),N(BASELINE!E2157)))=INT(SIMOPS!$D$3),IFERROR(UPPER(TRIM(BASELINE!D2157&amp;"")),"")&lt;&gt;"ENCERRADA"),1,0),0)</f>
        <v/>
      </c>
      <c r="B2157">
        <f>B2156+A2157</f>
        <v/>
      </c>
    </row>
    <row r="2158">
      <c r="A2158">
        <f>IFERROR(IF(AND(BASELINE!I2158&lt;&gt;"",INT(IF(CALC!$F$1&gt;0,IF(N(INDEX(BASELINE!$A2158:$ZZ2158,CALC!$F$1))&gt;0,N(INDEX(BASELINE!$A2158:$ZZ2158,CALC!$F$1)),N(BASELINE!E2158)),N(BASELINE!E2158)))=INT(SIMOPS!$D$3),IFERROR(UPPER(TRIM(BASELINE!D2158&amp;"")),"")&lt;&gt;"ENCERRADA"),1,0),0)</f>
        <v/>
      </c>
      <c r="B2158">
        <f>B2157+A2158</f>
        <v/>
      </c>
    </row>
    <row r="2159">
      <c r="A2159">
        <f>IFERROR(IF(AND(BASELINE!I2159&lt;&gt;"",INT(IF(CALC!$F$1&gt;0,IF(N(INDEX(BASELINE!$A2159:$ZZ2159,CALC!$F$1))&gt;0,N(INDEX(BASELINE!$A2159:$ZZ2159,CALC!$F$1)),N(BASELINE!E2159)),N(BASELINE!E2159)))=INT(SIMOPS!$D$3),IFERROR(UPPER(TRIM(BASELINE!D2159&amp;"")),"")&lt;&gt;"ENCERRADA"),1,0),0)</f>
        <v/>
      </c>
      <c r="B2159">
        <f>B2158+A2159</f>
        <v/>
      </c>
    </row>
    <row r="2160">
      <c r="A2160">
        <f>IFERROR(IF(AND(BASELINE!I2160&lt;&gt;"",INT(IF(CALC!$F$1&gt;0,IF(N(INDEX(BASELINE!$A2160:$ZZ2160,CALC!$F$1))&gt;0,N(INDEX(BASELINE!$A2160:$ZZ2160,CALC!$F$1)),N(BASELINE!E2160)),N(BASELINE!E2160)))=INT(SIMOPS!$D$3),IFERROR(UPPER(TRIM(BASELINE!D2160&amp;"")),"")&lt;&gt;"ENCERRADA"),1,0),0)</f>
        <v/>
      </c>
      <c r="B2160">
        <f>B2159+A2160</f>
        <v/>
      </c>
    </row>
    <row r="2161">
      <c r="A2161">
        <f>IFERROR(IF(AND(BASELINE!I2161&lt;&gt;"",INT(IF(CALC!$F$1&gt;0,IF(N(INDEX(BASELINE!$A2161:$ZZ2161,CALC!$F$1))&gt;0,N(INDEX(BASELINE!$A2161:$ZZ2161,CALC!$F$1)),N(BASELINE!E2161)),N(BASELINE!E2161)))=INT(SIMOPS!$D$3),IFERROR(UPPER(TRIM(BASELINE!D2161&amp;"")),"")&lt;&gt;"ENCERRADA"),1,0),0)</f>
        <v/>
      </c>
      <c r="B2161">
        <f>B2160+A2161</f>
        <v/>
      </c>
    </row>
    <row r="2162">
      <c r="A2162">
        <f>IFERROR(IF(AND(BASELINE!I2162&lt;&gt;"",INT(IF(CALC!$F$1&gt;0,IF(N(INDEX(BASELINE!$A2162:$ZZ2162,CALC!$F$1))&gt;0,N(INDEX(BASELINE!$A2162:$ZZ2162,CALC!$F$1)),N(BASELINE!E2162)),N(BASELINE!E2162)))=INT(SIMOPS!$D$3),IFERROR(UPPER(TRIM(BASELINE!D2162&amp;"")),"")&lt;&gt;"ENCERRADA"),1,0),0)</f>
        <v/>
      </c>
      <c r="B2162">
        <f>B2161+A2162</f>
        <v/>
      </c>
    </row>
    <row r="2163">
      <c r="A2163">
        <f>IFERROR(IF(AND(BASELINE!I2163&lt;&gt;"",INT(IF(CALC!$F$1&gt;0,IF(N(INDEX(BASELINE!$A2163:$ZZ2163,CALC!$F$1))&gt;0,N(INDEX(BASELINE!$A2163:$ZZ2163,CALC!$F$1)),N(BASELINE!E2163)),N(BASELINE!E2163)))=INT(SIMOPS!$D$3),IFERROR(UPPER(TRIM(BASELINE!D2163&amp;"")),"")&lt;&gt;"ENCERRADA"),1,0),0)</f>
        <v/>
      </c>
      <c r="B2163">
        <f>B2162+A2163</f>
        <v/>
      </c>
    </row>
    <row r="2164">
      <c r="A2164">
        <f>IFERROR(IF(AND(BASELINE!I2164&lt;&gt;"",INT(IF(CALC!$F$1&gt;0,IF(N(INDEX(BASELINE!$A2164:$ZZ2164,CALC!$F$1))&gt;0,N(INDEX(BASELINE!$A2164:$ZZ2164,CALC!$F$1)),N(BASELINE!E2164)),N(BASELINE!E2164)))=INT(SIMOPS!$D$3),IFERROR(UPPER(TRIM(BASELINE!D2164&amp;"")),"")&lt;&gt;"ENCERRADA"),1,0),0)</f>
        <v/>
      </c>
      <c r="B2164">
        <f>B2163+A2164</f>
        <v/>
      </c>
    </row>
    <row r="2165">
      <c r="A2165">
        <f>IFERROR(IF(AND(BASELINE!I2165&lt;&gt;"",INT(IF(CALC!$F$1&gt;0,IF(N(INDEX(BASELINE!$A2165:$ZZ2165,CALC!$F$1))&gt;0,N(INDEX(BASELINE!$A2165:$ZZ2165,CALC!$F$1)),N(BASELINE!E2165)),N(BASELINE!E2165)))=INT(SIMOPS!$D$3),IFERROR(UPPER(TRIM(BASELINE!D2165&amp;"")),"")&lt;&gt;"ENCERRADA"),1,0),0)</f>
        <v/>
      </c>
      <c r="B2165">
        <f>B2164+A2165</f>
        <v/>
      </c>
    </row>
    <row r="2166">
      <c r="A2166">
        <f>IFERROR(IF(AND(BASELINE!I2166&lt;&gt;"",INT(IF(CALC!$F$1&gt;0,IF(N(INDEX(BASELINE!$A2166:$ZZ2166,CALC!$F$1))&gt;0,N(INDEX(BASELINE!$A2166:$ZZ2166,CALC!$F$1)),N(BASELINE!E2166)),N(BASELINE!E2166)))=INT(SIMOPS!$D$3),IFERROR(UPPER(TRIM(BASELINE!D2166&amp;"")),"")&lt;&gt;"ENCERRADA"),1,0),0)</f>
        <v/>
      </c>
      <c r="B2166">
        <f>B2165+A2166</f>
        <v/>
      </c>
    </row>
    <row r="2167">
      <c r="A2167">
        <f>IFERROR(IF(AND(BASELINE!I2167&lt;&gt;"",INT(IF(CALC!$F$1&gt;0,IF(N(INDEX(BASELINE!$A2167:$ZZ2167,CALC!$F$1))&gt;0,N(INDEX(BASELINE!$A2167:$ZZ2167,CALC!$F$1)),N(BASELINE!E2167)),N(BASELINE!E2167)))=INT(SIMOPS!$D$3),IFERROR(UPPER(TRIM(BASELINE!D2167&amp;"")),"")&lt;&gt;"ENCERRADA"),1,0),0)</f>
        <v/>
      </c>
      <c r="B2167">
        <f>B2166+A2167</f>
        <v/>
      </c>
    </row>
    <row r="2168">
      <c r="A2168">
        <f>IFERROR(IF(AND(BASELINE!I2168&lt;&gt;"",INT(IF(CALC!$F$1&gt;0,IF(N(INDEX(BASELINE!$A2168:$ZZ2168,CALC!$F$1))&gt;0,N(INDEX(BASELINE!$A2168:$ZZ2168,CALC!$F$1)),N(BASELINE!E2168)),N(BASELINE!E2168)))=INT(SIMOPS!$D$3),IFERROR(UPPER(TRIM(BASELINE!D2168&amp;"")),"")&lt;&gt;"ENCERRADA"),1,0),0)</f>
        <v/>
      </c>
      <c r="B2168">
        <f>B2167+A2168</f>
        <v/>
      </c>
    </row>
    <row r="2169">
      <c r="A2169">
        <f>IFERROR(IF(AND(BASELINE!I2169&lt;&gt;"",INT(IF(CALC!$F$1&gt;0,IF(N(INDEX(BASELINE!$A2169:$ZZ2169,CALC!$F$1))&gt;0,N(INDEX(BASELINE!$A2169:$ZZ2169,CALC!$F$1)),N(BASELINE!E2169)),N(BASELINE!E2169)))=INT(SIMOPS!$D$3),IFERROR(UPPER(TRIM(BASELINE!D2169&amp;"")),"")&lt;&gt;"ENCERRADA"),1,0),0)</f>
        <v/>
      </c>
      <c r="B2169">
        <f>B2168+A2169</f>
        <v/>
      </c>
    </row>
    <row r="2170">
      <c r="A2170">
        <f>IFERROR(IF(AND(BASELINE!I2170&lt;&gt;"",INT(IF(CALC!$F$1&gt;0,IF(N(INDEX(BASELINE!$A2170:$ZZ2170,CALC!$F$1))&gt;0,N(INDEX(BASELINE!$A2170:$ZZ2170,CALC!$F$1)),N(BASELINE!E2170)),N(BASELINE!E2170)))=INT(SIMOPS!$D$3),IFERROR(UPPER(TRIM(BASELINE!D2170&amp;"")),"")&lt;&gt;"ENCERRADA"),1,0),0)</f>
        <v/>
      </c>
      <c r="B2170">
        <f>B2169+A2170</f>
        <v/>
      </c>
    </row>
    <row r="2171">
      <c r="A2171">
        <f>IFERROR(IF(AND(BASELINE!I2171&lt;&gt;"",INT(IF(CALC!$F$1&gt;0,IF(N(INDEX(BASELINE!$A2171:$ZZ2171,CALC!$F$1))&gt;0,N(INDEX(BASELINE!$A2171:$ZZ2171,CALC!$F$1)),N(BASELINE!E2171)),N(BASELINE!E2171)))=INT(SIMOPS!$D$3),IFERROR(UPPER(TRIM(BASELINE!D2171&amp;"")),"")&lt;&gt;"ENCERRADA"),1,0),0)</f>
        <v/>
      </c>
      <c r="B2171">
        <f>B2170+A2171</f>
        <v/>
      </c>
    </row>
    <row r="2172">
      <c r="A2172">
        <f>IFERROR(IF(AND(BASELINE!I2172&lt;&gt;"",INT(IF(CALC!$F$1&gt;0,IF(N(INDEX(BASELINE!$A2172:$ZZ2172,CALC!$F$1))&gt;0,N(INDEX(BASELINE!$A2172:$ZZ2172,CALC!$F$1)),N(BASELINE!E2172)),N(BASELINE!E2172)))=INT(SIMOPS!$D$3),IFERROR(UPPER(TRIM(BASELINE!D2172&amp;"")),"")&lt;&gt;"ENCERRADA"),1,0),0)</f>
        <v/>
      </c>
      <c r="B2172">
        <f>B2171+A2172</f>
        <v/>
      </c>
    </row>
    <row r="2173">
      <c r="A2173">
        <f>IFERROR(IF(AND(BASELINE!I2173&lt;&gt;"",INT(IF(CALC!$F$1&gt;0,IF(N(INDEX(BASELINE!$A2173:$ZZ2173,CALC!$F$1))&gt;0,N(INDEX(BASELINE!$A2173:$ZZ2173,CALC!$F$1)),N(BASELINE!E2173)),N(BASELINE!E2173)))=INT(SIMOPS!$D$3),IFERROR(UPPER(TRIM(BASELINE!D2173&amp;"")),"")&lt;&gt;"ENCERRADA"),1,0),0)</f>
        <v/>
      </c>
      <c r="B2173">
        <f>B2172+A2173</f>
        <v/>
      </c>
    </row>
    <row r="2174">
      <c r="A2174">
        <f>IFERROR(IF(AND(BASELINE!I2174&lt;&gt;"",INT(IF(CALC!$F$1&gt;0,IF(N(INDEX(BASELINE!$A2174:$ZZ2174,CALC!$F$1))&gt;0,N(INDEX(BASELINE!$A2174:$ZZ2174,CALC!$F$1)),N(BASELINE!E2174)),N(BASELINE!E2174)))=INT(SIMOPS!$D$3),IFERROR(UPPER(TRIM(BASELINE!D2174&amp;"")),"")&lt;&gt;"ENCERRADA"),1,0),0)</f>
        <v/>
      </c>
      <c r="B2174">
        <f>B2173+A2174</f>
        <v/>
      </c>
    </row>
    <row r="2175">
      <c r="A2175">
        <f>IFERROR(IF(AND(BASELINE!I2175&lt;&gt;"",INT(IF(CALC!$F$1&gt;0,IF(N(INDEX(BASELINE!$A2175:$ZZ2175,CALC!$F$1))&gt;0,N(INDEX(BASELINE!$A2175:$ZZ2175,CALC!$F$1)),N(BASELINE!E2175)),N(BASELINE!E2175)))=INT(SIMOPS!$D$3),IFERROR(UPPER(TRIM(BASELINE!D2175&amp;"")),"")&lt;&gt;"ENCERRADA"),1,0),0)</f>
        <v/>
      </c>
      <c r="B2175">
        <f>B2174+A2175</f>
        <v/>
      </c>
    </row>
    <row r="2176">
      <c r="A2176">
        <f>IFERROR(IF(AND(BASELINE!I2176&lt;&gt;"",INT(IF(CALC!$F$1&gt;0,IF(N(INDEX(BASELINE!$A2176:$ZZ2176,CALC!$F$1))&gt;0,N(INDEX(BASELINE!$A2176:$ZZ2176,CALC!$F$1)),N(BASELINE!E2176)),N(BASELINE!E2176)))=INT(SIMOPS!$D$3),IFERROR(UPPER(TRIM(BASELINE!D2176&amp;"")),"")&lt;&gt;"ENCERRADA"),1,0),0)</f>
        <v/>
      </c>
      <c r="B2176">
        <f>B2175+A2176</f>
        <v/>
      </c>
    </row>
    <row r="2177">
      <c r="A2177">
        <f>IFERROR(IF(AND(BASELINE!I2177&lt;&gt;"",INT(IF(CALC!$F$1&gt;0,IF(N(INDEX(BASELINE!$A2177:$ZZ2177,CALC!$F$1))&gt;0,N(INDEX(BASELINE!$A2177:$ZZ2177,CALC!$F$1)),N(BASELINE!E2177)),N(BASELINE!E2177)))=INT(SIMOPS!$D$3),IFERROR(UPPER(TRIM(BASELINE!D2177&amp;"")),"")&lt;&gt;"ENCERRADA"),1,0),0)</f>
        <v/>
      </c>
      <c r="B2177">
        <f>B2176+A2177</f>
        <v/>
      </c>
    </row>
    <row r="2178">
      <c r="A2178">
        <f>IFERROR(IF(AND(BASELINE!I2178&lt;&gt;"",INT(IF(CALC!$F$1&gt;0,IF(N(INDEX(BASELINE!$A2178:$ZZ2178,CALC!$F$1))&gt;0,N(INDEX(BASELINE!$A2178:$ZZ2178,CALC!$F$1)),N(BASELINE!E2178)),N(BASELINE!E2178)))=INT(SIMOPS!$D$3),IFERROR(UPPER(TRIM(BASELINE!D2178&amp;"")),"")&lt;&gt;"ENCERRADA"),1,0),0)</f>
        <v/>
      </c>
      <c r="B2178">
        <f>B2177+A2178</f>
        <v/>
      </c>
    </row>
    <row r="2179">
      <c r="A2179">
        <f>IFERROR(IF(AND(BASELINE!I2179&lt;&gt;"",INT(IF(CALC!$F$1&gt;0,IF(N(INDEX(BASELINE!$A2179:$ZZ2179,CALC!$F$1))&gt;0,N(INDEX(BASELINE!$A2179:$ZZ2179,CALC!$F$1)),N(BASELINE!E2179)),N(BASELINE!E2179)))=INT(SIMOPS!$D$3),IFERROR(UPPER(TRIM(BASELINE!D2179&amp;"")),"")&lt;&gt;"ENCERRADA"),1,0),0)</f>
        <v/>
      </c>
      <c r="B2179">
        <f>B2178+A2179</f>
        <v/>
      </c>
    </row>
    <row r="2180">
      <c r="A2180">
        <f>IFERROR(IF(AND(BASELINE!I2180&lt;&gt;"",INT(IF(CALC!$F$1&gt;0,IF(N(INDEX(BASELINE!$A2180:$ZZ2180,CALC!$F$1))&gt;0,N(INDEX(BASELINE!$A2180:$ZZ2180,CALC!$F$1)),N(BASELINE!E2180)),N(BASELINE!E2180)))=INT(SIMOPS!$D$3),IFERROR(UPPER(TRIM(BASELINE!D2180&amp;"")),"")&lt;&gt;"ENCERRADA"),1,0),0)</f>
        <v/>
      </c>
      <c r="B2180">
        <f>B2179+A2180</f>
        <v/>
      </c>
    </row>
    <row r="2181">
      <c r="A2181">
        <f>IFERROR(IF(AND(BASELINE!I2181&lt;&gt;"",INT(IF(CALC!$F$1&gt;0,IF(N(INDEX(BASELINE!$A2181:$ZZ2181,CALC!$F$1))&gt;0,N(INDEX(BASELINE!$A2181:$ZZ2181,CALC!$F$1)),N(BASELINE!E2181)),N(BASELINE!E2181)))=INT(SIMOPS!$D$3),IFERROR(UPPER(TRIM(BASELINE!D2181&amp;"")),"")&lt;&gt;"ENCERRADA"),1,0),0)</f>
        <v/>
      </c>
      <c r="B2181">
        <f>B2180+A2181</f>
        <v/>
      </c>
    </row>
    <row r="2182">
      <c r="A2182">
        <f>IFERROR(IF(AND(BASELINE!I2182&lt;&gt;"",INT(IF(CALC!$F$1&gt;0,IF(N(INDEX(BASELINE!$A2182:$ZZ2182,CALC!$F$1))&gt;0,N(INDEX(BASELINE!$A2182:$ZZ2182,CALC!$F$1)),N(BASELINE!E2182)),N(BASELINE!E2182)))=INT(SIMOPS!$D$3),IFERROR(UPPER(TRIM(BASELINE!D2182&amp;"")),"")&lt;&gt;"ENCERRADA"),1,0),0)</f>
        <v/>
      </c>
      <c r="B2182">
        <f>B2181+A2182</f>
        <v/>
      </c>
    </row>
    <row r="2183">
      <c r="A2183">
        <f>IFERROR(IF(AND(BASELINE!I2183&lt;&gt;"",INT(IF(CALC!$F$1&gt;0,IF(N(INDEX(BASELINE!$A2183:$ZZ2183,CALC!$F$1))&gt;0,N(INDEX(BASELINE!$A2183:$ZZ2183,CALC!$F$1)),N(BASELINE!E2183)),N(BASELINE!E2183)))=INT(SIMOPS!$D$3),IFERROR(UPPER(TRIM(BASELINE!D2183&amp;"")),"")&lt;&gt;"ENCERRADA"),1,0),0)</f>
        <v/>
      </c>
      <c r="B2183">
        <f>B2182+A2183</f>
        <v/>
      </c>
    </row>
    <row r="2184">
      <c r="A2184">
        <f>IFERROR(IF(AND(BASELINE!I2184&lt;&gt;"",INT(IF(CALC!$F$1&gt;0,IF(N(INDEX(BASELINE!$A2184:$ZZ2184,CALC!$F$1))&gt;0,N(INDEX(BASELINE!$A2184:$ZZ2184,CALC!$F$1)),N(BASELINE!E2184)),N(BASELINE!E2184)))=INT(SIMOPS!$D$3),IFERROR(UPPER(TRIM(BASELINE!D2184&amp;"")),"")&lt;&gt;"ENCERRADA"),1,0),0)</f>
        <v/>
      </c>
      <c r="B2184">
        <f>B2183+A2184</f>
        <v/>
      </c>
    </row>
    <row r="2185">
      <c r="A2185">
        <f>IFERROR(IF(AND(BASELINE!I2185&lt;&gt;"",INT(IF(CALC!$F$1&gt;0,IF(N(INDEX(BASELINE!$A2185:$ZZ2185,CALC!$F$1))&gt;0,N(INDEX(BASELINE!$A2185:$ZZ2185,CALC!$F$1)),N(BASELINE!E2185)),N(BASELINE!E2185)))=INT(SIMOPS!$D$3),IFERROR(UPPER(TRIM(BASELINE!D2185&amp;"")),"")&lt;&gt;"ENCERRADA"),1,0),0)</f>
        <v/>
      </c>
      <c r="B2185">
        <f>B2184+A2185</f>
        <v/>
      </c>
    </row>
    <row r="2186">
      <c r="A2186">
        <f>IFERROR(IF(AND(BASELINE!I2186&lt;&gt;"",INT(IF(CALC!$F$1&gt;0,IF(N(INDEX(BASELINE!$A2186:$ZZ2186,CALC!$F$1))&gt;0,N(INDEX(BASELINE!$A2186:$ZZ2186,CALC!$F$1)),N(BASELINE!E2186)),N(BASELINE!E2186)))=INT(SIMOPS!$D$3),IFERROR(UPPER(TRIM(BASELINE!D2186&amp;"")),"")&lt;&gt;"ENCERRADA"),1,0),0)</f>
        <v/>
      </c>
      <c r="B2186">
        <f>B2185+A2186</f>
        <v/>
      </c>
    </row>
    <row r="2187">
      <c r="A2187">
        <f>IFERROR(IF(AND(BASELINE!I2187&lt;&gt;"",INT(IF(CALC!$F$1&gt;0,IF(N(INDEX(BASELINE!$A2187:$ZZ2187,CALC!$F$1))&gt;0,N(INDEX(BASELINE!$A2187:$ZZ2187,CALC!$F$1)),N(BASELINE!E2187)),N(BASELINE!E2187)))=INT(SIMOPS!$D$3),IFERROR(UPPER(TRIM(BASELINE!D2187&amp;"")),"")&lt;&gt;"ENCERRADA"),1,0),0)</f>
        <v/>
      </c>
      <c r="B2187">
        <f>B2186+A2187</f>
        <v/>
      </c>
    </row>
    <row r="2188">
      <c r="A2188">
        <f>IFERROR(IF(AND(BASELINE!I2188&lt;&gt;"",INT(IF(CALC!$F$1&gt;0,IF(N(INDEX(BASELINE!$A2188:$ZZ2188,CALC!$F$1))&gt;0,N(INDEX(BASELINE!$A2188:$ZZ2188,CALC!$F$1)),N(BASELINE!E2188)),N(BASELINE!E2188)))=INT(SIMOPS!$D$3),IFERROR(UPPER(TRIM(BASELINE!D2188&amp;"")),"")&lt;&gt;"ENCERRADA"),1,0),0)</f>
        <v/>
      </c>
      <c r="B2188">
        <f>B2187+A2188</f>
        <v/>
      </c>
    </row>
    <row r="2189">
      <c r="A2189">
        <f>IFERROR(IF(AND(BASELINE!I2189&lt;&gt;"",INT(IF(CALC!$F$1&gt;0,IF(N(INDEX(BASELINE!$A2189:$ZZ2189,CALC!$F$1))&gt;0,N(INDEX(BASELINE!$A2189:$ZZ2189,CALC!$F$1)),N(BASELINE!E2189)),N(BASELINE!E2189)))=INT(SIMOPS!$D$3),IFERROR(UPPER(TRIM(BASELINE!D2189&amp;"")),"")&lt;&gt;"ENCERRADA"),1,0),0)</f>
        <v/>
      </c>
      <c r="B2189">
        <f>B2188+A2189</f>
        <v/>
      </c>
    </row>
    <row r="2190">
      <c r="A2190">
        <f>IFERROR(IF(AND(BASELINE!I2190&lt;&gt;"",INT(IF(CALC!$F$1&gt;0,IF(N(INDEX(BASELINE!$A2190:$ZZ2190,CALC!$F$1))&gt;0,N(INDEX(BASELINE!$A2190:$ZZ2190,CALC!$F$1)),N(BASELINE!E2190)),N(BASELINE!E2190)))=INT(SIMOPS!$D$3),IFERROR(UPPER(TRIM(BASELINE!D2190&amp;"")),"")&lt;&gt;"ENCERRADA"),1,0),0)</f>
        <v/>
      </c>
      <c r="B2190">
        <f>B2189+A2190</f>
        <v/>
      </c>
    </row>
    <row r="2191">
      <c r="A2191">
        <f>IFERROR(IF(AND(BASELINE!I2191&lt;&gt;"",INT(IF(CALC!$F$1&gt;0,IF(N(INDEX(BASELINE!$A2191:$ZZ2191,CALC!$F$1))&gt;0,N(INDEX(BASELINE!$A2191:$ZZ2191,CALC!$F$1)),N(BASELINE!E2191)),N(BASELINE!E2191)))=INT(SIMOPS!$D$3),IFERROR(UPPER(TRIM(BASELINE!D2191&amp;"")),"")&lt;&gt;"ENCERRADA"),1,0),0)</f>
        <v/>
      </c>
      <c r="B2191">
        <f>B2190+A2191</f>
        <v/>
      </c>
    </row>
    <row r="2192">
      <c r="A2192">
        <f>IFERROR(IF(AND(BASELINE!I2192&lt;&gt;"",INT(IF(CALC!$F$1&gt;0,IF(N(INDEX(BASELINE!$A2192:$ZZ2192,CALC!$F$1))&gt;0,N(INDEX(BASELINE!$A2192:$ZZ2192,CALC!$F$1)),N(BASELINE!E2192)),N(BASELINE!E2192)))=INT(SIMOPS!$D$3),IFERROR(UPPER(TRIM(BASELINE!D2192&amp;"")),"")&lt;&gt;"ENCERRADA"),1,0),0)</f>
        <v/>
      </c>
      <c r="B2192">
        <f>B2191+A2192</f>
        <v/>
      </c>
    </row>
    <row r="2193">
      <c r="A2193">
        <f>IFERROR(IF(AND(BASELINE!I2193&lt;&gt;"",INT(IF(CALC!$F$1&gt;0,IF(N(INDEX(BASELINE!$A2193:$ZZ2193,CALC!$F$1))&gt;0,N(INDEX(BASELINE!$A2193:$ZZ2193,CALC!$F$1)),N(BASELINE!E2193)),N(BASELINE!E2193)))=INT(SIMOPS!$D$3),IFERROR(UPPER(TRIM(BASELINE!D2193&amp;"")),"")&lt;&gt;"ENCERRADA"),1,0),0)</f>
        <v/>
      </c>
      <c r="B2193">
        <f>B2192+A2193</f>
        <v/>
      </c>
    </row>
    <row r="2194">
      <c r="A2194">
        <f>IFERROR(IF(AND(BASELINE!I2194&lt;&gt;"",INT(IF(CALC!$F$1&gt;0,IF(N(INDEX(BASELINE!$A2194:$ZZ2194,CALC!$F$1))&gt;0,N(INDEX(BASELINE!$A2194:$ZZ2194,CALC!$F$1)),N(BASELINE!E2194)),N(BASELINE!E2194)))=INT(SIMOPS!$D$3),IFERROR(UPPER(TRIM(BASELINE!D2194&amp;"")),"")&lt;&gt;"ENCERRADA"),1,0),0)</f>
        <v/>
      </c>
      <c r="B2194">
        <f>B2193+A2194</f>
        <v/>
      </c>
    </row>
    <row r="2195">
      <c r="A2195">
        <f>IFERROR(IF(AND(BASELINE!I2195&lt;&gt;"",INT(IF(CALC!$F$1&gt;0,IF(N(INDEX(BASELINE!$A2195:$ZZ2195,CALC!$F$1))&gt;0,N(INDEX(BASELINE!$A2195:$ZZ2195,CALC!$F$1)),N(BASELINE!E2195)),N(BASELINE!E2195)))=INT(SIMOPS!$D$3),IFERROR(UPPER(TRIM(BASELINE!D2195&amp;"")),"")&lt;&gt;"ENCERRADA"),1,0),0)</f>
        <v/>
      </c>
      <c r="B2195">
        <f>B2194+A2195</f>
        <v/>
      </c>
    </row>
    <row r="2196">
      <c r="A2196">
        <f>IFERROR(IF(AND(BASELINE!I2196&lt;&gt;"",INT(IF(CALC!$F$1&gt;0,IF(N(INDEX(BASELINE!$A2196:$ZZ2196,CALC!$F$1))&gt;0,N(INDEX(BASELINE!$A2196:$ZZ2196,CALC!$F$1)),N(BASELINE!E2196)),N(BASELINE!E2196)))=INT(SIMOPS!$D$3),IFERROR(UPPER(TRIM(BASELINE!D2196&amp;"")),"")&lt;&gt;"ENCERRADA"),1,0),0)</f>
        <v/>
      </c>
      <c r="B2196">
        <f>B2195+A2196</f>
        <v/>
      </c>
    </row>
    <row r="2197">
      <c r="A2197">
        <f>IFERROR(IF(AND(BASELINE!I2197&lt;&gt;"",INT(IF(CALC!$F$1&gt;0,IF(N(INDEX(BASELINE!$A2197:$ZZ2197,CALC!$F$1))&gt;0,N(INDEX(BASELINE!$A2197:$ZZ2197,CALC!$F$1)),N(BASELINE!E2197)),N(BASELINE!E2197)))=INT(SIMOPS!$D$3),IFERROR(UPPER(TRIM(BASELINE!D2197&amp;"")),"")&lt;&gt;"ENCERRADA"),1,0),0)</f>
        <v/>
      </c>
      <c r="B2197">
        <f>B2196+A2197</f>
        <v/>
      </c>
    </row>
    <row r="2198">
      <c r="A2198">
        <f>IFERROR(IF(AND(BASELINE!I2198&lt;&gt;"",INT(IF(CALC!$F$1&gt;0,IF(N(INDEX(BASELINE!$A2198:$ZZ2198,CALC!$F$1))&gt;0,N(INDEX(BASELINE!$A2198:$ZZ2198,CALC!$F$1)),N(BASELINE!E2198)),N(BASELINE!E2198)))=INT(SIMOPS!$D$3),IFERROR(UPPER(TRIM(BASELINE!D2198&amp;"")),"")&lt;&gt;"ENCERRADA"),1,0),0)</f>
        <v/>
      </c>
      <c r="B2198">
        <f>B2197+A2198</f>
        <v/>
      </c>
    </row>
    <row r="2199">
      <c r="A2199">
        <f>IFERROR(IF(AND(BASELINE!I2199&lt;&gt;"",INT(IF(CALC!$F$1&gt;0,IF(N(INDEX(BASELINE!$A2199:$ZZ2199,CALC!$F$1))&gt;0,N(INDEX(BASELINE!$A2199:$ZZ2199,CALC!$F$1)),N(BASELINE!E2199)),N(BASELINE!E2199)))=INT(SIMOPS!$D$3),IFERROR(UPPER(TRIM(BASELINE!D2199&amp;"")),"")&lt;&gt;"ENCERRADA"),1,0),0)</f>
        <v/>
      </c>
      <c r="B2199">
        <f>B2198+A2199</f>
        <v/>
      </c>
    </row>
    <row r="2200">
      <c r="A2200">
        <f>IFERROR(IF(AND(BASELINE!I2200&lt;&gt;"",INT(IF(CALC!$F$1&gt;0,IF(N(INDEX(BASELINE!$A2200:$ZZ2200,CALC!$F$1))&gt;0,N(INDEX(BASELINE!$A2200:$ZZ2200,CALC!$F$1)),N(BASELINE!E2200)),N(BASELINE!E2200)))=INT(SIMOPS!$D$3),IFERROR(UPPER(TRIM(BASELINE!D2200&amp;"")),"")&lt;&gt;"ENCERRADA"),1,0),0)</f>
        <v/>
      </c>
      <c r="B2200">
        <f>B2199+A2200</f>
        <v/>
      </c>
    </row>
    <row r="2201">
      <c r="A2201">
        <f>IFERROR(IF(AND(BASELINE!I2201&lt;&gt;"",INT(IF(CALC!$F$1&gt;0,IF(N(INDEX(BASELINE!$A2201:$ZZ2201,CALC!$F$1))&gt;0,N(INDEX(BASELINE!$A2201:$ZZ2201,CALC!$F$1)),N(BASELINE!E2201)),N(BASELINE!E2201)))=INT(SIMOPS!$D$3),IFERROR(UPPER(TRIM(BASELINE!D2201&amp;"")),"")&lt;&gt;"ENCERRADA"),1,0),0)</f>
        <v/>
      </c>
      <c r="B2201">
        <f>B2200+A2201</f>
        <v/>
      </c>
    </row>
    <row r="2202">
      <c r="A2202">
        <f>IFERROR(IF(AND(BASELINE!I2202&lt;&gt;"",INT(IF(CALC!$F$1&gt;0,IF(N(INDEX(BASELINE!$A2202:$ZZ2202,CALC!$F$1))&gt;0,N(INDEX(BASELINE!$A2202:$ZZ2202,CALC!$F$1)),N(BASELINE!E2202)),N(BASELINE!E2202)))=INT(SIMOPS!$D$3),IFERROR(UPPER(TRIM(BASELINE!D2202&amp;"")),"")&lt;&gt;"ENCERRADA"),1,0),0)</f>
        <v/>
      </c>
      <c r="B2202">
        <f>B2201+A2202</f>
        <v/>
      </c>
    </row>
    <row r="2203">
      <c r="A2203">
        <f>IFERROR(IF(AND(BASELINE!I2203&lt;&gt;"",INT(IF(CALC!$F$1&gt;0,IF(N(INDEX(BASELINE!$A2203:$ZZ2203,CALC!$F$1))&gt;0,N(INDEX(BASELINE!$A2203:$ZZ2203,CALC!$F$1)),N(BASELINE!E2203)),N(BASELINE!E2203)))=INT(SIMOPS!$D$3),IFERROR(UPPER(TRIM(BASELINE!D2203&amp;"")),"")&lt;&gt;"ENCERRADA"),1,0),0)</f>
        <v/>
      </c>
      <c r="B2203">
        <f>B2202+A2203</f>
        <v/>
      </c>
    </row>
    <row r="2204">
      <c r="A2204">
        <f>IFERROR(IF(AND(BASELINE!I2204&lt;&gt;"",INT(IF(CALC!$F$1&gt;0,IF(N(INDEX(BASELINE!$A2204:$ZZ2204,CALC!$F$1))&gt;0,N(INDEX(BASELINE!$A2204:$ZZ2204,CALC!$F$1)),N(BASELINE!E2204)),N(BASELINE!E2204)))=INT(SIMOPS!$D$3),IFERROR(UPPER(TRIM(BASELINE!D2204&amp;"")),"")&lt;&gt;"ENCERRADA"),1,0),0)</f>
        <v/>
      </c>
      <c r="B2204">
        <f>B2203+A2204</f>
        <v/>
      </c>
    </row>
    <row r="2205">
      <c r="A2205">
        <f>IFERROR(IF(AND(BASELINE!I2205&lt;&gt;"",INT(IF(CALC!$F$1&gt;0,IF(N(INDEX(BASELINE!$A2205:$ZZ2205,CALC!$F$1))&gt;0,N(INDEX(BASELINE!$A2205:$ZZ2205,CALC!$F$1)),N(BASELINE!E2205)),N(BASELINE!E2205)))=INT(SIMOPS!$D$3),IFERROR(UPPER(TRIM(BASELINE!D2205&amp;"")),"")&lt;&gt;"ENCERRADA"),1,0),0)</f>
        <v/>
      </c>
      <c r="B2205">
        <f>B2204+A2205</f>
        <v/>
      </c>
    </row>
    <row r="2206">
      <c r="A2206">
        <f>IFERROR(IF(AND(BASELINE!I2206&lt;&gt;"",INT(IF(CALC!$F$1&gt;0,IF(N(INDEX(BASELINE!$A2206:$ZZ2206,CALC!$F$1))&gt;0,N(INDEX(BASELINE!$A2206:$ZZ2206,CALC!$F$1)),N(BASELINE!E2206)),N(BASELINE!E2206)))=INT(SIMOPS!$D$3),IFERROR(UPPER(TRIM(BASELINE!D2206&amp;"")),"")&lt;&gt;"ENCERRADA"),1,0),0)</f>
        <v/>
      </c>
      <c r="B2206">
        <f>B2205+A2206</f>
        <v/>
      </c>
    </row>
    <row r="2207">
      <c r="A2207">
        <f>IFERROR(IF(AND(BASELINE!I2207&lt;&gt;"",INT(IF(CALC!$F$1&gt;0,IF(N(INDEX(BASELINE!$A2207:$ZZ2207,CALC!$F$1))&gt;0,N(INDEX(BASELINE!$A2207:$ZZ2207,CALC!$F$1)),N(BASELINE!E2207)),N(BASELINE!E2207)))=INT(SIMOPS!$D$3),IFERROR(UPPER(TRIM(BASELINE!D2207&amp;"")),"")&lt;&gt;"ENCERRADA"),1,0),0)</f>
        <v/>
      </c>
      <c r="B2207">
        <f>B2206+A2207</f>
        <v/>
      </c>
    </row>
    <row r="2208">
      <c r="A2208">
        <f>IFERROR(IF(AND(BASELINE!I2208&lt;&gt;"",INT(IF(CALC!$F$1&gt;0,IF(N(INDEX(BASELINE!$A2208:$ZZ2208,CALC!$F$1))&gt;0,N(INDEX(BASELINE!$A2208:$ZZ2208,CALC!$F$1)),N(BASELINE!E2208)),N(BASELINE!E2208)))=INT(SIMOPS!$D$3),IFERROR(UPPER(TRIM(BASELINE!D2208&amp;"")),"")&lt;&gt;"ENCERRADA"),1,0),0)</f>
        <v/>
      </c>
      <c r="B2208">
        <f>B2207+A2208</f>
        <v/>
      </c>
    </row>
    <row r="2209">
      <c r="A2209">
        <f>IFERROR(IF(AND(BASELINE!I2209&lt;&gt;"",INT(IF(CALC!$F$1&gt;0,IF(N(INDEX(BASELINE!$A2209:$ZZ2209,CALC!$F$1))&gt;0,N(INDEX(BASELINE!$A2209:$ZZ2209,CALC!$F$1)),N(BASELINE!E2209)),N(BASELINE!E2209)))=INT(SIMOPS!$D$3),IFERROR(UPPER(TRIM(BASELINE!D2209&amp;"")),"")&lt;&gt;"ENCERRADA"),1,0),0)</f>
        <v/>
      </c>
      <c r="B2209">
        <f>B2208+A2209</f>
        <v/>
      </c>
    </row>
    <row r="2210">
      <c r="A2210">
        <f>IFERROR(IF(AND(BASELINE!I2210&lt;&gt;"",INT(IF(CALC!$F$1&gt;0,IF(N(INDEX(BASELINE!$A2210:$ZZ2210,CALC!$F$1))&gt;0,N(INDEX(BASELINE!$A2210:$ZZ2210,CALC!$F$1)),N(BASELINE!E2210)),N(BASELINE!E2210)))=INT(SIMOPS!$D$3),IFERROR(UPPER(TRIM(BASELINE!D2210&amp;"")),"")&lt;&gt;"ENCERRADA"),1,0),0)</f>
        <v/>
      </c>
      <c r="B2210">
        <f>B2209+A2210</f>
        <v/>
      </c>
    </row>
    <row r="2211">
      <c r="A2211">
        <f>IFERROR(IF(AND(BASELINE!I2211&lt;&gt;"",INT(IF(CALC!$F$1&gt;0,IF(N(INDEX(BASELINE!$A2211:$ZZ2211,CALC!$F$1))&gt;0,N(INDEX(BASELINE!$A2211:$ZZ2211,CALC!$F$1)),N(BASELINE!E2211)),N(BASELINE!E2211)))=INT(SIMOPS!$D$3),IFERROR(UPPER(TRIM(BASELINE!D2211&amp;"")),"")&lt;&gt;"ENCERRADA"),1,0),0)</f>
        <v/>
      </c>
      <c r="B2211">
        <f>B2210+A2211</f>
        <v/>
      </c>
    </row>
    <row r="2212">
      <c r="A2212">
        <f>IFERROR(IF(AND(BASELINE!I2212&lt;&gt;"",INT(IF(CALC!$F$1&gt;0,IF(N(INDEX(BASELINE!$A2212:$ZZ2212,CALC!$F$1))&gt;0,N(INDEX(BASELINE!$A2212:$ZZ2212,CALC!$F$1)),N(BASELINE!E2212)),N(BASELINE!E2212)))=INT(SIMOPS!$D$3),IFERROR(UPPER(TRIM(BASELINE!D2212&amp;"")),"")&lt;&gt;"ENCERRADA"),1,0),0)</f>
        <v/>
      </c>
      <c r="B2212">
        <f>B2211+A2212</f>
        <v/>
      </c>
    </row>
    <row r="2213">
      <c r="A2213">
        <f>IFERROR(IF(AND(BASELINE!I2213&lt;&gt;"",INT(IF(CALC!$F$1&gt;0,IF(N(INDEX(BASELINE!$A2213:$ZZ2213,CALC!$F$1))&gt;0,N(INDEX(BASELINE!$A2213:$ZZ2213,CALC!$F$1)),N(BASELINE!E2213)),N(BASELINE!E2213)))=INT(SIMOPS!$D$3),IFERROR(UPPER(TRIM(BASELINE!D2213&amp;"")),"")&lt;&gt;"ENCERRADA"),1,0),0)</f>
        <v/>
      </c>
      <c r="B2213">
        <f>B2212+A2213</f>
        <v/>
      </c>
    </row>
    <row r="2214">
      <c r="A2214">
        <f>IFERROR(IF(AND(BASELINE!I2214&lt;&gt;"",INT(IF(CALC!$F$1&gt;0,IF(N(INDEX(BASELINE!$A2214:$ZZ2214,CALC!$F$1))&gt;0,N(INDEX(BASELINE!$A2214:$ZZ2214,CALC!$F$1)),N(BASELINE!E2214)),N(BASELINE!E2214)))=INT(SIMOPS!$D$3),IFERROR(UPPER(TRIM(BASELINE!D2214&amp;"")),"")&lt;&gt;"ENCERRADA"),1,0),0)</f>
        <v/>
      </c>
      <c r="B2214">
        <f>B2213+A2214</f>
        <v/>
      </c>
    </row>
    <row r="2215">
      <c r="A2215">
        <f>IFERROR(IF(AND(BASELINE!I2215&lt;&gt;"",INT(IF(CALC!$F$1&gt;0,IF(N(INDEX(BASELINE!$A2215:$ZZ2215,CALC!$F$1))&gt;0,N(INDEX(BASELINE!$A2215:$ZZ2215,CALC!$F$1)),N(BASELINE!E2215)),N(BASELINE!E2215)))=INT(SIMOPS!$D$3),IFERROR(UPPER(TRIM(BASELINE!D2215&amp;"")),"")&lt;&gt;"ENCERRADA"),1,0),0)</f>
        <v/>
      </c>
      <c r="B2215">
        <f>B2214+A2215</f>
        <v/>
      </c>
    </row>
    <row r="2216">
      <c r="A2216">
        <f>IFERROR(IF(AND(BASELINE!I2216&lt;&gt;"",INT(IF(CALC!$F$1&gt;0,IF(N(INDEX(BASELINE!$A2216:$ZZ2216,CALC!$F$1))&gt;0,N(INDEX(BASELINE!$A2216:$ZZ2216,CALC!$F$1)),N(BASELINE!E2216)),N(BASELINE!E2216)))=INT(SIMOPS!$D$3),IFERROR(UPPER(TRIM(BASELINE!D2216&amp;"")),"")&lt;&gt;"ENCERRADA"),1,0),0)</f>
        <v/>
      </c>
      <c r="B2216">
        <f>B2215+A2216</f>
        <v/>
      </c>
    </row>
    <row r="2217">
      <c r="A2217">
        <f>IFERROR(IF(AND(BASELINE!I2217&lt;&gt;"",INT(IF(CALC!$F$1&gt;0,IF(N(INDEX(BASELINE!$A2217:$ZZ2217,CALC!$F$1))&gt;0,N(INDEX(BASELINE!$A2217:$ZZ2217,CALC!$F$1)),N(BASELINE!E2217)),N(BASELINE!E2217)))=INT(SIMOPS!$D$3),IFERROR(UPPER(TRIM(BASELINE!D2217&amp;"")),"")&lt;&gt;"ENCERRADA"),1,0),0)</f>
        <v/>
      </c>
      <c r="B2217">
        <f>B2216+A2217</f>
        <v/>
      </c>
    </row>
    <row r="2218">
      <c r="A2218">
        <f>IFERROR(IF(AND(BASELINE!I2218&lt;&gt;"",INT(IF(CALC!$F$1&gt;0,IF(N(INDEX(BASELINE!$A2218:$ZZ2218,CALC!$F$1))&gt;0,N(INDEX(BASELINE!$A2218:$ZZ2218,CALC!$F$1)),N(BASELINE!E2218)),N(BASELINE!E2218)))=INT(SIMOPS!$D$3),IFERROR(UPPER(TRIM(BASELINE!D2218&amp;"")),"")&lt;&gt;"ENCERRADA"),1,0),0)</f>
        <v/>
      </c>
      <c r="B2218">
        <f>B2217+A2218</f>
        <v/>
      </c>
    </row>
    <row r="2219">
      <c r="A2219">
        <f>IFERROR(IF(AND(BASELINE!I2219&lt;&gt;"",INT(IF(CALC!$F$1&gt;0,IF(N(INDEX(BASELINE!$A2219:$ZZ2219,CALC!$F$1))&gt;0,N(INDEX(BASELINE!$A2219:$ZZ2219,CALC!$F$1)),N(BASELINE!E2219)),N(BASELINE!E2219)))=INT(SIMOPS!$D$3),IFERROR(UPPER(TRIM(BASELINE!D2219&amp;"")),"")&lt;&gt;"ENCERRADA"),1,0),0)</f>
        <v/>
      </c>
      <c r="B2219">
        <f>B2218+A2219</f>
        <v/>
      </c>
    </row>
    <row r="2220">
      <c r="A2220">
        <f>IFERROR(IF(AND(BASELINE!I2220&lt;&gt;"",INT(IF(CALC!$F$1&gt;0,IF(N(INDEX(BASELINE!$A2220:$ZZ2220,CALC!$F$1))&gt;0,N(INDEX(BASELINE!$A2220:$ZZ2220,CALC!$F$1)),N(BASELINE!E2220)),N(BASELINE!E2220)))=INT(SIMOPS!$D$3),IFERROR(UPPER(TRIM(BASELINE!D2220&amp;"")),"")&lt;&gt;"ENCERRADA"),1,0),0)</f>
        <v/>
      </c>
      <c r="B2220">
        <f>B2219+A2220</f>
        <v/>
      </c>
    </row>
    <row r="2221">
      <c r="A2221">
        <f>IFERROR(IF(AND(BASELINE!I2221&lt;&gt;"",INT(IF(CALC!$F$1&gt;0,IF(N(INDEX(BASELINE!$A2221:$ZZ2221,CALC!$F$1))&gt;0,N(INDEX(BASELINE!$A2221:$ZZ2221,CALC!$F$1)),N(BASELINE!E2221)),N(BASELINE!E2221)))=INT(SIMOPS!$D$3),IFERROR(UPPER(TRIM(BASELINE!D2221&amp;"")),"")&lt;&gt;"ENCERRADA"),1,0),0)</f>
        <v/>
      </c>
      <c r="B2221">
        <f>B2220+A2221</f>
        <v/>
      </c>
    </row>
    <row r="2222">
      <c r="A2222">
        <f>IFERROR(IF(AND(BASELINE!I2222&lt;&gt;"",INT(IF(CALC!$F$1&gt;0,IF(N(INDEX(BASELINE!$A2222:$ZZ2222,CALC!$F$1))&gt;0,N(INDEX(BASELINE!$A2222:$ZZ2222,CALC!$F$1)),N(BASELINE!E2222)),N(BASELINE!E2222)))=INT(SIMOPS!$D$3),IFERROR(UPPER(TRIM(BASELINE!D2222&amp;"")),"")&lt;&gt;"ENCERRADA"),1,0),0)</f>
        <v/>
      </c>
      <c r="B2222">
        <f>B2221+A2222</f>
        <v/>
      </c>
    </row>
    <row r="2223">
      <c r="A2223">
        <f>IFERROR(IF(AND(BASELINE!I2223&lt;&gt;"",INT(IF(CALC!$F$1&gt;0,IF(N(INDEX(BASELINE!$A2223:$ZZ2223,CALC!$F$1))&gt;0,N(INDEX(BASELINE!$A2223:$ZZ2223,CALC!$F$1)),N(BASELINE!E2223)),N(BASELINE!E2223)))=INT(SIMOPS!$D$3),IFERROR(UPPER(TRIM(BASELINE!D2223&amp;"")),"")&lt;&gt;"ENCERRADA"),1,0),0)</f>
        <v/>
      </c>
      <c r="B2223">
        <f>B2222+A2223</f>
        <v/>
      </c>
    </row>
    <row r="2224">
      <c r="A2224">
        <f>IFERROR(IF(AND(BASELINE!I2224&lt;&gt;"",INT(IF(CALC!$F$1&gt;0,IF(N(INDEX(BASELINE!$A2224:$ZZ2224,CALC!$F$1))&gt;0,N(INDEX(BASELINE!$A2224:$ZZ2224,CALC!$F$1)),N(BASELINE!E2224)),N(BASELINE!E2224)))=INT(SIMOPS!$D$3),IFERROR(UPPER(TRIM(BASELINE!D2224&amp;"")),"")&lt;&gt;"ENCERRADA"),1,0),0)</f>
        <v/>
      </c>
      <c r="B2224">
        <f>B2223+A2224</f>
        <v/>
      </c>
    </row>
    <row r="2225">
      <c r="A2225">
        <f>IFERROR(IF(AND(BASELINE!I2225&lt;&gt;"",INT(IF(CALC!$F$1&gt;0,IF(N(INDEX(BASELINE!$A2225:$ZZ2225,CALC!$F$1))&gt;0,N(INDEX(BASELINE!$A2225:$ZZ2225,CALC!$F$1)),N(BASELINE!E2225)),N(BASELINE!E2225)))=INT(SIMOPS!$D$3),IFERROR(UPPER(TRIM(BASELINE!D2225&amp;"")),"")&lt;&gt;"ENCERRADA"),1,0),0)</f>
        <v/>
      </c>
      <c r="B2225">
        <f>B2224+A2225</f>
        <v/>
      </c>
    </row>
    <row r="2226">
      <c r="A2226">
        <f>IFERROR(IF(AND(BASELINE!I2226&lt;&gt;"",INT(IF(CALC!$F$1&gt;0,IF(N(INDEX(BASELINE!$A2226:$ZZ2226,CALC!$F$1))&gt;0,N(INDEX(BASELINE!$A2226:$ZZ2226,CALC!$F$1)),N(BASELINE!E2226)),N(BASELINE!E2226)))=INT(SIMOPS!$D$3),IFERROR(UPPER(TRIM(BASELINE!D2226&amp;"")),"")&lt;&gt;"ENCERRADA"),1,0),0)</f>
        <v/>
      </c>
      <c r="B2226">
        <f>B2225+A2226</f>
        <v/>
      </c>
    </row>
    <row r="2227">
      <c r="A2227">
        <f>IFERROR(IF(AND(BASELINE!I2227&lt;&gt;"",INT(IF(CALC!$F$1&gt;0,IF(N(INDEX(BASELINE!$A2227:$ZZ2227,CALC!$F$1))&gt;0,N(INDEX(BASELINE!$A2227:$ZZ2227,CALC!$F$1)),N(BASELINE!E2227)),N(BASELINE!E2227)))=INT(SIMOPS!$D$3),IFERROR(UPPER(TRIM(BASELINE!D2227&amp;"")),"")&lt;&gt;"ENCERRADA"),1,0),0)</f>
        <v/>
      </c>
      <c r="B2227">
        <f>B2226+A2227</f>
        <v/>
      </c>
    </row>
    <row r="2228">
      <c r="A2228">
        <f>IFERROR(IF(AND(BASELINE!I2228&lt;&gt;"",INT(IF(CALC!$F$1&gt;0,IF(N(INDEX(BASELINE!$A2228:$ZZ2228,CALC!$F$1))&gt;0,N(INDEX(BASELINE!$A2228:$ZZ2228,CALC!$F$1)),N(BASELINE!E2228)),N(BASELINE!E2228)))=INT(SIMOPS!$D$3),IFERROR(UPPER(TRIM(BASELINE!D2228&amp;"")),"")&lt;&gt;"ENCERRADA"),1,0),0)</f>
        <v/>
      </c>
      <c r="B2228">
        <f>B2227+A2228</f>
        <v/>
      </c>
    </row>
    <row r="2229">
      <c r="A2229">
        <f>IFERROR(IF(AND(BASELINE!I2229&lt;&gt;"",INT(IF(CALC!$F$1&gt;0,IF(N(INDEX(BASELINE!$A2229:$ZZ2229,CALC!$F$1))&gt;0,N(INDEX(BASELINE!$A2229:$ZZ2229,CALC!$F$1)),N(BASELINE!E2229)),N(BASELINE!E2229)))=INT(SIMOPS!$D$3),IFERROR(UPPER(TRIM(BASELINE!D2229&amp;"")),"")&lt;&gt;"ENCERRADA"),1,0),0)</f>
        <v/>
      </c>
      <c r="B2229">
        <f>B2228+A2229</f>
        <v/>
      </c>
    </row>
    <row r="2230">
      <c r="A2230">
        <f>IFERROR(IF(AND(BASELINE!I2230&lt;&gt;"",INT(IF(CALC!$F$1&gt;0,IF(N(INDEX(BASELINE!$A2230:$ZZ2230,CALC!$F$1))&gt;0,N(INDEX(BASELINE!$A2230:$ZZ2230,CALC!$F$1)),N(BASELINE!E2230)),N(BASELINE!E2230)))=INT(SIMOPS!$D$3),IFERROR(UPPER(TRIM(BASELINE!D2230&amp;"")),"")&lt;&gt;"ENCERRADA"),1,0),0)</f>
        <v/>
      </c>
      <c r="B2230">
        <f>B2229+A2230</f>
        <v/>
      </c>
    </row>
    <row r="2231">
      <c r="A2231">
        <f>IFERROR(IF(AND(BASELINE!I2231&lt;&gt;"",INT(IF(CALC!$F$1&gt;0,IF(N(INDEX(BASELINE!$A2231:$ZZ2231,CALC!$F$1))&gt;0,N(INDEX(BASELINE!$A2231:$ZZ2231,CALC!$F$1)),N(BASELINE!E2231)),N(BASELINE!E2231)))=INT(SIMOPS!$D$3),IFERROR(UPPER(TRIM(BASELINE!D2231&amp;"")),"")&lt;&gt;"ENCERRADA"),1,0),0)</f>
        <v/>
      </c>
      <c r="B2231">
        <f>B2230+A2231</f>
        <v/>
      </c>
    </row>
    <row r="2232">
      <c r="A2232">
        <f>IFERROR(IF(AND(BASELINE!I2232&lt;&gt;"",INT(IF(CALC!$F$1&gt;0,IF(N(INDEX(BASELINE!$A2232:$ZZ2232,CALC!$F$1))&gt;0,N(INDEX(BASELINE!$A2232:$ZZ2232,CALC!$F$1)),N(BASELINE!E2232)),N(BASELINE!E2232)))=INT(SIMOPS!$D$3),IFERROR(UPPER(TRIM(BASELINE!D2232&amp;"")),"")&lt;&gt;"ENCERRADA"),1,0),0)</f>
        <v/>
      </c>
      <c r="B2232">
        <f>B2231+A2232</f>
        <v/>
      </c>
    </row>
    <row r="2233">
      <c r="A2233">
        <f>IFERROR(IF(AND(BASELINE!I2233&lt;&gt;"",INT(IF(CALC!$F$1&gt;0,IF(N(INDEX(BASELINE!$A2233:$ZZ2233,CALC!$F$1))&gt;0,N(INDEX(BASELINE!$A2233:$ZZ2233,CALC!$F$1)),N(BASELINE!E2233)),N(BASELINE!E2233)))=INT(SIMOPS!$D$3),IFERROR(UPPER(TRIM(BASELINE!D2233&amp;"")),"")&lt;&gt;"ENCERRADA"),1,0),0)</f>
        <v/>
      </c>
      <c r="B2233">
        <f>B2232+A2233</f>
        <v/>
      </c>
    </row>
    <row r="2234">
      <c r="A2234">
        <f>IFERROR(IF(AND(BASELINE!I2234&lt;&gt;"",INT(IF(CALC!$F$1&gt;0,IF(N(INDEX(BASELINE!$A2234:$ZZ2234,CALC!$F$1))&gt;0,N(INDEX(BASELINE!$A2234:$ZZ2234,CALC!$F$1)),N(BASELINE!E2234)),N(BASELINE!E2234)))=INT(SIMOPS!$D$3),IFERROR(UPPER(TRIM(BASELINE!D2234&amp;"")),"")&lt;&gt;"ENCERRADA"),1,0),0)</f>
        <v/>
      </c>
      <c r="B2234">
        <f>B2233+A2234</f>
        <v/>
      </c>
    </row>
    <row r="2235">
      <c r="A2235">
        <f>IFERROR(IF(AND(BASELINE!I2235&lt;&gt;"",INT(IF(CALC!$F$1&gt;0,IF(N(INDEX(BASELINE!$A2235:$ZZ2235,CALC!$F$1))&gt;0,N(INDEX(BASELINE!$A2235:$ZZ2235,CALC!$F$1)),N(BASELINE!E2235)),N(BASELINE!E2235)))=INT(SIMOPS!$D$3),IFERROR(UPPER(TRIM(BASELINE!D2235&amp;"")),"")&lt;&gt;"ENCERRADA"),1,0),0)</f>
        <v/>
      </c>
      <c r="B2235">
        <f>B2234+A2235</f>
        <v/>
      </c>
    </row>
    <row r="2236">
      <c r="A2236">
        <f>IFERROR(IF(AND(BASELINE!I2236&lt;&gt;"",INT(IF(CALC!$F$1&gt;0,IF(N(INDEX(BASELINE!$A2236:$ZZ2236,CALC!$F$1))&gt;0,N(INDEX(BASELINE!$A2236:$ZZ2236,CALC!$F$1)),N(BASELINE!E2236)),N(BASELINE!E2236)))=INT(SIMOPS!$D$3),IFERROR(UPPER(TRIM(BASELINE!D2236&amp;"")),"")&lt;&gt;"ENCERRADA"),1,0),0)</f>
        <v/>
      </c>
      <c r="B2236">
        <f>B2235+A2236</f>
        <v/>
      </c>
    </row>
    <row r="2237">
      <c r="A2237">
        <f>IFERROR(IF(AND(BASELINE!I2237&lt;&gt;"",INT(IF(CALC!$F$1&gt;0,IF(N(INDEX(BASELINE!$A2237:$ZZ2237,CALC!$F$1))&gt;0,N(INDEX(BASELINE!$A2237:$ZZ2237,CALC!$F$1)),N(BASELINE!E2237)),N(BASELINE!E2237)))=INT(SIMOPS!$D$3),IFERROR(UPPER(TRIM(BASELINE!D2237&amp;"")),"")&lt;&gt;"ENCERRADA"),1,0),0)</f>
        <v/>
      </c>
      <c r="B2237">
        <f>B2236+A2237</f>
        <v/>
      </c>
    </row>
    <row r="2238">
      <c r="A2238">
        <f>IFERROR(IF(AND(BASELINE!I2238&lt;&gt;"",INT(IF(CALC!$F$1&gt;0,IF(N(INDEX(BASELINE!$A2238:$ZZ2238,CALC!$F$1))&gt;0,N(INDEX(BASELINE!$A2238:$ZZ2238,CALC!$F$1)),N(BASELINE!E2238)),N(BASELINE!E2238)))=INT(SIMOPS!$D$3),IFERROR(UPPER(TRIM(BASELINE!D2238&amp;"")),"")&lt;&gt;"ENCERRADA"),1,0),0)</f>
        <v/>
      </c>
      <c r="B2238">
        <f>B2237+A2238</f>
        <v/>
      </c>
    </row>
    <row r="2239">
      <c r="A2239">
        <f>IFERROR(IF(AND(BASELINE!I2239&lt;&gt;"",INT(IF(CALC!$F$1&gt;0,IF(N(INDEX(BASELINE!$A2239:$ZZ2239,CALC!$F$1))&gt;0,N(INDEX(BASELINE!$A2239:$ZZ2239,CALC!$F$1)),N(BASELINE!E2239)),N(BASELINE!E2239)))=INT(SIMOPS!$D$3),IFERROR(UPPER(TRIM(BASELINE!D2239&amp;"")),"")&lt;&gt;"ENCERRADA"),1,0),0)</f>
        <v/>
      </c>
      <c r="B2239">
        <f>B2238+A2239</f>
        <v/>
      </c>
    </row>
    <row r="2240">
      <c r="A2240">
        <f>IFERROR(IF(AND(BASELINE!I2240&lt;&gt;"",INT(IF(CALC!$F$1&gt;0,IF(N(INDEX(BASELINE!$A2240:$ZZ2240,CALC!$F$1))&gt;0,N(INDEX(BASELINE!$A2240:$ZZ2240,CALC!$F$1)),N(BASELINE!E2240)),N(BASELINE!E2240)))=INT(SIMOPS!$D$3),IFERROR(UPPER(TRIM(BASELINE!D2240&amp;"")),"")&lt;&gt;"ENCERRADA"),1,0),0)</f>
        <v/>
      </c>
      <c r="B2240">
        <f>B2239+A2240</f>
        <v/>
      </c>
    </row>
    <row r="2241">
      <c r="A2241">
        <f>IFERROR(IF(AND(BASELINE!I2241&lt;&gt;"",INT(IF(CALC!$F$1&gt;0,IF(N(INDEX(BASELINE!$A2241:$ZZ2241,CALC!$F$1))&gt;0,N(INDEX(BASELINE!$A2241:$ZZ2241,CALC!$F$1)),N(BASELINE!E2241)),N(BASELINE!E2241)))=INT(SIMOPS!$D$3),IFERROR(UPPER(TRIM(BASELINE!D2241&amp;"")),"")&lt;&gt;"ENCERRADA"),1,0),0)</f>
        <v/>
      </c>
      <c r="B2241">
        <f>B2240+A2241</f>
        <v/>
      </c>
    </row>
    <row r="2242">
      <c r="A2242">
        <f>IFERROR(IF(AND(BASELINE!I2242&lt;&gt;"",INT(IF(CALC!$F$1&gt;0,IF(N(INDEX(BASELINE!$A2242:$ZZ2242,CALC!$F$1))&gt;0,N(INDEX(BASELINE!$A2242:$ZZ2242,CALC!$F$1)),N(BASELINE!E2242)),N(BASELINE!E2242)))=INT(SIMOPS!$D$3),IFERROR(UPPER(TRIM(BASELINE!D2242&amp;"")),"")&lt;&gt;"ENCERRADA"),1,0),0)</f>
        <v/>
      </c>
      <c r="B2242">
        <f>B2241+A2242</f>
        <v/>
      </c>
    </row>
    <row r="2243">
      <c r="A2243">
        <f>IFERROR(IF(AND(BASELINE!I2243&lt;&gt;"",INT(IF(CALC!$F$1&gt;0,IF(N(INDEX(BASELINE!$A2243:$ZZ2243,CALC!$F$1))&gt;0,N(INDEX(BASELINE!$A2243:$ZZ2243,CALC!$F$1)),N(BASELINE!E2243)),N(BASELINE!E2243)))=INT(SIMOPS!$D$3),IFERROR(UPPER(TRIM(BASELINE!D2243&amp;"")),"")&lt;&gt;"ENCERRADA"),1,0),0)</f>
        <v/>
      </c>
      <c r="B2243">
        <f>B2242+A2243</f>
        <v/>
      </c>
    </row>
    <row r="2244">
      <c r="A2244">
        <f>IFERROR(IF(AND(BASELINE!I2244&lt;&gt;"",INT(IF(CALC!$F$1&gt;0,IF(N(INDEX(BASELINE!$A2244:$ZZ2244,CALC!$F$1))&gt;0,N(INDEX(BASELINE!$A2244:$ZZ2244,CALC!$F$1)),N(BASELINE!E2244)),N(BASELINE!E2244)))=INT(SIMOPS!$D$3),IFERROR(UPPER(TRIM(BASELINE!D2244&amp;"")),"")&lt;&gt;"ENCERRADA"),1,0),0)</f>
        <v/>
      </c>
      <c r="B2244">
        <f>B2243+A2244</f>
        <v/>
      </c>
    </row>
    <row r="2245">
      <c r="A2245">
        <f>IFERROR(IF(AND(BASELINE!I2245&lt;&gt;"",INT(IF(CALC!$F$1&gt;0,IF(N(INDEX(BASELINE!$A2245:$ZZ2245,CALC!$F$1))&gt;0,N(INDEX(BASELINE!$A2245:$ZZ2245,CALC!$F$1)),N(BASELINE!E2245)),N(BASELINE!E2245)))=INT(SIMOPS!$D$3),IFERROR(UPPER(TRIM(BASELINE!D2245&amp;"")),"")&lt;&gt;"ENCERRADA"),1,0),0)</f>
        <v/>
      </c>
      <c r="B2245">
        <f>B2244+A2245</f>
        <v/>
      </c>
    </row>
    <row r="2246">
      <c r="A2246">
        <f>IFERROR(IF(AND(BASELINE!I2246&lt;&gt;"",INT(IF(CALC!$F$1&gt;0,IF(N(INDEX(BASELINE!$A2246:$ZZ2246,CALC!$F$1))&gt;0,N(INDEX(BASELINE!$A2246:$ZZ2246,CALC!$F$1)),N(BASELINE!E2246)),N(BASELINE!E2246)))=INT(SIMOPS!$D$3),IFERROR(UPPER(TRIM(BASELINE!D2246&amp;"")),"")&lt;&gt;"ENCERRADA"),1,0),0)</f>
        <v/>
      </c>
      <c r="B2246">
        <f>B2245+A2246</f>
        <v/>
      </c>
    </row>
    <row r="2247">
      <c r="A2247">
        <f>IFERROR(IF(AND(BASELINE!I2247&lt;&gt;"",INT(IF(CALC!$F$1&gt;0,IF(N(INDEX(BASELINE!$A2247:$ZZ2247,CALC!$F$1))&gt;0,N(INDEX(BASELINE!$A2247:$ZZ2247,CALC!$F$1)),N(BASELINE!E2247)),N(BASELINE!E2247)))=INT(SIMOPS!$D$3),IFERROR(UPPER(TRIM(BASELINE!D2247&amp;"")),"")&lt;&gt;"ENCERRADA"),1,0),0)</f>
        <v/>
      </c>
      <c r="B2247">
        <f>B2246+A2247</f>
        <v/>
      </c>
    </row>
    <row r="2248">
      <c r="A2248">
        <f>IFERROR(IF(AND(BASELINE!I2248&lt;&gt;"",INT(IF(CALC!$F$1&gt;0,IF(N(INDEX(BASELINE!$A2248:$ZZ2248,CALC!$F$1))&gt;0,N(INDEX(BASELINE!$A2248:$ZZ2248,CALC!$F$1)),N(BASELINE!E2248)),N(BASELINE!E2248)))=INT(SIMOPS!$D$3),IFERROR(UPPER(TRIM(BASELINE!D2248&amp;"")),"")&lt;&gt;"ENCERRADA"),1,0),0)</f>
        <v/>
      </c>
      <c r="B2248">
        <f>B2247+A2248</f>
        <v/>
      </c>
    </row>
    <row r="2249">
      <c r="A2249">
        <f>IFERROR(IF(AND(BASELINE!I2249&lt;&gt;"",INT(IF(CALC!$F$1&gt;0,IF(N(INDEX(BASELINE!$A2249:$ZZ2249,CALC!$F$1))&gt;0,N(INDEX(BASELINE!$A2249:$ZZ2249,CALC!$F$1)),N(BASELINE!E2249)),N(BASELINE!E2249)))=INT(SIMOPS!$D$3),IFERROR(UPPER(TRIM(BASELINE!D2249&amp;"")),"")&lt;&gt;"ENCERRADA"),1,0),0)</f>
        <v/>
      </c>
      <c r="B2249">
        <f>B2248+A2249</f>
        <v/>
      </c>
    </row>
    <row r="2250">
      <c r="A2250">
        <f>IFERROR(IF(AND(BASELINE!I2250&lt;&gt;"",INT(IF(CALC!$F$1&gt;0,IF(N(INDEX(BASELINE!$A2250:$ZZ2250,CALC!$F$1))&gt;0,N(INDEX(BASELINE!$A2250:$ZZ2250,CALC!$F$1)),N(BASELINE!E2250)),N(BASELINE!E2250)))=INT(SIMOPS!$D$3),IFERROR(UPPER(TRIM(BASELINE!D2250&amp;"")),"")&lt;&gt;"ENCERRADA"),1,0),0)</f>
        <v/>
      </c>
      <c r="B2250">
        <f>B2249+A2250</f>
        <v/>
      </c>
    </row>
    <row r="2251">
      <c r="A2251">
        <f>IFERROR(IF(AND(BASELINE!I2251&lt;&gt;"",INT(IF(CALC!$F$1&gt;0,IF(N(INDEX(BASELINE!$A2251:$ZZ2251,CALC!$F$1))&gt;0,N(INDEX(BASELINE!$A2251:$ZZ2251,CALC!$F$1)),N(BASELINE!E2251)),N(BASELINE!E2251)))=INT(SIMOPS!$D$3),IFERROR(UPPER(TRIM(BASELINE!D2251&amp;"")),"")&lt;&gt;"ENCERRADA"),1,0),0)</f>
        <v/>
      </c>
      <c r="B2251">
        <f>B2250+A2251</f>
        <v/>
      </c>
    </row>
    <row r="2252">
      <c r="A2252">
        <f>IFERROR(IF(AND(BASELINE!I2252&lt;&gt;"",INT(IF(CALC!$F$1&gt;0,IF(N(INDEX(BASELINE!$A2252:$ZZ2252,CALC!$F$1))&gt;0,N(INDEX(BASELINE!$A2252:$ZZ2252,CALC!$F$1)),N(BASELINE!E2252)),N(BASELINE!E2252)))=INT(SIMOPS!$D$3),IFERROR(UPPER(TRIM(BASELINE!D2252&amp;"")),"")&lt;&gt;"ENCERRADA"),1,0),0)</f>
        <v/>
      </c>
      <c r="B2252">
        <f>B2251+A2252</f>
        <v/>
      </c>
    </row>
    <row r="2253">
      <c r="A2253">
        <f>IFERROR(IF(AND(BASELINE!I2253&lt;&gt;"",INT(IF(CALC!$F$1&gt;0,IF(N(INDEX(BASELINE!$A2253:$ZZ2253,CALC!$F$1))&gt;0,N(INDEX(BASELINE!$A2253:$ZZ2253,CALC!$F$1)),N(BASELINE!E2253)),N(BASELINE!E2253)))=INT(SIMOPS!$D$3),IFERROR(UPPER(TRIM(BASELINE!D2253&amp;"")),"")&lt;&gt;"ENCERRADA"),1,0),0)</f>
        <v/>
      </c>
      <c r="B2253">
        <f>B2252+A2253</f>
        <v/>
      </c>
    </row>
    <row r="2254">
      <c r="A2254">
        <f>IFERROR(IF(AND(BASELINE!I2254&lt;&gt;"",INT(IF(CALC!$F$1&gt;0,IF(N(INDEX(BASELINE!$A2254:$ZZ2254,CALC!$F$1))&gt;0,N(INDEX(BASELINE!$A2254:$ZZ2254,CALC!$F$1)),N(BASELINE!E2254)),N(BASELINE!E2254)))=INT(SIMOPS!$D$3),IFERROR(UPPER(TRIM(BASELINE!D2254&amp;"")),"")&lt;&gt;"ENCERRADA"),1,0),0)</f>
        <v/>
      </c>
      <c r="B2254">
        <f>B2253+A2254</f>
        <v/>
      </c>
    </row>
    <row r="2255">
      <c r="A2255">
        <f>IFERROR(IF(AND(BASELINE!I2255&lt;&gt;"",INT(IF(CALC!$F$1&gt;0,IF(N(INDEX(BASELINE!$A2255:$ZZ2255,CALC!$F$1))&gt;0,N(INDEX(BASELINE!$A2255:$ZZ2255,CALC!$F$1)),N(BASELINE!E2255)),N(BASELINE!E2255)))=INT(SIMOPS!$D$3),IFERROR(UPPER(TRIM(BASELINE!D2255&amp;"")),"")&lt;&gt;"ENCERRADA"),1,0),0)</f>
        <v/>
      </c>
      <c r="B2255">
        <f>B2254+A2255</f>
        <v/>
      </c>
    </row>
    <row r="2256">
      <c r="A2256">
        <f>IFERROR(IF(AND(BASELINE!I2256&lt;&gt;"",INT(IF(CALC!$F$1&gt;0,IF(N(INDEX(BASELINE!$A2256:$ZZ2256,CALC!$F$1))&gt;0,N(INDEX(BASELINE!$A2256:$ZZ2256,CALC!$F$1)),N(BASELINE!E2256)),N(BASELINE!E2256)))=INT(SIMOPS!$D$3),IFERROR(UPPER(TRIM(BASELINE!D2256&amp;"")),"")&lt;&gt;"ENCERRADA"),1,0),0)</f>
        <v/>
      </c>
      <c r="B2256">
        <f>B2255+A2256</f>
        <v/>
      </c>
    </row>
    <row r="2257">
      <c r="A2257">
        <f>IFERROR(IF(AND(BASELINE!I2257&lt;&gt;"",INT(IF(CALC!$F$1&gt;0,IF(N(INDEX(BASELINE!$A2257:$ZZ2257,CALC!$F$1))&gt;0,N(INDEX(BASELINE!$A2257:$ZZ2257,CALC!$F$1)),N(BASELINE!E2257)),N(BASELINE!E2257)))=INT(SIMOPS!$D$3),IFERROR(UPPER(TRIM(BASELINE!D2257&amp;"")),"")&lt;&gt;"ENCERRADA"),1,0),0)</f>
        <v/>
      </c>
      <c r="B2257">
        <f>B2256+A2257</f>
        <v/>
      </c>
    </row>
    <row r="2258">
      <c r="A2258">
        <f>IFERROR(IF(AND(BASELINE!I2258&lt;&gt;"",INT(IF(CALC!$F$1&gt;0,IF(N(INDEX(BASELINE!$A2258:$ZZ2258,CALC!$F$1))&gt;0,N(INDEX(BASELINE!$A2258:$ZZ2258,CALC!$F$1)),N(BASELINE!E2258)),N(BASELINE!E2258)))=INT(SIMOPS!$D$3),IFERROR(UPPER(TRIM(BASELINE!D2258&amp;"")),"")&lt;&gt;"ENCERRADA"),1,0),0)</f>
        <v/>
      </c>
      <c r="B2258">
        <f>B2257+A2258</f>
        <v/>
      </c>
    </row>
    <row r="2259">
      <c r="A2259">
        <f>IFERROR(IF(AND(BASELINE!I2259&lt;&gt;"",INT(IF(CALC!$F$1&gt;0,IF(N(INDEX(BASELINE!$A2259:$ZZ2259,CALC!$F$1))&gt;0,N(INDEX(BASELINE!$A2259:$ZZ2259,CALC!$F$1)),N(BASELINE!E2259)),N(BASELINE!E2259)))=INT(SIMOPS!$D$3),IFERROR(UPPER(TRIM(BASELINE!D2259&amp;"")),"")&lt;&gt;"ENCERRADA"),1,0),0)</f>
        <v/>
      </c>
      <c r="B2259">
        <f>B2258+A2259</f>
        <v/>
      </c>
    </row>
    <row r="2260">
      <c r="A2260">
        <f>IFERROR(IF(AND(BASELINE!I2260&lt;&gt;"",INT(IF(CALC!$F$1&gt;0,IF(N(INDEX(BASELINE!$A2260:$ZZ2260,CALC!$F$1))&gt;0,N(INDEX(BASELINE!$A2260:$ZZ2260,CALC!$F$1)),N(BASELINE!E2260)),N(BASELINE!E2260)))=INT(SIMOPS!$D$3),IFERROR(UPPER(TRIM(BASELINE!D2260&amp;"")),"")&lt;&gt;"ENCERRADA"),1,0),0)</f>
        <v/>
      </c>
      <c r="B2260">
        <f>B2259+A2260</f>
        <v/>
      </c>
    </row>
    <row r="2261">
      <c r="A2261">
        <f>IFERROR(IF(AND(BASELINE!I2261&lt;&gt;"",INT(IF(CALC!$F$1&gt;0,IF(N(INDEX(BASELINE!$A2261:$ZZ2261,CALC!$F$1))&gt;0,N(INDEX(BASELINE!$A2261:$ZZ2261,CALC!$F$1)),N(BASELINE!E2261)),N(BASELINE!E2261)))=INT(SIMOPS!$D$3),IFERROR(UPPER(TRIM(BASELINE!D2261&amp;"")),"")&lt;&gt;"ENCERRADA"),1,0),0)</f>
        <v/>
      </c>
      <c r="B2261">
        <f>B2260+A2261</f>
        <v/>
      </c>
    </row>
    <row r="2262">
      <c r="A2262">
        <f>IFERROR(IF(AND(BASELINE!I2262&lt;&gt;"",INT(IF(CALC!$F$1&gt;0,IF(N(INDEX(BASELINE!$A2262:$ZZ2262,CALC!$F$1))&gt;0,N(INDEX(BASELINE!$A2262:$ZZ2262,CALC!$F$1)),N(BASELINE!E2262)),N(BASELINE!E2262)))=INT(SIMOPS!$D$3),IFERROR(UPPER(TRIM(BASELINE!D2262&amp;"")),"")&lt;&gt;"ENCERRADA"),1,0),0)</f>
        <v/>
      </c>
      <c r="B2262">
        <f>B2261+A2262</f>
        <v/>
      </c>
    </row>
    <row r="2263">
      <c r="A2263">
        <f>IFERROR(IF(AND(BASELINE!I2263&lt;&gt;"",INT(IF(CALC!$F$1&gt;0,IF(N(INDEX(BASELINE!$A2263:$ZZ2263,CALC!$F$1))&gt;0,N(INDEX(BASELINE!$A2263:$ZZ2263,CALC!$F$1)),N(BASELINE!E2263)),N(BASELINE!E2263)))=INT(SIMOPS!$D$3),IFERROR(UPPER(TRIM(BASELINE!D2263&amp;"")),"")&lt;&gt;"ENCERRADA"),1,0),0)</f>
        <v/>
      </c>
      <c r="B2263">
        <f>B2262+A2263</f>
        <v/>
      </c>
    </row>
    <row r="2264">
      <c r="A2264">
        <f>IFERROR(IF(AND(BASELINE!I2264&lt;&gt;"",INT(IF(CALC!$F$1&gt;0,IF(N(INDEX(BASELINE!$A2264:$ZZ2264,CALC!$F$1))&gt;0,N(INDEX(BASELINE!$A2264:$ZZ2264,CALC!$F$1)),N(BASELINE!E2264)),N(BASELINE!E2264)))=INT(SIMOPS!$D$3),IFERROR(UPPER(TRIM(BASELINE!D2264&amp;"")),"")&lt;&gt;"ENCERRADA"),1,0),0)</f>
        <v/>
      </c>
      <c r="B2264">
        <f>B2263+A2264</f>
        <v/>
      </c>
    </row>
    <row r="2265">
      <c r="A2265">
        <f>IFERROR(IF(AND(BASELINE!I2265&lt;&gt;"",INT(IF(CALC!$F$1&gt;0,IF(N(INDEX(BASELINE!$A2265:$ZZ2265,CALC!$F$1))&gt;0,N(INDEX(BASELINE!$A2265:$ZZ2265,CALC!$F$1)),N(BASELINE!E2265)),N(BASELINE!E2265)))=INT(SIMOPS!$D$3),IFERROR(UPPER(TRIM(BASELINE!D2265&amp;"")),"")&lt;&gt;"ENCERRADA"),1,0),0)</f>
        <v/>
      </c>
      <c r="B2265">
        <f>B2264+A2265</f>
        <v/>
      </c>
    </row>
    <row r="2266">
      <c r="A2266">
        <f>IFERROR(IF(AND(BASELINE!I2266&lt;&gt;"",INT(IF(CALC!$F$1&gt;0,IF(N(INDEX(BASELINE!$A2266:$ZZ2266,CALC!$F$1))&gt;0,N(INDEX(BASELINE!$A2266:$ZZ2266,CALC!$F$1)),N(BASELINE!E2266)),N(BASELINE!E2266)))=INT(SIMOPS!$D$3),IFERROR(UPPER(TRIM(BASELINE!D2266&amp;"")),"")&lt;&gt;"ENCERRADA"),1,0),0)</f>
        <v/>
      </c>
      <c r="B2266">
        <f>B2265+A2266</f>
        <v/>
      </c>
    </row>
    <row r="2267">
      <c r="A2267">
        <f>IFERROR(IF(AND(BASELINE!I2267&lt;&gt;"",INT(IF(CALC!$F$1&gt;0,IF(N(INDEX(BASELINE!$A2267:$ZZ2267,CALC!$F$1))&gt;0,N(INDEX(BASELINE!$A2267:$ZZ2267,CALC!$F$1)),N(BASELINE!E2267)),N(BASELINE!E2267)))=INT(SIMOPS!$D$3),IFERROR(UPPER(TRIM(BASELINE!D2267&amp;"")),"")&lt;&gt;"ENCERRADA"),1,0),0)</f>
        <v/>
      </c>
      <c r="B2267">
        <f>B2266+A2267</f>
        <v/>
      </c>
    </row>
    <row r="2268">
      <c r="A2268">
        <f>IFERROR(IF(AND(BASELINE!I2268&lt;&gt;"",INT(IF(CALC!$F$1&gt;0,IF(N(INDEX(BASELINE!$A2268:$ZZ2268,CALC!$F$1))&gt;0,N(INDEX(BASELINE!$A2268:$ZZ2268,CALC!$F$1)),N(BASELINE!E2268)),N(BASELINE!E2268)))=INT(SIMOPS!$D$3),IFERROR(UPPER(TRIM(BASELINE!D2268&amp;"")),"")&lt;&gt;"ENCERRADA"),1,0),0)</f>
        <v/>
      </c>
      <c r="B2268">
        <f>B2267+A2268</f>
        <v/>
      </c>
    </row>
    <row r="2269">
      <c r="A2269">
        <f>IFERROR(IF(AND(BASELINE!I2269&lt;&gt;"",INT(IF(CALC!$F$1&gt;0,IF(N(INDEX(BASELINE!$A2269:$ZZ2269,CALC!$F$1))&gt;0,N(INDEX(BASELINE!$A2269:$ZZ2269,CALC!$F$1)),N(BASELINE!E2269)),N(BASELINE!E2269)))=INT(SIMOPS!$D$3),IFERROR(UPPER(TRIM(BASELINE!D2269&amp;"")),"")&lt;&gt;"ENCERRADA"),1,0),0)</f>
        <v/>
      </c>
      <c r="B2269">
        <f>B2268+A2269</f>
        <v/>
      </c>
    </row>
    <row r="2270">
      <c r="A2270">
        <f>IFERROR(IF(AND(BASELINE!I2270&lt;&gt;"",INT(IF(CALC!$F$1&gt;0,IF(N(INDEX(BASELINE!$A2270:$ZZ2270,CALC!$F$1))&gt;0,N(INDEX(BASELINE!$A2270:$ZZ2270,CALC!$F$1)),N(BASELINE!E2270)),N(BASELINE!E2270)))=INT(SIMOPS!$D$3),IFERROR(UPPER(TRIM(BASELINE!D2270&amp;"")),"")&lt;&gt;"ENCERRADA"),1,0),0)</f>
        <v/>
      </c>
      <c r="B2270">
        <f>B2269+A2270</f>
        <v/>
      </c>
    </row>
    <row r="2271">
      <c r="A2271">
        <f>IFERROR(IF(AND(BASELINE!I2271&lt;&gt;"",INT(IF(CALC!$F$1&gt;0,IF(N(INDEX(BASELINE!$A2271:$ZZ2271,CALC!$F$1))&gt;0,N(INDEX(BASELINE!$A2271:$ZZ2271,CALC!$F$1)),N(BASELINE!E2271)),N(BASELINE!E2271)))=INT(SIMOPS!$D$3),IFERROR(UPPER(TRIM(BASELINE!D2271&amp;"")),"")&lt;&gt;"ENCERRADA"),1,0),0)</f>
        <v/>
      </c>
      <c r="B2271">
        <f>B2270+A2271</f>
        <v/>
      </c>
    </row>
    <row r="2272">
      <c r="A2272">
        <f>IFERROR(IF(AND(BASELINE!I2272&lt;&gt;"",INT(IF(CALC!$F$1&gt;0,IF(N(INDEX(BASELINE!$A2272:$ZZ2272,CALC!$F$1))&gt;0,N(INDEX(BASELINE!$A2272:$ZZ2272,CALC!$F$1)),N(BASELINE!E2272)),N(BASELINE!E2272)))=INT(SIMOPS!$D$3),IFERROR(UPPER(TRIM(BASELINE!D2272&amp;"")),"")&lt;&gt;"ENCERRADA"),1,0),0)</f>
        <v/>
      </c>
      <c r="B2272">
        <f>B2271+A2272</f>
        <v/>
      </c>
    </row>
    <row r="2273">
      <c r="A2273">
        <f>IFERROR(IF(AND(BASELINE!I2273&lt;&gt;"",INT(IF(CALC!$F$1&gt;0,IF(N(INDEX(BASELINE!$A2273:$ZZ2273,CALC!$F$1))&gt;0,N(INDEX(BASELINE!$A2273:$ZZ2273,CALC!$F$1)),N(BASELINE!E2273)),N(BASELINE!E2273)))=INT(SIMOPS!$D$3),IFERROR(UPPER(TRIM(BASELINE!D2273&amp;"")),"")&lt;&gt;"ENCERRADA"),1,0),0)</f>
        <v/>
      </c>
      <c r="B2273">
        <f>B2272+A2273</f>
        <v/>
      </c>
    </row>
    <row r="2274">
      <c r="A2274">
        <f>IFERROR(IF(AND(BASELINE!I2274&lt;&gt;"",INT(IF(CALC!$F$1&gt;0,IF(N(INDEX(BASELINE!$A2274:$ZZ2274,CALC!$F$1))&gt;0,N(INDEX(BASELINE!$A2274:$ZZ2274,CALC!$F$1)),N(BASELINE!E2274)),N(BASELINE!E2274)))=INT(SIMOPS!$D$3),IFERROR(UPPER(TRIM(BASELINE!D2274&amp;"")),"")&lt;&gt;"ENCERRADA"),1,0),0)</f>
        <v/>
      </c>
      <c r="B2274">
        <f>B2273+A2274</f>
        <v/>
      </c>
    </row>
    <row r="2275">
      <c r="A2275">
        <f>IFERROR(IF(AND(BASELINE!I2275&lt;&gt;"",INT(IF(CALC!$F$1&gt;0,IF(N(INDEX(BASELINE!$A2275:$ZZ2275,CALC!$F$1))&gt;0,N(INDEX(BASELINE!$A2275:$ZZ2275,CALC!$F$1)),N(BASELINE!E2275)),N(BASELINE!E2275)))=INT(SIMOPS!$D$3),IFERROR(UPPER(TRIM(BASELINE!D2275&amp;"")),"")&lt;&gt;"ENCERRADA"),1,0),0)</f>
        <v/>
      </c>
      <c r="B2275">
        <f>B2274+A2275</f>
        <v/>
      </c>
    </row>
    <row r="2276">
      <c r="A2276">
        <f>IFERROR(IF(AND(BASELINE!I2276&lt;&gt;"",INT(IF(CALC!$F$1&gt;0,IF(N(INDEX(BASELINE!$A2276:$ZZ2276,CALC!$F$1))&gt;0,N(INDEX(BASELINE!$A2276:$ZZ2276,CALC!$F$1)),N(BASELINE!E2276)),N(BASELINE!E2276)))=INT(SIMOPS!$D$3),IFERROR(UPPER(TRIM(BASELINE!D2276&amp;"")),"")&lt;&gt;"ENCERRADA"),1,0),0)</f>
        <v/>
      </c>
      <c r="B2276">
        <f>B2275+A2276</f>
        <v/>
      </c>
    </row>
    <row r="2277">
      <c r="A2277">
        <f>IFERROR(IF(AND(BASELINE!I2277&lt;&gt;"",INT(IF(CALC!$F$1&gt;0,IF(N(INDEX(BASELINE!$A2277:$ZZ2277,CALC!$F$1))&gt;0,N(INDEX(BASELINE!$A2277:$ZZ2277,CALC!$F$1)),N(BASELINE!E2277)),N(BASELINE!E2277)))=INT(SIMOPS!$D$3),IFERROR(UPPER(TRIM(BASELINE!D2277&amp;"")),"")&lt;&gt;"ENCERRADA"),1,0),0)</f>
        <v/>
      </c>
      <c r="B2277">
        <f>B2276+A2277</f>
        <v/>
      </c>
    </row>
    <row r="2278">
      <c r="A2278">
        <f>IFERROR(IF(AND(BASELINE!I2278&lt;&gt;"",INT(IF(CALC!$F$1&gt;0,IF(N(INDEX(BASELINE!$A2278:$ZZ2278,CALC!$F$1))&gt;0,N(INDEX(BASELINE!$A2278:$ZZ2278,CALC!$F$1)),N(BASELINE!E2278)),N(BASELINE!E2278)))=INT(SIMOPS!$D$3),IFERROR(UPPER(TRIM(BASELINE!D2278&amp;"")),"")&lt;&gt;"ENCERRADA"),1,0),0)</f>
        <v/>
      </c>
      <c r="B2278">
        <f>B2277+A2278</f>
        <v/>
      </c>
    </row>
    <row r="2279">
      <c r="A2279">
        <f>IFERROR(IF(AND(BASELINE!I2279&lt;&gt;"",INT(IF(CALC!$F$1&gt;0,IF(N(INDEX(BASELINE!$A2279:$ZZ2279,CALC!$F$1))&gt;0,N(INDEX(BASELINE!$A2279:$ZZ2279,CALC!$F$1)),N(BASELINE!E2279)),N(BASELINE!E2279)))=INT(SIMOPS!$D$3),IFERROR(UPPER(TRIM(BASELINE!D2279&amp;"")),"")&lt;&gt;"ENCERRADA"),1,0),0)</f>
        <v/>
      </c>
      <c r="B2279">
        <f>B2278+A2279</f>
        <v/>
      </c>
    </row>
    <row r="2280">
      <c r="A2280">
        <f>IFERROR(IF(AND(BASELINE!I2280&lt;&gt;"",INT(IF(CALC!$F$1&gt;0,IF(N(INDEX(BASELINE!$A2280:$ZZ2280,CALC!$F$1))&gt;0,N(INDEX(BASELINE!$A2280:$ZZ2280,CALC!$F$1)),N(BASELINE!E2280)),N(BASELINE!E2280)))=INT(SIMOPS!$D$3),IFERROR(UPPER(TRIM(BASELINE!D2280&amp;"")),"")&lt;&gt;"ENCERRADA"),1,0),0)</f>
        <v/>
      </c>
      <c r="B2280">
        <f>B2279+A2280</f>
        <v/>
      </c>
    </row>
    <row r="2281">
      <c r="A2281">
        <f>IFERROR(IF(AND(BASELINE!I2281&lt;&gt;"",INT(IF(CALC!$F$1&gt;0,IF(N(INDEX(BASELINE!$A2281:$ZZ2281,CALC!$F$1))&gt;0,N(INDEX(BASELINE!$A2281:$ZZ2281,CALC!$F$1)),N(BASELINE!E2281)),N(BASELINE!E2281)))=INT(SIMOPS!$D$3),IFERROR(UPPER(TRIM(BASELINE!D2281&amp;"")),"")&lt;&gt;"ENCERRADA"),1,0),0)</f>
        <v/>
      </c>
      <c r="B2281">
        <f>B2280+A2281</f>
        <v/>
      </c>
    </row>
    <row r="2282">
      <c r="A2282">
        <f>IFERROR(IF(AND(BASELINE!I2282&lt;&gt;"",INT(IF(CALC!$F$1&gt;0,IF(N(INDEX(BASELINE!$A2282:$ZZ2282,CALC!$F$1))&gt;0,N(INDEX(BASELINE!$A2282:$ZZ2282,CALC!$F$1)),N(BASELINE!E2282)),N(BASELINE!E2282)))=INT(SIMOPS!$D$3),IFERROR(UPPER(TRIM(BASELINE!D2282&amp;"")),"")&lt;&gt;"ENCERRADA"),1,0),0)</f>
        <v/>
      </c>
      <c r="B2282">
        <f>B2281+A2282</f>
        <v/>
      </c>
    </row>
    <row r="2283">
      <c r="A2283">
        <f>IFERROR(IF(AND(BASELINE!I2283&lt;&gt;"",INT(IF(CALC!$F$1&gt;0,IF(N(INDEX(BASELINE!$A2283:$ZZ2283,CALC!$F$1))&gt;0,N(INDEX(BASELINE!$A2283:$ZZ2283,CALC!$F$1)),N(BASELINE!E2283)),N(BASELINE!E2283)))=INT(SIMOPS!$D$3),IFERROR(UPPER(TRIM(BASELINE!D2283&amp;"")),"")&lt;&gt;"ENCERRADA"),1,0),0)</f>
        <v/>
      </c>
      <c r="B2283">
        <f>B2282+A2283</f>
        <v/>
      </c>
    </row>
    <row r="2284">
      <c r="A2284">
        <f>IFERROR(IF(AND(BASELINE!I2284&lt;&gt;"",INT(IF(CALC!$F$1&gt;0,IF(N(INDEX(BASELINE!$A2284:$ZZ2284,CALC!$F$1))&gt;0,N(INDEX(BASELINE!$A2284:$ZZ2284,CALC!$F$1)),N(BASELINE!E2284)),N(BASELINE!E2284)))=INT(SIMOPS!$D$3),IFERROR(UPPER(TRIM(BASELINE!D2284&amp;"")),"")&lt;&gt;"ENCERRADA"),1,0),0)</f>
        <v/>
      </c>
      <c r="B2284">
        <f>B2283+A2284</f>
        <v/>
      </c>
    </row>
    <row r="2285">
      <c r="A2285">
        <f>IFERROR(IF(AND(BASELINE!I2285&lt;&gt;"",INT(IF(CALC!$F$1&gt;0,IF(N(INDEX(BASELINE!$A2285:$ZZ2285,CALC!$F$1))&gt;0,N(INDEX(BASELINE!$A2285:$ZZ2285,CALC!$F$1)),N(BASELINE!E2285)),N(BASELINE!E2285)))=INT(SIMOPS!$D$3),IFERROR(UPPER(TRIM(BASELINE!D2285&amp;"")),"")&lt;&gt;"ENCERRADA"),1,0),0)</f>
        <v/>
      </c>
      <c r="B2285">
        <f>B2284+A2285</f>
        <v/>
      </c>
    </row>
    <row r="2286">
      <c r="A2286">
        <f>IFERROR(IF(AND(BASELINE!I2286&lt;&gt;"",INT(IF(CALC!$F$1&gt;0,IF(N(INDEX(BASELINE!$A2286:$ZZ2286,CALC!$F$1))&gt;0,N(INDEX(BASELINE!$A2286:$ZZ2286,CALC!$F$1)),N(BASELINE!E2286)),N(BASELINE!E2286)))=INT(SIMOPS!$D$3),IFERROR(UPPER(TRIM(BASELINE!D2286&amp;"")),"")&lt;&gt;"ENCERRADA"),1,0),0)</f>
        <v/>
      </c>
      <c r="B2286">
        <f>B2285+A2286</f>
        <v/>
      </c>
    </row>
    <row r="2287">
      <c r="A2287">
        <f>IFERROR(IF(AND(BASELINE!I2287&lt;&gt;"",INT(IF(CALC!$F$1&gt;0,IF(N(INDEX(BASELINE!$A2287:$ZZ2287,CALC!$F$1))&gt;0,N(INDEX(BASELINE!$A2287:$ZZ2287,CALC!$F$1)),N(BASELINE!E2287)),N(BASELINE!E2287)))=INT(SIMOPS!$D$3),IFERROR(UPPER(TRIM(BASELINE!D2287&amp;"")),"")&lt;&gt;"ENCERRADA"),1,0),0)</f>
        <v/>
      </c>
      <c r="B2287">
        <f>B2286+A2287</f>
        <v/>
      </c>
    </row>
    <row r="2288">
      <c r="A2288">
        <f>IFERROR(IF(AND(BASELINE!I2288&lt;&gt;"",INT(IF(CALC!$F$1&gt;0,IF(N(INDEX(BASELINE!$A2288:$ZZ2288,CALC!$F$1))&gt;0,N(INDEX(BASELINE!$A2288:$ZZ2288,CALC!$F$1)),N(BASELINE!E2288)),N(BASELINE!E2288)))=INT(SIMOPS!$D$3),IFERROR(UPPER(TRIM(BASELINE!D2288&amp;"")),"")&lt;&gt;"ENCERRADA"),1,0),0)</f>
        <v/>
      </c>
      <c r="B2288">
        <f>B2287+A2288</f>
        <v/>
      </c>
    </row>
    <row r="2289">
      <c r="A2289">
        <f>IFERROR(IF(AND(BASELINE!I2289&lt;&gt;"",INT(IF(CALC!$F$1&gt;0,IF(N(INDEX(BASELINE!$A2289:$ZZ2289,CALC!$F$1))&gt;0,N(INDEX(BASELINE!$A2289:$ZZ2289,CALC!$F$1)),N(BASELINE!E2289)),N(BASELINE!E2289)))=INT(SIMOPS!$D$3),IFERROR(UPPER(TRIM(BASELINE!D2289&amp;"")),"")&lt;&gt;"ENCERRADA"),1,0),0)</f>
        <v/>
      </c>
      <c r="B2289">
        <f>B2288+A2289</f>
        <v/>
      </c>
    </row>
    <row r="2290">
      <c r="A2290">
        <f>IFERROR(IF(AND(BASELINE!I2290&lt;&gt;"",INT(IF(CALC!$F$1&gt;0,IF(N(INDEX(BASELINE!$A2290:$ZZ2290,CALC!$F$1))&gt;0,N(INDEX(BASELINE!$A2290:$ZZ2290,CALC!$F$1)),N(BASELINE!E2290)),N(BASELINE!E2290)))=INT(SIMOPS!$D$3),IFERROR(UPPER(TRIM(BASELINE!D2290&amp;"")),"")&lt;&gt;"ENCERRADA"),1,0),0)</f>
        <v/>
      </c>
      <c r="B2290">
        <f>B2289+A2290</f>
        <v/>
      </c>
    </row>
    <row r="2291">
      <c r="A2291">
        <f>IFERROR(IF(AND(BASELINE!I2291&lt;&gt;"",INT(IF(CALC!$F$1&gt;0,IF(N(INDEX(BASELINE!$A2291:$ZZ2291,CALC!$F$1))&gt;0,N(INDEX(BASELINE!$A2291:$ZZ2291,CALC!$F$1)),N(BASELINE!E2291)),N(BASELINE!E2291)))=INT(SIMOPS!$D$3),IFERROR(UPPER(TRIM(BASELINE!D2291&amp;"")),"")&lt;&gt;"ENCERRADA"),1,0),0)</f>
        <v/>
      </c>
      <c r="B2291">
        <f>B2290+A2291</f>
        <v/>
      </c>
    </row>
    <row r="2292">
      <c r="A2292">
        <f>IFERROR(IF(AND(BASELINE!I2292&lt;&gt;"",INT(IF(CALC!$F$1&gt;0,IF(N(INDEX(BASELINE!$A2292:$ZZ2292,CALC!$F$1))&gt;0,N(INDEX(BASELINE!$A2292:$ZZ2292,CALC!$F$1)),N(BASELINE!E2292)),N(BASELINE!E2292)))=INT(SIMOPS!$D$3),IFERROR(UPPER(TRIM(BASELINE!D2292&amp;"")),"")&lt;&gt;"ENCERRADA"),1,0),0)</f>
        <v/>
      </c>
      <c r="B2292">
        <f>B2291+A2292</f>
        <v/>
      </c>
    </row>
    <row r="2293">
      <c r="A2293">
        <f>IFERROR(IF(AND(BASELINE!I2293&lt;&gt;"",INT(IF(CALC!$F$1&gt;0,IF(N(INDEX(BASELINE!$A2293:$ZZ2293,CALC!$F$1))&gt;0,N(INDEX(BASELINE!$A2293:$ZZ2293,CALC!$F$1)),N(BASELINE!E2293)),N(BASELINE!E2293)))=INT(SIMOPS!$D$3),IFERROR(UPPER(TRIM(BASELINE!D2293&amp;"")),"")&lt;&gt;"ENCERRADA"),1,0),0)</f>
        <v/>
      </c>
      <c r="B2293">
        <f>B2292+A2293</f>
        <v/>
      </c>
    </row>
    <row r="2294">
      <c r="A2294">
        <f>IFERROR(IF(AND(BASELINE!I2294&lt;&gt;"",INT(IF(CALC!$F$1&gt;0,IF(N(INDEX(BASELINE!$A2294:$ZZ2294,CALC!$F$1))&gt;0,N(INDEX(BASELINE!$A2294:$ZZ2294,CALC!$F$1)),N(BASELINE!E2294)),N(BASELINE!E2294)))=INT(SIMOPS!$D$3),IFERROR(UPPER(TRIM(BASELINE!D2294&amp;"")),"")&lt;&gt;"ENCERRADA"),1,0),0)</f>
        <v/>
      </c>
      <c r="B2294">
        <f>B2293+A2294</f>
        <v/>
      </c>
    </row>
    <row r="2295">
      <c r="A2295">
        <f>IFERROR(IF(AND(BASELINE!I2295&lt;&gt;"",INT(IF(CALC!$F$1&gt;0,IF(N(INDEX(BASELINE!$A2295:$ZZ2295,CALC!$F$1))&gt;0,N(INDEX(BASELINE!$A2295:$ZZ2295,CALC!$F$1)),N(BASELINE!E2295)),N(BASELINE!E2295)))=INT(SIMOPS!$D$3),IFERROR(UPPER(TRIM(BASELINE!D2295&amp;"")),"")&lt;&gt;"ENCERRADA"),1,0),0)</f>
        <v/>
      </c>
      <c r="B2295">
        <f>B2294+A2295</f>
        <v/>
      </c>
    </row>
    <row r="2296">
      <c r="A2296">
        <f>IFERROR(IF(AND(BASELINE!I2296&lt;&gt;"",INT(IF(CALC!$F$1&gt;0,IF(N(INDEX(BASELINE!$A2296:$ZZ2296,CALC!$F$1))&gt;0,N(INDEX(BASELINE!$A2296:$ZZ2296,CALC!$F$1)),N(BASELINE!E2296)),N(BASELINE!E2296)))=INT(SIMOPS!$D$3),IFERROR(UPPER(TRIM(BASELINE!D2296&amp;"")),"")&lt;&gt;"ENCERRADA"),1,0),0)</f>
        <v/>
      </c>
      <c r="B2296">
        <f>B2295+A2296</f>
        <v/>
      </c>
    </row>
    <row r="2297">
      <c r="A2297">
        <f>IFERROR(IF(AND(BASELINE!I2297&lt;&gt;"",INT(IF(CALC!$F$1&gt;0,IF(N(INDEX(BASELINE!$A2297:$ZZ2297,CALC!$F$1))&gt;0,N(INDEX(BASELINE!$A2297:$ZZ2297,CALC!$F$1)),N(BASELINE!E2297)),N(BASELINE!E2297)))=INT(SIMOPS!$D$3),IFERROR(UPPER(TRIM(BASELINE!D2297&amp;"")),"")&lt;&gt;"ENCERRADA"),1,0),0)</f>
        <v/>
      </c>
      <c r="B2297">
        <f>B2296+A2297</f>
        <v/>
      </c>
    </row>
    <row r="2298">
      <c r="A2298">
        <f>IFERROR(IF(AND(BASELINE!I2298&lt;&gt;"",INT(IF(CALC!$F$1&gt;0,IF(N(INDEX(BASELINE!$A2298:$ZZ2298,CALC!$F$1))&gt;0,N(INDEX(BASELINE!$A2298:$ZZ2298,CALC!$F$1)),N(BASELINE!E2298)),N(BASELINE!E2298)))=INT(SIMOPS!$D$3),IFERROR(UPPER(TRIM(BASELINE!D2298&amp;"")),"")&lt;&gt;"ENCERRADA"),1,0),0)</f>
        <v/>
      </c>
      <c r="B2298">
        <f>B2297+A2298</f>
        <v/>
      </c>
    </row>
    <row r="2299">
      <c r="A2299">
        <f>IFERROR(IF(AND(BASELINE!I2299&lt;&gt;"",INT(IF(CALC!$F$1&gt;0,IF(N(INDEX(BASELINE!$A2299:$ZZ2299,CALC!$F$1))&gt;0,N(INDEX(BASELINE!$A2299:$ZZ2299,CALC!$F$1)),N(BASELINE!E2299)),N(BASELINE!E2299)))=INT(SIMOPS!$D$3),IFERROR(UPPER(TRIM(BASELINE!D2299&amp;"")),"")&lt;&gt;"ENCERRADA"),1,0),0)</f>
        <v/>
      </c>
      <c r="B2299">
        <f>B2298+A2299</f>
        <v/>
      </c>
    </row>
    <row r="2300">
      <c r="A2300">
        <f>IFERROR(IF(AND(BASELINE!I2300&lt;&gt;"",INT(IF(CALC!$F$1&gt;0,IF(N(INDEX(BASELINE!$A2300:$ZZ2300,CALC!$F$1))&gt;0,N(INDEX(BASELINE!$A2300:$ZZ2300,CALC!$F$1)),N(BASELINE!E2300)),N(BASELINE!E2300)))=INT(SIMOPS!$D$3),IFERROR(UPPER(TRIM(BASELINE!D2300&amp;"")),"")&lt;&gt;"ENCERRADA"),1,0),0)</f>
        <v/>
      </c>
      <c r="B2300">
        <f>B2299+A2300</f>
        <v/>
      </c>
    </row>
    <row r="2301">
      <c r="A2301">
        <f>IFERROR(IF(AND(BASELINE!I2301&lt;&gt;"",INT(IF(CALC!$F$1&gt;0,IF(N(INDEX(BASELINE!$A2301:$ZZ2301,CALC!$F$1))&gt;0,N(INDEX(BASELINE!$A2301:$ZZ2301,CALC!$F$1)),N(BASELINE!E2301)),N(BASELINE!E2301)))=INT(SIMOPS!$D$3),IFERROR(UPPER(TRIM(BASELINE!D2301&amp;"")),"")&lt;&gt;"ENCERRADA"),1,0),0)</f>
        <v/>
      </c>
      <c r="B2301">
        <f>B2300+A2301</f>
        <v/>
      </c>
    </row>
    <row r="2302">
      <c r="A2302">
        <f>IFERROR(IF(AND(BASELINE!I2302&lt;&gt;"",INT(IF(CALC!$F$1&gt;0,IF(N(INDEX(BASELINE!$A2302:$ZZ2302,CALC!$F$1))&gt;0,N(INDEX(BASELINE!$A2302:$ZZ2302,CALC!$F$1)),N(BASELINE!E2302)),N(BASELINE!E2302)))=INT(SIMOPS!$D$3),IFERROR(UPPER(TRIM(BASELINE!D2302&amp;"")),"")&lt;&gt;"ENCERRADA"),1,0),0)</f>
        <v/>
      </c>
      <c r="B2302">
        <f>B2301+A2302</f>
        <v/>
      </c>
    </row>
    <row r="2303">
      <c r="A2303">
        <f>IFERROR(IF(AND(BASELINE!I2303&lt;&gt;"",INT(IF(CALC!$F$1&gt;0,IF(N(INDEX(BASELINE!$A2303:$ZZ2303,CALC!$F$1))&gt;0,N(INDEX(BASELINE!$A2303:$ZZ2303,CALC!$F$1)),N(BASELINE!E2303)),N(BASELINE!E2303)))=INT(SIMOPS!$D$3),IFERROR(UPPER(TRIM(BASELINE!D2303&amp;"")),"")&lt;&gt;"ENCERRADA"),1,0),0)</f>
        <v/>
      </c>
      <c r="B2303">
        <f>B2302+A2303</f>
        <v/>
      </c>
    </row>
    <row r="2304">
      <c r="A2304">
        <f>IFERROR(IF(AND(BASELINE!I2304&lt;&gt;"",INT(IF(CALC!$F$1&gt;0,IF(N(INDEX(BASELINE!$A2304:$ZZ2304,CALC!$F$1))&gt;0,N(INDEX(BASELINE!$A2304:$ZZ2304,CALC!$F$1)),N(BASELINE!E2304)),N(BASELINE!E2304)))=INT(SIMOPS!$D$3),IFERROR(UPPER(TRIM(BASELINE!D2304&amp;"")),"")&lt;&gt;"ENCERRADA"),1,0),0)</f>
        <v/>
      </c>
      <c r="B2304">
        <f>B2303+A2304</f>
        <v/>
      </c>
    </row>
    <row r="2305">
      <c r="A2305">
        <f>IFERROR(IF(AND(BASELINE!I2305&lt;&gt;"",INT(IF(CALC!$F$1&gt;0,IF(N(INDEX(BASELINE!$A2305:$ZZ2305,CALC!$F$1))&gt;0,N(INDEX(BASELINE!$A2305:$ZZ2305,CALC!$F$1)),N(BASELINE!E2305)),N(BASELINE!E2305)))=INT(SIMOPS!$D$3),IFERROR(UPPER(TRIM(BASELINE!D2305&amp;"")),"")&lt;&gt;"ENCERRADA"),1,0),0)</f>
        <v/>
      </c>
      <c r="B2305">
        <f>B2304+A2305</f>
        <v/>
      </c>
    </row>
    <row r="2306">
      <c r="A2306">
        <f>IFERROR(IF(AND(BASELINE!I2306&lt;&gt;"",INT(IF(CALC!$F$1&gt;0,IF(N(INDEX(BASELINE!$A2306:$ZZ2306,CALC!$F$1))&gt;0,N(INDEX(BASELINE!$A2306:$ZZ2306,CALC!$F$1)),N(BASELINE!E2306)),N(BASELINE!E2306)))=INT(SIMOPS!$D$3),IFERROR(UPPER(TRIM(BASELINE!D2306&amp;"")),"")&lt;&gt;"ENCERRADA"),1,0),0)</f>
        <v/>
      </c>
      <c r="B2306">
        <f>B2305+A2306</f>
        <v/>
      </c>
    </row>
    <row r="2307">
      <c r="A2307">
        <f>IFERROR(IF(AND(BASELINE!I2307&lt;&gt;"",INT(IF(CALC!$F$1&gt;0,IF(N(INDEX(BASELINE!$A2307:$ZZ2307,CALC!$F$1))&gt;0,N(INDEX(BASELINE!$A2307:$ZZ2307,CALC!$F$1)),N(BASELINE!E2307)),N(BASELINE!E2307)))=INT(SIMOPS!$D$3),IFERROR(UPPER(TRIM(BASELINE!D2307&amp;"")),"")&lt;&gt;"ENCERRADA"),1,0),0)</f>
        <v/>
      </c>
      <c r="B2307">
        <f>B2306+A2307</f>
        <v/>
      </c>
    </row>
    <row r="2308">
      <c r="A2308">
        <f>IFERROR(IF(AND(BASELINE!I2308&lt;&gt;"",INT(IF(CALC!$F$1&gt;0,IF(N(INDEX(BASELINE!$A2308:$ZZ2308,CALC!$F$1))&gt;0,N(INDEX(BASELINE!$A2308:$ZZ2308,CALC!$F$1)),N(BASELINE!E2308)),N(BASELINE!E2308)))=INT(SIMOPS!$D$3),IFERROR(UPPER(TRIM(BASELINE!D2308&amp;"")),"")&lt;&gt;"ENCERRADA"),1,0),0)</f>
        <v/>
      </c>
      <c r="B2308">
        <f>B2307+A2308</f>
        <v/>
      </c>
    </row>
    <row r="2309">
      <c r="A2309">
        <f>IFERROR(IF(AND(BASELINE!I2309&lt;&gt;"",INT(IF(CALC!$F$1&gt;0,IF(N(INDEX(BASELINE!$A2309:$ZZ2309,CALC!$F$1))&gt;0,N(INDEX(BASELINE!$A2309:$ZZ2309,CALC!$F$1)),N(BASELINE!E2309)),N(BASELINE!E2309)))=INT(SIMOPS!$D$3),IFERROR(UPPER(TRIM(BASELINE!D2309&amp;"")),"")&lt;&gt;"ENCERRADA"),1,0),0)</f>
        <v/>
      </c>
      <c r="B2309">
        <f>B2308+A2309</f>
        <v/>
      </c>
    </row>
    <row r="2310">
      <c r="A2310">
        <f>IFERROR(IF(AND(BASELINE!I2310&lt;&gt;"",INT(IF(CALC!$F$1&gt;0,IF(N(INDEX(BASELINE!$A2310:$ZZ2310,CALC!$F$1))&gt;0,N(INDEX(BASELINE!$A2310:$ZZ2310,CALC!$F$1)),N(BASELINE!E2310)),N(BASELINE!E2310)))=INT(SIMOPS!$D$3),IFERROR(UPPER(TRIM(BASELINE!D2310&amp;"")),"")&lt;&gt;"ENCERRADA"),1,0),0)</f>
        <v/>
      </c>
      <c r="B2310">
        <f>B2309+A2310</f>
        <v/>
      </c>
    </row>
    <row r="2311">
      <c r="A2311">
        <f>IFERROR(IF(AND(BASELINE!I2311&lt;&gt;"",INT(IF(CALC!$F$1&gt;0,IF(N(INDEX(BASELINE!$A2311:$ZZ2311,CALC!$F$1))&gt;0,N(INDEX(BASELINE!$A2311:$ZZ2311,CALC!$F$1)),N(BASELINE!E2311)),N(BASELINE!E2311)))=INT(SIMOPS!$D$3),IFERROR(UPPER(TRIM(BASELINE!D2311&amp;"")),"")&lt;&gt;"ENCERRADA"),1,0),0)</f>
        <v/>
      </c>
      <c r="B2311">
        <f>B2310+A2311</f>
        <v/>
      </c>
    </row>
    <row r="2312">
      <c r="A2312">
        <f>IFERROR(IF(AND(BASELINE!I2312&lt;&gt;"",INT(IF(CALC!$F$1&gt;0,IF(N(INDEX(BASELINE!$A2312:$ZZ2312,CALC!$F$1))&gt;0,N(INDEX(BASELINE!$A2312:$ZZ2312,CALC!$F$1)),N(BASELINE!E2312)),N(BASELINE!E2312)))=INT(SIMOPS!$D$3),IFERROR(UPPER(TRIM(BASELINE!D2312&amp;"")),"")&lt;&gt;"ENCERRADA"),1,0),0)</f>
        <v/>
      </c>
      <c r="B2312">
        <f>B2311+A2312</f>
        <v/>
      </c>
    </row>
    <row r="2313">
      <c r="A2313">
        <f>IFERROR(IF(AND(BASELINE!I2313&lt;&gt;"",INT(IF(CALC!$F$1&gt;0,IF(N(INDEX(BASELINE!$A2313:$ZZ2313,CALC!$F$1))&gt;0,N(INDEX(BASELINE!$A2313:$ZZ2313,CALC!$F$1)),N(BASELINE!E2313)),N(BASELINE!E2313)))=INT(SIMOPS!$D$3),IFERROR(UPPER(TRIM(BASELINE!D2313&amp;"")),"")&lt;&gt;"ENCERRADA"),1,0),0)</f>
        <v/>
      </c>
      <c r="B2313">
        <f>B2312+A2313</f>
        <v/>
      </c>
    </row>
    <row r="2314">
      <c r="A2314">
        <f>IFERROR(IF(AND(BASELINE!I2314&lt;&gt;"",INT(IF(CALC!$F$1&gt;0,IF(N(INDEX(BASELINE!$A2314:$ZZ2314,CALC!$F$1))&gt;0,N(INDEX(BASELINE!$A2314:$ZZ2314,CALC!$F$1)),N(BASELINE!E2314)),N(BASELINE!E2314)))=INT(SIMOPS!$D$3),IFERROR(UPPER(TRIM(BASELINE!D2314&amp;"")),"")&lt;&gt;"ENCERRADA"),1,0),0)</f>
        <v/>
      </c>
      <c r="B2314">
        <f>B2313+A2314</f>
        <v/>
      </c>
    </row>
    <row r="2315">
      <c r="A2315">
        <f>IFERROR(IF(AND(BASELINE!I2315&lt;&gt;"",INT(IF(CALC!$F$1&gt;0,IF(N(INDEX(BASELINE!$A2315:$ZZ2315,CALC!$F$1))&gt;0,N(INDEX(BASELINE!$A2315:$ZZ2315,CALC!$F$1)),N(BASELINE!E2315)),N(BASELINE!E2315)))=INT(SIMOPS!$D$3),IFERROR(UPPER(TRIM(BASELINE!D2315&amp;"")),"")&lt;&gt;"ENCERRADA"),1,0),0)</f>
        <v/>
      </c>
      <c r="B2315">
        <f>B2314+A2315</f>
        <v/>
      </c>
    </row>
    <row r="2316">
      <c r="A2316">
        <f>IFERROR(IF(AND(BASELINE!I2316&lt;&gt;"",INT(IF(CALC!$F$1&gt;0,IF(N(INDEX(BASELINE!$A2316:$ZZ2316,CALC!$F$1))&gt;0,N(INDEX(BASELINE!$A2316:$ZZ2316,CALC!$F$1)),N(BASELINE!E2316)),N(BASELINE!E2316)))=INT(SIMOPS!$D$3),IFERROR(UPPER(TRIM(BASELINE!D2316&amp;"")),"")&lt;&gt;"ENCERRADA"),1,0),0)</f>
        <v/>
      </c>
      <c r="B2316">
        <f>B2315+A2316</f>
        <v/>
      </c>
    </row>
    <row r="2317">
      <c r="A2317">
        <f>IFERROR(IF(AND(BASELINE!I2317&lt;&gt;"",INT(IF(CALC!$F$1&gt;0,IF(N(INDEX(BASELINE!$A2317:$ZZ2317,CALC!$F$1))&gt;0,N(INDEX(BASELINE!$A2317:$ZZ2317,CALC!$F$1)),N(BASELINE!E2317)),N(BASELINE!E2317)))=INT(SIMOPS!$D$3),IFERROR(UPPER(TRIM(BASELINE!D2317&amp;"")),"")&lt;&gt;"ENCERRADA"),1,0),0)</f>
        <v/>
      </c>
      <c r="B2317">
        <f>B2316+A2317</f>
        <v/>
      </c>
    </row>
    <row r="2318">
      <c r="A2318">
        <f>IFERROR(IF(AND(BASELINE!I2318&lt;&gt;"",INT(IF(CALC!$F$1&gt;0,IF(N(INDEX(BASELINE!$A2318:$ZZ2318,CALC!$F$1))&gt;0,N(INDEX(BASELINE!$A2318:$ZZ2318,CALC!$F$1)),N(BASELINE!E2318)),N(BASELINE!E2318)))=INT(SIMOPS!$D$3),IFERROR(UPPER(TRIM(BASELINE!D2318&amp;"")),"")&lt;&gt;"ENCERRADA"),1,0),0)</f>
        <v/>
      </c>
      <c r="B2318">
        <f>B2317+A2318</f>
        <v/>
      </c>
    </row>
    <row r="2319">
      <c r="A2319">
        <f>IFERROR(IF(AND(BASELINE!I2319&lt;&gt;"",INT(IF(CALC!$F$1&gt;0,IF(N(INDEX(BASELINE!$A2319:$ZZ2319,CALC!$F$1))&gt;0,N(INDEX(BASELINE!$A2319:$ZZ2319,CALC!$F$1)),N(BASELINE!E2319)),N(BASELINE!E2319)))=INT(SIMOPS!$D$3),IFERROR(UPPER(TRIM(BASELINE!D2319&amp;"")),"")&lt;&gt;"ENCERRADA"),1,0),0)</f>
        <v/>
      </c>
      <c r="B2319">
        <f>B2318+A2319</f>
        <v/>
      </c>
    </row>
    <row r="2320">
      <c r="A2320">
        <f>IFERROR(IF(AND(BASELINE!I2320&lt;&gt;"",INT(IF(CALC!$F$1&gt;0,IF(N(INDEX(BASELINE!$A2320:$ZZ2320,CALC!$F$1))&gt;0,N(INDEX(BASELINE!$A2320:$ZZ2320,CALC!$F$1)),N(BASELINE!E2320)),N(BASELINE!E2320)))=INT(SIMOPS!$D$3),IFERROR(UPPER(TRIM(BASELINE!D2320&amp;"")),"")&lt;&gt;"ENCERRADA"),1,0),0)</f>
        <v/>
      </c>
      <c r="B2320">
        <f>B2319+A2320</f>
        <v/>
      </c>
    </row>
    <row r="2321">
      <c r="A2321">
        <f>IFERROR(IF(AND(BASELINE!I2321&lt;&gt;"",INT(IF(CALC!$F$1&gt;0,IF(N(INDEX(BASELINE!$A2321:$ZZ2321,CALC!$F$1))&gt;0,N(INDEX(BASELINE!$A2321:$ZZ2321,CALC!$F$1)),N(BASELINE!E2321)),N(BASELINE!E2321)))=INT(SIMOPS!$D$3),IFERROR(UPPER(TRIM(BASELINE!D2321&amp;"")),"")&lt;&gt;"ENCERRADA"),1,0),0)</f>
        <v/>
      </c>
      <c r="B2321">
        <f>B2320+A2321</f>
        <v/>
      </c>
    </row>
    <row r="2322">
      <c r="A2322">
        <f>IFERROR(IF(AND(BASELINE!I2322&lt;&gt;"",INT(IF(CALC!$F$1&gt;0,IF(N(INDEX(BASELINE!$A2322:$ZZ2322,CALC!$F$1))&gt;0,N(INDEX(BASELINE!$A2322:$ZZ2322,CALC!$F$1)),N(BASELINE!E2322)),N(BASELINE!E2322)))=INT(SIMOPS!$D$3),IFERROR(UPPER(TRIM(BASELINE!D2322&amp;"")),"")&lt;&gt;"ENCERRADA"),1,0),0)</f>
        <v/>
      </c>
      <c r="B2322">
        <f>B2321+A2322</f>
        <v/>
      </c>
    </row>
    <row r="2323">
      <c r="A2323">
        <f>IFERROR(IF(AND(BASELINE!I2323&lt;&gt;"",INT(IF(CALC!$F$1&gt;0,IF(N(INDEX(BASELINE!$A2323:$ZZ2323,CALC!$F$1))&gt;0,N(INDEX(BASELINE!$A2323:$ZZ2323,CALC!$F$1)),N(BASELINE!E2323)),N(BASELINE!E2323)))=INT(SIMOPS!$D$3),IFERROR(UPPER(TRIM(BASELINE!D2323&amp;"")),"")&lt;&gt;"ENCERRADA"),1,0),0)</f>
        <v/>
      </c>
      <c r="B2323">
        <f>B2322+A2323</f>
        <v/>
      </c>
    </row>
    <row r="2324">
      <c r="A2324">
        <f>IFERROR(IF(AND(BASELINE!I2324&lt;&gt;"",INT(IF(CALC!$F$1&gt;0,IF(N(INDEX(BASELINE!$A2324:$ZZ2324,CALC!$F$1))&gt;0,N(INDEX(BASELINE!$A2324:$ZZ2324,CALC!$F$1)),N(BASELINE!E2324)),N(BASELINE!E2324)))=INT(SIMOPS!$D$3),IFERROR(UPPER(TRIM(BASELINE!D2324&amp;"")),"")&lt;&gt;"ENCERRADA"),1,0),0)</f>
        <v/>
      </c>
      <c r="B2324">
        <f>B2323+A2324</f>
        <v/>
      </c>
    </row>
    <row r="2325">
      <c r="A2325">
        <f>IFERROR(IF(AND(BASELINE!I2325&lt;&gt;"",INT(IF(CALC!$F$1&gt;0,IF(N(INDEX(BASELINE!$A2325:$ZZ2325,CALC!$F$1))&gt;0,N(INDEX(BASELINE!$A2325:$ZZ2325,CALC!$F$1)),N(BASELINE!E2325)),N(BASELINE!E2325)))=INT(SIMOPS!$D$3),IFERROR(UPPER(TRIM(BASELINE!D2325&amp;"")),"")&lt;&gt;"ENCERRADA"),1,0),0)</f>
        <v/>
      </c>
      <c r="B2325">
        <f>B2324+A2325</f>
        <v/>
      </c>
    </row>
    <row r="2326">
      <c r="A2326">
        <f>IFERROR(IF(AND(BASELINE!I2326&lt;&gt;"",INT(IF(CALC!$F$1&gt;0,IF(N(INDEX(BASELINE!$A2326:$ZZ2326,CALC!$F$1))&gt;0,N(INDEX(BASELINE!$A2326:$ZZ2326,CALC!$F$1)),N(BASELINE!E2326)),N(BASELINE!E2326)))=INT(SIMOPS!$D$3),IFERROR(UPPER(TRIM(BASELINE!D2326&amp;"")),"")&lt;&gt;"ENCERRADA"),1,0),0)</f>
        <v/>
      </c>
      <c r="B2326">
        <f>B2325+A2326</f>
        <v/>
      </c>
    </row>
    <row r="2327">
      <c r="A2327">
        <f>IFERROR(IF(AND(BASELINE!I2327&lt;&gt;"",INT(IF(CALC!$F$1&gt;0,IF(N(INDEX(BASELINE!$A2327:$ZZ2327,CALC!$F$1))&gt;0,N(INDEX(BASELINE!$A2327:$ZZ2327,CALC!$F$1)),N(BASELINE!E2327)),N(BASELINE!E2327)))=INT(SIMOPS!$D$3),IFERROR(UPPER(TRIM(BASELINE!D2327&amp;"")),"")&lt;&gt;"ENCERRADA"),1,0),0)</f>
        <v/>
      </c>
      <c r="B2327">
        <f>B2326+A2327</f>
        <v/>
      </c>
    </row>
    <row r="2328">
      <c r="A2328">
        <f>IFERROR(IF(AND(BASELINE!I2328&lt;&gt;"",INT(IF(CALC!$F$1&gt;0,IF(N(INDEX(BASELINE!$A2328:$ZZ2328,CALC!$F$1))&gt;0,N(INDEX(BASELINE!$A2328:$ZZ2328,CALC!$F$1)),N(BASELINE!E2328)),N(BASELINE!E2328)))=INT(SIMOPS!$D$3),IFERROR(UPPER(TRIM(BASELINE!D2328&amp;"")),"")&lt;&gt;"ENCERRADA"),1,0),0)</f>
        <v/>
      </c>
      <c r="B2328">
        <f>B2327+A2328</f>
        <v/>
      </c>
    </row>
    <row r="2329">
      <c r="A2329">
        <f>IFERROR(IF(AND(BASELINE!I2329&lt;&gt;"",INT(IF(CALC!$F$1&gt;0,IF(N(INDEX(BASELINE!$A2329:$ZZ2329,CALC!$F$1))&gt;0,N(INDEX(BASELINE!$A2329:$ZZ2329,CALC!$F$1)),N(BASELINE!E2329)),N(BASELINE!E2329)))=INT(SIMOPS!$D$3),IFERROR(UPPER(TRIM(BASELINE!D2329&amp;"")),"")&lt;&gt;"ENCERRADA"),1,0),0)</f>
        <v/>
      </c>
      <c r="B2329">
        <f>B2328+A2329</f>
        <v/>
      </c>
    </row>
    <row r="2330">
      <c r="A2330">
        <f>IFERROR(IF(AND(BASELINE!I2330&lt;&gt;"",INT(IF(CALC!$F$1&gt;0,IF(N(INDEX(BASELINE!$A2330:$ZZ2330,CALC!$F$1))&gt;0,N(INDEX(BASELINE!$A2330:$ZZ2330,CALC!$F$1)),N(BASELINE!E2330)),N(BASELINE!E2330)))=INT(SIMOPS!$D$3),IFERROR(UPPER(TRIM(BASELINE!D2330&amp;"")),"")&lt;&gt;"ENCERRADA"),1,0),0)</f>
        <v/>
      </c>
      <c r="B2330">
        <f>B2329+A2330</f>
        <v/>
      </c>
    </row>
    <row r="2331">
      <c r="A2331">
        <f>IFERROR(IF(AND(BASELINE!I2331&lt;&gt;"",INT(IF(CALC!$F$1&gt;0,IF(N(INDEX(BASELINE!$A2331:$ZZ2331,CALC!$F$1))&gt;0,N(INDEX(BASELINE!$A2331:$ZZ2331,CALC!$F$1)),N(BASELINE!E2331)),N(BASELINE!E2331)))=INT(SIMOPS!$D$3),IFERROR(UPPER(TRIM(BASELINE!D2331&amp;"")),"")&lt;&gt;"ENCERRADA"),1,0),0)</f>
        <v/>
      </c>
      <c r="B2331">
        <f>B2330+A2331</f>
        <v/>
      </c>
    </row>
    <row r="2332">
      <c r="A2332">
        <f>IFERROR(IF(AND(BASELINE!I2332&lt;&gt;"",INT(IF(CALC!$F$1&gt;0,IF(N(INDEX(BASELINE!$A2332:$ZZ2332,CALC!$F$1))&gt;0,N(INDEX(BASELINE!$A2332:$ZZ2332,CALC!$F$1)),N(BASELINE!E2332)),N(BASELINE!E2332)))=INT(SIMOPS!$D$3),IFERROR(UPPER(TRIM(BASELINE!D2332&amp;"")),"")&lt;&gt;"ENCERRADA"),1,0),0)</f>
        <v/>
      </c>
      <c r="B2332">
        <f>B2331+A2332</f>
        <v/>
      </c>
    </row>
    <row r="2333">
      <c r="A2333">
        <f>IFERROR(IF(AND(BASELINE!I2333&lt;&gt;"",INT(IF(CALC!$F$1&gt;0,IF(N(INDEX(BASELINE!$A2333:$ZZ2333,CALC!$F$1))&gt;0,N(INDEX(BASELINE!$A2333:$ZZ2333,CALC!$F$1)),N(BASELINE!E2333)),N(BASELINE!E2333)))=INT(SIMOPS!$D$3),IFERROR(UPPER(TRIM(BASELINE!D2333&amp;"")),"")&lt;&gt;"ENCERRADA"),1,0),0)</f>
        <v/>
      </c>
      <c r="B2333">
        <f>B2332+A2333</f>
        <v/>
      </c>
    </row>
    <row r="2334">
      <c r="A2334">
        <f>IFERROR(IF(AND(BASELINE!I2334&lt;&gt;"",INT(IF(CALC!$F$1&gt;0,IF(N(INDEX(BASELINE!$A2334:$ZZ2334,CALC!$F$1))&gt;0,N(INDEX(BASELINE!$A2334:$ZZ2334,CALC!$F$1)),N(BASELINE!E2334)),N(BASELINE!E2334)))=INT(SIMOPS!$D$3),IFERROR(UPPER(TRIM(BASELINE!D2334&amp;"")),"")&lt;&gt;"ENCERRADA"),1,0),0)</f>
        <v/>
      </c>
      <c r="B2334">
        <f>B2333+A2334</f>
        <v/>
      </c>
    </row>
    <row r="2335">
      <c r="A2335">
        <f>IFERROR(IF(AND(BASELINE!I2335&lt;&gt;"",INT(IF(CALC!$F$1&gt;0,IF(N(INDEX(BASELINE!$A2335:$ZZ2335,CALC!$F$1))&gt;0,N(INDEX(BASELINE!$A2335:$ZZ2335,CALC!$F$1)),N(BASELINE!E2335)),N(BASELINE!E2335)))=INT(SIMOPS!$D$3),IFERROR(UPPER(TRIM(BASELINE!D2335&amp;"")),"")&lt;&gt;"ENCERRADA"),1,0),0)</f>
        <v/>
      </c>
      <c r="B2335">
        <f>B2334+A2335</f>
        <v/>
      </c>
    </row>
    <row r="2336">
      <c r="A2336">
        <f>IFERROR(IF(AND(BASELINE!I2336&lt;&gt;"",INT(IF(CALC!$F$1&gt;0,IF(N(INDEX(BASELINE!$A2336:$ZZ2336,CALC!$F$1))&gt;0,N(INDEX(BASELINE!$A2336:$ZZ2336,CALC!$F$1)),N(BASELINE!E2336)),N(BASELINE!E2336)))=INT(SIMOPS!$D$3),IFERROR(UPPER(TRIM(BASELINE!D2336&amp;"")),"")&lt;&gt;"ENCERRADA"),1,0),0)</f>
        <v/>
      </c>
      <c r="B2336">
        <f>B2335+A2336</f>
        <v/>
      </c>
    </row>
    <row r="2337">
      <c r="A2337">
        <f>IFERROR(IF(AND(BASELINE!I2337&lt;&gt;"",INT(IF(CALC!$F$1&gt;0,IF(N(INDEX(BASELINE!$A2337:$ZZ2337,CALC!$F$1))&gt;0,N(INDEX(BASELINE!$A2337:$ZZ2337,CALC!$F$1)),N(BASELINE!E2337)),N(BASELINE!E2337)))=INT(SIMOPS!$D$3),IFERROR(UPPER(TRIM(BASELINE!D2337&amp;"")),"")&lt;&gt;"ENCERRADA"),1,0),0)</f>
        <v/>
      </c>
      <c r="B2337">
        <f>B2336+A2337</f>
        <v/>
      </c>
    </row>
    <row r="2338">
      <c r="A2338">
        <f>IFERROR(IF(AND(BASELINE!I2338&lt;&gt;"",INT(IF(CALC!$F$1&gt;0,IF(N(INDEX(BASELINE!$A2338:$ZZ2338,CALC!$F$1))&gt;0,N(INDEX(BASELINE!$A2338:$ZZ2338,CALC!$F$1)),N(BASELINE!E2338)),N(BASELINE!E2338)))=INT(SIMOPS!$D$3),IFERROR(UPPER(TRIM(BASELINE!D2338&amp;"")),"")&lt;&gt;"ENCERRADA"),1,0),0)</f>
        <v/>
      </c>
      <c r="B2338">
        <f>B2337+A2338</f>
        <v/>
      </c>
    </row>
    <row r="2339">
      <c r="A2339">
        <f>IFERROR(IF(AND(BASELINE!I2339&lt;&gt;"",INT(IF(CALC!$F$1&gt;0,IF(N(INDEX(BASELINE!$A2339:$ZZ2339,CALC!$F$1))&gt;0,N(INDEX(BASELINE!$A2339:$ZZ2339,CALC!$F$1)),N(BASELINE!E2339)),N(BASELINE!E2339)))=INT(SIMOPS!$D$3),IFERROR(UPPER(TRIM(BASELINE!D2339&amp;"")),"")&lt;&gt;"ENCERRADA"),1,0),0)</f>
        <v/>
      </c>
      <c r="B2339">
        <f>B2338+A2339</f>
        <v/>
      </c>
    </row>
    <row r="2340">
      <c r="A2340">
        <f>IFERROR(IF(AND(BASELINE!I2340&lt;&gt;"",INT(IF(CALC!$F$1&gt;0,IF(N(INDEX(BASELINE!$A2340:$ZZ2340,CALC!$F$1))&gt;0,N(INDEX(BASELINE!$A2340:$ZZ2340,CALC!$F$1)),N(BASELINE!E2340)),N(BASELINE!E2340)))=INT(SIMOPS!$D$3),IFERROR(UPPER(TRIM(BASELINE!D2340&amp;"")),"")&lt;&gt;"ENCERRADA"),1,0),0)</f>
        <v/>
      </c>
      <c r="B2340">
        <f>B2339+A2340</f>
        <v/>
      </c>
    </row>
    <row r="2341">
      <c r="A2341">
        <f>IFERROR(IF(AND(BASELINE!I2341&lt;&gt;"",INT(IF(CALC!$F$1&gt;0,IF(N(INDEX(BASELINE!$A2341:$ZZ2341,CALC!$F$1))&gt;0,N(INDEX(BASELINE!$A2341:$ZZ2341,CALC!$F$1)),N(BASELINE!E2341)),N(BASELINE!E2341)))=INT(SIMOPS!$D$3),IFERROR(UPPER(TRIM(BASELINE!D2341&amp;"")),"")&lt;&gt;"ENCERRADA"),1,0),0)</f>
        <v/>
      </c>
      <c r="B2341">
        <f>B2340+A2341</f>
        <v/>
      </c>
    </row>
    <row r="2342">
      <c r="A2342">
        <f>IFERROR(IF(AND(BASELINE!I2342&lt;&gt;"",INT(IF(CALC!$F$1&gt;0,IF(N(INDEX(BASELINE!$A2342:$ZZ2342,CALC!$F$1))&gt;0,N(INDEX(BASELINE!$A2342:$ZZ2342,CALC!$F$1)),N(BASELINE!E2342)),N(BASELINE!E2342)))=INT(SIMOPS!$D$3),IFERROR(UPPER(TRIM(BASELINE!D2342&amp;"")),"")&lt;&gt;"ENCERRADA"),1,0),0)</f>
        <v/>
      </c>
      <c r="B2342">
        <f>B2341+A2342</f>
        <v/>
      </c>
    </row>
    <row r="2343">
      <c r="A2343">
        <f>IFERROR(IF(AND(BASELINE!I2343&lt;&gt;"",INT(IF(CALC!$F$1&gt;0,IF(N(INDEX(BASELINE!$A2343:$ZZ2343,CALC!$F$1))&gt;0,N(INDEX(BASELINE!$A2343:$ZZ2343,CALC!$F$1)),N(BASELINE!E2343)),N(BASELINE!E2343)))=INT(SIMOPS!$D$3),IFERROR(UPPER(TRIM(BASELINE!D2343&amp;"")),"")&lt;&gt;"ENCERRADA"),1,0),0)</f>
        <v/>
      </c>
      <c r="B2343">
        <f>B2342+A2343</f>
        <v/>
      </c>
    </row>
    <row r="2344">
      <c r="A2344">
        <f>IFERROR(IF(AND(BASELINE!I2344&lt;&gt;"",INT(IF(CALC!$F$1&gt;0,IF(N(INDEX(BASELINE!$A2344:$ZZ2344,CALC!$F$1))&gt;0,N(INDEX(BASELINE!$A2344:$ZZ2344,CALC!$F$1)),N(BASELINE!E2344)),N(BASELINE!E2344)))=INT(SIMOPS!$D$3),IFERROR(UPPER(TRIM(BASELINE!D2344&amp;"")),"")&lt;&gt;"ENCERRADA"),1,0),0)</f>
        <v/>
      </c>
      <c r="B2344">
        <f>B2343+A2344</f>
        <v/>
      </c>
    </row>
    <row r="2345">
      <c r="A2345">
        <f>IFERROR(IF(AND(BASELINE!I2345&lt;&gt;"",INT(IF(CALC!$F$1&gt;0,IF(N(INDEX(BASELINE!$A2345:$ZZ2345,CALC!$F$1))&gt;0,N(INDEX(BASELINE!$A2345:$ZZ2345,CALC!$F$1)),N(BASELINE!E2345)),N(BASELINE!E2345)))=INT(SIMOPS!$D$3),IFERROR(UPPER(TRIM(BASELINE!D2345&amp;"")),"")&lt;&gt;"ENCERRADA"),1,0),0)</f>
        <v/>
      </c>
      <c r="B2345">
        <f>B2344+A2345</f>
        <v/>
      </c>
    </row>
    <row r="2346">
      <c r="A2346">
        <f>IFERROR(IF(AND(BASELINE!I2346&lt;&gt;"",INT(IF(CALC!$F$1&gt;0,IF(N(INDEX(BASELINE!$A2346:$ZZ2346,CALC!$F$1))&gt;0,N(INDEX(BASELINE!$A2346:$ZZ2346,CALC!$F$1)),N(BASELINE!E2346)),N(BASELINE!E2346)))=INT(SIMOPS!$D$3),IFERROR(UPPER(TRIM(BASELINE!D2346&amp;"")),"")&lt;&gt;"ENCERRADA"),1,0),0)</f>
        <v/>
      </c>
      <c r="B2346">
        <f>B2345+A2346</f>
        <v/>
      </c>
    </row>
    <row r="2347">
      <c r="A2347">
        <f>IFERROR(IF(AND(BASELINE!I2347&lt;&gt;"",INT(IF(CALC!$F$1&gt;0,IF(N(INDEX(BASELINE!$A2347:$ZZ2347,CALC!$F$1))&gt;0,N(INDEX(BASELINE!$A2347:$ZZ2347,CALC!$F$1)),N(BASELINE!E2347)),N(BASELINE!E2347)))=INT(SIMOPS!$D$3),IFERROR(UPPER(TRIM(BASELINE!D2347&amp;"")),"")&lt;&gt;"ENCERRADA"),1,0),0)</f>
        <v/>
      </c>
      <c r="B2347">
        <f>B2346+A2347</f>
        <v/>
      </c>
    </row>
    <row r="2348">
      <c r="A2348">
        <f>IFERROR(IF(AND(BASELINE!I2348&lt;&gt;"",INT(IF(CALC!$F$1&gt;0,IF(N(INDEX(BASELINE!$A2348:$ZZ2348,CALC!$F$1))&gt;0,N(INDEX(BASELINE!$A2348:$ZZ2348,CALC!$F$1)),N(BASELINE!E2348)),N(BASELINE!E2348)))=INT(SIMOPS!$D$3),IFERROR(UPPER(TRIM(BASELINE!D2348&amp;"")),"")&lt;&gt;"ENCERRADA"),1,0),0)</f>
        <v/>
      </c>
      <c r="B2348">
        <f>B2347+A2348</f>
        <v/>
      </c>
    </row>
    <row r="2349">
      <c r="A2349">
        <f>IFERROR(IF(AND(BASELINE!I2349&lt;&gt;"",INT(IF(CALC!$F$1&gt;0,IF(N(INDEX(BASELINE!$A2349:$ZZ2349,CALC!$F$1))&gt;0,N(INDEX(BASELINE!$A2349:$ZZ2349,CALC!$F$1)),N(BASELINE!E2349)),N(BASELINE!E2349)))=INT(SIMOPS!$D$3),IFERROR(UPPER(TRIM(BASELINE!D2349&amp;"")),"")&lt;&gt;"ENCERRADA"),1,0),0)</f>
        <v/>
      </c>
      <c r="B2349">
        <f>B2348+A2349</f>
        <v/>
      </c>
    </row>
    <row r="2350">
      <c r="A2350">
        <f>IFERROR(IF(AND(BASELINE!I2350&lt;&gt;"",INT(IF(CALC!$F$1&gt;0,IF(N(INDEX(BASELINE!$A2350:$ZZ2350,CALC!$F$1))&gt;0,N(INDEX(BASELINE!$A2350:$ZZ2350,CALC!$F$1)),N(BASELINE!E2350)),N(BASELINE!E2350)))=INT(SIMOPS!$D$3),IFERROR(UPPER(TRIM(BASELINE!D2350&amp;"")),"")&lt;&gt;"ENCERRADA"),1,0),0)</f>
        <v/>
      </c>
      <c r="B2350">
        <f>B2349+A2350</f>
        <v/>
      </c>
    </row>
    <row r="2351">
      <c r="A2351">
        <f>IFERROR(IF(AND(BASELINE!I2351&lt;&gt;"",INT(IF(CALC!$F$1&gt;0,IF(N(INDEX(BASELINE!$A2351:$ZZ2351,CALC!$F$1))&gt;0,N(INDEX(BASELINE!$A2351:$ZZ2351,CALC!$F$1)),N(BASELINE!E2351)),N(BASELINE!E2351)))=INT(SIMOPS!$D$3),IFERROR(UPPER(TRIM(BASELINE!D2351&amp;"")),"")&lt;&gt;"ENCERRADA"),1,0),0)</f>
        <v/>
      </c>
      <c r="B2351">
        <f>B2350+A2351</f>
        <v/>
      </c>
    </row>
    <row r="2352">
      <c r="A2352">
        <f>IFERROR(IF(AND(BASELINE!I2352&lt;&gt;"",INT(IF(CALC!$F$1&gt;0,IF(N(INDEX(BASELINE!$A2352:$ZZ2352,CALC!$F$1))&gt;0,N(INDEX(BASELINE!$A2352:$ZZ2352,CALC!$F$1)),N(BASELINE!E2352)),N(BASELINE!E2352)))=INT(SIMOPS!$D$3),IFERROR(UPPER(TRIM(BASELINE!D2352&amp;"")),"")&lt;&gt;"ENCERRADA"),1,0),0)</f>
        <v/>
      </c>
      <c r="B2352">
        <f>B2351+A2352</f>
        <v/>
      </c>
    </row>
    <row r="2353">
      <c r="A2353">
        <f>IFERROR(IF(AND(BASELINE!I2353&lt;&gt;"",INT(IF(CALC!$F$1&gt;0,IF(N(INDEX(BASELINE!$A2353:$ZZ2353,CALC!$F$1))&gt;0,N(INDEX(BASELINE!$A2353:$ZZ2353,CALC!$F$1)),N(BASELINE!E2353)),N(BASELINE!E2353)))=INT(SIMOPS!$D$3),IFERROR(UPPER(TRIM(BASELINE!D2353&amp;"")),"")&lt;&gt;"ENCERRADA"),1,0),0)</f>
        <v/>
      </c>
      <c r="B2353">
        <f>B2352+A2353</f>
        <v/>
      </c>
    </row>
    <row r="2354">
      <c r="A2354">
        <f>IFERROR(IF(AND(BASELINE!I2354&lt;&gt;"",INT(IF(CALC!$F$1&gt;0,IF(N(INDEX(BASELINE!$A2354:$ZZ2354,CALC!$F$1))&gt;0,N(INDEX(BASELINE!$A2354:$ZZ2354,CALC!$F$1)),N(BASELINE!E2354)),N(BASELINE!E2354)))=INT(SIMOPS!$D$3),IFERROR(UPPER(TRIM(BASELINE!D2354&amp;"")),"")&lt;&gt;"ENCERRADA"),1,0),0)</f>
        <v/>
      </c>
      <c r="B2354">
        <f>B2353+A2354</f>
        <v/>
      </c>
    </row>
    <row r="2355">
      <c r="A2355">
        <f>IFERROR(IF(AND(BASELINE!I2355&lt;&gt;"",INT(IF(CALC!$F$1&gt;0,IF(N(INDEX(BASELINE!$A2355:$ZZ2355,CALC!$F$1))&gt;0,N(INDEX(BASELINE!$A2355:$ZZ2355,CALC!$F$1)),N(BASELINE!E2355)),N(BASELINE!E2355)))=INT(SIMOPS!$D$3),IFERROR(UPPER(TRIM(BASELINE!D2355&amp;"")),"")&lt;&gt;"ENCERRADA"),1,0),0)</f>
        <v/>
      </c>
      <c r="B2355">
        <f>B2354+A2355</f>
        <v/>
      </c>
    </row>
    <row r="2356">
      <c r="A2356">
        <f>IFERROR(IF(AND(BASELINE!I2356&lt;&gt;"",INT(IF(CALC!$F$1&gt;0,IF(N(INDEX(BASELINE!$A2356:$ZZ2356,CALC!$F$1))&gt;0,N(INDEX(BASELINE!$A2356:$ZZ2356,CALC!$F$1)),N(BASELINE!E2356)),N(BASELINE!E2356)))=INT(SIMOPS!$D$3),IFERROR(UPPER(TRIM(BASELINE!D2356&amp;"")),"")&lt;&gt;"ENCERRADA"),1,0),0)</f>
        <v/>
      </c>
      <c r="B2356">
        <f>B2355+A2356</f>
        <v/>
      </c>
    </row>
    <row r="2357">
      <c r="A2357">
        <f>IFERROR(IF(AND(BASELINE!I2357&lt;&gt;"",INT(IF(CALC!$F$1&gt;0,IF(N(INDEX(BASELINE!$A2357:$ZZ2357,CALC!$F$1))&gt;0,N(INDEX(BASELINE!$A2357:$ZZ2357,CALC!$F$1)),N(BASELINE!E2357)),N(BASELINE!E2357)))=INT(SIMOPS!$D$3),IFERROR(UPPER(TRIM(BASELINE!D2357&amp;"")),"")&lt;&gt;"ENCERRADA"),1,0),0)</f>
        <v/>
      </c>
      <c r="B2357">
        <f>B2356+A2357</f>
        <v/>
      </c>
    </row>
    <row r="2358">
      <c r="A2358">
        <f>IFERROR(IF(AND(BASELINE!I2358&lt;&gt;"",INT(IF(CALC!$F$1&gt;0,IF(N(INDEX(BASELINE!$A2358:$ZZ2358,CALC!$F$1))&gt;0,N(INDEX(BASELINE!$A2358:$ZZ2358,CALC!$F$1)),N(BASELINE!E2358)),N(BASELINE!E2358)))=INT(SIMOPS!$D$3),IFERROR(UPPER(TRIM(BASELINE!D2358&amp;"")),"")&lt;&gt;"ENCERRADA"),1,0),0)</f>
        <v/>
      </c>
      <c r="B2358">
        <f>B2357+A2358</f>
        <v/>
      </c>
    </row>
    <row r="2359">
      <c r="A2359">
        <f>IFERROR(IF(AND(BASELINE!I2359&lt;&gt;"",INT(IF(CALC!$F$1&gt;0,IF(N(INDEX(BASELINE!$A2359:$ZZ2359,CALC!$F$1))&gt;0,N(INDEX(BASELINE!$A2359:$ZZ2359,CALC!$F$1)),N(BASELINE!E2359)),N(BASELINE!E2359)))=INT(SIMOPS!$D$3),IFERROR(UPPER(TRIM(BASELINE!D2359&amp;"")),"")&lt;&gt;"ENCERRADA"),1,0),0)</f>
        <v/>
      </c>
      <c r="B2359">
        <f>B2358+A2359</f>
        <v/>
      </c>
    </row>
    <row r="2360">
      <c r="A2360">
        <f>IFERROR(IF(AND(BASELINE!I2360&lt;&gt;"",INT(IF(CALC!$F$1&gt;0,IF(N(INDEX(BASELINE!$A2360:$ZZ2360,CALC!$F$1))&gt;0,N(INDEX(BASELINE!$A2360:$ZZ2360,CALC!$F$1)),N(BASELINE!E2360)),N(BASELINE!E2360)))=INT(SIMOPS!$D$3),IFERROR(UPPER(TRIM(BASELINE!D2360&amp;"")),"")&lt;&gt;"ENCERRADA"),1,0),0)</f>
        <v/>
      </c>
      <c r="B2360">
        <f>B2359+A2360</f>
        <v/>
      </c>
    </row>
    <row r="2361">
      <c r="A2361">
        <f>IFERROR(IF(AND(BASELINE!I2361&lt;&gt;"",INT(IF(CALC!$F$1&gt;0,IF(N(INDEX(BASELINE!$A2361:$ZZ2361,CALC!$F$1))&gt;0,N(INDEX(BASELINE!$A2361:$ZZ2361,CALC!$F$1)),N(BASELINE!E2361)),N(BASELINE!E2361)))=INT(SIMOPS!$D$3),IFERROR(UPPER(TRIM(BASELINE!D2361&amp;"")),"")&lt;&gt;"ENCERRADA"),1,0),0)</f>
        <v/>
      </c>
      <c r="B2361">
        <f>B2360+A2361</f>
        <v/>
      </c>
    </row>
    <row r="2362">
      <c r="A2362">
        <f>IFERROR(IF(AND(BASELINE!I2362&lt;&gt;"",INT(IF(CALC!$F$1&gt;0,IF(N(INDEX(BASELINE!$A2362:$ZZ2362,CALC!$F$1))&gt;0,N(INDEX(BASELINE!$A2362:$ZZ2362,CALC!$F$1)),N(BASELINE!E2362)),N(BASELINE!E2362)))=INT(SIMOPS!$D$3),IFERROR(UPPER(TRIM(BASELINE!D2362&amp;"")),"")&lt;&gt;"ENCERRADA"),1,0),0)</f>
        <v/>
      </c>
      <c r="B2362">
        <f>B2361+A2362</f>
        <v/>
      </c>
    </row>
    <row r="2363">
      <c r="A2363">
        <f>IFERROR(IF(AND(BASELINE!I2363&lt;&gt;"",INT(IF(CALC!$F$1&gt;0,IF(N(INDEX(BASELINE!$A2363:$ZZ2363,CALC!$F$1))&gt;0,N(INDEX(BASELINE!$A2363:$ZZ2363,CALC!$F$1)),N(BASELINE!E2363)),N(BASELINE!E2363)))=INT(SIMOPS!$D$3),IFERROR(UPPER(TRIM(BASELINE!D2363&amp;"")),"")&lt;&gt;"ENCERRADA"),1,0),0)</f>
        <v/>
      </c>
      <c r="B2363">
        <f>B2362+A2363</f>
        <v/>
      </c>
    </row>
    <row r="2364">
      <c r="A2364">
        <f>IFERROR(IF(AND(BASELINE!I2364&lt;&gt;"",INT(IF(CALC!$F$1&gt;0,IF(N(INDEX(BASELINE!$A2364:$ZZ2364,CALC!$F$1))&gt;0,N(INDEX(BASELINE!$A2364:$ZZ2364,CALC!$F$1)),N(BASELINE!E2364)),N(BASELINE!E2364)))=INT(SIMOPS!$D$3),IFERROR(UPPER(TRIM(BASELINE!D2364&amp;"")),"")&lt;&gt;"ENCERRADA"),1,0),0)</f>
        <v/>
      </c>
      <c r="B2364">
        <f>B2363+A2364</f>
        <v/>
      </c>
    </row>
    <row r="2365">
      <c r="A2365">
        <f>IFERROR(IF(AND(BASELINE!I2365&lt;&gt;"",INT(IF(CALC!$F$1&gt;0,IF(N(INDEX(BASELINE!$A2365:$ZZ2365,CALC!$F$1))&gt;0,N(INDEX(BASELINE!$A2365:$ZZ2365,CALC!$F$1)),N(BASELINE!E2365)),N(BASELINE!E2365)))=INT(SIMOPS!$D$3),IFERROR(UPPER(TRIM(BASELINE!D2365&amp;"")),"")&lt;&gt;"ENCERRADA"),1,0),0)</f>
        <v/>
      </c>
      <c r="B2365">
        <f>B2364+A2365</f>
        <v/>
      </c>
    </row>
    <row r="2366">
      <c r="A2366">
        <f>IFERROR(IF(AND(BASELINE!I2366&lt;&gt;"",INT(IF(CALC!$F$1&gt;0,IF(N(INDEX(BASELINE!$A2366:$ZZ2366,CALC!$F$1))&gt;0,N(INDEX(BASELINE!$A2366:$ZZ2366,CALC!$F$1)),N(BASELINE!E2366)),N(BASELINE!E2366)))=INT(SIMOPS!$D$3),IFERROR(UPPER(TRIM(BASELINE!D2366&amp;"")),"")&lt;&gt;"ENCERRADA"),1,0),0)</f>
        <v/>
      </c>
      <c r="B2366">
        <f>B2365+A2366</f>
        <v/>
      </c>
    </row>
    <row r="2367">
      <c r="A2367">
        <f>IFERROR(IF(AND(BASELINE!I2367&lt;&gt;"",INT(IF(CALC!$F$1&gt;0,IF(N(INDEX(BASELINE!$A2367:$ZZ2367,CALC!$F$1))&gt;0,N(INDEX(BASELINE!$A2367:$ZZ2367,CALC!$F$1)),N(BASELINE!E2367)),N(BASELINE!E2367)))=INT(SIMOPS!$D$3),IFERROR(UPPER(TRIM(BASELINE!D2367&amp;"")),"")&lt;&gt;"ENCERRADA"),1,0),0)</f>
        <v/>
      </c>
      <c r="B2367">
        <f>B2366+A2367</f>
        <v/>
      </c>
    </row>
    <row r="2368">
      <c r="A2368">
        <f>IFERROR(IF(AND(BASELINE!I2368&lt;&gt;"",INT(IF(CALC!$F$1&gt;0,IF(N(INDEX(BASELINE!$A2368:$ZZ2368,CALC!$F$1))&gt;0,N(INDEX(BASELINE!$A2368:$ZZ2368,CALC!$F$1)),N(BASELINE!E2368)),N(BASELINE!E2368)))=INT(SIMOPS!$D$3),IFERROR(UPPER(TRIM(BASELINE!D2368&amp;"")),"")&lt;&gt;"ENCERRADA"),1,0),0)</f>
        <v/>
      </c>
      <c r="B2368">
        <f>B2367+A2368</f>
        <v/>
      </c>
    </row>
    <row r="2369">
      <c r="A2369">
        <f>IFERROR(IF(AND(BASELINE!I2369&lt;&gt;"",INT(IF(CALC!$F$1&gt;0,IF(N(INDEX(BASELINE!$A2369:$ZZ2369,CALC!$F$1))&gt;0,N(INDEX(BASELINE!$A2369:$ZZ2369,CALC!$F$1)),N(BASELINE!E2369)),N(BASELINE!E2369)))=INT(SIMOPS!$D$3),IFERROR(UPPER(TRIM(BASELINE!D2369&amp;"")),"")&lt;&gt;"ENCERRADA"),1,0),0)</f>
        <v/>
      </c>
      <c r="B2369">
        <f>B2368+A2369</f>
        <v/>
      </c>
    </row>
    <row r="2370">
      <c r="A2370">
        <f>IFERROR(IF(AND(BASELINE!I2370&lt;&gt;"",INT(IF(CALC!$F$1&gt;0,IF(N(INDEX(BASELINE!$A2370:$ZZ2370,CALC!$F$1))&gt;0,N(INDEX(BASELINE!$A2370:$ZZ2370,CALC!$F$1)),N(BASELINE!E2370)),N(BASELINE!E2370)))=INT(SIMOPS!$D$3),IFERROR(UPPER(TRIM(BASELINE!D2370&amp;"")),"")&lt;&gt;"ENCERRADA"),1,0),0)</f>
        <v/>
      </c>
      <c r="B2370">
        <f>B2369+A2370</f>
        <v/>
      </c>
    </row>
    <row r="2371">
      <c r="A2371">
        <f>IFERROR(IF(AND(BASELINE!I2371&lt;&gt;"",INT(IF(CALC!$F$1&gt;0,IF(N(INDEX(BASELINE!$A2371:$ZZ2371,CALC!$F$1))&gt;0,N(INDEX(BASELINE!$A2371:$ZZ2371,CALC!$F$1)),N(BASELINE!E2371)),N(BASELINE!E2371)))=INT(SIMOPS!$D$3),IFERROR(UPPER(TRIM(BASELINE!D2371&amp;"")),"")&lt;&gt;"ENCERRADA"),1,0),0)</f>
        <v/>
      </c>
      <c r="B2371">
        <f>B2370+A2371</f>
        <v/>
      </c>
    </row>
    <row r="2372">
      <c r="A2372">
        <f>IFERROR(IF(AND(BASELINE!I2372&lt;&gt;"",INT(IF(CALC!$F$1&gt;0,IF(N(INDEX(BASELINE!$A2372:$ZZ2372,CALC!$F$1))&gt;0,N(INDEX(BASELINE!$A2372:$ZZ2372,CALC!$F$1)),N(BASELINE!E2372)),N(BASELINE!E2372)))=INT(SIMOPS!$D$3),IFERROR(UPPER(TRIM(BASELINE!D2372&amp;"")),"")&lt;&gt;"ENCERRADA"),1,0),0)</f>
        <v/>
      </c>
      <c r="B2372">
        <f>B2371+A2372</f>
        <v/>
      </c>
    </row>
    <row r="2373">
      <c r="A2373">
        <f>IFERROR(IF(AND(BASELINE!I2373&lt;&gt;"",INT(IF(CALC!$F$1&gt;0,IF(N(INDEX(BASELINE!$A2373:$ZZ2373,CALC!$F$1))&gt;0,N(INDEX(BASELINE!$A2373:$ZZ2373,CALC!$F$1)),N(BASELINE!E2373)),N(BASELINE!E2373)))=INT(SIMOPS!$D$3),IFERROR(UPPER(TRIM(BASELINE!D2373&amp;"")),"")&lt;&gt;"ENCERRADA"),1,0),0)</f>
        <v/>
      </c>
      <c r="B2373">
        <f>B2372+A2373</f>
        <v/>
      </c>
    </row>
    <row r="2374">
      <c r="A2374">
        <f>IFERROR(IF(AND(BASELINE!I2374&lt;&gt;"",INT(IF(CALC!$F$1&gt;0,IF(N(INDEX(BASELINE!$A2374:$ZZ2374,CALC!$F$1))&gt;0,N(INDEX(BASELINE!$A2374:$ZZ2374,CALC!$F$1)),N(BASELINE!E2374)),N(BASELINE!E2374)))=INT(SIMOPS!$D$3),IFERROR(UPPER(TRIM(BASELINE!D2374&amp;"")),"")&lt;&gt;"ENCERRADA"),1,0),0)</f>
        <v/>
      </c>
      <c r="B2374">
        <f>B2373+A2374</f>
        <v/>
      </c>
    </row>
    <row r="2375">
      <c r="A2375">
        <f>IFERROR(IF(AND(BASELINE!I2375&lt;&gt;"",INT(IF(CALC!$F$1&gt;0,IF(N(INDEX(BASELINE!$A2375:$ZZ2375,CALC!$F$1))&gt;0,N(INDEX(BASELINE!$A2375:$ZZ2375,CALC!$F$1)),N(BASELINE!E2375)),N(BASELINE!E2375)))=INT(SIMOPS!$D$3),IFERROR(UPPER(TRIM(BASELINE!D2375&amp;"")),"")&lt;&gt;"ENCERRADA"),1,0),0)</f>
        <v/>
      </c>
      <c r="B2375">
        <f>B2374+A2375</f>
        <v/>
      </c>
    </row>
    <row r="2376">
      <c r="A2376">
        <f>IFERROR(IF(AND(BASELINE!I2376&lt;&gt;"",INT(IF(CALC!$F$1&gt;0,IF(N(INDEX(BASELINE!$A2376:$ZZ2376,CALC!$F$1))&gt;0,N(INDEX(BASELINE!$A2376:$ZZ2376,CALC!$F$1)),N(BASELINE!E2376)),N(BASELINE!E2376)))=INT(SIMOPS!$D$3),IFERROR(UPPER(TRIM(BASELINE!D2376&amp;"")),"")&lt;&gt;"ENCERRADA"),1,0),0)</f>
        <v/>
      </c>
      <c r="B2376">
        <f>B2375+A2376</f>
        <v/>
      </c>
    </row>
    <row r="2377">
      <c r="A2377">
        <f>IFERROR(IF(AND(BASELINE!I2377&lt;&gt;"",INT(IF(CALC!$F$1&gt;0,IF(N(INDEX(BASELINE!$A2377:$ZZ2377,CALC!$F$1))&gt;0,N(INDEX(BASELINE!$A2377:$ZZ2377,CALC!$F$1)),N(BASELINE!E2377)),N(BASELINE!E2377)))=INT(SIMOPS!$D$3),IFERROR(UPPER(TRIM(BASELINE!D2377&amp;"")),"")&lt;&gt;"ENCERRADA"),1,0),0)</f>
        <v/>
      </c>
      <c r="B2377">
        <f>B2376+A2377</f>
        <v/>
      </c>
    </row>
    <row r="2378">
      <c r="A2378">
        <f>IFERROR(IF(AND(BASELINE!I2378&lt;&gt;"",INT(IF(CALC!$F$1&gt;0,IF(N(INDEX(BASELINE!$A2378:$ZZ2378,CALC!$F$1))&gt;0,N(INDEX(BASELINE!$A2378:$ZZ2378,CALC!$F$1)),N(BASELINE!E2378)),N(BASELINE!E2378)))=INT(SIMOPS!$D$3),IFERROR(UPPER(TRIM(BASELINE!D2378&amp;"")),"")&lt;&gt;"ENCERRADA"),1,0),0)</f>
        <v/>
      </c>
      <c r="B2378">
        <f>B2377+A2378</f>
        <v/>
      </c>
    </row>
    <row r="2379">
      <c r="A2379">
        <f>IFERROR(IF(AND(BASELINE!I2379&lt;&gt;"",INT(IF(CALC!$F$1&gt;0,IF(N(INDEX(BASELINE!$A2379:$ZZ2379,CALC!$F$1))&gt;0,N(INDEX(BASELINE!$A2379:$ZZ2379,CALC!$F$1)),N(BASELINE!E2379)),N(BASELINE!E2379)))=INT(SIMOPS!$D$3),IFERROR(UPPER(TRIM(BASELINE!D2379&amp;"")),"")&lt;&gt;"ENCERRADA"),1,0),0)</f>
        <v/>
      </c>
      <c r="B2379">
        <f>B2378+A2379</f>
        <v/>
      </c>
    </row>
    <row r="2380">
      <c r="A2380">
        <f>IFERROR(IF(AND(BASELINE!I2380&lt;&gt;"",INT(IF(CALC!$F$1&gt;0,IF(N(INDEX(BASELINE!$A2380:$ZZ2380,CALC!$F$1))&gt;0,N(INDEX(BASELINE!$A2380:$ZZ2380,CALC!$F$1)),N(BASELINE!E2380)),N(BASELINE!E2380)))=INT(SIMOPS!$D$3),IFERROR(UPPER(TRIM(BASELINE!D2380&amp;"")),"")&lt;&gt;"ENCERRADA"),1,0),0)</f>
        <v/>
      </c>
      <c r="B2380">
        <f>B2379+A2380</f>
        <v/>
      </c>
    </row>
    <row r="2381">
      <c r="A2381">
        <f>IFERROR(IF(AND(BASELINE!I2381&lt;&gt;"",INT(IF(CALC!$F$1&gt;0,IF(N(INDEX(BASELINE!$A2381:$ZZ2381,CALC!$F$1))&gt;0,N(INDEX(BASELINE!$A2381:$ZZ2381,CALC!$F$1)),N(BASELINE!E2381)),N(BASELINE!E2381)))=INT(SIMOPS!$D$3),IFERROR(UPPER(TRIM(BASELINE!D2381&amp;"")),"")&lt;&gt;"ENCERRADA"),1,0),0)</f>
        <v/>
      </c>
      <c r="B2381">
        <f>B2380+A2381</f>
        <v/>
      </c>
    </row>
    <row r="2382">
      <c r="A2382">
        <f>IFERROR(IF(AND(BASELINE!I2382&lt;&gt;"",INT(IF(CALC!$F$1&gt;0,IF(N(INDEX(BASELINE!$A2382:$ZZ2382,CALC!$F$1))&gt;0,N(INDEX(BASELINE!$A2382:$ZZ2382,CALC!$F$1)),N(BASELINE!E2382)),N(BASELINE!E2382)))=INT(SIMOPS!$D$3),IFERROR(UPPER(TRIM(BASELINE!D2382&amp;"")),"")&lt;&gt;"ENCERRADA"),1,0),0)</f>
        <v/>
      </c>
      <c r="B2382">
        <f>B2381+A2382</f>
        <v/>
      </c>
    </row>
    <row r="2383">
      <c r="A2383">
        <f>IFERROR(IF(AND(BASELINE!I2383&lt;&gt;"",INT(IF(CALC!$F$1&gt;0,IF(N(INDEX(BASELINE!$A2383:$ZZ2383,CALC!$F$1))&gt;0,N(INDEX(BASELINE!$A2383:$ZZ2383,CALC!$F$1)),N(BASELINE!E2383)),N(BASELINE!E2383)))=INT(SIMOPS!$D$3),IFERROR(UPPER(TRIM(BASELINE!D2383&amp;"")),"")&lt;&gt;"ENCERRADA"),1,0),0)</f>
        <v/>
      </c>
      <c r="B2383">
        <f>B2382+A2383</f>
        <v/>
      </c>
    </row>
    <row r="2384">
      <c r="A2384">
        <f>IFERROR(IF(AND(BASELINE!I2384&lt;&gt;"",INT(IF(CALC!$F$1&gt;0,IF(N(INDEX(BASELINE!$A2384:$ZZ2384,CALC!$F$1))&gt;0,N(INDEX(BASELINE!$A2384:$ZZ2384,CALC!$F$1)),N(BASELINE!E2384)),N(BASELINE!E2384)))=INT(SIMOPS!$D$3),IFERROR(UPPER(TRIM(BASELINE!D2384&amp;"")),"")&lt;&gt;"ENCERRADA"),1,0),0)</f>
        <v/>
      </c>
      <c r="B2384">
        <f>B2383+A2384</f>
        <v/>
      </c>
    </row>
    <row r="2385">
      <c r="A2385">
        <f>IFERROR(IF(AND(BASELINE!I2385&lt;&gt;"",INT(IF(CALC!$F$1&gt;0,IF(N(INDEX(BASELINE!$A2385:$ZZ2385,CALC!$F$1))&gt;0,N(INDEX(BASELINE!$A2385:$ZZ2385,CALC!$F$1)),N(BASELINE!E2385)),N(BASELINE!E2385)))=INT(SIMOPS!$D$3),IFERROR(UPPER(TRIM(BASELINE!D2385&amp;"")),"")&lt;&gt;"ENCERRADA"),1,0),0)</f>
        <v/>
      </c>
      <c r="B2385">
        <f>B2384+A2385</f>
        <v/>
      </c>
    </row>
    <row r="2386">
      <c r="A2386">
        <f>IFERROR(IF(AND(BASELINE!I2386&lt;&gt;"",INT(IF(CALC!$F$1&gt;0,IF(N(INDEX(BASELINE!$A2386:$ZZ2386,CALC!$F$1))&gt;0,N(INDEX(BASELINE!$A2386:$ZZ2386,CALC!$F$1)),N(BASELINE!E2386)),N(BASELINE!E2386)))=INT(SIMOPS!$D$3),IFERROR(UPPER(TRIM(BASELINE!D2386&amp;"")),"")&lt;&gt;"ENCERRADA"),1,0),0)</f>
        <v/>
      </c>
      <c r="B2386">
        <f>B2385+A2386</f>
        <v/>
      </c>
    </row>
    <row r="2387">
      <c r="A2387">
        <f>IFERROR(IF(AND(BASELINE!I2387&lt;&gt;"",INT(IF(CALC!$F$1&gt;0,IF(N(INDEX(BASELINE!$A2387:$ZZ2387,CALC!$F$1))&gt;0,N(INDEX(BASELINE!$A2387:$ZZ2387,CALC!$F$1)),N(BASELINE!E2387)),N(BASELINE!E2387)))=INT(SIMOPS!$D$3),IFERROR(UPPER(TRIM(BASELINE!D2387&amp;"")),"")&lt;&gt;"ENCERRADA"),1,0),0)</f>
        <v/>
      </c>
      <c r="B2387">
        <f>B2386+A2387</f>
        <v/>
      </c>
    </row>
    <row r="2388">
      <c r="A2388">
        <f>IFERROR(IF(AND(BASELINE!I2388&lt;&gt;"",INT(IF(CALC!$F$1&gt;0,IF(N(INDEX(BASELINE!$A2388:$ZZ2388,CALC!$F$1))&gt;0,N(INDEX(BASELINE!$A2388:$ZZ2388,CALC!$F$1)),N(BASELINE!E2388)),N(BASELINE!E2388)))=INT(SIMOPS!$D$3),IFERROR(UPPER(TRIM(BASELINE!D2388&amp;"")),"")&lt;&gt;"ENCERRADA"),1,0),0)</f>
        <v/>
      </c>
      <c r="B2388">
        <f>B2387+A2388</f>
        <v/>
      </c>
    </row>
    <row r="2389">
      <c r="A2389">
        <f>IFERROR(IF(AND(BASELINE!I2389&lt;&gt;"",INT(IF(CALC!$F$1&gt;0,IF(N(INDEX(BASELINE!$A2389:$ZZ2389,CALC!$F$1))&gt;0,N(INDEX(BASELINE!$A2389:$ZZ2389,CALC!$F$1)),N(BASELINE!E2389)),N(BASELINE!E2389)))=INT(SIMOPS!$D$3),IFERROR(UPPER(TRIM(BASELINE!D2389&amp;"")),"")&lt;&gt;"ENCERRADA"),1,0),0)</f>
        <v/>
      </c>
      <c r="B2389">
        <f>B2388+A2389</f>
        <v/>
      </c>
    </row>
    <row r="2390">
      <c r="A2390">
        <f>IFERROR(IF(AND(BASELINE!I2390&lt;&gt;"",INT(IF(CALC!$F$1&gt;0,IF(N(INDEX(BASELINE!$A2390:$ZZ2390,CALC!$F$1))&gt;0,N(INDEX(BASELINE!$A2390:$ZZ2390,CALC!$F$1)),N(BASELINE!E2390)),N(BASELINE!E2390)))=INT(SIMOPS!$D$3),IFERROR(UPPER(TRIM(BASELINE!D2390&amp;"")),"")&lt;&gt;"ENCERRADA"),1,0),0)</f>
        <v/>
      </c>
      <c r="B2390">
        <f>B2389+A2390</f>
        <v/>
      </c>
    </row>
    <row r="2391">
      <c r="A2391">
        <f>IFERROR(IF(AND(BASELINE!I2391&lt;&gt;"",INT(IF(CALC!$F$1&gt;0,IF(N(INDEX(BASELINE!$A2391:$ZZ2391,CALC!$F$1))&gt;0,N(INDEX(BASELINE!$A2391:$ZZ2391,CALC!$F$1)),N(BASELINE!E2391)),N(BASELINE!E2391)))=INT(SIMOPS!$D$3),IFERROR(UPPER(TRIM(BASELINE!D2391&amp;"")),"")&lt;&gt;"ENCERRADA"),1,0),0)</f>
        <v/>
      </c>
      <c r="B2391">
        <f>B2390+A2391</f>
        <v/>
      </c>
    </row>
    <row r="2392">
      <c r="A2392">
        <f>IFERROR(IF(AND(BASELINE!I2392&lt;&gt;"",INT(IF(CALC!$F$1&gt;0,IF(N(INDEX(BASELINE!$A2392:$ZZ2392,CALC!$F$1))&gt;0,N(INDEX(BASELINE!$A2392:$ZZ2392,CALC!$F$1)),N(BASELINE!E2392)),N(BASELINE!E2392)))=INT(SIMOPS!$D$3),IFERROR(UPPER(TRIM(BASELINE!D2392&amp;"")),"")&lt;&gt;"ENCERRADA"),1,0),0)</f>
        <v/>
      </c>
      <c r="B2392">
        <f>B2391+A2392</f>
        <v/>
      </c>
    </row>
    <row r="2393">
      <c r="A2393">
        <f>IFERROR(IF(AND(BASELINE!I2393&lt;&gt;"",INT(IF(CALC!$F$1&gt;0,IF(N(INDEX(BASELINE!$A2393:$ZZ2393,CALC!$F$1))&gt;0,N(INDEX(BASELINE!$A2393:$ZZ2393,CALC!$F$1)),N(BASELINE!E2393)),N(BASELINE!E2393)))=INT(SIMOPS!$D$3),IFERROR(UPPER(TRIM(BASELINE!D2393&amp;"")),"")&lt;&gt;"ENCERRADA"),1,0),0)</f>
        <v/>
      </c>
      <c r="B2393">
        <f>B2392+A2393</f>
        <v/>
      </c>
    </row>
    <row r="2394">
      <c r="A2394">
        <f>IFERROR(IF(AND(BASELINE!I2394&lt;&gt;"",INT(IF(CALC!$F$1&gt;0,IF(N(INDEX(BASELINE!$A2394:$ZZ2394,CALC!$F$1))&gt;0,N(INDEX(BASELINE!$A2394:$ZZ2394,CALC!$F$1)),N(BASELINE!E2394)),N(BASELINE!E2394)))=INT(SIMOPS!$D$3),IFERROR(UPPER(TRIM(BASELINE!D2394&amp;"")),"")&lt;&gt;"ENCERRADA"),1,0),0)</f>
        <v/>
      </c>
      <c r="B2394">
        <f>B2393+A2394</f>
        <v/>
      </c>
    </row>
    <row r="2395">
      <c r="A2395">
        <f>IFERROR(IF(AND(BASELINE!I2395&lt;&gt;"",INT(IF(CALC!$F$1&gt;0,IF(N(INDEX(BASELINE!$A2395:$ZZ2395,CALC!$F$1))&gt;0,N(INDEX(BASELINE!$A2395:$ZZ2395,CALC!$F$1)),N(BASELINE!E2395)),N(BASELINE!E2395)))=INT(SIMOPS!$D$3),IFERROR(UPPER(TRIM(BASELINE!D2395&amp;"")),"")&lt;&gt;"ENCERRADA"),1,0),0)</f>
        <v/>
      </c>
      <c r="B2395">
        <f>B2394+A2395</f>
        <v/>
      </c>
    </row>
    <row r="2396">
      <c r="A2396">
        <f>IFERROR(IF(AND(BASELINE!I2396&lt;&gt;"",INT(IF(CALC!$F$1&gt;0,IF(N(INDEX(BASELINE!$A2396:$ZZ2396,CALC!$F$1))&gt;0,N(INDEX(BASELINE!$A2396:$ZZ2396,CALC!$F$1)),N(BASELINE!E2396)),N(BASELINE!E2396)))=INT(SIMOPS!$D$3),IFERROR(UPPER(TRIM(BASELINE!D2396&amp;"")),"")&lt;&gt;"ENCERRADA"),1,0),0)</f>
        <v/>
      </c>
      <c r="B2396">
        <f>B2395+A2396</f>
        <v/>
      </c>
    </row>
    <row r="2397">
      <c r="A2397">
        <f>IFERROR(IF(AND(BASELINE!I2397&lt;&gt;"",INT(IF(CALC!$F$1&gt;0,IF(N(INDEX(BASELINE!$A2397:$ZZ2397,CALC!$F$1))&gt;0,N(INDEX(BASELINE!$A2397:$ZZ2397,CALC!$F$1)),N(BASELINE!E2397)),N(BASELINE!E2397)))=INT(SIMOPS!$D$3),IFERROR(UPPER(TRIM(BASELINE!D2397&amp;"")),"")&lt;&gt;"ENCERRADA"),1,0),0)</f>
        <v/>
      </c>
      <c r="B2397">
        <f>B2396+A2397</f>
        <v/>
      </c>
    </row>
    <row r="2398">
      <c r="A2398">
        <f>IFERROR(IF(AND(BASELINE!I2398&lt;&gt;"",INT(IF(CALC!$F$1&gt;0,IF(N(INDEX(BASELINE!$A2398:$ZZ2398,CALC!$F$1))&gt;0,N(INDEX(BASELINE!$A2398:$ZZ2398,CALC!$F$1)),N(BASELINE!E2398)),N(BASELINE!E2398)))=INT(SIMOPS!$D$3),IFERROR(UPPER(TRIM(BASELINE!D2398&amp;"")),"")&lt;&gt;"ENCERRADA"),1,0),0)</f>
        <v/>
      </c>
      <c r="B2398">
        <f>B2397+A2398</f>
        <v/>
      </c>
    </row>
    <row r="2399">
      <c r="A2399">
        <f>IFERROR(IF(AND(BASELINE!I2399&lt;&gt;"",INT(IF(CALC!$F$1&gt;0,IF(N(INDEX(BASELINE!$A2399:$ZZ2399,CALC!$F$1))&gt;0,N(INDEX(BASELINE!$A2399:$ZZ2399,CALC!$F$1)),N(BASELINE!E2399)),N(BASELINE!E2399)))=INT(SIMOPS!$D$3),IFERROR(UPPER(TRIM(BASELINE!D2399&amp;"")),"")&lt;&gt;"ENCERRADA"),1,0),0)</f>
        <v/>
      </c>
      <c r="B2399">
        <f>B2398+A2399</f>
        <v/>
      </c>
    </row>
    <row r="2400">
      <c r="A2400">
        <f>IFERROR(IF(AND(BASELINE!I2400&lt;&gt;"",INT(IF(CALC!$F$1&gt;0,IF(N(INDEX(BASELINE!$A2400:$ZZ2400,CALC!$F$1))&gt;0,N(INDEX(BASELINE!$A2400:$ZZ2400,CALC!$F$1)),N(BASELINE!E2400)),N(BASELINE!E2400)))=INT(SIMOPS!$D$3),IFERROR(UPPER(TRIM(BASELINE!D2400&amp;"")),"")&lt;&gt;"ENCERRADA"),1,0),0)</f>
        <v/>
      </c>
      <c r="B2400">
        <f>B2399+A2400</f>
        <v/>
      </c>
    </row>
    <row r="2401">
      <c r="A2401">
        <f>IFERROR(IF(AND(BASELINE!I2401&lt;&gt;"",INT(IF(CALC!$F$1&gt;0,IF(N(INDEX(BASELINE!$A2401:$ZZ2401,CALC!$F$1))&gt;0,N(INDEX(BASELINE!$A2401:$ZZ2401,CALC!$F$1)),N(BASELINE!E2401)),N(BASELINE!E2401)))=INT(SIMOPS!$D$3),IFERROR(UPPER(TRIM(BASELINE!D2401&amp;"")),"")&lt;&gt;"ENCERRADA"),1,0),0)</f>
        <v/>
      </c>
      <c r="B2401">
        <f>B2400+A2401</f>
        <v/>
      </c>
    </row>
    <row r="2402">
      <c r="A2402">
        <f>IFERROR(IF(AND(BASELINE!I2402&lt;&gt;"",INT(IF(CALC!$F$1&gt;0,IF(N(INDEX(BASELINE!$A2402:$ZZ2402,CALC!$F$1))&gt;0,N(INDEX(BASELINE!$A2402:$ZZ2402,CALC!$F$1)),N(BASELINE!E2402)),N(BASELINE!E2402)))=INT(SIMOPS!$D$3),IFERROR(UPPER(TRIM(BASELINE!D2402&amp;"")),"")&lt;&gt;"ENCERRADA"),1,0),0)</f>
        <v/>
      </c>
      <c r="B2402">
        <f>B2401+A2402</f>
        <v/>
      </c>
    </row>
    <row r="2403">
      <c r="A2403">
        <f>IFERROR(IF(AND(BASELINE!I2403&lt;&gt;"",INT(IF(CALC!$F$1&gt;0,IF(N(INDEX(BASELINE!$A2403:$ZZ2403,CALC!$F$1))&gt;0,N(INDEX(BASELINE!$A2403:$ZZ2403,CALC!$F$1)),N(BASELINE!E2403)),N(BASELINE!E2403)))=INT(SIMOPS!$D$3),IFERROR(UPPER(TRIM(BASELINE!D2403&amp;"")),"")&lt;&gt;"ENCERRADA"),1,0),0)</f>
        <v/>
      </c>
      <c r="B2403">
        <f>B2402+A2403</f>
        <v/>
      </c>
    </row>
    <row r="2404">
      <c r="A2404">
        <f>IFERROR(IF(AND(BASELINE!I2404&lt;&gt;"",INT(IF(CALC!$F$1&gt;0,IF(N(INDEX(BASELINE!$A2404:$ZZ2404,CALC!$F$1))&gt;0,N(INDEX(BASELINE!$A2404:$ZZ2404,CALC!$F$1)),N(BASELINE!E2404)),N(BASELINE!E2404)))=INT(SIMOPS!$D$3),IFERROR(UPPER(TRIM(BASELINE!D2404&amp;"")),"")&lt;&gt;"ENCERRADA"),1,0),0)</f>
        <v/>
      </c>
      <c r="B2404">
        <f>B2403+A2404</f>
        <v/>
      </c>
    </row>
    <row r="2405">
      <c r="A2405">
        <f>IFERROR(IF(AND(BASELINE!I2405&lt;&gt;"",INT(IF(CALC!$F$1&gt;0,IF(N(INDEX(BASELINE!$A2405:$ZZ2405,CALC!$F$1))&gt;0,N(INDEX(BASELINE!$A2405:$ZZ2405,CALC!$F$1)),N(BASELINE!E2405)),N(BASELINE!E2405)))=INT(SIMOPS!$D$3),IFERROR(UPPER(TRIM(BASELINE!D2405&amp;"")),"")&lt;&gt;"ENCERRADA"),1,0),0)</f>
        <v/>
      </c>
      <c r="B2405">
        <f>B2404+A2405</f>
        <v/>
      </c>
    </row>
    <row r="2406">
      <c r="A2406">
        <f>IFERROR(IF(AND(BASELINE!I2406&lt;&gt;"",INT(IF(CALC!$F$1&gt;0,IF(N(INDEX(BASELINE!$A2406:$ZZ2406,CALC!$F$1))&gt;0,N(INDEX(BASELINE!$A2406:$ZZ2406,CALC!$F$1)),N(BASELINE!E2406)),N(BASELINE!E2406)))=INT(SIMOPS!$D$3),IFERROR(UPPER(TRIM(BASELINE!D2406&amp;"")),"")&lt;&gt;"ENCERRADA"),1,0),0)</f>
        <v/>
      </c>
      <c r="B2406">
        <f>B2405+A2406</f>
        <v/>
      </c>
    </row>
    <row r="2407">
      <c r="A2407">
        <f>IFERROR(IF(AND(BASELINE!I2407&lt;&gt;"",INT(IF(CALC!$F$1&gt;0,IF(N(INDEX(BASELINE!$A2407:$ZZ2407,CALC!$F$1))&gt;0,N(INDEX(BASELINE!$A2407:$ZZ2407,CALC!$F$1)),N(BASELINE!E2407)),N(BASELINE!E2407)))=INT(SIMOPS!$D$3),IFERROR(UPPER(TRIM(BASELINE!D2407&amp;"")),"")&lt;&gt;"ENCERRADA"),1,0),0)</f>
        <v/>
      </c>
      <c r="B2407">
        <f>B2406+A2407</f>
        <v/>
      </c>
    </row>
    <row r="2408">
      <c r="A2408">
        <f>IFERROR(IF(AND(BASELINE!I2408&lt;&gt;"",INT(IF(CALC!$F$1&gt;0,IF(N(INDEX(BASELINE!$A2408:$ZZ2408,CALC!$F$1))&gt;0,N(INDEX(BASELINE!$A2408:$ZZ2408,CALC!$F$1)),N(BASELINE!E2408)),N(BASELINE!E2408)))=INT(SIMOPS!$D$3),IFERROR(UPPER(TRIM(BASELINE!D2408&amp;"")),"")&lt;&gt;"ENCERRADA"),1,0),0)</f>
        <v/>
      </c>
      <c r="B2408">
        <f>B2407+A2408</f>
        <v/>
      </c>
    </row>
    <row r="2409">
      <c r="A2409">
        <f>IFERROR(IF(AND(BASELINE!I2409&lt;&gt;"",INT(IF(CALC!$F$1&gt;0,IF(N(INDEX(BASELINE!$A2409:$ZZ2409,CALC!$F$1))&gt;0,N(INDEX(BASELINE!$A2409:$ZZ2409,CALC!$F$1)),N(BASELINE!E2409)),N(BASELINE!E2409)))=INT(SIMOPS!$D$3),IFERROR(UPPER(TRIM(BASELINE!D2409&amp;"")),"")&lt;&gt;"ENCERRADA"),1,0),0)</f>
        <v/>
      </c>
      <c r="B2409">
        <f>B2408+A2409</f>
        <v/>
      </c>
    </row>
    <row r="2410">
      <c r="A2410">
        <f>IFERROR(IF(AND(BASELINE!I2410&lt;&gt;"",INT(IF(CALC!$F$1&gt;0,IF(N(INDEX(BASELINE!$A2410:$ZZ2410,CALC!$F$1))&gt;0,N(INDEX(BASELINE!$A2410:$ZZ2410,CALC!$F$1)),N(BASELINE!E2410)),N(BASELINE!E2410)))=INT(SIMOPS!$D$3),IFERROR(UPPER(TRIM(BASELINE!D2410&amp;"")),"")&lt;&gt;"ENCERRADA"),1,0),0)</f>
        <v/>
      </c>
      <c r="B2410">
        <f>B2409+A2410</f>
        <v/>
      </c>
    </row>
    <row r="2411">
      <c r="A2411">
        <f>IFERROR(IF(AND(BASELINE!I2411&lt;&gt;"",INT(IF(CALC!$F$1&gt;0,IF(N(INDEX(BASELINE!$A2411:$ZZ2411,CALC!$F$1))&gt;0,N(INDEX(BASELINE!$A2411:$ZZ2411,CALC!$F$1)),N(BASELINE!E2411)),N(BASELINE!E2411)))=INT(SIMOPS!$D$3),IFERROR(UPPER(TRIM(BASELINE!D2411&amp;"")),"")&lt;&gt;"ENCERRADA"),1,0),0)</f>
        <v/>
      </c>
      <c r="B2411">
        <f>B2410+A2411</f>
        <v/>
      </c>
    </row>
    <row r="2412">
      <c r="A2412">
        <f>IFERROR(IF(AND(BASELINE!I2412&lt;&gt;"",INT(IF(CALC!$F$1&gt;0,IF(N(INDEX(BASELINE!$A2412:$ZZ2412,CALC!$F$1))&gt;0,N(INDEX(BASELINE!$A2412:$ZZ2412,CALC!$F$1)),N(BASELINE!E2412)),N(BASELINE!E2412)))=INT(SIMOPS!$D$3),IFERROR(UPPER(TRIM(BASELINE!D2412&amp;"")),"")&lt;&gt;"ENCERRADA"),1,0),0)</f>
        <v/>
      </c>
      <c r="B2412">
        <f>B2411+A2412</f>
        <v/>
      </c>
    </row>
    <row r="2413">
      <c r="A2413">
        <f>IFERROR(IF(AND(BASELINE!I2413&lt;&gt;"",INT(IF(CALC!$F$1&gt;0,IF(N(INDEX(BASELINE!$A2413:$ZZ2413,CALC!$F$1))&gt;0,N(INDEX(BASELINE!$A2413:$ZZ2413,CALC!$F$1)),N(BASELINE!E2413)),N(BASELINE!E2413)))=INT(SIMOPS!$D$3),IFERROR(UPPER(TRIM(BASELINE!D2413&amp;"")),"")&lt;&gt;"ENCERRADA"),1,0),0)</f>
        <v/>
      </c>
      <c r="B2413">
        <f>B2412+A2413</f>
        <v/>
      </c>
    </row>
    <row r="2414">
      <c r="A2414">
        <f>IFERROR(IF(AND(BASELINE!I2414&lt;&gt;"",INT(IF(CALC!$F$1&gt;0,IF(N(INDEX(BASELINE!$A2414:$ZZ2414,CALC!$F$1))&gt;0,N(INDEX(BASELINE!$A2414:$ZZ2414,CALC!$F$1)),N(BASELINE!E2414)),N(BASELINE!E2414)))=INT(SIMOPS!$D$3),IFERROR(UPPER(TRIM(BASELINE!D2414&amp;"")),"")&lt;&gt;"ENCERRADA"),1,0),0)</f>
        <v/>
      </c>
      <c r="B2414">
        <f>B2413+A2414</f>
        <v/>
      </c>
    </row>
    <row r="2415">
      <c r="A2415">
        <f>IFERROR(IF(AND(BASELINE!I2415&lt;&gt;"",INT(IF(CALC!$F$1&gt;0,IF(N(INDEX(BASELINE!$A2415:$ZZ2415,CALC!$F$1))&gt;0,N(INDEX(BASELINE!$A2415:$ZZ2415,CALC!$F$1)),N(BASELINE!E2415)),N(BASELINE!E2415)))=INT(SIMOPS!$D$3),IFERROR(UPPER(TRIM(BASELINE!D2415&amp;"")),"")&lt;&gt;"ENCERRADA"),1,0),0)</f>
        <v/>
      </c>
      <c r="B2415">
        <f>B2414+A2415</f>
        <v/>
      </c>
    </row>
    <row r="2416">
      <c r="A2416">
        <f>IFERROR(IF(AND(BASELINE!I2416&lt;&gt;"",INT(IF(CALC!$F$1&gt;0,IF(N(INDEX(BASELINE!$A2416:$ZZ2416,CALC!$F$1))&gt;0,N(INDEX(BASELINE!$A2416:$ZZ2416,CALC!$F$1)),N(BASELINE!E2416)),N(BASELINE!E2416)))=INT(SIMOPS!$D$3),IFERROR(UPPER(TRIM(BASELINE!D2416&amp;"")),"")&lt;&gt;"ENCERRADA"),1,0),0)</f>
        <v/>
      </c>
      <c r="B2416">
        <f>B2415+A2416</f>
        <v/>
      </c>
    </row>
    <row r="2417">
      <c r="A2417">
        <f>IFERROR(IF(AND(BASELINE!I2417&lt;&gt;"",INT(IF(CALC!$F$1&gt;0,IF(N(INDEX(BASELINE!$A2417:$ZZ2417,CALC!$F$1))&gt;0,N(INDEX(BASELINE!$A2417:$ZZ2417,CALC!$F$1)),N(BASELINE!E2417)),N(BASELINE!E2417)))=INT(SIMOPS!$D$3),IFERROR(UPPER(TRIM(BASELINE!D2417&amp;"")),"")&lt;&gt;"ENCERRADA"),1,0),0)</f>
        <v/>
      </c>
      <c r="B2417">
        <f>B2416+A2417</f>
        <v/>
      </c>
    </row>
    <row r="2418">
      <c r="A2418">
        <f>IFERROR(IF(AND(BASELINE!I2418&lt;&gt;"",INT(IF(CALC!$F$1&gt;0,IF(N(INDEX(BASELINE!$A2418:$ZZ2418,CALC!$F$1))&gt;0,N(INDEX(BASELINE!$A2418:$ZZ2418,CALC!$F$1)),N(BASELINE!E2418)),N(BASELINE!E2418)))=INT(SIMOPS!$D$3),IFERROR(UPPER(TRIM(BASELINE!D2418&amp;"")),"")&lt;&gt;"ENCERRADA"),1,0),0)</f>
        <v/>
      </c>
      <c r="B2418">
        <f>B2417+A2418</f>
        <v/>
      </c>
    </row>
    <row r="2419">
      <c r="A2419">
        <f>IFERROR(IF(AND(BASELINE!I2419&lt;&gt;"",INT(IF(CALC!$F$1&gt;0,IF(N(INDEX(BASELINE!$A2419:$ZZ2419,CALC!$F$1))&gt;0,N(INDEX(BASELINE!$A2419:$ZZ2419,CALC!$F$1)),N(BASELINE!E2419)),N(BASELINE!E2419)))=INT(SIMOPS!$D$3),IFERROR(UPPER(TRIM(BASELINE!D2419&amp;"")),"")&lt;&gt;"ENCERRADA"),1,0),0)</f>
        <v/>
      </c>
      <c r="B2419">
        <f>B2418+A2419</f>
        <v/>
      </c>
    </row>
    <row r="2420">
      <c r="A2420">
        <f>IFERROR(IF(AND(BASELINE!I2420&lt;&gt;"",INT(IF(CALC!$F$1&gt;0,IF(N(INDEX(BASELINE!$A2420:$ZZ2420,CALC!$F$1))&gt;0,N(INDEX(BASELINE!$A2420:$ZZ2420,CALC!$F$1)),N(BASELINE!E2420)),N(BASELINE!E2420)))=INT(SIMOPS!$D$3),IFERROR(UPPER(TRIM(BASELINE!D2420&amp;"")),"")&lt;&gt;"ENCERRADA"),1,0),0)</f>
        <v/>
      </c>
      <c r="B2420">
        <f>B2419+A2420</f>
        <v/>
      </c>
    </row>
    <row r="2421">
      <c r="A2421">
        <f>IFERROR(IF(AND(BASELINE!I2421&lt;&gt;"",INT(IF(CALC!$F$1&gt;0,IF(N(INDEX(BASELINE!$A2421:$ZZ2421,CALC!$F$1))&gt;0,N(INDEX(BASELINE!$A2421:$ZZ2421,CALC!$F$1)),N(BASELINE!E2421)),N(BASELINE!E2421)))=INT(SIMOPS!$D$3),IFERROR(UPPER(TRIM(BASELINE!D2421&amp;"")),"")&lt;&gt;"ENCERRADA"),1,0),0)</f>
        <v/>
      </c>
      <c r="B2421">
        <f>B2420+A2421</f>
        <v/>
      </c>
    </row>
    <row r="2422">
      <c r="A2422">
        <f>IFERROR(IF(AND(BASELINE!I2422&lt;&gt;"",INT(IF(CALC!$F$1&gt;0,IF(N(INDEX(BASELINE!$A2422:$ZZ2422,CALC!$F$1))&gt;0,N(INDEX(BASELINE!$A2422:$ZZ2422,CALC!$F$1)),N(BASELINE!E2422)),N(BASELINE!E2422)))=INT(SIMOPS!$D$3),IFERROR(UPPER(TRIM(BASELINE!D2422&amp;"")),"")&lt;&gt;"ENCERRADA"),1,0),0)</f>
        <v/>
      </c>
      <c r="B2422">
        <f>B2421+A2422</f>
        <v/>
      </c>
    </row>
    <row r="2423">
      <c r="A2423">
        <f>IFERROR(IF(AND(BASELINE!I2423&lt;&gt;"",INT(IF(CALC!$F$1&gt;0,IF(N(INDEX(BASELINE!$A2423:$ZZ2423,CALC!$F$1))&gt;0,N(INDEX(BASELINE!$A2423:$ZZ2423,CALC!$F$1)),N(BASELINE!E2423)),N(BASELINE!E2423)))=INT(SIMOPS!$D$3),IFERROR(UPPER(TRIM(BASELINE!D2423&amp;"")),"")&lt;&gt;"ENCERRADA"),1,0),0)</f>
        <v/>
      </c>
      <c r="B2423">
        <f>B2422+A2423</f>
        <v/>
      </c>
    </row>
    <row r="2424">
      <c r="A2424">
        <f>IFERROR(IF(AND(BASELINE!I2424&lt;&gt;"",INT(IF(CALC!$F$1&gt;0,IF(N(INDEX(BASELINE!$A2424:$ZZ2424,CALC!$F$1))&gt;0,N(INDEX(BASELINE!$A2424:$ZZ2424,CALC!$F$1)),N(BASELINE!E2424)),N(BASELINE!E2424)))=INT(SIMOPS!$D$3),IFERROR(UPPER(TRIM(BASELINE!D2424&amp;"")),"")&lt;&gt;"ENCERRADA"),1,0),0)</f>
        <v/>
      </c>
      <c r="B2424">
        <f>B2423+A2424</f>
        <v/>
      </c>
    </row>
    <row r="2425">
      <c r="A2425">
        <f>IFERROR(IF(AND(BASELINE!I2425&lt;&gt;"",INT(IF(CALC!$F$1&gt;0,IF(N(INDEX(BASELINE!$A2425:$ZZ2425,CALC!$F$1))&gt;0,N(INDEX(BASELINE!$A2425:$ZZ2425,CALC!$F$1)),N(BASELINE!E2425)),N(BASELINE!E2425)))=INT(SIMOPS!$D$3),IFERROR(UPPER(TRIM(BASELINE!D2425&amp;"")),"")&lt;&gt;"ENCERRADA"),1,0),0)</f>
        <v/>
      </c>
      <c r="B2425">
        <f>B2424+A2425</f>
        <v/>
      </c>
    </row>
    <row r="2426">
      <c r="A2426">
        <f>IFERROR(IF(AND(BASELINE!I2426&lt;&gt;"",INT(IF(CALC!$F$1&gt;0,IF(N(INDEX(BASELINE!$A2426:$ZZ2426,CALC!$F$1))&gt;0,N(INDEX(BASELINE!$A2426:$ZZ2426,CALC!$F$1)),N(BASELINE!E2426)),N(BASELINE!E2426)))=INT(SIMOPS!$D$3),IFERROR(UPPER(TRIM(BASELINE!D2426&amp;"")),"")&lt;&gt;"ENCERRADA"),1,0),0)</f>
        <v/>
      </c>
      <c r="B2426">
        <f>B2425+A2426</f>
        <v/>
      </c>
    </row>
    <row r="2427">
      <c r="A2427">
        <f>IFERROR(IF(AND(BASELINE!I2427&lt;&gt;"",INT(IF(CALC!$F$1&gt;0,IF(N(INDEX(BASELINE!$A2427:$ZZ2427,CALC!$F$1))&gt;0,N(INDEX(BASELINE!$A2427:$ZZ2427,CALC!$F$1)),N(BASELINE!E2427)),N(BASELINE!E2427)))=INT(SIMOPS!$D$3),IFERROR(UPPER(TRIM(BASELINE!D2427&amp;"")),"")&lt;&gt;"ENCERRADA"),1,0),0)</f>
        <v/>
      </c>
      <c r="B2427">
        <f>B2426+A2427</f>
        <v/>
      </c>
    </row>
    <row r="2428">
      <c r="A2428">
        <f>IFERROR(IF(AND(BASELINE!I2428&lt;&gt;"",INT(IF(CALC!$F$1&gt;0,IF(N(INDEX(BASELINE!$A2428:$ZZ2428,CALC!$F$1))&gt;0,N(INDEX(BASELINE!$A2428:$ZZ2428,CALC!$F$1)),N(BASELINE!E2428)),N(BASELINE!E2428)))=INT(SIMOPS!$D$3),IFERROR(UPPER(TRIM(BASELINE!D2428&amp;"")),"")&lt;&gt;"ENCERRADA"),1,0),0)</f>
        <v/>
      </c>
      <c r="B2428">
        <f>B2427+A2428</f>
        <v/>
      </c>
    </row>
    <row r="2429">
      <c r="A2429">
        <f>IFERROR(IF(AND(BASELINE!I2429&lt;&gt;"",INT(IF(CALC!$F$1&gt;0,IF(N(INDEX(BASELINE!$A2429:$ZZ2429,CALC!$F$1))&gt;0,N(INDEX(BASELINE!$A2429:$ZZ2429,CALC!$F$1)),N(BASELINE!E2429)),N(BASELINE!E2429)))=INT(SIMOPS!$D$3),IFERROR(UPPER(TRIM(BASELINE!D2429&amp;"")),"")&lt;&gt;"ENCERRADA"),1,0),0)</f>
        <v/>
      </c>
      <c r="B2429">
        <f>B2428+A2429</f>
        <v/>
      </c>
    </row>
    <row r="2430">
      <c r="A2430">
        <f>IFERROR(IF(AND(BASELINE!I2430&lt;&gt;"",INT(IF(CALC!$F$1&gt;0,IF(N(INDEX(BASELINE!$A2430:$ZZ2430,CALC!$F$1))&gt;0,N(INDEX(BASELINE!$A2430:$ZZ2430,CALC!$F$1)),N(BASELINE!E2430)),N(BASELINE!E2430)))=INT(SIMOPS!$D$3),IFERROR(UPPER(TRIM(BASELINE!D2430&amp;"")),"")&lt;&gt;"ENCERRADA"),1,0),0)</f>
        <v/>
      </c>
      <c r="B2430">
        <f>B2429+A2430</f>
        <v/>
      </c>
    </row>
    <row r="2431">
      <c r="A2431">
        <f>IFERROR(IF(AND(BASELINE!I2431&lt;&gt;"",INT(IF(CALC!$F$1&gt;0,IF(N(INDEX(BASELINE!$A2431:$ZZ2431,CALC!$F$1))&gt;0,N(INDEX(BASELINE!$A2431:$ZZ2431,CALC!$F$1)),N(BASELINE!E2431)),N(BASELINE!E2431)))=INT(SIMOPS!$D$3),IFERROR(UPPER(TRIM(BASELINE!D2431&amp;"")),"")&lt;&gt;"ENCERRADA"),1,0),0)</f>
        <v/>
      </c>
      <c r="B2431">
        <f>B2430+A2431</f>
        <v/>
      </c>
    </row>
    <row r="2432">
      <c r="A2432">
        <f>IFERROR(IF(AND(BASELINE!I2432&lt;&gt;"",INT(IF(CALC!$F$1&gt;0,IF(N(INDEX(BASELINE!$A2432:$ZZ2432,CALC!$F$1))&gt;0,N(INDEX(BASELINE!$A2432:$ZZ2432,CALC!$F$1)),N(BASELINE!E2432)),N(BASELINE!E2432)))=INT(SIMOPS!$D$3),IFERROR(UPPER(TRIM(BASELINE!D2432&amp;"")),"")&lt;&gt;"ENCERRADA"),1,0),0)</f>
        <v/>
      </c>
      <c r="B2432">
        <f>B2431+A2432</f>
        <v/>
      </c>
    </row>
    <row r="2433">
      <c r="A2433">
        <f>IFERROR(IF(AND(BASELINE!I2433&lt;&gt;"",INT(IF(CALC!$F$1&gt;0,IF(N(INDEX(BASELINE!$A2433:$ZZ2433,CALC!$F$1))&gt;0,N(INDEX(BASELINE!$A2433:$ZZ2433,CALC!$F$1)),N(BASELINE!E2433)),N(BASELINE!E2433)))=INT(SIMOPS!$D$3),IFERROR(UPPER(TRIM(BASELINE!D2433&amp;"")),"")&lt;&gt;"ENCERRADA"),1,0),0)</f>
        <v/>
      </c>
      <c r="B2433">
        <f>B2432+A2433</f>
        <v/>
      </c>
    </row>
    <row r="2434">
      <c r="A2434">
        <f>IFERROR(IF(AND(BASELINE!I2434&lt;&gt;"",INT(IF(CALC!$F$1&gt;0,IF(N(INDEX(BASELINE!$A2434:$ZZ2434,CALC!$F$1))&gt;0,N(INDEX(BASELINE!$A2434:$ZZ2434,CALC!$F$1)),N(BASELINE!E2434)),N(BASELINE!E2434)))=INT(SIMOPS!$D$3),IFERROR(UPPER(TRIM(BASELINE!D2434&amp;"")),"")&lt;&gt;"ENCERRADA"),1,0),0)</f>
        <v/>
      </c>
      <c r="B2434">
        <f>B2433+A2434</f>
        <v/>
      </c>
    </row>
    <row r="2435">
      <c r="A2435">
        <f>IFERROR(IF(AND(BASELINE!I2435&lt;&gt;"",INT(IF(CALC!$F$1&gt;0,IF(N(INDEX(BASELINE!$A2435:$ZZ2435,CALC!$F$1))&gt;0,N(INDEX(BASELINE!$A2435:$ZZ2435,CALC!$F$1)),N(BASELINE!E2435)),N(BASELINE!E2435)))=INT(SIMOPS!$D$3),IFERROR(UPPER(TRIM(BASELINE!D2435&amp;"")),"")&lt;&gt;"ENCERRADA"),1,0),0)</f>
        <v/>
      </c>
      <c r="B2435">
        <f>B2434+A2435</f>
        <v/>
      </c>
    </row>
    <row r="2436">
      <c r="A2436">
        <f>IFERROR(IF(AND(BASELINE!I2436&lt;&gt;"",INT(IF(CALC!$F$1&gt;0,IF(N(INDEX(BASELINE!$A2436:$ZZ2436,CALC!$F$1))&gt;0,N(INDEX(BASELINE!$A2436:$ZZ2436,CALC!$F$1)),N(BASELINE!E2436)),N(BASELINE!E2436)))=INT(SIMOPS!$D$3),IFERROR(UPPER(TRIM(BASELINE!D2436&amp;"")),"")&lt;&gt;"ENCERRADA"),1,0),0)</f>
        <v/>
      </c>
      <c r="B2436">
        <f>B2435+A2436</f>
        <v/>
      </c>
    </row>
    <row r="2437">
      <c r="A2437">
        <f>IFERROR(IF(AND(BASELINE!I2437&lt;&gt;"",INT(IF(CALC!$F$1&gt;0,IF(N(INDEX(BASELINE!$A2437:$ZZ2437,CALC!$F$1))&gt;0,N(INDEX(BASELINE!$A2437:$ZZ2437,CALC!$F$1)),N(BASELINE!E2437)),N(BASELINE!E2437)))=INT(SIMOPS!$D$3),IFERROR(UPPER(TRIM(BASELINE!D2437&amp;"")),"")&lt;&gt;"ENCERRADA"),1,0),0)</f>
        <v/>
      </c>
      <c r="B2437">
        <f>B2436+A2437</f>
        <v/>
      </c>
    </row>
    <row r="2438">
      <c r="A2438">
        <f>IFERROR(IF(AND(BASELINE!I2438&lt;&gt;"",INT(IF(CALC!$F$1&gt;0,IF(N(INDEX(BASELINE!$A2438:$ZZ2438,CALC!$F$1))&gt;0,N(INDEX(BASELINE!$A2438:$ZZ2438,CALC!$F$1)),N(BASELINE!E2438)),N(BASELINE!E2438)))=INT(SIMOPS!$D$3),IFERROR(UPPER(TRIM(BASELINE!D2438&amp;"")),"")&lt;&gt;"ENCERRADA"),1,0),0)</f>
        <v/>
      </c>
      <c r="B2438">
        <f>B2437+A2438</f>
        <v/>
      </c>
    </row>
    <row r="2439">
      <c r="A2439">
        <f>IFERROR(IF(AND(BASELINE!I2439&lt;&gt;"",INT(IF(CALC!$F$1&gt;0,IF(N(INDEX(BASELINE!$A2439:$ZZ2439,CALC!$F$1))&gt;0,N(INDEX(BASELINE!$A2439:$ZZ2439,CALC!$F$1)),N(BASELINE!E2439)),N(BASELINE!E2439)))=INT(SIMOPS!$D$3),IFERROR(UPPER(TRIM(BASELINE!D2439&amp;"")),"")&lt;&gt;"ENCERRADA"),1,0),0)</f>
        <v/>
      </c>
      <c r="B2439">
        <f>B2438+A2439</f>
        <v/>
      </c>
    </row>
    <row r="2440">
      <c r="A2440">
        <f>IFERROR(IF(AND(BASELINE!I2440&lt;&gt;"",INT(IF(CALC!$F$1&gt;0,IF(N(INDEX(BASELINE!$A2440:$ZZ2440,CALC!$F$1))&gt;0,N(INDEX(BASELINE!$A2440:$ZZ2440,CALC!$F$1)),N(BASELINE!E2440)),N(BASELINE!E2440)))=INT(SIMOPS!$D$3),IFERROR(UPPER(TRIM(BASELINE!D2440&amp;"")),"")&lt;&gt;"ENCERRADA"),1,0),0)</f>
        <v/>
      </c>
      <c r="B2440">
        <f>B2439+A2440</f>
        <v/>
      </c>
    </row>
    <row r="2441">
      <c r="A2441">
        <f>IFERROR(IF(AND(BASELINE!I2441&lt;&gt;"",INT(IF(CALC!$F$1&gt;0,IF(N(INDEX(BASELINE!$A2441:$ZZ2441,CALC!$F$1))&gt;0,N(INDEX(BASELINE!$A2441:$ZZ2441,CALC!$F$1)),N(BASELINE!E2441)),N(BASELINE!E2441)))=INT(SIMOPS!$D$3),IFERROR(UPPER(TRIM(BASELINE!D2441&amp;"")),"")&lt;&gt;"ENCERRADA"),1,0),0)</f>
        <v/>
      </c>
      <c r="B2441">
        <f>B2440+A2441</f>
        <v/>
      </c>
    </row>
    <row r="2442">
      <c r="A2442">
        <f>IFERROR(IF(AND(BASELINE!I2442&lt;&gt;"",INT(IF(CALC!$F$1&gt;0,IF(N(INDEX(BASELINE!$A2442:$ZZ2442,CALC!$F$1))&gt;0,N(INDEX(BASELINE!$A2442:$ZZ2442,CALC!$F$1)),N(BASELINE!E2442)),N(BASELINE!E2442)))=INT(SIMOPS!$D$3),IFERROR(UPPER(TRIM(BASELINE!D2442&amp;"")),"")&lt;&gt;"ENCERRADA"),1,0),0)</f>
        <v/>
      </c>
      <c r="B2442">
        <f>B2441+A2442</f>
        <v/>
      </c>
    </row>
    <row r="2443">
      <c r="A2443">
        <f>IFERROR(IF(AND(BASELINE!I2443&lt;&gt;"",INT(IF(CALC!$F$1&gt;0,IF(N(INDEX(BASELINE!$A2443:$ZZ2443,CALC!$F$1))&gt;0,N(INDEX(BASELINE!$A2443:$ZZ2443,CALC!$F$1)),N(BASELINE!E2443)),N(BASELINE!E2443)))=INT(SIMOPS!$D$3),IFERROR(UPPER(TRIM(BASELINE!D2443&amp;"")),"")&lt;&gt;"ENCERRADA"),1,0),0)</f>
        <v/>
      </c>
      <c r="B2443">
        <f>B2442+A2443</f>
        <v/>
      </c>
    </row>
    <row r="2444">
      <c r="A2444">
        <f>IFERROR(IF(AND(BASELINE!I2444&lt;&gt;"",INT(IF(CALC!$F$1&gt;0,IF(N(INDEX(BASELINE!$A2444:$ZZ2444,CALC!$F$1))&gt;0,N(INDEX(BASELINE!$A2444:$ZZ2444,CALC!$F$1)),N(BASELINE!E2444)),N(BASELINE!E2444)))=INT(SIMOPS!$D$3),IFERROR(UPPER(TRIM(BASELINE!D2444&amp;"")),"")&lt;&gt;"ENCERRADA"),1,0),0)</f>
        <v/>
      </c>
      <c r="B2444">
        <f>B2443+A2444</f>
        <v/>
      </c>
    </row>
    <row r="2445">
      <c r="A2445">
        <f>IFERROR(IF(AND(BASELINE!I2445&lt;&gt;"",INT(IF(CALC!$F$1&gt;0,IF(N(INDEX(BASELINE!$A2445:$ZZ2445,CALC!$F$1))&gt;0,N(INDEX(BASELINE!$A2445:$ZZ2445,CALC!$F$1)),N(BASELINE!E2445)),N(BASELINE!E2445)))=INT(SIMOPS!$D$3),IFERROR(UPPER(TRIM(BASELINE!D2445&amp;"")),"")&lt;&gt;"ENCERRADA"),1,0),0)</f>
        <v/>
      </c>
      <c r="B2445">
        <f>B2444+A2445</f>
        <v/>
      </c>
    </row>
    <row r="2446">
      <c r="A2446">
        <f>IFERROR(IF(AND(BASELINE!I2446&lt;&gt;"",INT(IF(CALC!$F$1&gt;0,IF(N(INDEX(BASELINE!$A2446:$ZZ2446,CALC!$F$1))&gt;0,N(INDEX(BASELINE!$A2446:$ZZ2446,CALC!$F$1)),N(BASELINE!E2446)),N(BASELINE!E2446)))=INT(SIMOPS!$D$3),IFERROR(UPPER(TRIM(BASELINE!D2446&amp;"")),"")&lt;&gt;"ENCERRADA"),1,0),0)</f>
        <v/>
      </c>
      <c r="B2446">
        <f>B2445+A2446</f>
        <v/>
      </c>
    </row>
    <row r="2447">
      <c r="A2447">
        <f>IFERROR(IF(AND(BASELINE!I2447&lt;&gt;"",INT(IF(CALC!$F$1&gt;0,IF(N(INDEX(BASELINE!$A2447:$ZZ2447,CALC!$F$1))&gt;0,N(INDEX(BASELINE!$A2447:$ZZ2447,CALC!$F$1)),N(BASELINE!E2447)),N(BASELINE!E2447)))=INT(SIMOPS!$D$3),IFERROR(UPPER(TRIM(BASELINE!D2447&amp;"")),"")&lt;&gt;"ENCERRADA"),1,0),0)</f>
        <v/>
      </c>
      <c r="B2447">
        <f>B2446+A2447</f>
        <v/>
      </c>
    </row>
    <row r="2448">
      <c r="A2448">
        <f>IFERROR(IF(AND(BASELINE!I2448&lt;&gt;"",INT(IF(CALC!$F$1&gt;0,IF(N(INDEX(BASELINE!$A2448:$ZZ2448,CALC!$F$1))&gt;0,N(INDEX(BASELINE!$A2448:$ZZ2448,CALC!$F$1)),N(BASELINE!E2448)),N(BASELINE!E2448)))=INT(SIMOPS!$D$3),IFERROR(UPPER(TRIM(BASELINE!D2448&amp;"")),"")&lt;&gt;"ENCERRADA"),1,0),0)</f>
        <v/>
      </c>
      <c r="B2448">
        <f>B2447+A2448</f>
        <v/>
      </c>
    </row>
    <row r="2449">
      <c r="A2449">
        <f>IFERROR(IF(AND(BASELINE!I2449&lt;&gt;"",INT(IF(CALC!$F$1&gt;0,IF(N(INDEX(BASELINE!$A2449:$ZZ2449,CALC!$F$1))&gt;0,N(INDEX(BASELINE!$A2449:$ZZ2449,CALC!$F$1)),N(BASELINE!E2449)),N(BASELINE!E2449)))=INT(SIMOPS!$D$3),IFERROR(UPPER(TRIM(BASELINE!D2449&amp;"")),"")&lt;&gt;"ENCERRADA"),1,0),0)</f>
        <v/>
      </c>
      <c r="B2449">
        <f>B2448+A2449</f>
        <v/>
      </c>
    </row>
    <row r="2450">
      <c r="A2450">
        <f>IFERROR(IF(AND(BASELINE!I2450&lt;&gt;"",INT(IF(CALC!$F$1&gt;0,IF(N(INDEX(BASELINE!$A2450:$ZZ2450,CALC!$F$1))&gt;0,N(INDEX(BASELINE!$A2450:$ZZ2450,CALC!$F$1)),N(BASELINE!E2450)),N(BASELINE!E2450)))=INT(SIMOPS!$D$3),IFERROR(UPPER(TRIM(BASELINE!D2450&amp;"")),"")&lt;&gt;"ENCERRADA"),1,0),0)</f>
        <v/>
      </c>
      <c r="B2450">
        <f>B2449+A2450</f>
        <v/>
      </c>
    </row>
    <row r="2451">
      <c r="A2451">
        <f>IFERROR(IF(AND(BASELINE!I2451&lt;&gt;"",INT(IF(CALC!$F$1&gt;0,IF(N(INDEX(BASELINE!$A2451:$ZZ2451,CALC!$F$1))&gt;0,N(INDEX(BASELINE!$A2451:$ZZ2451,CALC!$F$1)),N(BASELINE!E2451)),N(BASELINE!E2451)))=INT(SIMOPS!$D$3),IFERROR(UPPER(TRIM(BASELINE!D2451&amp;"")),"")&lt;&gt;"ENCERRADA"),1,0),0)</f>
        <v/>
      </c>
      <c r="B2451">
        <f>B2450+A2451</f>
        <v/>
      </c>
    </row>
    <row r="2452">
      <c r="A2452">
        <f>IFERROR(IF(AND(BASELINE!I2452&lt;&gt;"",INT(IF(CALC!$F$1&gt;0,IF(N(INDEX(BASELINE!$A2452:$ZZ2452,CALC!$F$1))&gt;0,N(INDEX(BASELINE!$A2452:$ZZ2452,CALC!$F$1)),N(BASELINE!E2452)),N(BASELINE!E2452)))=INT(SIMOPS!$D$3),IFERROR(UPPER(TRIM(BASELINE!D2452&amp;"")),"")&lt;&gt;"ENCERRADA"),1,0),0)</f>
        <v/>
      </c>
      <c r="B2452">
        <f>B2451+A2452</f>
        <v/>
      </c>
    </row>
    <row r="2453">
      <c r="A2453">
        <f>IFERROR(IF(AND(BASELINE!I2453&lt;&gt;"",INT(IF(CALC!$F$1&gt;0,IF(N(INDEX(BASELINE!$A2453:$ZZ2453,CALC!$F$1))&gt;0,N(INDEX(BASELINE!$A2453:$ZZ2453,CALC!$F$1)),N(BASELINE!E2453)),N(BASELINE!E2453)))=INT(SIMOPS!$D$3),IFERROR(UPPER(TRIM(BASELINE!D2453&amp;"")),"")&lt;&gt;"ENCERRADA"),1,0),0)</f>
        <v/>
      </c>
      <c r="B2453">
        <f>B2452+A2453</f>
        <v/>
      </c>
    </row>
    <row r="2454">
      <c r="A2454">
        <f>IFERROR(IF(AND(BASELINE!I2454&lt;&gt;"",INT(IF(CALC!$F$1&gt;0,IF(N(INDEX(BASELINE!$A2454:$ZZ2454,CALC!$F$1))&gt;0,N(INDEX(BASELINE!$A2454:$ZZ2454,CALC!$F$1)),N(BASELINE!E2454)),N(BASELINE!E2454)))=INT(SIMOPS!$D$3),IFERROR(UPPER(TRIM(BASELINE!D2454&amp;"")),"")&lt;&gt;"ENCERRADA"),1,0),0)</f>
        <v/>
      </c>
      <c r="B2454">
        <f>B2453+A2454</f>
        <v/>
      </c>
    </row>
    <row r="2455">
      <c r="A2455">
        <f>IFERROR(IF(AND(BASELINE!I2455&lt;&gt;"",INT(IF(CALC!$F$1&gt;0,IF(N(INDEX(BASELINE!$A2455:$ZZ2455,CALC!$F$1))&gt;0,N(INDEX(BASELINE!$A2455:$ZZ2455,CALC!$F$1)),N(BASELINE!E2455)),N(BASELINE!E2455)))=INT(SIMOPS!$D$3),IFERROR(UPPER(TRIM(BASELINE!D2455&amp;"")),"")&lt;&gt;"ENCERRADA"),1,0),0)</f>
        <v/>
      </c>
      <c r="B2455">
        <f>B2454+A2455</f>
        <v/>
      </c>
    </row>
    <row r="2456">
      <c r="A2456">
        <f>IFERROR(IF(AND(BASELINE!I2456&lt;&gt;"",INT(IF(CALC!$F$1&gt;0,IF(N(INDEX(BASELINE!$A2456:$ZZ2456,CALC!$F$1))&gt;0,N(INDEX(BASELINE!$A2456:$ZZ2456,CALC!$F$1)),N(BASELINE!E2456)),N(BASELINE!E2456)))=INT(SIMOPS!$D$3),IFERROR(UPPER(TRIM(BASELINE!D2456&amp;"")),"")&lt;&gt;"ENCERRADA"),1,0),0)</f>
        <v/>
      </c>
      <c r="B2456">
        <f>B2455+A2456</f>
        <v/>
      </c>
    </row>
    <row r="2457">
      <c r="A2457">
        <f>IFERROR(IF(AND(BASELINE!I2457&lt;&gt;"",INT(IF(CALC!$F$1&gt;0,IF(N(INDEX(BASELINE!$A2457:$ZZ2457,CALC!$F$1))&gt;0,N(INDEX(BASELINE!$A2457:$ZZ2457,CALC!$F$1)),N(BASELINE!E2457)),N(BASELINE!E2457)))=INT(SIMOPS!$D$3),IFERROR(UPPER(TRIM(BASELINE!D2457&amp;"")),"")&lt;&gt;"ENCERRADA"),1,0),0)</f>
        <v/>
      </c>
      <c r="B2457">
        <f>B2456+A2457</f>
        <v/>
      </c>
    </row>
    <row r="2458">
      <c r="A2458">
        <f>IFERROR(IF(AND(BASELINE!I2458&lt;&gt;"",INT(IF(CALC!$F$1&gt;0,IF(N(INDEX(BASELINE!$A2458:$ZZ2458,CALC!$F$1))&gt;0,N(INDEX(BASELINE!$A2458:$ZZ2458,CALC!$F$1)),N(BASELINE!E2458)),N(BASELINE!E2458)))=INT(SIMOPS!$D$3),IFERROR(UPPER(TRIM(BASELINE!D2458&amp;"")),"")&lt;&gt;"ENCERRADA"),1,0),0)</f>
        <v/>
      </c>
      <c r="B2458">
        <f>B2457+A2458</f>
        <v/>
      </c>
    </row>
    <row r="2459">
      <c r="A2459">
        <f>IFERROR(IF(AND(BASELINE!I2459&lt;&gt;"",INT(IF(CALC!$F$1&gt;0,IF(N(INDEX(BASELINE!$A2459:$ZZ2459,CALC!$F$1))&gt;0,N(INDEX(BASELINE!$A2459:$ZZ2459,CALC!$F$1)),N(BASELINE!E2459)),N(BASELINE!E2459)))=INT(SIMOPS!$D$3),IFERROR(UPPER(TRIM(BASELINE!D2459&amp;"")),"")&lt;&gt;"ENCERRADA"),1,0),0)</f>
        <v/>
      </c>
      <c r="B2459">
        <f>B2458+A2459</f>
        <v/>
      </c>
    </row>
    <row r="2460">
      <c r="A2460">
        <f>IFERROR(IF(AND(BASELINE!I2460&lt;&gt;"",INT(IF(CALC!$F$1&gt;0,IF(N(INDEX(BASELINE!$A2460:$ZZ2460,CALC!$F$1))&gt;0,N(INDEX(BASELINE!$A2460:$ZZ2460,CALC!$F$1)),N(BASELINE!E2460)),N(BASELINE!E2460)))=INT(SIMOPS!$D$3),IFERROR(UPPER(TRIM(BASELINE!D2460&amp;"")),"")&lt;&gt;"ENCERRADA"),1,0),0)</f>
        <v/>
      </c>
      <c r="B2460">
        <f>B2459+A2460</f>
        <v/>
      </c>
    </row>
    <row r="2461">
      <c r="A2461">
        <f>IFERROR(IF(AND(BASELINE!I2461&lt;&gt;"",INT(IF(CALC!$F$1&gt;0,IF(N(INDEX(BASELINE!$A2461:$ZZ2461,CALC!$F$1))&gt;0,N(INDEX(BASELINE!$A2461:$ZZ2461,CALC!$F$1)),N(BASELINE!E2461)),N(BASELINE!E2461)))=INT(SIMOPS!$D$3),IFERROR(UPPER(TRIM(BASELINE!D2461&amp;"")),"")&lt;&gt;"ENCERRADA"),1,0),0)</f>
        <v/>
      </c>
      <c r="B2461">
        <f>B2460+A2461</f>
        <v/>
      </c>
    </row>
    <row r="2462">
      <c r="A2462">
        <f>IFERROR(IF(AND(BASELINE!I2462&lt;&gt;"",INT(IF(CALC!$F$1&gt;0,IF(N(INDEX(BASELINE!$A2462:$ZZ2462,CALC!$F$1))&gt;0,N(INDEX(BASELINE!$A2462:$ZZ2462,CALC!$F$1)),N(BASELINE!E2462)),N(BASELINE!E2462)))=INT(SIMOPS!$D$3),IFERROR(UPPER(TRIM(BASELINE!D2462&amp;"")),"")&lt;&gt;"ENCERRADA"),1,0),0)</f>
        <v/>
      </c>
      <c r="B2462">
        <f>B2461+A2462</f>
        <v/>
      </c>
    </row>
    <row r="2463">
      <c r="A2463">
        <f>IFERROR(IF(AND(BASELINE!I2463&lt;&gt;"",INT(IF(CALC!$F$1&gt;0,IF(N(INDEX(BASELINE!$A2463:$ZZ2463,CALC!$F$1))&gt;0,N(INDEX(BASELINE!$A2463:$ZZ2463,CALC!$F$1)),N(BASELINE!E2463)),N(BASELINE!E2463)))=INT(SIMOPS!$D$3),IFERROR(UPPER(TRIM(BASELINE!D2463&amp;"")),"")&lt;&gt;"ENCERRADA"),1,0),0)</f>
        <v/>
      </c>
      <c r="B2463">
        <f>B2462+A2463</f>
        <v/>
      </c>
    </row>
    <row r="2464">
      <c r="A2464">
        <f>IFERROR(IF(AND(BASELINE!I2464&lt;&gt;"",INT(IF(CALC!$F$1&gt;0,IF(N(INDEX(BASELINE!$A2464:$ZZ2464,CALC!$F$1))&gt;0,N(INDEX(BASELINE!$A2464:$ZZ2464,CALC!$F$1)),N(BASELINE!E2464)),N(BASELINE!E2464)))=INT(SIMOPS!$D$3),IFERROR(UPPER(TRIM(BASELINE!D2464&amp;"")),"")&lt;&gt;"ENCERRADA"),1,0),0)</f>
        <v/>
      </c>
      <c r="B2464">
        <f>B2463+A2464</f>
        <v/>
      </c>
    </row>
    <row r="2465">
      <c r="A2465">
        <f>IFERROR(IF(AND(BASELINE!I2465&lt;&gt;"",INT(IF(CALC!$F$1&gt;0,IF(N(INDEX(BASELINE!$A2465:$ZZ2465,CALC!$F$1))&gt;0,N(INDEX(BASELINE!$A2465:$ZZ2465,CALC!$F$1)),N(BASELINE!E2465)),N(BASELINE!E2465)))=INT(SIMOPS!$D$3),IFERROR(UPPER(TRIM(BASELINE!D2465&amp;"")),"")&lt;&gt;"ENCERRADA"),1,0),0)</f>
        <v/>
      </c>
      <c r="B2465">
        <f>B2464+A2465</f>
        <v/>
      </c>
    </row>
    <row r="2466">
      <c r="A2466">
        <f>IFERROR(IF(AND(BASELINE!I2466&lt;&gt;"",INT(IF(CALC!$F$1&gt;0,IF(N(INDEX(BASELINE!$A2466:$ZZ2466,CALC!$F$1))&gt;0,N(INDEX(BASELINE!$A2466:$ZZ2466,CALC!$F$1)),N(BASELINE!E2466)),N(BASELINE!E2466)))=INT(SIMOPS!$D$3),IFERROR(UPPER(TRIM(BASELINE!D2466&amp;"")),"")&lt;&gt;"ENCERRADA"),1,0),0)</f>
        <v/>
      </c>
      <c r="B2466">
        <f>B2465+A2466</f>
        <v/>
      </c>
    </row>
    <row r="2467">
      <c r="A2467">
        <f>IFERROR(IF(AND(BASELINE!I2467&lt;&gt;"",INT(IF(CALC!$F$1&gt;0,IF(N(INDEX(BASELINE!$A2467:$ZZ2467,CALC!$F$1))&gt;0,N(INDEX(BASELINE!$A2467:$ZZ2467,CALC!$F$1)),N(BASELINE!E2467)),N(BASELINE!E2467)))=INT(SIMOPS!$D$3),IFERROR(UPPER(TRIM(BASELINE!D2467&amp;"")),"")&lt;&gt;"ENCERRADA"),1,0),0)</f>
        <v/>
      </c>
      <c r="B2467">
        <f>B2466+A2467</f>
        <v/>
      </c>
    </row>
    <row r="2468">
      <c r="A2468">
        <f>IFERROR(IF(AND(BASELINE!I2468&lt;&gt;"",INT(IF(CALC!$F$1&gt;0,IF(N(INDEX(BASELINE!$A2468:$ZZ2468,CALC!$F$1))&gt;0,N(INDEX(BASELINE!$A2468:$ZZ2468,CALC!$F$1)),N(BASELINE!E2468)),N(BASELINE!E2468)))=INT(SIMOPS!$D$3),IFERROR(UPPER(TRIM(BASELINE!D2468&amp;"")),"")&lt;&gt;"ENCERRADA"),1,0),0)</f>
        <v/>
      </c>
      <c r="B2468">
        <f>B2467+A2468</f>
        <v/>
      </c>
    </row>
    <row r="2469">
      <c r="A2469">
        <f>IFERROR(IF(AND(BASELINE!I2469&lt;&gt;"",INT(IF(CALC!$F$1&gt;0,IF(N(INDEX(BASELINE!$A2469:$ZZ2469,CALC!$F$1))&gt;0,N(INDEX(BASELINE!$A2469:$ZZ2469,CALC!$F$1)),N(BASELINE!E2469)),N(BASELINE!E2469)))=INT(SIMOPS!$D$3),IFERROR(UPPER(TRIM(BASELINE!D2469&amp;"")),"")&lt;&gt;"ENCERRADA"),1,0),0)</f>
        <v/>
      </c>
      <c r="B2469">
        <f>B2468+A2469</f>
        <v/>
      </c>
    </row>
    <row r="2470">
      <c r="A2470">
        <f>IFERROR(IF(AND(BASELINE!I2470&lt;&gt;"",INT(IF(CALC!$F$1&gt;0,IF(N(INDEX(BASELINE!$A2470:$ZZ2470,CALC!$F$1))&gt;0,N(INDEX(BASELINE!$A2470:$ZZ2470,CALC!$F$1)),N(BASELINE!E2470)),N(BASELINE!E2470)))=INT(SIMOPS!$D$3),IFERROR(UPPER(TRIM(BASELINE!D2470&amp;"")),"")&lt;&gt;"ENCERRADA"),1,0),0)</f>
        <v/>
      </c>
      <c r="B2470">
        <f>B2469+A2470</f>
        <v/>
      </c>
    </row>
    <row r="2471">
      <c r="A2471">
        <f>IFERROR(IF(AND(BASELINE!I2471&lt;&gt;"",INT(IF(CALC!$F$1&gt;0,IF(N(INDEX(BASELINE!$A2471:$ZZ2471,CALC!$F$1))&gt;0,N(INDEX(BASELINE!$A2471:$ZZ2471,CALC!$F$1)),N(BASELINE!E2471)),N(BASELINE!E2471)))=INT(SIMOPS!$D$3),IFERROR(UPPER(TRIM(BASELINE!D2471&amp;"")),"")&lt;&gt;"ENCERRADA"),1,0),0)</f>
        <v/>
      </c>
      <c r="B2471">
        <f>B2470+A2471</f>
        <v/>
      </c>
    </row>
    <row r="2472">
      <c r="A2472">
        <f>IFERROR(IF(AND(BASELINE!I2472&lt;&gt;"",INT(IF(CALC!$F$1&gt;0,IF(N(INDEX(BASELINE!$A2472:$ZZ2472,CALC!$F$1))&gt;0,N(INDEX(BASELINE!$A2472:$ZZ2472,CALC!$F$1)),N(BASELINE!E2472)),N(BASELINE!E2472)))=INT(SIMOPS!$D$3),IFERROR(UPPER(TRIM(BASELINE!D2472&amp;"")),"")&lt;&gt;"ENCERRADA"),1,0),0)</f>
        <v/>
      </c>
      <c r="B2472">
        <f>B2471+A2472</f>
        <v/>
      </c>
    </row>
    <row r="2473">
      <c r="A2473">
        <f>IFERROR(IF(AND(BASELINE!I2473&lt;&gt;"",INT(IF(CALC!$F$1&gt;0,IF(N(INDEX(BASELINE!$A2473:$ZZ2473,CALC!$F$1))&gt;0,N(INDEX(BASELINE!$A2473:$ZZ2473,CALC!$F$1)),N(BASELINE!E2473)),N(BASELINE!E2473)))=INT(SIMOPS!$D$3),IFERROR(UPPER(TRIM(BASELINE!D2473&amp;"")),"")&lt;&gt;"ENCERRADA"),1,0),0)</f>
        <v/>
      </c>
      <c r="B2473">
        <f>B2472+A2473</f>
        <v/>
      </c>
    </row>
    <row r="2474">
      <c r="A2474">
        <f>IFERROR(IF(AND(BASELINE!I2474&lt;&gt;"",INT(IF(CALC!$F$1&gt;0,IF(N(INDEX(BASELINE!$A2474:$ZZ2474,CALC!$F$1))&gt;0,N(INDEX(BASELINE!$A2474:$ZZ2474,CALC!$F$1)),N(BASELINE!E2474)),N(BASELINE!E2474)))=INT(SIMOPS!$D$3),IFERROR(UPPER(TRIM(BASELINE!D2474&amp;"")),"")&lt;&gt;"ENCERRADA"),1,0),0)</f>
        <v/>
      </c>
      <c r="B2474">
        <f>B2473+A2474</f>
        <v/>
      </c>
    </row>
    <row r="2475">
      <c r="A2475">
        <f>IFERROR(IF(AND(BASELINE!I2475&lt;&gt;"",INT(IF(CALC!$F$1&gt;0,IF(N(INDEX(BASELINE!$A2475:$ZZ2475,CALC!$F$1))&gt;0,N(INDEX(BASELINE!$A2475:$ZZ2475,CALC!$F$1)),N(BASELINE!E2475)),N(BASELINE!E2475)))=INT(SIMOPS!$D$3),IFERROR(UPPER(TRIM(BASELINE!D2475&amp;"")),"")&lt;&gt;"ENCERRADA"),1,0),0)</f>
        <v/>
      </c>
      <c r="B2475">
        <f>B2474+A2475</f>
        <v/>
      </c>
    </row>
    <row r="2476">
      <c r="A2476">
        <f>IFERROR(IF(AND(BASELINE!I2476&lt;&gt;"",INT(IF(CALC!$F$1&gt;0,IF(N(INDEX(BASELINE!$A2476:$ZZ2476,CALC!$F$1))&gt;0,N(INDEX(BASELINE!$A2476:$ZZ2476,CALC!$F$1)),N(BASELINE!E2476)),N(BASELINE!E2476)))=INT(SIMOPS!$D$3),IFERROR(UPPER(TRIM(BASELINE!D2476&amp;"")),"")&lt;&gt;"ENCERRADA"),1,0),0)</f>
        <v/>
      </c>
      <c r="B2476">
        <f>B2475+A2476</f>
        <v/>
      </c>
    </row>
    <row r="2477">
      <c r="A2477">
        <f>IFERROR(IF(AND(BASELINE!I2477&lt;&gt;"",INT(IF(CALC!$F$1&gt;0,IF(N(INDEX(BASELINE!$A2477:$ZZ2477,CALC!$F$1))&gt;0,N(INDEX(BASELINE!$A2477:$ZZ2477,CALC!$F$1)),N(BASELINE!E2477)),N(BASELINE!E2477)))=INT(SIMOPS!$D$3),IFERROR(UPPER(TRIM(BASELINE!D2477&amp;"")),"")&lt;&gt;"ENCERRADA"),1,0),0)</f>
        <v/>
      </c>
      <c r="B2477">
        <f>B2476+A2477</f>
        <v/>
      </c>
    </row>
    <row r="2478">
      <c r="A2478">
        <f>IFERROR(IF(AND(BASELINE!I2478&lt;&gt;"",INT(IF(CALC!$F$1&gt;0,IF(N(INDEX(BASELINE!$A2478:$ZZ2478,CALC!$F$1))&gt;0,N(INDEX(BASELINE!$A2478:$ZZ2478,CALC!$F$1)),N(BASELINE!E2478)),N(BASELINE!E2478)))=INT(SIMOPS!$D$3),IFERROR(UPPER(TRIM(BASELINE!D2478&amp;"")),"")&lt;&gt;"ENCERRADA"),1,0),0)</f>
        <v/>
      </c>
      <c r="B2478">
        <f>B2477+A2478</f>
        <v/>
      </c>
    </row>
    <row r="2479">
      <c r="A2479">
        <f>IFERROR(IF(AND(BASELINE!I2479&lt;&gt;"",INT(IF(CALC!$F$1&gt;0,IF(N(INDEX(BASELINE!$A2479:$ZZ2479,CALC!$F$1))&gt;0,N(INDEX(BASELINE!$A2479:$ZZ2479,CALC!$F$1)),N(BASELINE!E2479)),N(BASELINE!E2479)))=INT(SIMOPS!$D$3),IFERROR(UPPER(TRIM(BASELINE!D2479&amp;"")),"")&lt;&gt;"ENCERRADA"),1,0),0)</f>
        <v/>
      </c>
      <c r="B2479">
        <f>B2478+A2479</f>
        <v/>
      </c>
    </row>
    <row r="2480">
      <c r="A2480">
        <f>IFERROR(IF(AND(BASELINE!I2480&lt;&gt;"",INT(IF(CALC!$F$1&gt;0,IF(N(INDEX(BASELINE!$A2480:$ZZ2480,CALC!$F$1))&gt;0,N(INDEX(BASELINE!$A2480:$ZZ2480,CALC!$F$1)),N(BASELINE!E2480)),N(BASELINE!E2480)))=INT(SIMOPS!$D$3),IFERROR(UPPER(TRIM(BASELINE!D2480&amp;"")),"")&lt;&gt;"ENCERRADA"),1,0),0)</f>
        <v/>
      </c>
      <c r="B2480">
        <f>B2479+A2480</f>
        <v/>
      </c>
    </row>
    <row r="2481">
      <c r="A2481">
        <f>IFERROR(IF(AND(BASELINE!I2481&lt;&gt;"",INT(IF(CALC!$F$1&gt;0,IF(N(INDEX(BASELINE!$A2481:$ZZ2481,CALC!$F$1))&gt;0,N(INDEX(BASELINE!$A2481:$ZZ2481,CALC!$F$1)),N(BASELINE!E2481)),N(BASELINE!E2481)))=INT(SIMOPS!$D$3),IFERROR(UPPER(TRIM(BASELINE!D2481&amp;"")),"")&lt;&gt;"ENCERRADA"),1,0),0)</f>
        <v/>
      </c>
      <c r="B2481">
        <f>B2480+A2481</f>
        <v/>
      </c>
    </row>
    <row r="2482">
      <c r="A2482">
        <f>IFERROR(IF(AND(BASELINE!I2482&lt;&gt;"",INT(IF(CALC!$F$1&gt;0,IF(N(INDEX(BASELINE!$A2482:$ZZ2482,CALC!$F$1))&gt;0,N(INDEX(BASELINE!$A2482:$ZZ2482,CALC!$F$1)),N(BASELINE!E2482)),N(BASELINE!E2482)))=INT(SIMOPS!$D$3),IFERROR(UPPER(TRIM(BASELINE!D2482&amp;"")),"")&lt;&gt;"ENCERRADA"),1,0),0)</f>
        <v/>
      </c>
      <c r="B2482">
        <f>B2481+A2482</f>
        <v/>
      </c>
    </row>
    <row r="2483">
      <c r="A2483">
        <f>IFERROR(IF(AND(BASELINE!I2483&lt;&gt;"",INT(IF(CALC!$F$1&gt;0,IF(N(INDEX(BASELINE!$A2483:$ZZ2483,CALC!$F$1))&gt;0,N(INDEX(BASELINE!$A2483:$ZZ2483,CALC!$F$1)),N(BASELINE!E2483)),N(BASELINE!E2483)))=INT(SIMOPS!$D$3),IFERROR(UPPER(TRIM(BASELINE!D2483&amp;"")),"")&lt;&gt;"ENCERRADA"),1,0),0)</f>
        <v/>
      </c>
      <c r="B2483">
        <f>B2482+A2483</f>
        <v/>
      </c>
    </row>
    <row r="2484">
      <c r="A2484">
        <f>IFERROR(IF(AND(BASELINE!I2484&lt;&gt;"",INT(IF(CALC!$F$1&gt;0,IF(N(INDEX(BASELINE!$A2484:$ZZ2484,CALC!$F$1))&gt;0,N(INDEX(BASELINE!$A2484:$ZZ2484,CALC!$F$1)),N(BASELINE!E2484)),N(BASELINE!E2484)))=INT(SIMOPS!$D$3),IFERROR(UPPER(TRIM(BASELINE!D2484&amp;"")),"")&lt;&gt;"ENCERRADA"),1,0),0)</f>
        <v/>
      </c>
      <c r="B2484">
        <f>B2483+A2484</f>
        <v/>
      </c>
    </row>
    <row r="2485">
      <c r="A2485">
        <f>IFERROR(IF(AND(BASELINE!I2485&lt;&gt;"",INT(IF(CALC!$F$1&gt;0,IF(N(INDEX(BASELINE!$A2485:$ZZ2485,CALC!$F$1))&gt;0,N(INDEX(BASELINE!$A2485:$ZZ2485,CALC!$F$1)),N(BASELINE!E2485)),N(BASELINE!E2485)))=INT(SIMOPS!$D$3),IFERROR(UPPER(TRIM(BASELINE!D2485&amp;"")),"")&lt;&gt;"ENCERRADA"),1,0),0)</f>
        <v/>
      </c>
      <c r="B2485">
        <f>B2484+A2485</f>
        <v/>
      </c>
    </row>
    <row r="2486">
      <c r="A2486">
        <f>IFERROR(IF(AND(BASELINE!I2486&lt;&gt;"",INT(IF(CALC!$F$1&gt;0,IF(N(INDEX(BASELINE!$A2486:$ZZ2486,CALC!$F$1))&gt;0,N(INDEX(BASELINE!$A2486:$ZZ2486,CALC!$F$1)),N(BASELINE!E2486)),N(BASELINE!E2486)))=INT(SIMOPS!$D$3),IFERROR(UPPER(TRIM(BASELINE!D2486&amp;"")),"")&lt;&gt;"ENCERRADA"),1,0),0)</f>
        <v/>
      </c>
      <c r="B2486">
        <f>B2485+A2486</f>
        <v/>
      </c>
    </row>
    <row r="2487">
      <c r="A2487">
        <f>IFERROR(IF(AND(BASELINE!I2487&lt;&gt;"",INT(IF(CALC!$F$1&gt;0,IF(N(INDEX(BASELINE!$A2487:$ZZ2487,CALC!$F$1))&gt;0,N(INDEX(BASELINE!$A2487:$ZZ2487,CALC!$F$1)),N(BASELINE!E2487)),N(BASELINE!E2487)))=INT(SIMOPS!$D$3),IFERROR(UPPER(TRIM(BASELINE!D2487&amp;"")),"")&lt;&gt;"ENCERRADA"),1,0),0)</f>
        <v/>
      </c>
      <c r="B2487">
        <f>B2486+A2487</f>
        <v/>
      </c>
    </row>
    <row r="2488">
      <c r="A2488">
        <f>IFERROR(IF(AND(BASELINE!I2488&lt;&gt;"",INT(IF(CALC!$F$1&gt;0,IF(N(INDEX(BASELINE!$A2488:$ZZ2488,CALC!$F$1))&gt;0,N(INDEX(BASELINE!$A2488:$ZZ2488,CALC!$F$1)),N(BASELINE!E2488)),N(BASELINE!E2488)))=INT(SIMOPS!$D$3),IFERROR(UPPER(TRIM(BASELINE!D2488&amp;"")),"")&lt;&gt;"ENCERRADA"),1,0),0)</f>
        <v/>
      </c>
      <c r="B2488">
        <f>B2487+A2488</f>
        <v/>
      </c>
    </row>
    <row r="2489">
      <c r="A2489">
        <f>IFERROR(IF(AND(BASELINE!I2489&lt;&gt;"",INT(IF(CALC!$F$1&gt;0,IF(N(INDEX(BASELINE!$A2489:$ZZ2489,CALC!$F$1))&gt;0,N(INDEX(BASELINE!$A2489:$ZZ2489,CALC!$F$1)),N(BASELINE!E2489)),N(BASELINE!E2489)))=INT(SIMOPS!$D$3),IFERROR(UPPER(TRIM(BASELINE!D2489&amp;"")),"")&lt;&gt;"ENCERRADA"),1,0),0)</f>
        <v/>
      </c>
      <c r="B2489">
        <f>B2488+A2489</f>
        <v/>
      </c>
    </row>
    <row r="2490">
      <c r="A2490">
        <f>IFERROR(IF(AND(BASELINE!I2490&lt;&gt;"",INT(IF(CALC!$F$1&gt;0,IF(N(INDEX(BASELINE!$A2490:$ZZ2490,CALC!$F$1))&gt;0,N(INDEX(BASELINE!$A2490:$ZZ2490,CALC!$F$1)),N(BASELINE!E2490)),N(BASELINE!E2490)))=INT(SIMOPS!$D$3),IFERROR(UPPER(TRIM(BASELINE!D2490&amp;"")),"")&lt;&gt;"ENCERRADA"),1,0),0)</f>
        <v/>
      </c>
      <c r="B2490">
        <f>B2489+A2490</f>
        <v/>
      </c>
    </row>
    <row r="2491">
      <c r="A2491">
        <f>IFERROR(IF(AND(BASELINE!I2491&lt;&gt;"",INT(IF(CALC!$F$1&gt;0,IF(N(INDEX(BASELINE!$A2491:$ZZ2491,CALC!$F$1))&gt;0,N(INDEX(BASELINE!$A2491:$ZZ2491,CALC!$F$1)),N(BASELINE!E2491)),N(BASELINE!E2491)))=INT(SIMOPS!$D$3),IFERROR(UPPER(TRIM(BASELINE!D2491&amp;"")),"")&lt;&gt;"ENCERRADA"),1,0),0)</f>
        <v/>
      </c>
      <c r="B2491">
        <f>B2490+A2491</f>
        <v/>
      </c>
    </row>
    <row r="2492">
      <c r="A2492">
        <f>IFERROR(IF(AND(BASELINE!I2492&lt;&gt;"",INT(IF(CALC!$F$1&gt;0,IF(N(INDEX(BASELINE!$A2492:$ZZ2492,CALC!$F$1))&gt;0,N(INDEX(BASELINE!$A2492:$ZZ2492,CALC!$F$1)),N(BASELINE!E2492)),N(BASELINE!E2492)))=INT(SIMOPS!$D$3),IFERROR(UPPER(TRIM(BASELINE!D2492&amp;"")),"")&lt;&gt;"ENCERRADA"),1,0),0)</f>
        <v/>
      </c>
      <c r="B2492">
        <f>B2491+A2492</f>
        <v/>
      </c>
    </row>
    <row r="2493">
      <c r="A2493">
        <f>IFERROR(IF(AND(BASELINE!I2493&lt;&gt;"",INT(IF(CALC!$F$1&gt;0,IF(N(INDEX(BASELINE!$A2493:$ZZ2493,CALC!$F$1))&gt;0,N(INDEX(BASELINE!$A2493:$ZZ2493,CALC!$F$1)),N(BASELINE!E2493)),N(BASELINE!E2493)))=INT(SIMOPS!$D$3),IFERROR(UPPER(TRIM(BASELINE!D2493&amp;"")),"")&lt;&gt;"ENCERRADA"),1,0),0)</f>
        <v/>
      </c>
      <c r="B2493">
        <f>B2492+A2493</f>
        <v/>
      </c>
    </row>
    <row r="2494">
      <c r="A2494">
        <f>IFERROR(IF(AND(BASELINE!I2494&lt;&gt;"",INT(IF(CALC!$F$1&gt;0,IF(N(INDEX(BASELINE!$A2494:$ZZ2494,CALC!$F$1))&gt;0,N(INDEX(BASELINE!$A2494:$ZZ2494,CALC!$F$1)),N(BASELINE!E2494)),N(BASELINE!E2494)))=INT(SIMOPS!$D$3),IFERROR(UPPER(TRIM(BASELINE!D2494&amp;"")),"")&lt;&gt;"ENCERRADA"),1,0),0)</f>
        <v/>
      </c>
      <c r="B2494">
        <f>B2493+A2494</f>
        <v/>
      </c>
    </row>
    <row r="2495">
      <c r="A2495">
        <f>IFERROR(IF(AND(BASELINE!I2495&lt;&gt;"",INT(IF(CALC!$F$1&gt;0,IF(N(INDEX(BASELINE!$A2495:$ZZ2495,CALC!$F$1))&gt;0,N(INDEX(BASELINE!$A2495:$ZZ2495,CALC!$F$1)),N(BASELINE!E2495)),N(BASELINE!E2495)))=INT(SIMOPS!$D$3),IFERROR(UPPER(TRIM(BASELINE!D2495&amp;"")),"")&lt;&gt;"ENCERRADA"),1,0),0)</f>
        <v/>
      </c>
      <c r="B2495">
        <f>B2494+A2495</f>
        <v/>
      </c>
    </row>
    <row r="2496">
      <c r="A2496">
        <f>IFERROR(IF(AND(BASELINE!I2496&lt;&gt;"",INT(IF(CALC!$F$1&gt;0,IF(N(INDEX(BASELINE!$A2496:$ZZ2496,CALC!$F$1))&gt;0,N(INDEX(BASELINE!$A2496:$ZZ2496,CALC!$F$1)),N(BASELINE!E2496)),N(BASELINE!E2496)))=INT(SIMOPS!$D$3),IFERROR(UPPER(TRIM(BASELINE!D2496&amp;"")),"")&lt;&gt;"ENCERRADA"),1,0),0)</f>
        <v/>
      </c>
      <c r="B2496">
        <f>B2495+A2496</f>
        <v/>
      </c>
    </row>
    <row r="2497">
      <c r="A2497">
        <f>IFERROR(IF(AND(BASELINE!I2497&lt;&gt;"",INT(IF(CALC!$F$1&gt;0,IF(N(INDEX(BASELINE!$A2497:$ZZ2497,CALC!$F$1))&gt;0,N(INDEX(BASELINE!$A2497:$ZZ2497,CALC!$F$1)),N(BASELINE!E2497)),N(BASELINE!E2497)))=INT(SIMOPS!$D$3),IFERROR(UPPER(TRIM(BASELINE!D2497&amp;"")),"")&lt;&gt;"ENCERRADA"),1,0),0)</f>
        <v/>
      </c>
      <c r="B2497">
        <f>B2496+A2497</f>
        <v/>
      </c>
    </row>
    <row r="2498">
      <c r="A2498">
        <f>IFERROR(IF(AND(BASELINE!I2498&lt;&gt;"",INT(IF(CALC!$F$1&gt;0,IF(N(INDEX(BASELINE!$A2498:$ZZ2498,CALC!$F$1))&gt;0,N(INDEX(BASELINE!$A2498:$ZZ2498,CALC!$F$1)),N(BASELINE!E2498)),N(BASELINE!E2498)))=INT(SIMOPS!$D$3),IFERROR(UPPER(TRIM(BASELINE!D2498&amp;"")),"")&lt;&gt;"ENCERRADA"),1,0),0)</f>
        <v/>
      </c>
      <c r="B2498">
        <f>B2497+A2498</f>
        <v/>
      </c>
    </row>
    <row r="2499">
      <c r="A2499">
        <f>IFERROR(IF(AND(BASELINE!I2499&lt;&gt;"",INT(IF(CALC!$F$1&gt;0,IF(N(INDEX(BASELINE!$A2499:$ZZ2499,CALC!$F$1))&gt;0,N(INDEX(BASELINE!$A2499:$ZZ2499,CALC!$F$1)),N(BASELINE!E2499)),N(BASELINE!E2499)))=INT(SIMOPS!$D$3),IFERROR(UPPER(TRIM(BASELINE!D2499&amp;"")),"")&lt;&gt;"ENCERRADA"),1,0),0)</f>
        <v/>
      </c>
      <c r="B2499">
        <f>B2498+A2499</f>
        <v/>
      </c>
    </row>
    <row r="2500">
      <c r="A2500">
        <f>IFERROR(IF(AND(BASELINE!I2500&lt;&gt;"",INT(IF(CALC!$F$1&gt;0,IF(N(INDEX(BASELINE!$A2500:$ZZ2500,CALC!$F$1))&gt;0,N(INDEX(BASELINE!$A2500:$ZZ2500,CALC!$F$1)),N(BASELINE!E2500)),N(BASELINE!E2500)))=INT(SIMOPS!$D$3),IFERROR(UPPER(TRIM(BASELINE!D2500&amp;"")),"")&lt;&gt;"ENCERRADA"),1,0),0)</f>
        <v/>
      </c>
      <c r="B2500">
        <f>B2499+A2500</f>
        <v/>
      </c>
    </row>
    <row r="2501">
      <c r="A2501">
        <f>IFERROR(IF(AND(BASELINE!I2501&lt;&gt;"",INT(IF(CALC!$F$1&gt;0,IF(N(INDEX(BASELINE!$A2501:$ZZ2501,CALC!$F$1))&gt;0,N(INDEX(BASELINE!$A2501:$ZZ2501,CALC!$F$1)),N(BASELINE!E2501)),N(BASELINE!E2501)))=INT(SIMOPS!$D$3),IFERROR(UPPER(TRIM(BASELINE!D2501&amp;"")),"")&lt;&gt;"ENCERRADA"),1,0),0)</f>
        <v/>
      </c>
      <c r="B2501">
        <f>B2500+A2501</f>
        <v/>
      </c>
    </row>
    <row r="2502">
      <c r="A2502">
        <f>IFERROR(IF(AND(BASELINE!I2502&lt;&gt;"",INT(IF(CALC!$F$1&gt;0,IF(N(INDEX(BASELINE!$A2502:$ZZ2502,CALC!$F$1))&gt;0,N(INDEX(BASELINE!$A2502:$ZZ2502,CALC!$F$1)),N(BASELINE!E2502)),N(BASELINE!E2502)))=INT(SIMOPS!$D$3),IFERROR(UPPER(TRIM(BASELINE!D2502&amp;"")),"")&lt;&gt;"ENCERRADA"),1,0),0)</f>
        <v/>
      </c>
      <c r="B2502">
        <f>B2501+A2502</f>
        <v/>
      </c>
    </row>
    <row r="2503">
      <c r="A2503">
        <f>IFERROR(IF(AND(BASELINE!I2503&lt;&gt;"",INT(IF(CALC!$F$1&gt;0,IF(N(INDEX(BASELINE!$A2503:$ZZ2503,CALC!$F$1))&gt;0,N(INDEX(BASELINE!$A2503:$ZZ2503,CALC!$F$1)),N(BASELINE!E2503)),N(BASELINE!E2503)))=INT(SIMOPS!$D$3),IFERROR(UPPER(TRIM(BASELINE!D2503&amp;"")),"")&lt;&gt;"ENCERRADA"),1,0),0)</f>
        <v/>
      </c>
      <c r="B2503">
        <f>B2502+A2503</f>
        <v/>
      </c>
    </row>
    <row r="2504">
      <c r="A2504">
        <f>IFERROR(IF(AND(BASELINE!I2504&lt;&gt;"",INT(IF(CALC!$F$1&gt;0,IF(N(INDEX(BASELINE!$A2504:$ZZ2504,CALC!$F$1))&gt;0,N(INDEX(BASELINE!$A2504:$ZZ2504,CALC!$F$1)),N(BASELINE!E2504)),N(BASELINE!E2504)))=INT(SIMOPS!$D$3),IFERROR(UPPER(TRIM(BASELINE!D2504&amp;"")),"")&lt;&gt;"ENCERRADA"),1,0),0)</f>
        <v/>
      </c>
      <c r="B2504">
        <f>B2503+A2504</f>
        <v/>
      </c>
    </row>
    <row r="2505">
      <c r="A2505">
        <f>IFERROR(IF(AND(BASELINE!I2505&lt;&gt;"",INT(IF(CALC!$F$1&gt;0,IF(N(INDEX(BASELINE!$A2505:$ZZ2505,CALC!$F$1))&gt;0,N(INDEX(BASELINE!$A2505:$ZZ2505,CALC!$F$1)),N(BASELINE!E2505)),N(BASELINE!E2505)))=INT(SIMOPS!$D$3),IFERROR(UPPER(TRIM(BASELINE!D2505&amp;"")),"")&lt;&gt;"ENCERRADA"),1,0),0)</f>
        <v/>
      </c>
      <c r="B2505">
        <f>B2504+A2505</f>
        <v/>
      </c>
    </row>
    <row r="2506">
      <c r="A2506">
        <f>IFERROR(IF(AND(BASELINE!I2506&lt;&gt;"",INT(IF(CALC!$F$1&gt;0,IF(N(INDEX(BASELINE!$A2506:$ZZ2506,CALC!$F$1))&gt;0,N(INDEX(BASELINE!$A2506:$ZZ2506,CALC!$F$1)),N(BASELINE!E2506)),N(BASELINE!E2506)))=INT(SIMOPS!$D$3),IFERROR(UPPER(TRIM(BASELINE!D2506&amp;"")),"")&lt;&gt;"ENCERRADA"),1,0),0)</f>
        <v/>
      </c>
      <c r="B2506">
        <f>B2505+A2506</f>
        <v/>
      </c>
    </row>
    <row r="2507">
      <c r="A2507">
        <f>IFERROR(IF(AND(BASELINE!I2507&lt;&gt;"",INT(IF(CALC!$F$1&gt;0,IF(N(INDEX(BASELINE!$A2507:$ZZ2507,CALC!$F$1))&gt;0,N(INDEX(BASELINE!$A2507:$ZZ2507,CALC!$F$1)),N(BASELINE!E2507)),N(BASELINE!E2507)))=INT(SIMOPS!$D$3),IFERROR(UPPER(TRIM(BASELINE!D2507&amp;"")),"")&lt;&gt;"ENCERRADA"),1,0),0)</f>
        <v/>
      </c>
      <c r="B2507">
        <f>B2506+A2507</f>
        <v/>
      </c>
    </row>
    <row r="2508">
      <c r="A2508">
        <f>IFERROR(IF(AND(BASELINE!I2508&lt;&gt;"",INT(IF(CALC!$F$1&gt;0,IF(N(INDEX(BASELINE!$A2508:$ZZ2508,CALC!$F$1))&gt;0,N(INDEX(BASELINE!$A2508:$ZZ2508,CALC!$F$1)),N(BASELINE!E2508)),N(BASELINE!E2508)))=INT(SIMOPS!$D$3),IFERROR(UPPER(TRIM(BASELINE!D2508&amp;"")),"")&lt;&gt;"ENCERRADA"),1,0),0)</f>
        <v/>
      </c>
      <c r="B2508">
        <f>B2507+A2508</f>
        <v/>
      </c>
    </row>
    <row r="2509">
      <c r="A2509">
        <f>IFERROR(IF(AND(BASELINE!I2509&lt;&gt;"",INT(IF(CALC!$F$1&gt;0,IF(N(INDEX(BASELINE!$A2509:$ZZ2509,CALC!$F$1))&gt;0,N(INDEX(BASELINE!$A2509:$ZZ2509,CALC!$F$1)),N(BASELINE!E2509)),N(BASELINE!E2509)))=INT(SIMOPS!$D$3),IFERROR(UPPER(TRIM(BASELINE!D2509&amp;"")),"")&lt;&gt;"ENCERRADA"),1,0),0)</f>
        <v/>
      </c>
      <c r="B2509">
        <f>B2508+A2509</f>
        <v/>
      </c>
    </row>
    <row r="2510">
      <c r="A2510">
        <f>IFERROR(IF(AND(BASELINE!I2510&lt;&gt;"",INT(IF(CALC!$F$1&gt;0,IF(N(INDEX(BASELINE!$A2510:$ZZ2510,CALC!$F$1))&gt;0,N(INDEX(BASELINE!$A2510:$ZZ2510,CALC!$F$1)),N(BASELINE!E2510)),N(BASELINE!E2510)))=INT(SIMOPS!$D$3),IFERROR(UPPER(TRIM(BASELINE!D2510&amp;"")),"")&lt;&gt;"ENCERRADA"),1,0),0)</f>
        <v/>
      </c>
      <c r="B2510">
        <f>B2509+A2510</f>
        <v/>
      </c>
    </row>
    <row r="2511">
      <c r="A2511">
        <f>IFERROR(IF(AND(BASELINE!I2511&lt;&gt;"",INT(IF(CALC!$F$1&gt;0,IF(N(INDEX(BASELINE!$A2511:$ZZ2511,CALC!$F$1))&gt;0,N(INDEX(BASELINE!$A2511:$ZZ2511,CALC!$F$1)),N(BASELINE!E2511)),N(BASELINE!E2511)))=INT(SIMOPS!$D$3),IFERROR(UPPER(TRIM(BASELINE!D2511&amp;"")),"")&lt;&gt;"ENCERRADA"),1,0),0)</f>
        <v/>
      </c>
      <c r="B2511">
        <f>B2510+A2511</f>
        <v/>
      </c>
    </row>
    <row r="2512">
      <c r="A2512">
        <f>IFERROR(IF(AND(BASELINE!I2512&lt;&gt;"",INT(IF(CALC!$F$1&gt;0,IF(N(INDEX(BASELINE!$A2512:$ZZ2512,CALC!$F$1))&gt;0,N(INDEX(BASELINE!$A2512:$ZZ2512,CALC!$F$1)),N(BASELINE!E2512)),N(BASELINE!E2512)))=INT(SIMOPS!$D$3),IFERROR(UPPER(TRIM(BASELINE!D2512&amp;"")),"")&lt;&gt;"ENCERRADA"),1,0),0)</f>
        <v/>
      </c>
      <c r="B2512">
        <f>B2511+A2512</f>
        <v/>
      </c>
    </row>
    <row r="2513">
      <c r="A2513">
        <f>IFERROR(IF(AND(BASELINE!I2513&lt;&gt;"",INT(IF(CALC!$F$1&gt;0,IF(N(INDEX(BASELINE!$A2513:$ZZ2513,CALC!$F$1))&gt;0,N(INDEX(BASELINE!$A2513:$ZZ2513,CALC!$F$1)),N(BASELINE!E2513)),N(BASELINE!E2513)))=INT(SIMOPS!$D$3),IFERROR(UPPER(TRIM(BASELINE!D2513&amp;"")),"")&lt;&gt;"ENCERRADA"),1,0),0)</f>
        <v/>
      </c>
      <c r="B2513">
        <f>B2512+A2513</f>
        <v/>
      </c>
    </row>
    <row r="2514">
      <c r="A2514">
        <f>IFERROR(IF(AND(BASELINE!I2514&lt;&gt;"",INT(IF(CALC!$F$1&gt;0,IF(N(INDEX(BASELINE!$A2514:$ZZ2514,CALC!$F$1))&gt;0,N(INDEX(BASELINE!$A2514:$ZZ2514,CALC!$F$1)),N(BASELINE!E2514)),N(BASELINE!E2514)))=INT(SIMOPS!$D$3),IFERROR(UPPER(TRIM(BASELINE!D2514&amp;"")),"")&lt;&gt;"ENCERRADA"),1,0),0)</f>
        <v/>
      </c>
      <c r="B2514">
        <f>B2513+A2514</f>
        <v/>
      </c>
    </row>
    <row r="2515">
      <c r="A2515">
        <f>IFERROR(IF(AND(BASELINE!I2515&lt;&gt;"",INT(IF(CALC!$F$1&gt;0,IF(N(INDEX(BASELINE!$A2515:$ZZ2515,CALC!$F$1))&gt;0,N(INDEX(BASELINE!$A2515:$ZZ2515,CALC!$F$1)),N(BASELINE!E2515)),N(BASELINE!E2515)))=INT(SIMOPS!$D$3),IFERROR(UPPER(TRIM(BASELINE!D2515&amp;"")),"")&lt;&gt;"ENCERRADA"),1,0),0)</f>
        <v/>
      </c>
      <c r="B2515">
        <f>B2514+A2515</f>
        <v/>
      </c>
    </row>
    <row r="2516">
      <c r="A2516">
        <f>IFERROR(IF(AND(BASELINE!I2516&lt;&gt;"",INT(IF(CALC!$F$1&gt;0,IF(N(INDEX(BASELINE!$A2516:$ZZ2516,CALC!$F$1))&gt;0,N(INDEX(BASELINE!$A2516:$ZZ2516,CALC!$F$1)),N(BASELINE!E2516)),N(BASELINE!E2516)))=INT(SIMOPS!$D$3),IFERROR(UPPER(TRIM(BASELINE!D2516&amp;"")),"")&lt;&gt;"ENCERRADA"),1,0),0)</f>
        <v/>
      </c>
      <c r="B2516">
        <f>B2515+A2516</f>
        <v/>
      </c>
    </row>
    <row r="2517">
      <c r="A2517">
        <f>IFERROR(IF(AND(BASELINE!I2517&lt;&gt;"",INT(IF(CALC!$F$1&gt;0,IF(N(INDEX(BASELINE!$A2517:$ZZ2517,CALC!$F$1))&gt;0,N(INDEX(BASELINE!$A2517:$ZZ2517,CALC!$F$1)),N(BASELINE!E2517)),N(BASELINE!E2517)))=INT(SIMOPS!$D$3),IFERROR(UPPER(TRIM(BASELINE!D2517&amp;"")),"")&lt;&gt;"ENCERRADA"),1,0),0)</f>
        <v/>
      </c>
      <c r="B2517">
        <f>B2516+A2517</f>
        <v/>
      </c>
    </row>
    <row r="2518">
      <c r="A2518">
        <f>IFERROR(IF(AND(BASELINE!I2518&lt;&gt;"",INT(IF(CALC!$F$1&gt;0,IF(N(INDEX(BASELINE!$A2518:$ZZ2518,CALC!$F$1))&gt;0,N(INDEX(BASELINE!$A2518:$ZZ2518,CALC!$F$1)),N(BASELINE!E2518)),N(BASELINE!E2518)))=INT(SIMOPS!$D$3),IFERROR(UPPER(TRIM(BASELINE!D2518&amp;"")),"")&lt;&gt;"ENCERRADA"),1,0),0)</f>
        <v/>
      </c>
      <c r="B2518">
        <f>B2517+A2518</f>
        <v/>
      </c>
    </row>
    <row r="2519">
      <c r="A2519">
        <f>IFERROR(IF(AND(BASELINE!I2519&lt;&gt;"",INT(IF(CALC!$F$1&gt;0,IF(N(INDEX(BASELINE!$A2519:$ZZ2519,CALC!$F$1))&gt;0,N(INDEX(BASELINE!$A2519:$ZZ2519,CALC!$F$1)),N(BASELINE!E2519)),N(BASELINE!E2519)))=INT(SIMOPS!$D$3),IFERROR(UPPER(TRIM(BASELINE!D2519&amp;"")),"")&lt;&gt;"ENCERRADA"),1,0),0)</f>
        <v/>
      </c>
      <c r="B2519">
        <f>B2518+A2519</f>
        <v/>
      </c>
    </row>
    <row r="2520">
      <c r="A2520">
        <f>IFERROR(IF(AND(BASELINE!I2520&lt;&gt;"",INT(IF(CALC!$F$1&gt;0,IF(N(INDEX(BASELINE!$A2520:$ZZ2520,CALC!$F$1))&gt;0,N(INDEX(BASELINE!$A2520:$ZZ2520,CALC!$F$1)),N(BASELINE!E2520)),N(BASELINE!E2520)))=INT(SIMOPS!$D$3),IFERROR(UPPER(TRIM(BASELINE!D2520&amp;"")),"")&lt;&gt;"ENCERRADA"),1,0),0)</f>
        <v/>
      </c>
      <c r="B2520">
        <f>B2519+A2520</f>
        <v/>
      </c>
    </row>
    <row r="2521">
      <c r="A2521">
        <f>IFERROR(IF(AND(BASELINE!I2521&lt;&gt;"",INT(IF(CALC!$F$1&gt;0,IF(N(INDEX(BASELINE!$A2521:$ZZ2521,CALC!$F$1))&gt;0,N(INDEX(BASELINE!$A2521:$ZZ2521,CALC!$F$1)),N(BASELINE!E2521)),N(BASELINE!E2521)))=INT(SIMOPS!$D$3),IFERROR(UPPER(TRIM(BASELINE!D2521&amp;"")),"")&lt;&gt;"ENCERRADA"),1,0),0)</f>
        <v/>
      </c>
      <c r="B2521">
        <f>B2520+A2521</f>
        <v/>
      </c>
    </row>
    <row r="2522">
      <c r="A2522">
        <f>IFERROR(IF(AND(BASELINE!I2522&lt;&gt;"",INT(IF(CALC!$F$1&gt;0,IF(N(INDEX(BASELINE!$A2522:$ZZ2522,CALC!$F$1))&gt;0,N(INDEX(BASELINE!$A2522:$ZZ2522,CALC!$F$1)),N(BASELINE!E2522)),N(BASELINE!E2522)))=INT(SIMOPS!$D$3),IFERROR(UPPER(TRIM(BASELINE!D2522&amp;"")),"")&lt;&gt;"ENCERRADA"),1,0),0)</f>
        <v/>
      </c>
      <c r="B2522">
        <f>B2521+A2522</f>
        <v/>
      </c>
    </row>
    <row r="2523">
      <c r="A2523">
        <f>IFERROR(IF(AND(BASELINE!I2523&lt;&gt;"",INT(IF(CALC!$F$1&gt;0,IF(N(INDEX(BASELINE!$A2523:$ZZ2523,CALC!$F$1))&gt;0,N(INDEX(BASELINE!$A2523:$ZZ2523,CALC!$F$1)),N(BASELINE!E2523)),N(BASELINE!E2523)))=INT(SIMOPS!$D$3),IFERROR(UPPER(TRIM(BASELINE!D2523&amp;"")),"")&lt;&gt;"ENCERRADA"),1,0),0)</f>
        <v/>
      </c>
      <c r="B2523">
        <f>B2522+A2523</f>
        <v/>
      </c>
    </row>
    <row r="2524">
      <c r="A2524">
        <f>IFERROR(IF(AND(BASELINE!I2524&lt;&gt;"",INT(IF(CALC!$F$1&gt;0,IF(N(INDEX(BASELINE!$A2524:$ZZ2524,CALC!$F$1))&gt;0,N(INDEX(BASELINE!$A2524:$ZZ2524,CALC!$F$1)),N(BASELINE!E2524)),N(BASELINE!E2524)))=INT(SIMOPS!$D$3),IFERROR(UPPER(TRIM(BASELINE!D2524&amp;"")),"")&lt;&gt;"ENCERRADA"),1,0),0)</f>
        <v/>
      </c>
      <c r="B2524">
        <f>B2523+A2524</f>
        <v/>
      </c>
    </row>
    <row r="2525">
      <c r="A2525">
        <f>IFERROR(IF(AND(BASELINE!I2525&lt;&gt;"",INT(IF(CALC!$F$1&gt;0,IF(N(INDEX(BASELINE!$A2525:$ZZ2525,CALC!$F$1))&gt;0,N(INDEX(BASELINE!$A2525:$ZZ2525,CALC!$F$1)),N(BASELINE!E2525)),N(BASELINE!E2525)))=INT(SIMOPS!$D$3),IFERROR(UPPER(TRIM(BASELINE!D2525&amp;"")),"")&lt;&gt;"ENCERRADA"),1,0),0)</f>
        <v/>
      </c>
      <c r="B2525">
        <f>B2524+A2525</f>
        <v/>
      </c>
    </row>
    <row r="2526">
      <c r="A2526">
        <f>IFERROR(IF(AND(BASELINE!I2526&lt;&gt;"",INT(IF(CALC!$F$1&gt;0,IF(N(INDEX(BASELINE!$A2526:$ZZ2526,CALC!$F$1))&gt;0,N(INDEX(BASELINE!$A2526:$ZZ2526,CALC!$F$1)),N(BASELINE!E2526)),N(BASELINE!E2526)))=INT(SIMOPS!$D$3),IFERROR(UPPER(TRIM(BASELINE!D2526&amp;"")),"")&lt;&gt;"ENCERRADA"),1,0),0)</f>
        <v/>
      </c>
      <c r="B2526">
        <f>B2525+A2526</f>
        <v/>
      </c>
    </row>
    <row r="2527">
      <c r="A2527">
        <f>IFERROR(IF(AND(BASELINE!I2527&lt;&gt;"",INT(IF(CALC!$F$1&gt;0,IF(N(INDEX(BASELINE!$A2527:$ZZ2527,CALC!$F$1))&gt;0,N(INDEX(BASELINE!$A2527:$ZZ2527,CALC!$F$1)),N(BASELINE!E2527)),N(BASELINE!E2527)))=INT(SIMOPS!$D$3),IFERROR(UPPER(TRIM(BASELINE!D2527&amp;"")),"")&lt;&gt;"ENCERRADA"),1,0),0)</f>
        <v/>
      </c>
      <c r="B2527">
        <f>B2526+A2527</f>
        <v/>
      </c>
    </row>
    <row r="2528">
      <c r="A2528">
        <f>IFERROR(IF(AND(BASELINE!I2528&lt;&gt;"",INT(IF(CALC!$F$1&gt;0,IF(N(INDEX(BASELINE!$A2528:$ZZ2528,CALC!$F$1))&gt;0,N(INDEX(BASELINE!$A2528:$ZZ2528,CALC!$F$1)),N(BASELINE!E2528)),N(BASELINE!E2528)))=INT(SIMOPS!$D$3),IFERROR(UPPER(TRIM(BASELINE!D2528&amp;"")),"")&lt;&gt;"ENCERRADA"),1,0),0)</f>
        <v/>
      </c>
      <c r="B2528">
        <f>B2527+A2528</f>
        <v/>
      </c>
    </row>
    <row r="2529">
      <c r="A2529">
        <f>IFERROR(IF(AND(BASELINE!I2529&lt;&gt;"",INT(IF(CALC!$F$1&gt;0,IF(N(INDEX(BASELINE!$A2529:$ZZ2529,CALC!$F$1))&gt;0,N(INDEX(BASELINE!$A2529:$ZZ2529,CALC!$F$1)),N(BASELINE!E2529)),N(BASELINE!E2529)))=INT(SIMOPS!$D$3),IFERROR(UPPER(TRIM(BASELINE!D2529&amp;"")),"")&lt;&gt;"ENCERRADA"),1,0),0)</f>
        <v/>
      </c>
      <c r="B2529">
        <f>B2528+A2529</f>
        <v/>
      </c>
    </row>
    <row r="2530">
      <c r="A2530">
        <f>IFERROR(IF(AND(BASELINE!I2530&lt;&gt;"",INT(IF(CALC!$F$1&gt;0,IF(N(INDEX(BASELINE!$A2530:$ZZ2530,CALC!$F$1))&gt;0,N(INDEX(BASELINE!$A2530:$ZZ2530,CALC!$F$1)),N(BASELINE!E2530)),N(BASELINE!E2530)))=INT(SIMOPS!$D$3),IFERROR(UPPER(TRIM(BASELINE!D2530&amp;"")),"")&lt;&gt;"ENCERRADA"),1,0),0)</f>
        <v/>
      </c>
      <c r="B2530">
        <f>B2529+A2530</f>
        <v/>
      </c>
    </row>
    <row r="2531">
      <c r="A2531">
        <f>IFERROR(IF(AND(BASELINE!I2531&lt;&gt;"",INT(IF(CALC!$F$1&gt;0,IF(N(INDEX(BASELINE!$A2531:$ZZ2531,CALC!$F$1))&gt;0,N(INDEX(BASELINE!$A2531:$ZZ2531,CALC!$F$1)),N(BASELINE!E2531)),N(BASELINE!E2531)))=INT(SIMOPS!$D$3),IFERROR(UPPER(TRIM(BASELINE!D2531&amp;"")),"")&lt;&gt;"ENCERRADA"),1,0),0)</f>
        <v/>
      </c>
      <c r="B2531">
        <f>B2530+A2531</f>
        <v/>
      </c>
    </row>
    <row r="2532">
      <c r="A2532">
        <f>IFERROR(IF(AND(BASELINE!I2532&lt;&gt;"",INT(IF(CALC!$F$1&gt;0,IF(N(INDEX(BASELINE!$A2532:$ZZ2532,CALC!$F$1))&gt;0,N(INDEX(BASELINE!$A2532:$ZZ2532,CALC!$F$1)),N(BASELINE!E2532)),N(BASELINE!E2532)))=INT(SIMOPS!$D$3),IFERROR(UPPER(TRIM(BASELINE!D2532&amp;"")),"")&lt;&gt;"ENCERRADA"),1,0),0)</f>
        <v/>
      </c>
      <c r="B2532">
        <f>B2531+A2532</f>
        <v/>
      </c>
    </row>
    <row r="2533">
      <c r="A2533">
        <f>IFERROR(IF(AND(BASELINE!I2533&lt;&gt;"",INT(IF(CALC!$F$1&gt;0,IF(N(INDEX(BASELINE!$A2533:$ZZ2533,CALC!$F$1))&gt;0,N(INDEX(BASELINE!$A2533:$ZZ2533,CALC!$F$1)),N(BASELINE!E2533)),N(BASELINE!E2533)))=INT(SIMOPS!$D$3),IFERROR(UPPER(TRIM(BASELINE!D2533&amp;"")),"")&lt;&gt;"ENCERRADA"),1,0),0)</f>
        <v/>
      </c>
      <c r="B2533">
        <f>B2532+A2533</f>
        <v/>
      </c>
    </row>
    <row r="2534">
      <c r="A2534">
        <f>IFERROR(IF(AND(BASELINE!I2534&lt;&gt;"",INT(IF(CALC!$F$1&gt;0,IF(N(INDEX(BASELINE!$A2534:$ZZ2534,CALC!$F$1))&gt;0,N(INDEX(BASELINE!$A2534:$ZZ2534,CALC!$F$1)),N(BASELINE!E2534)),N(BASELINE!E2534)))=INT(SIMOPS!$D$3),IFERROR(UPPER(TRIM(BASELINE!D2534&amp;"")),"")&lt;&gt;"ENCERRADA"),1,0),0)</f>
        <v/>
      </c>
      <c r="B2534">
        <f>B2533+A2534</f>
        <v/>
      </c>
    </row>
    <row r="2535">
      <c r="A2535">
        <f>IFERROR(IF(AND(BASELINE!I2535&lt;&gt;"",INT(IF(CALC!$F$1&gt;0,IF(N(INDEX(BASELINE!$A2535:$ZZ2535,CALC!$F$1))&gt;0,N(INDEX(BASELINE!$A2535:$ZZ2535,CALC!$F$1)),N(BASELINE!E2535)),N(BASELINE!E2535)))=INT(SIMOPS!$D$3),IFERROR(UPPER(TRIM(BASELINE!D2535&amp;"")),"")&lt;&gt;"ENCERRADA"),1,0),0)</f>
        <v/>
      </c>
      <c r="B2535">
        <f>B2534+A2535</f>
        <v/>
      </c>
    </row>
    <row r="2536">
      <c r="A2536">
        <f>IFERROR(IF(AND(BASELINE!I2536&lt;&gt;"",INT(IF(CALC!$F$1&gt;0,IF(N(INDEX(BASELINE!$A2536:$ZZ2536,CALC!$F$1))&gt;0,N(INDEX(BASELINE!$A2536:$ZZ2536,CALC!$F$1)),N(BASELINE!E2536)),N(BASELINE!E2536)))=INT(SIMOPS!$D$3),IFERROR(UPPER(TRIM(BASELINE!D2536&amp;"")),"")&lt;&gt;"ENCERRADA"),1,0),0)</f>
        <v/>
      </c>
      <c r="B2536">
        <f>B2535+A2536</f>
        <v/>
      </c>
    </row>
    <row r="2537">
      <c r="A2537">
        <f>IFERROR(IF(AND(BASELINE!I2537&lt;&gt;"",INT(IF(CALC!$F$1&gt;0,IF(N(INDEX(BASELINE!$A2537:$ZZ2537,CALC!$F$1))&gt;0,N(INDEX(BASELINE!$A2537:$ZZ2537,CALC!$F$1)),N(BASELINE!E2537)),N(BASELINE!E2537)))=INT(SIMOPS!$D$3),IFERROR(UPPER(TRIM(BASELINE!D2537&amp;"")),"")&lt;&gt;"ENCERRADA"),1,0),0)</f>
        <v/>
      </c>
      <c r="B2537">
        <f>B2536+A2537</f>
        <v/>
      </c>
    </row>
    <row r="2538">
      <c r="A2538">
        <f>IFERROR(IF(AND(BASELINE!I2538&lt;&gt;"",INT(IF(CALC!$F$1&gt;0,IF(N(INDEX(BASELINE!$A2538:$ZZ2538,CALC!$F$1))&gt;0,N(INDEX(BASELINE!$A2538:$ZZ2538,CALC!$F$1)),N(BASELINE!E2538)),N(BASELINE!E2538)))=INT(SIMOPS!$D$3),IFERROR(UPPER(TRIM(BASELINE!D2538&amp;"")),"")&lt;&gt;"ENCERRADA"),1,0),0)</f>
        <v/>
      </c>
      <c r="B2538">
        <f>B2537+A2538</f>
        <v/>
      </c>
    </row>
    <row r="2539">
      <c r="A2539">
        <f>IFERROR(IF(AND(BASELINE!I2539&lt;&gt;"",INT(IF(CALC!$F$1&gt;0,IF(N(INDEX(BASELINE!$A2539:$ZZ2539,CALC!$F$1))&gt;0,N(INDEX(BASELINE!$A2539:$ZZ2539,CALC!$F$1)),N(BASELINE!E2539)),N(BASELINE!E2539)))=INT(SIMOPS!$D$3),IFERROR(UPPER(TRIM(BASELINE!D2539&amp;"")),"")&lt;&gt;"ENCERRADA"),1,0),0)</f>
        <v/>
      </c>
      <c r="B2539">
        <f>B2538+A2539</f>
        <v/>
      </c>
    </row>
    <row r="2540">
      <c r="A2540">
        <f>IFERROR(IF(AND(BASELINE!I2540&lt;&gt;"",INT(IF(CALC!$F$1&gt;0,IF(N(INDEX(BASELINE!$A2540:$ZZ2540,CALC!$F$1))&gt;0,N(INDEX(BASELINE!$A2540:$ZZ2540,CALC!$F$1)),N(BASELINE!E2540)),N(BASELINE!E2540)))=INT(SIMOPS!$D$3),IFERROR(UPPER(TRIM(BASELINE!D2540&amp;"")),"")&lt;&gt;"ENCERRADA"),1,0),0)</f>
        <v/>
      </c>
      <c r="B2540">
        <f>B2539+A2540</f>
        <v/>
      </c>
    </row>
    <row r="2541">
      <c r="A2541">
        <f>IFERROR(IF(AND(BASELINE!I2541&lt;&gt;"",INT(IF(CALC!$F$1&gt;0,IF(N(INDEX(BASELINE!$A2541:$ZZ2541,CALC!$F$1))&gt;0,N(INDEX(BASELINE!$A2541:$ZZ2541,CALC!$F$1)),N(BASELINE!E2541)),N(BASELINE!E2541)))=INT(SIMOPS!$D$3),IFERROR(UPPER(TRIM(BASELINE!D2541&amp;"")),"")&lt;&gt;"ENCERRADA"),1,0),0)</f>
        <v/>
      </c>
      <c r="B2541">
        <f>B2540+A2541</f>
        <v/>
      </c>
    </row>
    <row r="2542">
      <c r="A2542">
        <f>IFERROR(IF(AND(BASELINE!I2542&lt;&gt;"",INT(IF(CALC!$F$1&gt;0,IF(N(INDEX(BASELINE!$A2542:$ZZ2542,CALC!$F$1))&gt;0,N(INDEX(BASELINE!$A2542:$ZZ2542,CALC!$F$1)),N(BASELINE!E2542)),N(BASELINE!E2542)))=INT(SIMOPS!$D$3),IFERROR(UPPER(TRIM(BASELINE!D2542&amp;"")),"")&lt;&gt;"ENCERRADA"),1,0),0)</f>
        <v/>
      </c>
      <c r="B2542">
        <f>B2541+A2542</f>
        <v/>
      </c>
    </row>
    <row r="2543">
      <c r="A2543">
        <f>IFERROR(IF(AND(BASELINE!I2543&lt;&gt;"",INT(IF(CALC!$F$1&gt;0,IF(N(INDEX(BASELINE!$A2543:$ZZ2543,CALC!$F$1))&gt;0,N(INDEX(BASELINE!$A2543:$ZZ2543,CALC!$F$1)),N(BASELINE!E2543)),N(BASELINE!E2543)))=INT(SIMOPS!$D$3),IFERROR(UPPER(TRIM(BASELINE!D2543&amp;"")),"")&lt;&gt;"ENCERRADA"),1,0),0)</f>
        <v/>
      </c>
      <c r="B2543">
        <f>B2542+A2543</f>
        <v/>
      </c>
    </row>
    <row r="2544">
      <c r="A2544">
        <f>IFERROR(IF(AND(BASELINE!I2544&lt;&gt;"",INT(IF(CALC!$F$1&gt;0,IF(N(INDEX(BASELINE!$A2544:$ZZ2544,CALC!$F$1))&gt;0,N(INDEX(BASELINE!$A2544:$ZZ2544,CALC!$F$1)),N(BASELINE!E2544)),N(BASELINE!E2544)))=INT(SIMOPS!$D$3),IFERROR(UPPER(TRIM(BASELINE!D2544&amp;"")),"")&lt;&gt;"ENCERRADA"),1,0),0)</f>
        <v/>
      </c>
      <c r="B2544">
        <f>B2543+A2544</f>
        <v/>
      </c>
    </row>
    <row r="2545">
      <c r="A2545">
        <f>IFERROR(IF(AND(BASELINE!I2545&lt;&gt;"",INT(IF(CALC!$F$1&gt;0,IF(N(INDEX(BASELINE!$A2545:$ZZ2545,CALC!$F$1))&gt;0,N(INDEX(BASELINE!$A2545:$ZZ2545,CALC!$F$1)),N(BASELINE!E2545)),N(BASELINE!E2545)))=INT(SIMOPS!$D$3),IFERROR(UPPER(TRIM(BASELINE!D2545&amp;"")),"")&lt;&gt;"ENCERRADA"),1,0),0)</f>
        <v/>
      </c>
      <c r="B2545">
        <f>B2544+A2545</f>
        <v/>
      </c>
    </row>
    <row r="2546">
      <c r="A2546">
        <f>IFERROR(IF(AND(BASELINE!I2546&lt;&gt;"",INT(IF(CALC!$F$1&gt;0,IF(N(INDEX(BASELINE!$A2546:$ZZ2546,CALC!$F$1))&gt;0,N(INDEX(BASELINE!$A2546:$ZZ2546,CALC!$F$1)),N(BASELINE!E2546)),N(BASELINE!E2546)))=INT(SIMOPS!$D$3),IFERROR(UPPER(TRIM(BASELINE!D2546&amp;"")),"")&lt;&gt;"ENCERRADA"),1,0),0)</f>
        <v/>
      </c>
      <c r="B2546">
        <f>B2545+A2546</f>
        <v/>
      </c>
    </row>
    <row r="2547">
      <c r="A2547">
        <f>IFERROR(IF(AND(BASELINE!I2547&lt;&gt;"",INT(IF(CALC!$F$1&gt;0,IF(N(INDEX(BASELINE!$A2547:$ZZ2547,CALC!$F$1))&gt;0,N(INDEX(BASELINE!$A2547:$ZZ2547,CALC!$F$1)),N(BASELINE!E2547)),N(BASELINE!E2547)))=INT(SIMOPS!$D$3),IFERROR(UPPER(TRIM(BASELINE!D2547&amp;"")),"")&lt;&gt;"ENCERRADA"),1,0),0)</f>
        <v/>
      </c>
      <c r="B2547">
        <f>B2546+A2547</f>
        <v/>
      </c>
    </row>
    <row r="2548">
      <c r="A2548">
        <f>IFERROR(IF(AND(BASELINE!I2548&lt;&gt;"",INT(IF(CALC!$F$1&gt;0,IF(N(INDEX(BASELINE!$A2548:$ZZ2548,CALC!$F$1))&gt;0,N(INDEX(BASELINE!$A2548:$ZZ2548,CALC!$F$1)),N(BASELINE!E2548)),N(BASELINE!E2548)))=INT(SIMOPS!$D$3),IFERROR(UPPER(TRIM(BASELINE!D2548&amp;"")),"")&lt;&gt;"ENCERRADA"),1,0),0)</f>
        <v/>
      </c>
      <c r="B2548">
        <f>B2547+A2548</f>
        <v/>
      </c>
    </row>
    <row r="2549">
      <c r="A2549">
        <f>IFERROR(IF(AND(BASELINE!I2549&lt;&gt;"",INT(IF(CALC!$F$1&gt;0,IF(N(INDEX(BASELINE!$A2549:$ZZ2549,CALC!$F$1))&gt;0,N(INDEX(BASELINE!$A2549:$ZZ2549,CALC!$F$1)),N(BASELINE!E2549)),N(BASELINE!E2549)))=INT(SIMOPS!$D$3),IFERROR(UPPER(TRIM(BASELINE!D2549&amp;"")),"")&lt;&gt;"ENCERRADA"),1,0),0)</f>
        <v/>
      </c>
      <c r="B2549">
        <f>B2548+A2549</f>
        <v/>
      </c>
    </row>
    <row r="2550">
      <c r="A2550">
        <f>IFERROR(IF(AND(BASELINE!I2550&lt;&gt;"",INT(IF(CALC!$F$1&gt;0,IF(N(INDEX(BASELINE!$A2550:$ZZ2550,CALC!$F$1))&gt;0,N(INDEX(BASELINE!$A2550:$ZZ2550,CALC!$F$1)),N(BASELINE!E2550)),N(BASELINE!E2550)))=INT(SIMOPS!$D$3),IFERROR(UPPER(TRIM(BASELINE!D2550&amp;"")),"")&lt;&gt;"ENCERRADA"),1,0),0)</f>
        <v/>
      </c>
      <c r="B2550">
        <f>B2549+A2550</f>
        <v/>
      </c>
    </row>
    <row r="2551">
      <c r="A2551">
        <f>IFERROR(IF(AND(BASELINE!I2551&lt;&gt;"",INT(IF(CALC!$F$1&gt;0,IF(N(INDEX(BASELINE!$A2551:$ZZ2551,CALC!$F$1))&gt;0,N(INDEX(BASELINE!$A2551:$ZZ2551,CALC!$F$1)),N(BASELINE!E2551)),N(BASELINE!E2551)))=INT(SIMOPS!$D$3),IFERROR(UPPER(TRIM(BASELINE!D2551&amp;"")),"")&lt;&gt;"ENCERRADA"),1,0),0)</f>
        <v/>
      </c>
      <c r="B2551">
        <f>B2550+A2551</f>
        <v/>
      </c>
    </row>
    <row r="2552">
      <c r="A2552">
        <f>IFERROR(IF(AND(BASELINE!I2552&lt;&gt;"",INT(IF(CALC!$F$1&gt;0,IF(N(INDEX(BASELINE!$A2552:$ZZ2552,CALC!$F$1))&gt;0,N(INDEX(BASELINE!$A2552:$ZZ2552,CALC!$F$1)),N(BASELINE!E2552)),N(BASELINE!E2552)))=INT(SIMOPS!$D$3),IFERROR(UPPER(TRIM(BASELINE!D2552&amp;"")),"")&lt;&gt;"ENCERRADA"),1,0),0)</f>
        <v/>
      </c>
      <c r="B2552">
        <f>B2551+A2552</f>
        <v/>
      </c>
    </row>
    <row r="2553">
      <c r="A2553">
        <f>IFERROR(IF(AND(BASELINE!I2553&lt;&gt;"",INT(IF(CALC!$F$1&gt;0,IF(N(INDEX(BASELINE!$A2553:$ZZ2553,CALC!$F$1))&gt;0,N(INDEX(BASELINE!$A2553:$ZZ2553,CALC!$F$1)),N(BASELINE!E2553)),N(BASELINE!E2553)))=INT(SIMOPS!$D$3),IFERROR(UPPER(TRIM(BASELINE!D2553&amp;"")),"")&lt;&gt;"ENCERRADA"),1,0),0)</f>
        <v/>
      </c>
      <c r="B2553">
        <f>B2552+A2553</f>
        <v/>
      </c>
    </row>
    <row r="2554">
      <c r="A2554">
        <f>IFERROR(IF(AND(BASELINE!I2554&lt;&gt;"",INT(IF(CALC!$F$1&gt;0,IF(N(INDEX(BASELINE!$A2554:$ZZ2554,CALC!$F$1))&gt;0,N(INDEX(BASELINE!$A2554:$ZZ2554,CALC!$F$1)),N(BASELINE!E2554)),N(BASELINE!E2554)))=INT(SIMOPS!$D$3),IFERROR(UPPER(TRIM(BASELINE!D2554&amp;"")),"")&lt;&gt;"ENCERRADA"),1,0),0)</f>
        <v/>
      </c>
      <c r="B2554">
        <f>B2553+A2554</f>
        <v/>
      </c>
    </row>
    <row r="2555">
      <c r="A2555">
        <f>IFERROR(IF(AND(BASELINE!I2555&lt;&gt;"",INT(IF(CALC!$F$1&gt;0,IF(N(INDEX(BASELINE!$A2555:$ZZ2555,CALC!$F$1))&gt;0,N(INDEX(BASELINE!$A2555:$ZZ2555,CALC!$F$1)),N(BASELINE!E2555)),N(BASELINE!E2555)))=INT(SIMOPS!$D$3),IFERROR(UPPER(TRIM(BASELINE!D2555&amp;"")),"")&lt;&gt;"ENCERRADA"),1,0),0)</f>
        <v/>
      </c>
      <c r="B2555">
        <f>B2554+A2555</f>
        <v/>
      </c>
    </row>
    <row r="2556">
      <c r="A2556">
        <f>IFERROR(IF(AND(BASELINE!I2556&lt;&gt;"",INT(IF(CALC!$F$1&gt;0,IF(N(INDEX(BASELINE!$A2556:$ZZ2556,CALC!$F$1))&gt;0,N(INDEX(BASELINE!$A2556:$ZZ2556,CALC!$F$1)),N(BASELINE!E2556)),N(BASELINE!E2556)))=INT(SIMOPS!$D$3),IFERROR(UPPER(TRIM(BASELINE!D2556&amp;"")),"")&lt;&gt;"ENCERRADA"),1,0),0)</f>
        <v/>
      </c>
      <c r="B2556">
        <f>B2555+A2556</f>
        <v/>
      </c>
    </row>
    <row r="2557">
      <c r="A2557">
        <f>IFERROR(IF(AND(BASELINE!I2557&lt;&gt;"",INT(IF(CALC!$F$1&gt;0,IF(N(INDEX(BASELINE!$A2557:$ZZ2557,CALC!$F$1))&gt;0,N(INDEX(BASELINE!$A2557:$ZZ2557,CALC!$F$1)),N(BASELINE!E2557)),N(BASELINE!E2557)))=INT(SIMOPS!$D$3),IFERROR(UPPER(TRIM(BASELINE!D2557&amp;"")),"")&lt;&gt;"ENCERRADA"),1,0),0)</f>
        <v/>
      </c>
      <c r="B2557">
        <f>B2556+A2557</f>
        <v/>
      </c>
    </row>
    <row r="2558">
      <c r="A2558">
        <f>IFERROR(IF(AND(BASELINE!I2558&lt;&gt;"",INT(IF(CALC!$F$1&gt;0,IF(N(INDEX(BASELINE!$A2558:$ZZ2558,CALC!$F$1))&gt;0,N(INDEX(BASELINE!$A2558:$ZZ2558,CALC!$F$1)),N(BASELINE!E2558)),N(BASELINE!E2558)))=INT(SIMOPS!$D$3),IFERROR(UPPER(TRIM(BASELINE!D2558&amp;"")),"")&lt;&gt;"ENCERRADA"),1,0),0)</f>
        <v/>
      </c>
      <c r="B2558">
        <f>B2557+A2558</f>
        <v/>
      </c>
    </row>
    <row r="2559">
      <c r="A2559">
        <f>IFERROR(IF(AND(BASELINE!I2559&lt;&gt;"",INT(IF(CALC!$F$1&gt;0,IF(N(INDEX(BASELINE!$A2559:$ZZ2559,CALC!$F$1))&gt;0,N(INDEX(BASELINE!$A2559:$ZZ2559,CALC!$F$1)),N(BASELINE!E2559)),N(BASELINE!E2559)))=INT(SIMOPS!$D$3),IFERROR(UPPER(TRIM(BASELINE!D2559&amp;"")),"")&lt;&gt;"ENCERRADA"),1,0),0)</f>
        <v/>
      </c>
      <c r="B2559">
        <f>B2558+A2559</f>
        <v/>
      </c>
    </row>
    <row r="2560">
      <c r="A2560">
        <f>IFERROR(IF(AND(BASELINE!I2560&lt;&gt;"",INT(IF(CALC!$F$1&gt;0,IF(N(INDEX(BASELINE!$A2560:$ZZ2560,CALC!$F$1))&gt;0,N(INDEX(BASELINE!$A2560:$ZZ2560,CALC!$F$1)),N(BASELINE!E2560)),N(BASELINE!E2560)))=INT(SIMOPS!$D$3),IFERROR(UPPER(TRIM(BASELINE!D2560&amp;"")),"")&lt;&gt;"ENCERRADA"),1,0),0)</f>
        <v/>
      </c>
      <c r="B2560">
        <f>B2559+A2560</f>
        <v/>
      </c>
    </row>
    <row r="2561">
      <c r="A2561">
        <f>IFERROR(IF(AND(BASELINE!I2561&lt;&gt;"",INT(IF(CALC!$F$1&gt;0,IF(N(INDEX(BASELINE!$A2561:$ZZ2561,CALC!$F$1))&gt;0,N(INDEX(BASELINE!$A2561:$ZZ2561,CALC!$F$1)),N(BASELINE!E2561)),N(BASELINE!E2561)))=INT(SIMOPS!$D$3),IFERROR(UPPER(TRIM(BASELINE!D2561&amp;"")),"")&lt;&gt;"ENCERRADA"),1,0),0)</f>
        <v/>
      </c>
      <c r="B2561">
        <f>B2560+A2561</f>
        <v/>
      </c>
    </row>
    <row r="2562">
      <c r="A2562">
        <f>IFERROR(IF(AND(BASELINE!I2562&lt;&gt;"",INT(IF(CALC!$F$1&gt;0,IF(N(INDEX(BASELINE!$A2562:$ZZ2562,CALC!$F$1))&gt;0,N(INDEX(BASELINE!$A2562:$ZZ2562,CALC!$F$1)),N(BASELINE!E2562)),N(BASELINE!E2562)))=INT(SIMOPS!$D$3),IFERROR(UPPER(TRIM(BASELINE!D2562&amp;"")),"")&lt;&gt;"ENCERRADA"),1,0),0)</f>
        <v/>
      </c>
      <c r="B2562">
        <f>B2561+A2562</f>
        <v/>
      </c>
    </row>
    <row r="2563">
      <c r="A2563">
        <f>IFERROR(IF(AND(BASELINE!I2563&lt;&gt;"",INT(IF(CALC!$F$1&gt;0,IF(N(INDEX(BASELINE!$A2563:$ZZ2563,CALC!$F$1))&gt;0,N(INDEX(BASELINE!$A2563:$ZZ2563,CALC!$F$1)),N(BASELINE!E2563)),N(BASELINE!E2563)))=INT(SIMOPS!$D$3),IFERROR(UPPER(TRIM(BASELINE!D2563&amp;"")),"")&lt;&gt;"ENCERRADA"),1,0),0)</f>
        <v/>
      </c>
      <c r="B2563">
        <f>B2562+A2563</f>
        <v/>
      </c>
    </row>
    <row r="2564">
      <c r="A2564">
        <f>IFERROR(IF(AND(BASELINE!I2564&lt;&gt;"",INT(IF(CALC!$F$1&gt;0,IF(N(INDEX(BASELINE!$A2564:$ZZ2564,CALC!$F$1))&gt;0,N(INDEX(BASELINE!$A2564:$ZZ2564,CALC!$F$1)),N(BASELINE!E2564)),N(BASELINE!E2564)))=INT(SIMOPS!$D$3),IFERROR(UPPER(TRIM(BASELINE!D2564&amp;"")),"")&lt;&gt;"ENCERRADA"),1,0),0)</f>
        <v/>
      </c>
      <c r="B2564">
        <f>B2563+A2564</f>
        <v/>
      </c>
    </row>
    <row r="2565">
      <c r="A2565">
        <f>IFERROR(IF(AND(BASELINE!I2565&lt;&gt;"",INT(IF(CALC!$F$1&gt;0,IF(N(INDEX(BASELINE!$A2565:$ZZ2565,CALC!$F$1))&gt;0,N(INDEX(BASELINE!$A2565:$ZZ2565,CALC!$F$1)),N(BASELINE!E2565)),N(BASELINE!E2565)))=INT(SIMOPS!$D$3),IFERROR(UPPER(TRIM(BASELINE!D2565&amp;"")),"")&lt;&gt;"ENCERRADA"),1,0),0)</f>
        <v/>
      </c>
      <c r="B2565">
        <f>B2564+A2565</f>
        <v/>
      </c>
    </row>
    <row r="2566">
      <c r="A2566">
        <f>IFERROR(IF(AND(BASELINE!I2566&lt;&gt;"",INT(IF(CALC!$F$1&gt;0,IF(N(INDEX(BASELINE!$A2566:$ZZ2566,CALC!$F$1))&gt;0,N(INDEX(BASELINE!$A2566:$ZZ2566,CALC!$F$1)),N(BASELINE!E2566)),N(BASELINE!E2566)))=INT(SIMOPS!$D$3),IFERROR(UPPER(TRIM(BASELINE!D2566&amp;"")),"")&lt;&gt;"ENCERRADA"),1,0),0)</f>
        <v/>
      </c>
      <c r="B2566">
        <f>B2565+A2566</f>
        <v/>
      </c>
    </row>
    <row r="2567">
      <c r="A2567">
        <f>IFERROR(IF(AND(BASELINE!I2567&lt;&gt;"",INT(IF(CALC!$F$1&gt;0,IF(N(INDEX(BASELINE!$A2567:$ZZ2567,CALC!$F$1))&gt;0,N(INDEX(BASELINE!$A2567:$ZZ2567,CALC!$F$1)),N(BASELINE!E2567)),N(BASELINE!E2567)))=INT(SIMOPS!$D$3),IFERROR(UPPER(TRIM(BASELINE!D2567&amp;"")),"")&lt;&gt;"ENCERRADA"),1,0),0)</f>
        <v/>
      </c>
      <c r="B2567">
        <f>B2566+A2567</f>
        <v/>
      </c>
    </row>
    <row r="2568">
      <c r="A2568">
        <f>IFERROR(IF(AND(BASELINE!I2568&lt;&gt;"",INT(IF(CALC!$F$1&gt;0,IF(N(INDEX(BASELINE!$A2568:$ZZ2568,CALC!$F$1))&gt;0,N(INDEX(BASELINE!$A2568:$ZZ2568,CALC!$F$1)),N(BASELINE!E2568)),N(BASELINE!E2568)))=INT(SIMOPS!$D$3),IFERROR(UPPER(TRIM(BASELINE!D2568&amp;"")),"")&lt;&gt;"ENCERRADA"),1,0),0)</f>
        <v/>
      </c>
      <c r="B2568">
        <f>B2567+A2568</f>
        <v/>
      </c>
    </row>
    <row r="2569">
      <c r="A2569">
        <f>IFERROR(IF(AND(BASELINE!I2569&lt;&gt;"",INT(IF(CALC!$F$1&gt;0,IF(N(INDEX(BASELINE!$A2569:$ZZ2569,CALC!$F$1))&gt;0,N(INDEX(BASELINE!$A2569:$ZZ2569,CALC!$F$1)),N(BASELINE!E2569)),N(BASELINE!E2569)))=INT(SIMOPS!$D$3),IFERROR(UPPER(TRIM(BASELINE!D2569&amp;"")),"")&lt;&gt;"ENCERRADA"),1,0),0)</f>
        <v/>
      </c>
      <c r="B2569">
        <f>B2568+A2569</f>
        <v/>
      </c>
    </row>
    <row r="2570">
      <c r="A2570">
        <f>IFERROR(IF(AND(BASELINE!I2570&lt;&gt;"",INT(IF(CALC!$F$1&gt;0,IF(N(INDEX(BASELINE!$A2570:$ZZ2570,CALC!$F$1))&gt;0,N(INDEX(BASELINE!$A2570:$ZZ2570,CALC!$F$1)),N(BASELINE!E2570)),N(BASELINE!E2570)))=INT(SIMOPS!$D$3),IFERROR(UPPER(TRIM(BASELINE!D2570&amp;"")),"")&lt;&gt;"ENCERRADA"),1,0),0)</f>
        <v/>
      </c>
      <c r="B2570">
        <f>B2569+A2570</f>
        <v/>
      </c>
    </row>
    <row r="2571">
      <c r="A2571">
        <f>IFERROR(IF(AND(BASELINE!I2571&lt;&gt;"",INT(IF(CALC!$F$1&gt;0,IF(N(INDEX(BASELINE!$A2571:$ZZ2571,CALC!$F$1))&gt;0,N(INDEX(BASELINE!$A2571:$ZZ2571,CALC!$F$1)),N(BASELINE!E2571)),N(BASELINE!E2571)))=INT(SIMOPS!$D$3),IFERROR(UPPER(TRIM(BASELINE!D2571&amp;"")),"")&lt;&gt;"ENCERRADA"),1,0),0)</f>
        <v/>
      </c>
      <c r="B2571">
        <f>B2570+A2571</f>
        <v/>
      </c>
    </row>
    <row r="2572">
      <c r="A2572">
        <f>IFERROR(IF(AND(BASELINE!I2572&lt;&gt;"",INT(IF(CALC!$F$1&gt;0,IF(N(INDEX(BASELINE!$A2572:$ZZ2572,CALC!$F$1))&gt;0,N(INDEX(BASELINE!$A2572:$ZZ2572,CALC!$F$1)),N(BASELINE!E2572)),N(BASELINE!E2572)))=INT(SIMOPS!$D$3),IFERROR(UPPER(TRIM(BASELINE!D2572&amp;"")),"")&lt;&gt;"ENCERRADA"),1,0),0)</f>
        <v/>
      </c>
      <c r="B2572">
        <f>B2571+A2572</f>
        <v/>
      </c>
    </row>
    <row r="2573">
      <c r="A2573">
        <f>IFERROR(IF(AND(BASELINE!I2573&lt;&gt;"",INT(IF(CALC!$F$1&gt;0,IF(N(INDEX(BASELINE!$A2573:$ZZ2573,CALC!$F$1))&gt;0,N(INDEX(BASELINE!$A2573:$ZZ2573,CALC!$F$1)),N(BASELINE!E2573)),N(BASELINE!E2573)))=INT(SIMOPS!$D$3),IFERROR(UPPER(TRIM(BASELINE!D2573&amp;"")),"")&lt;&gt;"ENCERRADA"),1,0),0)</f>
        <v/>
      </c>
      <c r="B2573">
        <f>B2572+A2573</f>
        <v/>
      </c>
    </row>
    <row r="2574">
      <c r="A2574">
        <f>IFERROR(IF(AND(BASELINE!I2574&lt;&gt;"",INT(IF(CALC!$F$1&gt;0,IF(N(INDEX(BASELINE!$A2574:$ZZ2574,CALC!$F$1))&gt;0,N(INDEX(BASELINE!$A2574:$ZZ2574,CALC!$F$1)),N(BASELINE!E2574)),N(BASELINE!E2574)))=INT(SIMOPS!$D$3),IFERROR(UPPER(TRIM(BASELINE!D2574&amp;"")),"")&lt;&gt;"ENCERRADA"),1,0),0)</f>
        <v/>
      </c>
      <c r="B2574">
        <f>B2573+A2574</f>
        <v/>
      </c>
    </row>
    <row r="2575">
      <c r="A2575">
        <f>IFERROR(IF(AND(BASELINE!I2575&lt;&gt;"",INT(IF(CALC!$F$1&gt;0,IF(N(INDEX(BASELINE!$A2575:$ZZ2575,CALC!$F$1))&gt;0,N(INDEX(BASELINE!$A2575:$ZZ2575,CALC!$F$1)),N(BASELINE!E2575)),N(BASELINE!E2575)))=INT(SIMOPS!$D$3),IFERROR(UPPER(TRIM(BASELINE!D2575&amp;"")),"")&lt;&gt;"ENCERRADA"),1,0),0)</f>
        <v/>
      </c>
      <c r="B2575">
        <f>B2574+A2575</f>
        <v/>
      </c>
    </row>
    <row r="2576">
      <c r="A2576">
        <f>IFERROR(IF(AND(BASELINE!I2576&lt;&gt;"",INT(IF(CALC!$F$1&gt;0,IF(N(INDEX(BASELINE!$A2576:$ZZ2576,CALC!$F$1))&gt;0,N(INDEX(BASELINE!$A2576:$ZZ2576,CALC!$F$1)),N(BASELINE!E2576)),N(BASELINE!E2576)))=INT(SIMOPS!$D$3),IFERROR(UPPER(TRIM(BASELINE!D2576&amp;"")),"")&lt;&gt;"ENCERRADA"),1,0),0)</f>
        <v/>
      </c>
      <c r="B2576">
        <f>B2575+A2576</f>
        <v/>
      </c>
    </row>
    <row r="2577">
      <c r="A2577">
        <f>IFERROR(IF(AND(BASELINE!I2577&lt;&gt;"",INT(IF(CALC!$F$1&gt;0,IF(N(INDEX(BASELINE!$A2577:$ZZ2577,CALC!$F$1))&gt;0,N(INDEX(BASELINE!$A2577:$ZZ2577,CALC!$F$1)),N(BASELINE!E2577)),N(BASELINE!E2577)))=INT(SIMOPS!$D$3),IFERROR(UPPER(TRIM(BASELINE!D2577&amp;"")),"")&lt;&gt;"ENCERRADA"),1,0),0)</f>
        <v/>
      </c>
      <c r="B2577">
        <f>B2576+A2577</f>
        <v/>
      </c>
    </row>
    <row r="2578">
      <c r="A2578">
        <f>IFERROR(IF(AND(BASELINE!I2578&lt;&gt;"",INT(IF(CALC!$F$1&gt;0,IF(N(INDEX(BASELINE!$A2578:$ZZ2578,CALC!$F$1))&gt;0,N(INDEX(BASELINE!$A2578:$ZZ2578,CALC!$F$1)),N(BASELINE!E2578)),N(BASELINE!E2578)))=INT(SIMOPS!$D$3),IFERROR(UPPER(TRIM(BASELINE!D2578&amp;"")),"")&lt;&gt;"ENCERRADA"),1,0),0)</f>
        <v/>
      </c>
      <c r="B2578">
        <f>B2577+A2578</f>
        <v/>
      </c>
    </row>
    <row r="2579">
      <c r="A2579">
        <f>IFERROR(IF(AND(BASELINE!I2579&lt;&gt;"",INT(IF(CALC!$F$1&gt;0,IF(N(INDEX(BASELINE!$A2579:$ZZ2579,CALC!$F$1))&gt;0,N(INDEX(BASELINE!$A2579:$ZZ2579,CALC!$F$1)),N(BASELINE!E2579)),N(BASELINE!E2579)))=INT(SIMOPS!$D$3),IFERROR(UPPER(TRIM(BASELINE!D2579&amp;"")),"")&lt;&gt;"ENCERRADA"),1,0),0)</f>
        <v/>
      </c>
      <c r="B2579">
        <f>B2578+A2579</f>
        <v/>
      </c>
    </row>
    <row r="2580">
      <c r="A2580">
        <f>IFERROR(IF(AND(BASELINE!I2580&lt;&gt;"",INT(IF(CALC!$F$1&gt;0,IF(N(INDEX(BASELINE!$A2580:$ZZ2580,CALC!$F$1))&gt;0,N(INDEX(BASELINE!$A2580:$ZZ2580,CALC!$F$1)),N(BASELINE!E2580)),N(BASELINE!E2580)))=INT(SIMOPS!$D$3),IFERROR(UPPER(TRIM(BASELINE!D2580&amp;"")),"")&lt;&gt;"ENCERRADA"),1,0),0)</f>
        <v/>
      </c>
      <c r="B2580">
        <f>B2579+A2580</f>
        <v/>
      </c>
    </row>
    <row r="2581">
      <c r="A2581">
        <f>IFERROR(IF(AND(BASELINE!I2581&lt;&gt;"",INT(IF(CALC!$F$1&gt;0,IF(N(INDEX(BASELINE!$A2581:$ZZ2581,CALC!$F$1))&gt;0,N(INDEX(BASELINE!$A2581:$ZZ2581,CALC!$F$1)),N(BASELINE!E2581)),N(BASELINE!E2581)))=INT(SIMOPS!$D$3),IFERROR(UPPER(TRIM(BASELINE!D2581&amp;"")),"")&lt;&gt;"ENCERRADA"),1,0),0)</f>
        <v/>
      </c>
      <c r="B2581">
        <f>B2580+A2581</f>
        <v/>
      </c>
    </row>
    <row r="2582">
      <c r="A2582">
        <f>IFERROR(IF(AND(BASELINE!I2582&lt;&gt;"",INT(IF(CALC!$F$1&gt;0,IF(N(INDEX(BASELINE!$A2582:$ZZ2582,CALC!$F$1))&gt;0,N(INDEX(BASELINE!$A2582:$ZZ2582,CALC!$F$1)),N(BASELINE!E2582)),N(BASELINE!E2582)))=INT(SIMOPS!$D$3),IFERROR(UPPER(TRIM(BASELINE!D2582&amp;"")),"")&lt;&gt;"ENCERRADA"),1,0),0)</f>
        <v/>
      </c>
      <c r="B2582">
        <f>B2581+A2582</f>
        <v/>
      </c>
    </row>
    <row r="2583">
      <c r="A2583">
        <f>IFERROR(IF(AND(BASELINE!I2583&lt;&gt;"",INT(IF(CALC!$F$1&gt;0,IF(N(INDEX(BASELINE!$A2583:$ZZ2583,CALC!$F$1))&gt;0,N(INDEX(BASELINE!$A2583:$ZZ2583,CALC!$F$1)),N(BASELINE!E2583)),N(BASELINE!E2583)))=INT(SIMOPS!$D$3),IFERROR(UPPER(TRIM(BASELINE!D2583&amp;"")),"")&lt;&gt;"ENCERRADA"),1,0),0)</f>
        <v/>
      </c>
      <c r="B2583">
        <f>B2582+A2583</f>
        <v/>
      </c>
    </row>
    <row r="2584">
      <c r="A2584">
        <f>IFERROR(IF(AND(BASELINE!I2584&lt;&gt;"",INT(IF(CALC!$F$1&gt;0,IF(N(INDEX(BASELINE!$A2584:$ZZ2584,CALC!$F$1))&gt;0,N(INDEX(BASELINE!$A2584:$ZZ2584,CALC!$F$1)),N(BASELINE!E2584)),N(BASELINE!E2584)))=INT(SIMOPS!$D$3),IFERROR(UPPER(TRIM(BASELINE!D2584&amp;"")),"")&lt;&gt;"ENCERRADA"),1,0),0)</f>
        <v/>
      </c>
      <c r="B2584">
        <f>B2583+A2584</f>
        <v/>
      </c>
    </row>
    <row r="2585">
      <c r="A2585">
        <f>IFERROR(IF(AND(BASELINE!I2585&lt;&gt;"",INT(IF(CALC!$F$1&gt;0,IF(N(INDEX(BASELINE!$A2585:$ZZ2585,CALC!$F$1))&gt;0,N(INDEX(BASELINE!$A2585:$ZZ2585,CALC!$F$1)),N(BASELINE!E2585)),N(BASELINE!E2585)))=INT(SIMOPS!$D$3),IFERROR(UPPER(TRIM(BASELINE!D2585&amp;"")),"")&lt;&gt;"ENCERRADA"),1,0),0)</f>
        <v/>
      </c>
      <c r="B2585">
        <f>B2584+A2585</f>
        <v/>
      </c>
    </row>
    <row r="2586">
      <c r="A2586">
        <f>IFERROR(IF(AND(BASELINE!I2586&lt;&gt;"",INT(IF(CALC!$F$1&gt;0,IF(N(INDEX(BASELINE!$A2586:$ZZ2586,CALC!$F$1))&gt;0,N(INDEX(BASELINE!$A2586:$ZZ2586,CALC!$F$1)),N(BASELINE!E2586)),N(BASELINE!E2586)))=INT(SIMOPS!$D$3),IFERROR(UPPER(TRIM(BASELINE!D2586&amp;"")),"")&lt;&gt;"ENCERRADA"),1,0),0)</f>
        <v/>
      </c>
      <c r="B2586">
        <f>B2585+A2586</f>
        <v/>
      </c>
    </row>
    <row r="2587">
      <c r="A2587">
        <f>IFERROR(IF(AND(BASELINE!I2587&lt;&gt;"",INT(IF(CALC!$F$1&gt;0,IF(N(INDEX(BASELINE!$A2587:$ZZ2587,CALC!$F$1))&gt;0,N(INDEX(BASELINE!$A2587:$ZZ2587,CALC!$F$1)),N(BASELINE!E2587)),N(BASELINE!E2587)))=INT(SIMOPS!$D$3),IFERROR(UPPER(TRIM(BASELINE!D2587&amp;"")),"")&lt;&gt;"ENCERRADA"),1,0),0)</f>
        <v/>
      </c>
      <c r="B2587">
        <f>B2586+A2587</f>
        <v/>
      </c>
    </row>
    <row r="2588">
      <c r="A2588">
        <f>IFERROR(IF(AND(BASELINE!I2588&lt;&gt;"",INT(IF(CALC!$F$1&gt;0,IF(N(INDEX(BASELINE!$A2588:$ZZ2588,CALC!$F$1))&gt;0,N(INDEX(BASELINE!$A2588:$ZZ2588,CALC!$F$1)),N(BASELINE!E2588)),N(BASELINE!E2588)))=INT(SIMOPS!$D$3),IFERROR(UPPER(TRIM(BASELINE!D2588&amp;"")),"")&lt;&gt;"ENCERRADA"),1,0),0)</f>
        <v/>
      </c>
      <c r="B2588">
        <f>B2587+A2588</f>
        <v/>
      </c>
    </row>
    <row r="2589">
      <c r="A2589">
        <f>IFERROR(IF(AND(BASELINE!I2589&lt;&gt;"",INT(IF(CALC!$F$1&gt;0,IF(N(INDEX(BASELINE!$A2589:$ZZ2589,CALC!$F$1))&gt;0,N(INDEX(BASELINE!$A2589:$ZZ2589,CALC!$F$1)),N(BASELINE!E2589)),N(BASELINE!E2589)))=INT(SIMOPS!$D$3),IFERROR(UPPER(TRIM(BASELINE!D2589&amp;"")),"")&lt;&gt;"ENCERRADA"),1,0),0)</f>
        <v/>
      </c>
      <c r="B2589">
        <f>B2588+A2589</f>
        <v/>
      </c>
    </row>
    <row r="2590">
      <c r="A2590">
        <f>IFERROR(IF(AND(BASELINE!I2590&lt;&gt;"",INT(IF(CALC!$F$1&gt;0,IF(N(INDEX(BASELINE!$A2590:$ZZ2590,CALC!$F$1))&gt;0,N(INDEX(BASELINE!$A2590:$ZZ2590,CALC!$F$1)),N(BASELINE!E2590)),N(BASELINE!E2590)))=INT(SIMOPS!$D$3),IFERROR(UPPER(TRIM(BASELINE!D2590&amp;"")),"")&lt;&gt;"ENCERRADA"),1,0),0)</f>
        <v/>
      </c>
      <c r="B2590">
        <f>B2589+A2590</f>
        <v/>
      </c>
    </row>
    <row r="2591">
      <c r="A2591">
        <f>IFERROR(IF(AND(BASELINE!I2591&lt;&gt;"",INT(IF(CALC!$F$1&gt;0,IF(N(INDEX(BASELINE!$A2591:$ZZ2591,CALC!$F$1))&gt;0,N(INDEX(BASELINE!$A2591:$ZZ2591,CALC!$F$1)),N(BASELINE!E2591)),N(BASELINE!E2591)))=INT(SIMOPS!$D$3),IFERROR(UPPER(TRIM(BASELINE!D2591&amp;"")),"")&lt;&gt;"ENCERRADA"),1,0),0)</f>
        <v/>
      </c>
      <c r="B2591">
        <f>B2590+A2591</f>
        <v/>
      </c>
    </row>
    <row r="2592">
      <c r="A2592">
        <f>IFERROR(IF(AND(BASELINE!I2592&lt;&gt;"",INT(IF(CALC!$F$1&gt;0,IF(N(INDEX(BASELINE!$A2592:$ZZ2592,CALC!$F$1))&gt;0,N(INDEX(BASELINE!$A2592:$ZZ2592,CALC!$F$1)),N(BASELINE!E2592)),N(BASELINE!E2592)))=INT(SIMOPS!$D$3),IFERROR(UPPER(TRIM(BASELINE!D2592&amp;"")),"")&lt;&gt;"ENCERRADA"),1,0),0)</f>
        <v/>
      </c>
      <c r="B2592">
        <f>B2591+A2592</f>
        <v/>
      </c>
    </row>
    <row r="2593">
      <c r="A2593">
        <f>IFERROR(IF(AND(BASELINE!I2593&lt;&gt;"",INT(IF(CALC!$F$1&gt;0,IF(N(INDEX(BASELINE!$A2593:$ZZ2593,CALC!$F$1))&gt;0,N(INDEX(BASELINE!$A2593:$ZZ2593,CALC!$F$1)),N(BASELINE!E2593)),N(BASELINE!E2593)))=INT(SIMOPS!$D$3),IFERROR(UPPER(TRIM(BASELINE!D2593&amp;"")),"")&lt;&gt;"ENCERRADA"),1,0),0)</f>
        <v/>
      </c>
      <c r="B2593">
        <f>B2592+A2593</f>
        <v/>
      </c>
    </row>
    <row r="2594">
      <c r="A2594">
        <f>IFERROR(IF(AND(BASELINE!I2594&lt;&gt;"",INT(IF(CALC!$F$1&gt;0,IF(N(INDEX(BASELINE!$A2594:$ZZ2594,CALC!$F$1))&gt;0,N(INDEX(BASELINE!$A2594:$ZZ2594,CALC!$F$1)),N(BASELINE!E2594)),N(BASELINE!E2594)))=INT(SIMOPS!$D$3),IFERROR(UPPER(TRIM(BASELINE!D2594&amp;"")),"")&lt;&gt;"ENCERRADA"),1,0),0)</f>
        <v/>
      </c>
      <c r="B2594">
        <f>B2593+A2594</f>
        <v/>
      </c>
    </row>
    <row r="2595">
      <c r="A2595">
        <f>IFERROR(IF(AND(BASELINE!I2595&lt;&gt;"",INT(IF(CALC!$F$1&gt;0,IF(N(INDEX(BASELINE!$A2595:$ZZ2595,CALC!$F$1))&gt;0,N(INDEX(BASELINE!$A2595:$ZZ2595,CALC!$F$1)),N(BASELINE!E2595)),N(BASELINE!E2595)))=INT(SIMOPS!$D$3),IFERROR(UPPER(TRIM(BASELINE!D2595&amp;"")),"")&lt;&gt;"ENCERRADA"),1,0),0)</f>
        <v/>
      </c>
      <c r="B2595">
        <f>B2594+A2595</f>
        <v/>
      </c>
    </row>
    <row r="2596">
      <c r="A2596">
        <f>IFERROR(IF(AND(BASELINE!I2596&lt;&gt;"",INT(IF(CALC!$F$1&gt;0,IF(N(INDEX(BASELINE!$A2596:$ZZ2596,CALC!$F$1))&gt;0,N(INDEX(BASELINE!$A2596:$ZZ2596,CALC!$F$1)),N(BASELINE!E2596)),N(BASELINE!E2596)))=INT(SIMOPS!$D$3),IFERROR(UPPER(TRIM(BASELINE!D2596&amp;"")),"")&lt;&gt;"ENCERRADA"),1,0),0)</f>
        <v/>
      </c>
      <c r="B2596">
        <f>B2595+A2596</f>
        <v/>
      </c>
    </row>
    <row r="2597">
      <c r="A2597">
        <f>IFERROR(IF(AND(BASELINE!I2597&lt;&gt;"",INT(IF(CALC!$F$1&gt;0,IF(N(INDEX(BASELINE!$A2597:$ZZ2597,CALC!$F$1))&gt;0,N(INDEX(BASELINE!$A2597:$ZZ2597,CALC!$F$1)),N(BASELINE!E2597)),N(BASELINE!E2597)))=INT(SIMOPS!$D$3),IFERROR(UPPER(TRIM(BASELINE!D2597&amp;"")),"")&lt;&gt;"ENCERRADA"),1,0),0)</f>
        <v/>
      </c>
      <c r="B2597">
        <f>B2596+A2597</f>
        <v/>
      </c>
    </row>
    <row r="2598">
      <c r="A2598">
        <f>IFERROR(IF(AND(BASELINE!I2598&lt;&gt;"",INT(IF(CALC!$F$1&gt;0,IF(N(INDEX(BASELINE!$A2598:$ZZ2598,CALC!$F$1))&gt;0,N(INDEX(BASELINE!$A2598:$ZZ2598,CALC!$F$1)),N(BASELINE!E2598)),N(BASELINE!E2598)))=INT(SIMOPS!$D$3),IFERROR(UPPER(TRIM(BASELINE!D2598&amp;"")),"")&lt;&gt;"ENCERRADA"),1,0),0)</f>
        <v/>
      </c>
      <c r="B2598">
        <f>B2597+A2598</f>
        <v/>
      </c>
    </row>
    <row r="2599">
      <c r="A2599">
        <f>IFERROR(IF(AND(BASELINE!I2599&lt;&gt;"",INT(IF(CALC!$F$1&gt;0,IF(N(INDEX(BASELINE!$A2599:$ZZ2599,CALC!$F$1))&gt;0,N(INDEX(BASELINE!$A2599:$ZZ2599,CALC!$F$1)),N(BASELINE!E2599)),N(BASELINE!E2599)))=INT(SIMOPS!$D$3),IFERROR(UPPER(TRIM(BASELINE!D2599&amp;"")),"")&lt;&gt;"ENCERRADA"),1,0),0)</f>
        <v/>
      </c>
      <c r="B2599">
        <f>B2598+A2599</f>
        <v/>
      </c>
    </row>
    <row r="2600">
      <c r="A2600">
        <f>IFERROR(IF(AND(BASELINE!I2600&lt;&gt;"",INT(IF(CALC!$F$1&gt;0,IF(N(INDEX(BASELINE!$A2600:$ZZ2600,CALC!$F$1))&gt;0,N(INDEX(BASELINE!$A2600:$ZZ2600,CALC!$F$1)),N(BASELINE!E2600)),N(BASELINE!E2600)))=INT(SIMOPS!$D$3),IFERROR(UPPER(TRIM(BASELINE!D2600&amp;"")),"")&lt;&gt;"ENCERRADA"),1,0),0)</f>
        <v/>
      </c>
      <c r="B2600">
        <f>B2599+A2600</f>
        <v/>
      </c>
    </row>
    <row r="2601">
      <c r="A2601">
        <f>IFERROR(IF(AND(BASELINE!I2601&lt;&gt;"",INT(IF(CALC!$F$1&gt;0,IF(N(INDEX(BASELINE!$A2601:$ZZ2601,CALC!$F$1))&gt;0,N(INDEX(BASELINE!$A2601:$ZZ2601,CALC!$F$1)),N(BASELINE!E2601)),N(BASELINE!E2601)))=INT(SIMOPS!$D$3),IFERROR(UPPER(TRIM(BASELINE!D2601&amp;"")),"")&lt;&gt;"ENCERRADA"),1,0),0)</f>
        <v/>
      </c>
      <c r="B2601">
        <f>B2600+A2601</f>
        <v/>
      </c>
    </row>
    <row r="2602">
      <c r="A2602">
        <f>IFERROR(IF(AND(BASELINE!I2602&lt;&gt;"",INT(IF(CALC!$F$1&gt;0,IF(N(INDEX(BASELINE!$A2602:$ZZ2602,CALC!$F$1))&gt;0,N(INDEX(BASELINE!$A2602:$ZZ2602,CALC!$F$1)),N(BASELINE!E2602)),N(BASELINE!E2602)))=INT(SIMOPS!$D$3),IFERROR(UPPER(TRIM(BASELINE!D2602&amp;"")),"")&lt;&gt;"ENCERRADA"),1,0),0)</f>
        <v/>
      </c>
      <c r="B2602">
        <f>B2601+A2602</f>
        <v/>
      </c>
    </row>
    <row r="2603">
      <c r="A2603">
        <f>IFERROR(IF(AND(BASELINE!I2603&lt;&gt;"",INT(IF(CALC!$F$1&gt;0,IF(N(INDEX(BASELINE!$A2603:$ZZ2603,CALC!$F$1))&gt;0,N(INDEX(BASELINE!$A2603:$ZZ2603,CALC!$F$1)),N(BASELINE!E2603)),N(BASELINE!E2603)))=INT(SIMOPS!$D$3),IFERROR(UPPER(TRIM(BASELINE!D2603&amp;"")),"")&lt;&gt;"ENCERRADA"),1,0),0)</f>
        <v/>
      </c>
      <c r="B2603">
        <f>B2602+A2603</f>
        <v/>
      </c>
    </row>
    <row r="2604">
      <c r="A2604">
        <f>IFERROR(IF(AND(BASELINE!I2604&lt;&gt;"",INT(IF(CALC!$F$1&gt;0,IF(N(INDEX(BASELINE!$A2604:$ZZ2604,CALC!$F$1))&gt;0,N(INDEX(BASELINE!$A2604:$ZZ2604,CALC!$F$1)),N(BASELINE!E2604)),N(BASELINE!E2604)))=INT(SIMOPS!$D$3),IFERROR(UPPER(TRIM(BASELINE!D2604&amp;"")),"")&lt;&gt;"ENCERRADA"),1,0),0)</f>
        <v/>
      </c>
      <c r="B2604">
        <f>B2603+A2604</f>
        <v/>
      </c>
    </row>
    <row r="2605">
      <c r="A2605">
        <f>IFERROR(IF(AND(BASELINE!I2605&lt;&gt;"",INT(IF(CALC!$F$1&gt;0,IF(N(INDEX(BASELINE!$A2605:$ZZ2605,CALC!$F$1))&gt;0,N(INDEX(BASELINE!$A2605:$ZZ2605,CALC!$F$1)),N(BASELINE!E2605)),N(BASELINE!E2605)))=INT(SIMOPS!$D$3),IFERROR(UPPER(TRIM(BASELINE!D2605&amp;"")),"")&lt;&gt;"ENCERRADA"),1,0),0)</f>
        <v/>
      </c>
      <c r="B2605">
        <f>B2604+A2605</f>
        <v/>
      </c>
    </row>
    <row r="2606">
      <c r="A2606">
        <f>IFERROR(IF(AND(BASELINE!I2606&lt;&gt;"",INT(IF(CALC!$F$1&gt;0,IF(N(INDEX(BASELINE!$A2606:$ZZ2606,CALC!$F$1))&gt;0,N(INDEX(BASELINE!$A2606:$ZZ2606,CALC!$F$1)),N(BASELINE!E2606)),N(BASELINE!E2606)))=INT(SIMOPS!$D$3),IFERROR(UPPER(TRIM(BASELINE!D2606&amp;"")),"")&lt;&gt;"ENCERRADA"),1,0),0)</f>
        <v/>
      </c>
      <c r="B2606">
        <f>B2605+A2606</f>
        <v/>
      </c>
    </row>
    <row r="2607">
      <c r="A2607">
        <f>IFERROR(IF(AND(BASELINE!I2607&lt;&gt;"",INT(IF(CALC!$F$1&gt;0,IF(N(INDEX(BASELINE!$A2607:$ZZ2607,CALC!$F$1))&gt;0,N(INDEX(BASELINE!$A2607:$ZZ2607,CALC!$F$1)),N(BASELINE!E2607)),N(BASELINE!E2607)))=INT(SIMOPS!$D$3),IFERROR(UPPER(TRIM(BASELINE!D2607&amp;"")),"")&lt;&gt;"ENCERRADA"),1,0),0)</f>
        <v/>
      </c>
      <c r="B2607">
        <f>B2606+A2607</f>
        <v/>
      </c>
    </row>
    <row r="2608">
      <c r="A2608">
        <f>IFERROR(IF(AND(BASELINE!I2608&lt;&gt;"",INT(IF(CALC!$F$1&gt;0,IF(N(INDEX(BASELINE!$A2608:$ZZ2608,CALC!$F$1))&gt;0,N(INDEX(BASELINE!$A2608:$ZZ2608,CALC!$F$1)),N(BASELINE!E2608)),N(BASELINE!E2608)))=INT(SIMOPS!$D$3),IFERROR(UPPER(TRIM(BASELINE!D2608&amp;"")),"")&lt;&gt;"ENCERRADA"),1,0),0)</f>
        <v/>
      </c>
      <c r="B2608">
        <f>B2607+A2608</f>
        <v/>
      </c>
    </row>
    <row r="2609">
      <c r="A2609">
        <f>IFERROR(IF(AND(BASELINE!I2609&lt;&gt;"",INT(IF(CALC!$F$1&gt;0,IF(N(INDEX(BASELINE!$A2609:$ZZ2609,CALC!$F$1))&gt;0,N(INDEX(BASELINE!$A2609:$ZZ2609,CALC!$F$1)),N(BASELINE!E2609)),N(BASELINE!E2609)))=INT(SIMOPS!$D$3),IFERROR(UPPER(TRIM(BASELINE!D2609&amp;"")),"")&lt;&gt;"ENCERRADA"),1,0),0)</f>
        <v/>
      </c>
      <c r="B2609">
        <f>B2608+A2609</f>
        <v/>
      </c>
    </row>
    <row r="2610">
      <c r="A2610">
        <f>IFERROR(IF(AND(BASELINE!I2610&lt;&gt;"",INT(IF(CALC!$F$1&gt;0,IF(N(INDEX(BASELINE!$A2610:$ZZ2610,CALC!$F$1))&gt;0,N(INDEX(BASELINE!$A2610:$ZZ2610,CALC!$F$1)),N(BASELINE!E2610)),N(BASELINE!E2610)))=INT(SIMOPS!$D$3),IFERROR(UPPER(TRIM(BASELINE!D2610&amp;"")),"")&lt;&gt;"ENCERRADA"),1,0),0)</f>
        <v/>
      </c>
      <c r="B2610">
        <f>B2609+A2610</f>
        <v/>
      </c>
    </row>
    <row r="2611">
      <c r="A2611">
        <f>IFERROR(IF(AND(BASELINE!I2611&lt;&gt;"",INT(IF(CALC!$F$1&gt;0,IF(N(INDEX(BASELINE!$A2611:$ZZ2611,CALC!$F$1))&gt;0,N(INDEX(BASELINE!$A2611:$ZZ2611,CALC!$F$1)),N(BASELINE!E2611)),N(BASELINE!E2611)))=INT(SIMOPS!$D$3),IFERROR(UPPER(TRIM(BASELINE!D2611&amp;"")),"")&lt;&gt;"ENCERRADA"),1,0),0)</f>
        <v/>
      </c>
      <c r="B2611">
        <f>B2610+A2611</f>
        <v/>
      </c>
    </row>
    <row r="2612">
      <c r="A2612">
        <f>IFERROR(IF(AND(BASELINE!I2612&lt;&gt;"",INT(IF(CALC!$F$1&gt;0,IF(N(INDEX(BASELINE!$A2612:$ZZ2612,CALC!$F$1))&gt;0,N(INDEX(BASELINE!$A2612:$ZZ2612,CALC!$F$1)),N(BASELINE!E2612)),N(BASELINE!E2612)))=INT(SIMOPS!$D$3),IFERROR(UPPER(TRIM(BASELINE!D2612&amp;"")),"")&lt;&gt;"ENCERRADA"),1,0),0)</f>
        <v/>
      </c>
      <c r="B2612">
        <f>B2611+A2612</f>
        <v/>
      </c>
    </row>
    <row r="2613">
      <c r="A2613">
        <f>IFERROR(IF(AND(BASELINE!I2613&lt;&gt;"",INT(IF(CALC!$F$1&gt;0,IF(N(INDEX(BASELINE!$A2613:$ZZ2613,CALC!$F$1))&gt;0,N(INDEX(BASELINE!$A2613:$ZZ2613,CALC!$F$1)),N(BASELINE!E2613)),N(BASELINE!E2613)))=INT(SIMOPS!$D$3),IFERROR(UPPER(TRIM(BASELINE!D2613&amp;"")),"")&lt;&gt;"ENCERRADA"),1,0),0)</f>
        <v/>
      </c>
      <c r="B2613">
        <f>B2612+A2613</f>
        <v/>
      </c>
    </row>
    <row r="2614">
      <c r="A2614">
        <f>IFERROR(IF(AND(BASELINE!I2614&lt;&gt;"",INT(IF(CALC!$F$1&gt;0,IF(N(INDEX(BASELINE!$A2614:$ZZ2614,CALC!$F$1))&gt;0,N(INDEX(BASELINE!$A2614:$ZZ2614,CALC!$F$1)),N(BASELINE!E2614)),N(BASELINE!E2614)))=INT(SIMOPS!$D$3),IFERROR(UPPER(TRIM(BASELINE!D2614&amp;"")),"")&lt;&gt;"ENCERRADA"),1,0),0)</f>
        <v/>
      </c>
      <c r="B2614">
        <f>B2613+A2614</f>
        <v/>
      </c>
    </row>
    <row r="2615">
      <c r="A2615">
        <f>IFERROR(IF(AND(BASELINE!I2615&lt;&gt;"",INT(IF(CALC!$F$1&gt;0,IF(N(INDEX(BASELINE!$A2615:$ZZ2615,CALC!$F$1))&gt;0,N(INDEX(BASELINE!$A2615:$ZZ2615,CALC!$F$1)),N(BASELINE!E2615)),N(BASELINE!E2615)))=INT(SIMOPS!$D$3),IFERROR(UPPER(TRIM(BASELINE!D2615&amp;"")),"")&lt;&gt;"ENCERRADA"),1,0),0)</f>
        <v/>
      </c>
      <c r="B2615">
        <f>B2614+A2615</f>
        <v/>
      </c>
    </row>
    <row r="2616">
      <c r="A2616">
        <f>IFERROR(IF(AND(BASELINE!I2616&lt;&gt;"",INT(IF(CALC!$F$1&gt;0,IF(N(INDEX(BASELINE!$A2616:$ZZ2616,CALC!$F$1))&gt;0,N(INDEX(BASELINE!$A2616:$ZZ2616,CALC!$F$1)),N(BASELINE!E2616)),N(BASELINE!E2616)))=INT(SIMOPS!$D$3),IFERROR(UPPER(TRIM(BASELINE!D2616&amp;"")),"")&lt;&gt;"ENCERRADA"),1,0),0)</f>
        <v/>
      </c>
      <c r="B2616">
        <f>B2615+A2616</f>
        <v/>
      </c>
    </row>
    <row r="2617">
      <c r="A2617">
        <f>IFERROR(IF(AND(BASELINE!I2617&lt;&gt;"",INT(IF(CALC!$F$1&gt;0,IF(N(INDEX(BASELINE!$A2617:$ZZ2617,CALC!$F$1))&gt;0,N(INDEX(BASELINE!$A2617:$ZZ2617,CALC!$F$1)),N(BASELINE!E2617)),N(BASELINE!E2617)))=INT(SIMOPS!$D$3),IFERROR(UPPER(TRIM(BASELINE!D2617&amp;"")),"")&lt;&gt;"ENCERRADA"),1,0),0)</f>
        <v/>
      </c>
      <c r="B2617">
        <f>B2616+A2617</f>
        <v/>
      </c>
    </row>
    <row r="2618">
      <c r="A2618">
        <f>IFERROR(IF(AND(BASELINE!I2618&lt;&gt;"",INT(IF(CALC!$F$1&gt;0,IF(N(INDEX(BASELINE!$A2618:$ZZ2618,CALC!$F$1))&gt;0,N(INDEX(BASELINE!$A2618:$ZZ2618,CALC!$F$1)),N(BASELINE!E2618)),N(BASELINE!E2618)))=INT(SIMOPS!$D$3),IFERROR(UPPER(TRIM(BASELINE!D2618&amp;"")),"")&lt;&gt;"ENCERRADA"),1,0),0)</f>
        <v/>
      </c>
      <c r="B2618">
        <f>B2617+A2618</f>
        <v/>
      </c>
    </row>
    <row r="2619">
      <c r="A2619">
        <f>IFERROR(IF(AND(BASELINE!I2619&lt;&gt;"",INT(IF(CALC!$F$1&gt;0,IF(N(INDEX(BASELINE!$A2619:$ZZ2619,CALC!$F$1))&gt;0,N(INDEX(BASELINE!$A2619:$ZZ2619,CALC!$F$1)),N(BASELINE!E2619)),N(BASELINE!E2619)))=INT(SIMOPS!$D$3),IFERROR(UPPER(TRIM(BASELINE!D2619&amp;"")),"")&lt;&gt;"ENCERRADA"),1,0),0)</f>
        <v/>
      </c>
      <c r="B2619">
        <f>B2618+A2619</f>
        <v/>
      </c>
    </row>
    <row r="2620">
      <c r="A2620">
        <f>IFERROR(IF(AND(BASELINE!I2620&lt;&gt;"",INT(IF(CALC!$F$1&gt;0,IF(N(INDEX(BASELINE!$A2620:$ZZ2620,CALC!$F$1))&gt;0,N(INDEX(BASELINE!$A2620:$ZZ2620,CALC!$F$1)),N(BASELINE!E2620)),N(BASELINE!E2620)))=INT(SIMOPS!$D$3),IFERROR(UPPER(TRIM(BASELINE!D2620&amp;"")),"")&lt;&gt;"ENCERRADA"),1,0),0)</f>
        <v/>
      </c>
      <c r="B2620">
        <f>B2619+A2620</f>
        <v/>
      </c>
    </row>
    <row r="2621">
      <c r="A2621">
        <f>IFERROR(IF(AND(BASELINE!I2621&lt;&gt;"",INT(IF(CALC!$F$1&gt;0,IF(N(INDEX(BASELINE!$A2621:$ZZ2621,CALC!$F$1))&gt;0,N(INDEX(BASELINE!$A2621:$ZZ2621,CALC!$F$1)),N(BASELINE!E2621)),N(BASELINE!E2621)))=INT(SIMOPS!$D$3),IFERROR(UPPER(TRIM(BASELINE!D2621&amp;"")),"")&lt;&gt;"ENCERRADA"),1,0),0)</f>
        <v/>
      </c>
      <c r="B2621">
        <f>B2620+A2621</f>
        <v/>
      </c>
    </row>
    <row r="2622">
      <c r="A2622">
        <f>IFERROR(IF(AND(BASELINE!I2622&lt;&gt;"",INT(IF(CALC!$F$1&gt;0,IF(N(INDEX(BASELINE!$A2622:$ZZ2622,CALC!$F$1))&gt;0,N(INDEX(BASELINE!$A2622:$ZZ2622,CALC!$F$1)),N(BASELINE!E2622)),N(BASELINE!E2622)))=INT(SIMOPS!$D$3),IFERROR(UPPER(TRIM(BASELINE!D2622&amp;"")),"")&lt;&gt;"ENCERRADA"),1,0),0)</f>
        <v/>
      </c>
      <c r="B2622">
        <f>B2621+A2622</f>
        <v/>
      </c>
    </row>
    <row r="2623">
      <c r="A2623">
        <f>IFERROR(IF(AND(BASELINE!I2623&lt;&gt;"",INT(IF(CALC!$F$1&gt;0,IF(N(INDEX(BASELINE!$A2623:$ZZ2623,CALC!$F$1))&gt;0,N(INDEX(BASELINE!$A2623:$ZZ2623,CALC!$F$1)),N(BASELINE!E2623)),N(BASELINE!E2623)))=INT(SIMOPS!$D$3),IFERROR(UPPER(TRIM(BASELINE!D2623&amp;"")),"")&lt;&gt;"ENCERRADA"),1,0),0)</f>
        <v/>
      </c>
      <c r="B2623">
        <f>B2622+A2623</f>
        <v/>
      </c>
    </row>
    <row r="2624">
      <c r="A2624">
        <f>IFERROR(IF(AND(BASELINE!I2624&lt;&gt;"",INT(IF(CALC!$F$1&gt;0,IF(N(INDEX(BASELINE!$A2624:$ZZ2624,CALC!$F$1))&gt;0,N(INDEX(BASELINE!$A2624:$ZZ2624,CALC!$F$1)),N(BASELINE!E2624)),N(BASELINE!E2624)))=INT(SIMOPS!$D$3),IFERROR(UPPER(TRIM(BASELINE!D2624&amp;"")),"")&lt;&gt;"ENCERRADA"),1,0),0)</f>
        <v/>
      </c>
      <c r="B2624">
        <f>B2623+A2624</f>
        <v/>
      </c>
    </row>
    <row r="2625">
      <c r="A2625">
        <f>IFERROR(IF(AND(BASELINE!I2625&lt;&gt;"",INT(IF(CALC!$F$1&gt;0,IF(N(INDEX(BASELINE!$A2625:$ZZ2625,CALC!$F$1))&gt;0,N(INDEX(BASELINE!$A2625:$ZZ2625,CALC!$F$1)),N(BASELINE!E2625)),N(BASELINE!E2625)))=INT(SIMOPS!$D$3),IFERROR(UPPER(TRIM(BASELINE!D2625&amp;"")),"")&lt;&gt;"ENCERRADA"),1,0),0)</f>
        <v/>
      </c>
      <c r="B2625">
        <f>B2624+A2625</f>
        <v/>
      </c>
    </row>
    <row r="2626">
      <c r="A2626">
        <f>IFERROR(IF(AND(BASELINE!I2626&lt;&gt;"",INT(IF(CALC!$F$1&gt;0,IF(N(INDEX(BASELINE!$A2626:$ZZ2626,CALC!$F$1))&gt;0,N(INDEX(BASELINE!$A2626:$ZZ2626,CALC!$F$1)),N(BASELINE!E2626)),N(BASELINE!E2626)))=INT(SIMOPS!$D$3),IFERROR(UPPER(TRIM(BASELINE!D2626&amp;"")),"")&lt;&gt;"ENCERRADA"),1,0),0)</f>
        <v/>
      </c>
      <c r="B2626">
        <f>B2625+A2626</f>
        <v/>
      </c>
    </row>
    <row r="2627">
      <c r="A2627">
        <f>IFERROR(IF(AND(BASELINE!I2627&lt;&gt;"",INT(IF(CALC!$F$1&gt;0,IF(N(INDEX(BASELINE!$A2627:$ZZ2627,CALC!$F$1))&gt;0,N(INDEX(BASELINE!$A2627:$ZZ2627,CALC!$F$1)),N(BASELINE!E2627)),N(BASELINE!E2627)))=INT(SIMOPS!$D$3),IFERROR(UPPER(TRIM(BASELINE!D2627&amp;"")),"")&lt;&gt;"ENCERRADA"),1,0),0)</f>
        <v/>
      </c>
      <c r="B2627">
        <f>B2626+A2627</f>
        <v/>
      </c>
    </row>
    <row r="2628">
      <c r="A2628">
        <f>IFERROR(IF(AND(BASELINE!I2628&lt;&gt;"",INT(IF(CALC!$F$1&gt;0,IF(N(INDEX(BASELINE!$A2628:$ZZ2628,CALC!$F$1))&gt;0,N(INDEX(BASELINE!$A2628:$ZZ2628,CALC!$F$1)),N(BASELINE!E2628)),N(BASELINE!E2628)))=INT(SIMOPS!$D$3),IFERROR(UPPER(TRIM(BASELINE!D2628&amp;"")),"")&lt;&gt;"ENCERRADA"),1,0),0)</f>
        <v/>
      </c>
      <c r="B2628">
        <f>B2627+A2628</f>
        <v/>
      </c>
    </row>
    <row r="2629">
      <c r="A2629">
        <f>IFERROR(IF(AND(BASELINE!I2629&lt;&gt;"",INT(IF(CALC!$F$1&gt;0,IF(N(INDEX(BASELINE!$A2629:$ZZ2629,CALC!$F$1))&gt;0,N(INDEX(BASELINE!$A2629:$ZZ2629,CALC!$F$1)),N(BASELINE!E2629)),N(BASELINE!E2629)))=INT(SIMOPS!$D$3),IFERROR(UPPER(TRIM(BASELINE!D2629&amp;"")),"")&lt;&gt;"ENCERRADA"),1,0),0)</f>
        <v/>
      </c>
      <c r="B2629">
        <f>B2628+A2629</f>
        <v/>
      </c>
    </row>
    <row r="2630">
      <c r="A2630">
        <f>IFERROR(IF(AND(BASELINE!I2630&lt;&gt;"",INT(IF(CALC!$F$1&gt;0,IF(N(INDEX(BASELINE!$A2630:$ZZ2630,CALC!$F$1))&gt;0,N(INDEX(BASELINE!$A2630:$ZZ2630,CALC!$F$1)),N(BASELINE!E2630)),N(BASELINE!E2630)))=INT(SIMOPS!$D$3),IFERROR(UPPER(TRIM(BASELINE!D2630&amp;"")),"")&lt;&gt;"ENCERRADA"),1,0),0)</f>
        <v/>
      </c>
      <c r="B2630">
        <f>B2629+A2630</f>
        <v/>
      </c>
    </row>
    <row r="2631">
      <c r="A2631">
        <f>IFERROR(IF(AND(BASELINE!I2631&lt;&gt;"",INT(IF(CALC!$F$1&gt;0,IF(N(INDEX(BASELINE!$A2631:$ZZ2631,CALC!$F$1))&gt;0,N(INDEX(BASELINE!$A2631:$ZZ2631,CALC!$F$1)),N(BASELINE!E2631)),N(BASELINE!E2631)))=INT(SIMOPS!$D$3),IFERROR(UPPER(TRIM(BASELINE!D2631&amp;"")),"")&lt;&gt;"ENCERRADA"),1,0),0)</f>
        <v/>
      </c>
      <c r="B2631">
        <f>B2630+A2631</f>
        <v/>
      </c>
    </row>
    <row r="2632">
      <c r="A2632">
        <f>IFERROR(IF(AND(BASELINE!I2632&lt;&gt;"",INT(IF(CALC!$F$1&gt;0,IF(N(INDEX(BASELINE!$A2632:$ZZ2632,CALC!$F$1))&gt;0,N(INDEX(BASELINE!$A2632:$ZZ2632,CALC!$F$1)),N(BASELINE!E2632)),N(BASELINE!E2632)))=INT(SIMOPS!$D$3),IFERROR(UPPER(TRIM(BASELINE!D2632&amp;"")),"")&lt;&gt;"ENCERRADA"),1,0),0)</f>
        <v/>
      </c>
      <c r="B2632">
        <f>B2631+A2632</f>
        <v/>
      </c>
    </row>
    <row r="2633">
      <c r="A2633">
        <f>IFERROR(IF(AND(BASELINE!I2633&lt;&gt;"",INT(IF(CALC!$F$1&gt;0,IF(N(INDEX(BASELINE!$A2633:$ZZ2633,CALC!$F$1))&gt;0,N(INDEX(BASELINE!$A2633:$ZZ2633,CALC!$F$1)),N(BASELINE!E2633)),N(BASELINE!E2633)))=INT(SIMOPS!$D$3),IFERROR(UPPER(TRIM(BASELINE!D2633&amp;"")),"")&lt;&gt;"ENCERRADA"),1,0),0)</f>
        <v/>
      </c>
      <c r="B2633">
        <f>B2632+A2633</f>
        <v/>
      </c>
    </row>
    <row r="2634">
      <c r="A2634">
        <f>IFERROR(IF(AND(BASELINE!I2634&lt;&gt;"",INT(IF(CALC!$F$1&gt;0,IF(N(INDEX(BASELINE!$A2634:$ZZ2634,CALC!$F$1))&gt;0,N(INDEX(BASELINE!$A2634:$ZZ2634,CALC!$F$1)),N(BASELINE!E2634)),N(BASELINE!E2634)))=INT(SIMOPS!$D$3),IFERROR(UPPER(TRIM(BASELINE!D2634&amp;"")),"")&lt;&gt;"ENCERRADA"),1,0),0)</f>
        <v/>
      </c>
      <c r="B2634">
        <f>B2633+A2634</f>
        <v/>
      </c>
    </row>
    <row r="2635">
      <c r="A2635">
        <f>IFERROR(IF(AND(BASELINE!I2635&lt;&gt;"",INT(IF(CALC!$F$1&gt;0,IF(N(INDEX(BASELINE!$A2635:$ZZ2635,CALC!$F$1))&gt;0,N(INDEX(BASELINE!$A2635:$ZZ2635,CALC!$F$1)),N(BASELINE!E2635)),N(BASELINE!E2635)))=INT(SIMOPS!$D$3),IFERROR(UPPER(TRIM(BASELINE!D2635&amp;"")),"")&lt;&gt;"ENCERRADA"),1,0),0)</f>
        <v/>
      </c>
      <c r="B2635">
        <f>B2634+A2635</f>
        <v/>
      </c>
    </row>
    <row r="2636">
      <c r="A2636">
        <f>IFERROR(IF(AND(BASELINE!I2636&lt;&gt;"",INT(IF(CALC!$F$1&gt;0,IF(N(INDEX(BASELINE!$A2636:$ZZ2636,CALC!$F$1))&gt;0,N(INDEX(BASELINE!$A2636:$ZZ2636,CALC!$F$1)),N(BASELINE!E2636)),N(BASELINE!E2636)))=INT(SIMOPS!$D$3),IFERROR(UPPER(TRIM(BASELINE!D2636&amp;"")),"")&lt;&gt;"ENCERRADA"),1,0),0)</f>
        <v/>
      </c>
      <c r="B2636">
        <f>B2635+A2636</f>
        <v/>
      </c>
    </row>
    <row r="2637">
      <c r="A2637">
        <f>IFERROR(IF(AND(BASELINE!I2637&lt;&gt;"",INT(IF(CALC!$F$1&gt;0,IF(N(INDEX(BASELINE!$A2637:$ZZ2637,CALC!$F$1))&gt;0,N(INDEX(BASELINE!$A2637:$ZZ2637,CALC!$F$1)),N(BASELINE!E2637)),N(BASELINE!E2637)))=INT(SIMOPS!$D$3),IFERROR(UPPER(TRIM(BASELINE!D2637&amp;"")),"")&lt;&gt;"ENCERRADA"),1,0),0)</f>
        <v/>
      </c>
      <c r="B2637">
        <f>B2636+A2637</f>
        <v/>
      </c>
    </row>
    <row r="2638">
      <c r="A2638">
        <f>IFERROR(IF(AND(BASELINE!I2638&lt;&gt;"",INT(IF(CALC!$F$1&gt;0,IF(N(INDEX(BASELINE!$A2638:$ZZ2638,CALC!$F$1))&gt;0,N(INDEX(BASELINE!$A2638:$ZZ2638,CALC!$F$1)),N(BASELINE!E2638)),N(BASELINE!E2638)))=INT(SIMOPS!$D$3),IFERROR(UPPER(TRIM(BASELINE!D2638&amp;"")),"")&lt;&gt;"ENCERRADA"),1,0),0)</f>
        <v/>
      </c>
      <c r="B2638">
        <f>B2637+A2638</f>
        <v/>
      </c>
    </row>
    <row r="2639">
      <c r="A2639">
        <f>IFERROR(IF(AND(BASELINE!I2639&lt;&gt;"",INT(IF(CALC!$F$1&gt;0,IF(N(INDEX(BASELINE!$A2639:$ZZ2639,CALC!$F$1))&gt;0,N(INDEX(BASELINE!$A2639:$ZZ2639,CALC!$F$1)),N(BASELINE!E2639)),N(BASELINE!E2639)))=INT(SIMOPS!$D$3),IFERROR(UPPER(TRIM(BASELINE!D2639&amp;"")),"")&lt;&gt;"ENCERRADA"),1,0),0)</f>
        <v/>
      </c>
      <c r="B2639">
        <f>B2638+A2639</f>
        <v/>
      </c>
    </row>
    <row r="2640">
      <c r="A2640">
        <f>IFERROR(IF(AND(BASELINE!I2640&lt;&gt;"",INT(IF(CALC!$F$1&gt;0,IF(N(INDEX(BASELINE!$A2640:$ZZ2640,CALC!$F$1))&gt;0,N(INDEX(BASELINE!$A2640:$ZZ2640,CALC!$F$1)),N(BASELINE!E2640)),N(BASELINE!E2640)))=INT(SIMOPS!$D$3),IFERROR(UPPER(TRIM(BASELINE!D2640&amp;"")),"")&lt;&gt;"ENCERRADA"),1,0),0)</f>
        <v/>
      </c>
      <c r="B2640">
        <f>B2639+A2640</f>
        <v/>
      </c>
    </row>
    <row r="2641">
      <c r="A2641">
        <f>IFERROR(IF(AND(BASELINE!I2641&lt;&gt;"",INT(IF(CALC!$F$1&gt;0,IF(N(INDEX(BASELINE!$A2641:$ZZ2641,CALC!$F$1))&gt;0,N(INDEX(BASELINE!$A2641:$ZZ2641,CALC!$F$1)),N(BASELINE!E2641)),N(BASELINE!E2641)))=INT(SIMOPS!$D$3),IFERROR(UPPER(TRIM(BASELINE!D2641&amp;"")),"")&lt;&gt;"ENCERRADA"),1,0),0)</f>
        <v/>
      </c>
      <c r="B2641">
        <f>B2640+A2641</f>
        <v/>
      </c>
    </row>
    <row r="2642">
      <c r="A2642">
        <f>IFERROR(IF(AND(BASELINE!I2642&lt;&gt;"",INT(IF(CALC!$F$1&gt;0,IF(N(INDEX(BASELINE!$A2642:$ZZ2642,CALC!$F$1))&gt;0,N(INDEX(BASELINE!$A2642:$ZZ2642,CALC!$F$1)),N(BASELINE!E2642)),N(BASELINE!E2642)))=INT(SIMOPS!$D$3),IFERROR(UPPER(TRIM(BASELINE!D2642&amp;"")),"")&lt;&gt;"ENCERRADA"),1,0),0)</f>
        <v/>
      </c>
      <c r="B2642">
        <f>B2641+A2642</f>
        <v/>
      </c>
    </row>
    <row r="2643">
      <c r="A2643">
        <f>IFERROR(IF(AND(BASELINE!I2643&lt;&gt;"",INT(IF(CALC!$F$1&gt;0,IF(N(INDEX(BASELINE!$A2643:$ZZ2643,CALC!$F$1))&gt;0,N(INDEX(BASELINE!$A2643:$ZZ2643,CALC!$F$1)),N(BASELINE!E2643)),N(BASELINE!E2643)))=INT(SIMOPS!$D$3),IFERROR(UPPER(TRIM(BASELINE!D2643&amp;"")),"")&lt;&gt;"ENCERRADA"),1,0),0)</f>
        <v/>
      </c>
      <c r="B2643">
        <f>B2642+A2643</f>
        <v/>
      </c>
    </row>
    <row r="2644">
      <c r="A2644">
        <f>IFERROR(IF(AND(BASELINE!I2644&lt;&gt;"",INT(IF(CALC!$F$1&gt;0,IF(N(INDEX(BASELINE!$A2644:$ZZ2644,CALC!$F$1))&gt;0,N(INDEX(BASELINE!$A2644:$ZZ2644,CALC!$F$1)),N(BASELINE!E2644)),N(BASELINE!E2644)))=INT(SIMOPS!$D$3),IFERROR(UPPER(TRIM(BASELINE!D2644&amp;"")),"")&lt;&gt;"ENCERRADA"),1,0),0)</f>
        <v/>
      </c>
      <c r="B2644">
        <f>B2643+A2644</f>
        <v/>
      </c>
    </row>
    <row r="2645">
      <c r="A2645">
        <f>IFERROR(IF(AND(BASELINE!I2645&lt;&gt;"",INT(IF(CALC!$F$1&gt;0,IF(N(INDEX(BASELINE!$A2645:$ZZ2645,CALC!$F$1))&gt;0,N(INDEX(BASELINE!$A2645:$ZZ2645,CALC!$F$1)),N(BASELINE!E2645)),N(BASELINE!E2645)))=INT(SIMOPS!$D$3),IFERROR(UPPER(TRIM(BASELINE!D2645&amp;"")),"")&lt;&gt;"ENCERRADA"),1,0),0)</f>
        <v/>
      </c>
      <c r="B2645">
        <f>B2644+A2645</f>
        <v/>
      </c>
    </row>
    <row r="2646">
      <c r="A2646">
        <f>IFERROR(IF(AND(BASELINE!I2646&lt;&gt;"",INT(IF(CALC!$F$1&gt;0,IF(N(INDEX(BASELINE!$A2646:$ZZ2646,CALC!$F$1))&gt;0,N(INDEX(BASELINE!$A2646:$ZZ2646,CALC!$F$1)),N(BASELINE!E2646)),N(BASELINE!E2646)))=INT(SIMOPS!$D$3),IFERROR(UPPER(TRIM(BASELINE!D2646&amp;"")),"")&lt;&gt;"ENCERRADA"),1,0),0)</f>
        <v/>
      </c>
      <c r="B2646">
        <f>B2645+A2646</f>
        <v/>
      </c>
    </row>
    <row r="2647">
      <c r="A2647">
        <f>IFERROR(IF(AND(BASELINE!I2647&lt;&gt;"",INT(IF(CALC!$F$1&gt;0,IF(N(INDEX(BASELINE!$A2647:$ZZ2647,CALC!$F$1))&gt;0,N(INDEX(BASELINE!$A2647:$ZZ2647,CALC!$F$1)),N(BASELINE!E2647)),N(BASELINE!E2647)))=INT(SIMOPS!$D$3),IFERROR(UPPER(TRIM(BASELINE!D2647&amp;"")),"")&lt;&gt;"ENCERRADA"),1,0),0)</f>
        <v/>
      </c>
      <c r="B2647">
        <f>B2646+A2647</f>
        <v/>
      </c>
    </row>
    <row r="2648">
      <c r="A2648">
        <f>IFERROR(IF(AND(BASELINE!I2648&lt;&gt;"",INT(IF(CALC!$F$1&gt;0,IF(N(INDEX(BASELINE!$A2648:$ZZ2648,CALC!$F$1))&gt;0,N(INDEX(BASELINE!$A2648:$ZZ2648,CALC!$F$1)),N(BASELINE!E2648)),N(BASELINE!E2648)))=INT(SIMOPS!$D$3),IFERROR(UPPER(TRIM(BASELINE!D2648&amp;"")),"")&lt;&gt;"ENCERRADA"),1,0),0)</f>
        <v/>
      </c>
      <c r="B2648">
        <f>B2647+A2648</f>
        <v/>
      </c>
    </row>
    <row r="2649">
      <c r="A2649">
        <f>IFERROR(IF(AND(BASELINE!I2649&lt;&gt;"",INT(IF(CALC!$F$1&gt;0,IF(N(INDEX(BASELINE!$A2649:$ZZ2649,CALC!$F$1))&gt;0,N(INDEX(BASELINE!$A2649:$ZZ2649,CALC!$F$1)),N(BASELINE!E2649)),N(BASELINE!E2649)))=INT(SIMOPS!$D$3),IFERROR(UPPER(TRIM(BASELINE!D2649&amp;"")),"")&lt;&gt;"ENCERRADA"),1,0),0)</f>
        <v/>
      </c>
      <c r="B2649">
        <f>B2648+A2649</f>
        <v/>
      </c>
    </row>
    <row r="2650">
      <c r="A2650">
        <f>IFERROR(IF(AND(BASELINE!I2650&lt;&gt;"",INT(IF(CALC!$F$1&gt;0,IF(N(INDEX(BASELINE!$A2650:$ZZ2650,CALC!$F$1))&gt;0,N(INDEX(BASELINE!$A2650:$ZZ2650,CALC!$F$1)),N(BASELINE!E2650)),N(BASELINE!E2650)))=INT(SIMOPS!$D$3),IFERROR(UPPER(TRIM(BASELINE!D2650&amp;"")),"")&lt;&gt;"ENCERRADA"),1,0),0)</f>
        <v/>
      </c>
      <c r="B2650">
        <f>B2649+A2650</f>
        <v/>
      </c>
    </row>
    <row r="2651">
      <c r="A2651">
        <f>IFERROR(IF(AND(BASELINE!I2651&lt;&gt;"",INT(IF(CALC!$F$1&gt;0,IF(N(INDEX(BASELINE!$A2651:$ZZ2651,CALC!$F$1))&gt;0,N(INDEX(BASELINE!$A2651:$ZZ2651,CALC!$F$1)),N(BASELINE!E2651)),N(BASELINE!E2651)))=INT(SIMOPS!$D$3),IFERROR(UPPER(TRIM(BASELINE!D2651&amp;"")),"")&lt;&gt;"ENCERRADA"),1,0),0)</f>
        <v/>
      </c>
      <c r="B2651">
        <f>B2650+A2651</f>
        <v/>
      </c>
    </row>
    <row r="2652">
      <c r="A2652">
        <f>IFERROR(IF(AND(BASELINE!I2652&lt;&gt;"",INT(IF(CALC!$F$1&gt;0,IF(N(INDEX(BASELINE!$A2652:$ZZ2652,CALC!$F$1))&gt;0,N(INDEX(BASELINE!$A2652:$ZZ2652,CALC!$F$1)),N(BASELINE!E2652)),N(BASELINE!E2652)))=INT(SIMOPS!$D$3),IFERROR(UPPER(TRIM(BASELINE!D2652&amp;"")),"")&lt;&gt;"ENCERRADA"),1,0),0)</f>
        <v/>
      </c>
      <c r="B2652">
        <f>B2651+A2652</f>
        <v/>
      </c>
    </row>
    <row r="2653">
      <c r="A2653">
        <f>IFERROR(IF(AND(BASELINE!I2653&lt;&gt;"",INT(IF(CALC!$F$1&gt;0,IF(N(INDEX(BASELINE!$A2653:$ZZ2653,CALC!$F$1))&gt;0,N(INDEX(BASELINE!$A2653:$ZZ2653,CALC!$F$1)),N(BASELINE!E2653)),N(BASELINE!E2653)))=INT(SIMOPS!$D$3),IFERROR(UPPER(TRIM(BASELINE!D2653&amp;"")),"")&lt;&gt;"ENCERRADA"),1,0),0)</f>
        <v/>
      </c>
      <c r="B2653">
        <f>B2652+A2653</f>
        <v/>
      </c>
    </row>
    <row r="2654">
      <c r="A2654">
        <f>IFERROR(IF(AND(BASELINE!I2654&lt;&gt;"",INT(IF(CALC!$F$1&gt;0,IF(N(INDEX(BASELINE!$A2654:$ZZ2654,CALC!$F$1))&gt;0,N(INDEX(BASELINE!$A2654:$ZZ2654,CALC!$F$1)),N(BASELINE!E2654)),N(BASELINE!E2654)))=INT(SIMOPS!$D$3),IFERROR(UPPER(TRIM(BASELINE!D2654&amp;"")),"")&lt;&gt;"ENCERRADA"),1,0),0)</f>
        <v/>
      </c>
      <c r="B2654">
        <f>B2653+A2654</f>
        <v/>
      </c>
    </row>
    <row r="2655">
      <c r="A2655">
        <f>IFERROR(IF(AND(BASELINE!I2655&lt;&gt;"",INT(IF(CALC!$F$1&gt;0,IF(N(INDEX(BASELINE!$A2655:$ZZ2655,CALC!$F$1))&gt;0,N(INDEX(BASELINE!$A2655:$ZZ2655,CALC!$F$1)),N(BASELINE!E2655)),N(BASELINE!E2655)))=INT(SIMOPS!$D$3),IFERROR(UPPER(TRIM(BASELINE!D2655&amp;"")),"")&lt;&gt;"ENCERRADA"),1,0),0)</f>
        <v/>
      </c>
      <c r="B2655">
        <f>B2654+A2655</f>
        <v/>
      </c>
    </row>
    <row r="2656">
      <c r="A2656">
        <f>IFERROR(IF(AND(BASELINE!I2656&lt;&gt;"",INT(IF(CALC!$F$1&gt;0,IF(N(INDEX(BASELINE!$A2656:$ZZ2656,CALC!$F$1))&gt;0,N(INDEX(BASELINE!$A2656:$ZZ2656,CALC!$F$1)),N(BASELINE!E2656)),N(BASELINE!E2656)))=INT(SIMOPS!$D$3),IFERROR(UPPER(TRIM(BASELINE!D2656&amp;"")),"")&lt;&gt;"ENCERRADA"),1,0),0)</f>
        <v/>
      </c>
      <c r="B2656">
        <f>B2655+A2656</f>
        <v/>
      </c>
    </row>
    <row r="2657">
      <c r="A2657">
        <f>IFERROR(IF(AND(BASELINE!I2657&lt;&gt;"",INT(IF(CALC!$F$1&gt;0,IF(N(INDEX(BASELINE!$A2657:$ZZ2657,CALC!$F$1))&gt;0,N(INDEX(BASELINE!$A2657:$ZZ2657,CALC!$F$1)),N(BASELINE!E2657)),N(BASELINE!E2657)))=INT(SIMOPS!$D$3),IFERROR(UPPER(TRIM(BASELINE!D2657&amp;"")),"")&lt;&gt;"ENCERRADA"),1,0),0)</f>
        <v/>
      </c>
      <c r="B2657">
        <f>B2656+A2657</f>
        <v/>
      </c>
    </row>
    <row r="2658">
      <c r="A2658">
        <f>IFERROR(IF(AND(BASELINE!I2658&lt;&gt;"",INT(IF(CALC!$F$1&gt;0,IF(N(INDEX(BASELINE!$A2658:$ZZ2658,CALC!$F$1))&gt;0,N(INDEX(BASELINE!$A2658:$ZZ2658,CALC!$F$1)),N(BASELINE!E2658)),N(BASELINE!E2658)))=INT(SIMOPS!$D$3),IFERROR(UPPER(TRIM(BASELINE!D2658&amp;"")),"")&lt;&gt;"ENCERRADA"),1,0),0)</f>
        <v/>
      </c>
      <c r="B2658">
        <f>B2657+A2658</f>
        <v/>
      </c>
    </row>
    <row r="2659">
      <c r="A2659">
        <f>IFERROR(IF(AND(BASELINE!I2659&lt;&gt;"",INT(IF(CALC!$F$1&gt;0,IF(N(INDEX(BASELINE!$A2659:$ZZ2659,CALC!$F$1))&gt;0,N(INDEX(BASELINE!$A2659:$ZZ2659,CALC!$F$1)),N(BASELINE!E2659)),N(BASELINE!E2659)))=INT(SIMOPS!$D$3),IFERROR(UPPER(TRIM(BASELINE!D2659&amp;"")),"")&lt;&gt;"ENCERRADA"),1,0),0)</f>
        <v/>
      </c>
      <c r="B2659">
        <f>B2658+A2659</f>
        <v/>
      </c>
    </row>
    <row r="2660">
      <c r="A2660">
        <f>IFERROR(IF(AND(BASELINE!I2660&lt;&gt;"",INT(IF(CALC!$F$1&gt;0,IF(N(INDEX(BASELINE!$A2660:$ZZ2660,CALC!$F$1))&gt;0,N(INDEX(BASELINE!$A2660:$ZZ2660,CALC!$F$1)),N(BASELINE!E2660)),N(BASELINE!E2660)))=INT(SIMOPS!$D$3),IFERROR(UPPER(TRIM(BASELINE!D2660&amp;"")),"")&lt;&gt;"ENCERRADA"),1,0),0)</f>
        <v/>
      </c>
      <c r="B2660">
        <f>B2659+A2660</f>
        <v/>
      </c>
    </row>
    <row r="2661">
      <c r="A2661">
        <f>IFERROR(IF(AND(BASELINE!I2661&lt;&gt;"",INT(IF(CALC!$F$1&gt;0,IF(N(INDEX(BASELINE!$A2661:$ZZ2661,CALC!$F$1))&gt;0,N(INDEX(BASELINE!$A2661:$ZZ2661,CALC!$F$1)),N(BASELINE!E2661)),N(BASELINE!E2661)))=INT(SIMOPS!$D$3),IFERROR(UPPER(TRIM(BASELINE!D2661&amp;"")),"")&lt;&gt;"ENCERRADA"),1,0),0)</f>
        <v/>
      </c>
      <c r="B2661">
        <f>B2660+A2661</f>
        <v/>
      </c>
    </row>
    <row r="2662">
      <c r="A2662">
        <f>IFERROR(IF(AND(BASELINE!I2662&lt;&gt;"",INT(IF(CALC!$F$1&gt;0,IF(N(INDEX(BASELINE!$A2662:$ZZ2662,CALC!$F$1))&gt;0,N(INDEX(BASELINE!$A2662:$ZZ2662,CALC!$F$1)),N(BASELINE!E2662)),N(BASELINE!E2662)))=INT(SIMOPS!$D$3),IFERROR(UPPER(TRIM(BASELINE!D2662&amp;"")),"")&lt;&gt;"ENCERRADA"),1,0),0)</f>
        <v/>
      </c>
      <c r="B2662">
        <f>B2661+A2662</f>
        <v/>
      </c>
    </row>
    <row r="2663">
      <c r="A2663">
        <f>IFERROR(IF(AND(BASELINE!I2663&lt;&gt;"",INT(IF(CALC!$F$1&gt;0,IF(N(INDEX(BASELINE!$A2663:$ZZ2663,CALC!$F$1))&gt;0,N(INDEX(BASELINE!$A2663:$ZZ2663,CALC!$F$1)),N(BASELINE!E2663)),N(BASELINE!E2663)))=INT(SIMOPS!$D$3),IFERROR(UPPER(TRIM(BASELINE!D2663&amp;"")),"")&lt;&gt;"ENCERRADA"),1,0),0)</f>
        <v/>
      </c>
      <c r="B2663">
        <f>B2662+A2663</f>
        <v/>
      </c>
    </row>
    <row r="2664">
      <c r="A2664">
        <f>IFERROR(IF(AND(BASELINE!I2664&lt;&gt;"",INT(IF(CALC!$F$1&gt;0,IF(N(INDEX(BASELINE!$A2664:$ZZ2664,CALC!$F$1))&gt;0,N(INDEX(BASELINE!$A2664:$ZZ2664,CALC!$F$1)),N(BASELINE!E2664)),N(BASELINE!E2664)))=INT(SIMOPS!$D$3),IFERROR(UPPER(TRIM(BASELINE!D2664&amp;"")),"")&lt;&gt;"ENCERRADA"),1,0),0)</f>
        <v/>
      </c>
      <c r="B2664">
        <f>B2663+A2664</f>
        <v/>
      </c>
    </row>
    <row r="2665">
      <c r="A2665">
        <f>IFERROR(IF(AND(BASELINE!I2665&lt;&gt;"",INT(IF(CALC!$F$1&gt;0,IF(N(INDEX(BASELINE!$A2665:$ZZ2665,CALC!$F$1))&gt;0,N(INDEX(BASELINE!$A2665:$ZZ2665,CALC!$F$1)),N(BASELINE!E2665)),N(BASELINE!E2665)))=INT(SIMOPS!$D$3),IFERROR(UPPER(TRIM(BASELINE!D2665&amp;"")),"")&lt;&gt;"ENCERRADA"),1,0),0)</f>
        <v/>
      </c>
      <c r="B2665">
        <f>B2664+A2665</f>
        <v/>
      </c>
    </row>
    <row r="2666">
      <c r="A2666">
        <f>IFERROR(IF(AND(BASELINE!I2666&lt;&gt;"",INT(IF(CALC!$F$1&gt;0,IF(N(INDEX(BASELINE!$A2666:$ZZ2666,CALC!$F$1))&gt;0,N(INDEX(BASELINE!$A2666:$ZZ2666,CALC!$F$1)),N(BASELINE!E2666)),N(BASELINE!E2666)))=INT(SIMOPS!$D$3),IFERROR(UPPER(TRIM(BASELINE!D2666&amp;"")),"")&lt;&gt;"ENCERRADA"),1,0),0)</f>
        <v/>
      </c>
      <c r="B2666">
        <f>B2665+A2666</f>
        <v/>
      </c>
    </row>
    <row r="2667">
      <c r="A2667">
        <f>IFERROR(IF(AND(BASELINE!I2667&lt;&gt;"",INT(IF(CALC!$F$1&gt;0,IF(N(INDEX(BASELINE!$A2667:$ZZ2667,CALC!$F$1))&gt;0,N(INDEX(BASELINE!$A2667:$ZZ2667,CALC!$F$1)),N(BASELINE!E2667)),N(BASELINE!E2667)))=INT(SIMOPS!$D$3),IFERROR(UPPER(TRIM(BASELINE!D2667&amp;"")),"")&lt;&gt;"ENCERRADA"),1,0),0)</f>
        <v/>
      </c>
      <c r="B2667">
        <f>B2666+A2667</f>
        <v/>
      </c>
    </row>
    <row r="2668">
      <c r="A2668">
        <f>IFERROR(IF(AND(BASELINE!I2668&lt;&gt;"",INT(IF(CALC!$F$1&gt;0,IF(N(INDEX(BASELINE!$A2668:$ZZ2668,CALC!$F$1))&gt;0,N(INDEX(BASELINE!$A2668:$ZZ2668,CALC!$F$1)),N(BASELINE!E2668)),N(BASELINE!E2668)))=INT(SIMOPS!$D$3),IFERROR(UPPER(TRIM(BASELINE!D2668&amp;"")),"")&lt;&gt;"ENCERRADA"),1,0),0)</f>
        <v/>
      </c>
      <c r="B2668">
        <f>B2667+A2668</f>
        <v/>
      </c>
    </row>
    <row r="2669">
      <c r="A2669">
        <f>IFERROR(IF(AND(BASELINE!I2669&lt;&gt;"",INT(IF(CALC!$F$1&gt;0,IF(N(INDEX(BASELINE!$A2669:$ZZ2669,CALC!$F$1))&gt;0,N(INDEX(BASELINE!$A2669:$ZZ2669,CALC!$F$1)),N(BASELINE!E2669)),N(BASELINE!E2669)))=INT(SIMOPS!$D$3),IFERROR(UPPER(TRIM(BASELINE!D2669&amp;"")),"")&lt;&gt;"ENCERRADA"),1,0),0)</f>
        <v/>
      </c>
      <c r="B2669">
        <f>B2668+A2669</f>
        <v/>
      </c>
    </row>
    <row r="2670">
      <c r="A2670">
        <f>IFERROR(IF(AND(BASELINE!I2670&lt;&gt;"",INT(IF(CALC!$F$1&gt;0,IF(N(INDEX(BASELINE!$A2670:$ZZ2670,CALC!$F$1))&gt;0,N(INDEX(BASELINE!$A2670:$ZZ2670,CALC!$F$1)),N(BASELINE!E2670)),N(BASELINE!E2670)))=INT(SIMOPS!$D$3),IFERROR(UPPER(TRIM(BASELINE!D2670&amp;"")),"")&lt;&gt;"ENCERRADA"),1,0),0)</f>
        <v/>
      </c>
      <c r="B2670">
        <f>B2669+A2670</f>
        <v/>
      </c>
    </row>
    <row r="2671">
      <c r="A2671">
        <f>IFERROR(IF(AND(BASELINE!I2671&lt;&gt;"",INT(IF(CALC!$F$1&gt;0,IF(N(INDEX(BASELINE!$A2671:$ZZ2671,CALC!$F$1))&gt;0,N(INDEX(BASELINE!$A2671:$ZZ2671,CALC!$F$1)),N(BASELINE!E2671)),N(BASELINE!E2671)))=INT(SIMOPS!$D$3),IFERROR(UPPER(TRIM(BASELINE!D2671&amp;"")),"")&lt;&gt;"ENCERRADA"),1,0),0)</f>
        <v/>
      </c>
      <c r="B2671">
        <f>B2670+A2671</f>
        <v/>
      </c>
    </row>
    <row r="2672">
      <c r="A2672">
        <f>IFERROR(IF(AND(BASELINE!I2672&lt;&gt;"",INT(IF(CALC!$F$1&gt;0,IF(N(INDEX(BASELINE!$A2672:$ZZ2672,CALC!$F$1))&gt;0,N(INDEX(BASELINE!$A2672:$ZZ2672,CALC!$F$1)),N(BASELINE!E2672)),N(BASELINE!E2672)))=INT(SIMOPS!$D$3),IFERROR(UPPER(TRIM(BASELINE!D2672&amp;"")),"")&lt;&gt;"ENCERRADA"),1,0),0)</f>
        <v/>
      </c>
      <c r="B2672">
        <f>B2671+A2672</f>
        <v/>
      </c>
    </row>
    <row r="2673">
      <c r="A2673">
        <f>IFERROR(IF(AND(BASELINE!I2673&lt;&gt;"",INT(IF(CALC!$F$1&gt;0,IF(N(INDEX(BASELINE!$A2673:$ZZ2673,CALC!$F$1))&gt;0,N(INDEX(BASELINE!$A2673:$ZZ2673,CALC!$F$1)),N(BASELINE!E2673)),N(BASELINE!E2673)))=INT(SIMOPS!$D$3),IFERROR(UPPER(TRIM(BASELINE!D2673&amp;"")),"")&lt;&gt;"ENCERRADA"),1,0),0)</f>
        <v/>
      </c>
      <c r="B2673">
        <f>B2672+A2673</f>
        <v/>
      </c>
    </row>
    <row r="2674">
      <c r="A2674">
        <f>IFERROR(IF(AND(BASELINE!I2674&lt;&gt;"",INT(IF(CALC!$F$1&gt;0,IF(N(INDEX(BASELINE!$A2674:$ZZ2674,CALC!$F$1))&gt;0,N(INDEX(BASELINE!$A2674:$ZZ2674,CALC!$F$1)),N(BASELINE!E2674)),N(BASELINE!E2674)))=INT(SIMOPS!$D$3),IFERROR(UPPER(TRIM(BASELINE!D2674&amp;"")),"")&lt;&gt;"ENCERRADA"),1,0),0)</f>
        <v/>
      </c>
      <c r="B2674">
        <f>B2673+A2674</f>
        <v/>
      </c>
    </row>
    <row r="2675">
      <c r="A2675">
        <f>IFERROR(IF(AND(BASELINE!I2675&lt;&gt;"",INT(IF(CALC!$F$1&gt;0,IF(N(INDEX(BASELINE!$A2675:$ZZ2675,CALC!$F$1))&gt;0,N(INDEX(BASELINE!$A2675:$ZZ2675,CALC!$F$1)),N(BASELINE!E2675)),N(BASELINE!E2675)))=INT(SIMOPS!$D$3),IFERROR(UPPER(TRIM(BASELINE!D2675&amp;"")),"")&lt;&gt;"ENCERRADA"),1,0),0)</f>
        <v/>
      </c>
      <c r="B2675">
        <f>B2674+A2675</f>
        <v/>
      </c>
    </row>
    <row r="2676">
      <c r="A2676">
        <f>IFERROR(IF(AND(BASELINE!I2676&lt;&gt;"",INT(IF(CALC!$F$1&gt;0,IF(N(INDEX(BASELINE!$A2676:$ZZ2676,CALC!$F$1))&gt;0,N(INDEX(BASELINE!$A2676:$ZZ2676,CALC!$F$1)),N(BASELINE!E2676)),N(BASELINE!E2676)))=INT(SIMOPS!$D$3),IFERROR(UPPER(TRIM(BASELINE!D2676&amp;"")),"")&lt;&gt;"ENCERRADA"),1,0),0)</f>
        <v/>
      </c>
      <c r="B2676">
        <f>B2675+A2676</f>
        <v/>
      </c>
    </row>
    <row r="2677">
      <c r="A2677">
        <f>IFERROR(IF(AND(BASELINE!I2677&lt;&gt;"",INT(IF(CALC!$F$1&gt;0,IF(N(INDEX(BASELINE!$A2677:$ZZ2677,CALC!$F$1))&gt;0,N(INDEX(BASELINE!$A2677:$ZZ2677,CALC!$F$1)),N(BASELINE!E2677)),N(BASELINE!E2677)))=INT(SIMOPS!$D$3),IFERROR(UPPER(TRIM(BASELINE!D2677&amp;"")),"")&lt;&gt;"ENCERRADA"),1,0),0)</f>
        <v/>
      </c>
      <c r="B2677">
        <f>B2676+A2677</f>
        <v/>
      </c>
    </row>
    <row r="2678">
      <c r="A2678">
        <f>IFERROR(IF(AND(BASELINE!I2678&lt;&gt;"",INT(IF(CALC!$F$1&gt;0,IF(N(INDEX(BASELINE!$A2678:$ZZ2678,CALC!$F$1))&gt;0,N(INDEX(BASELINE!$A2678:$ZZ2678,CALC!$F$1)),N(BASELINE!E2678)),N(BASELINE!E2678)))=INT(SIMOPS!$D$3),IFERROR(UPPER(TRIM(BASELINE!D2678&amp;"")),"")&lt;&gt;"ENCERRADA"),1,0),0)</f>
        <v/>
      </c>
      <c r="B2678">
        <f>B2677+A2678</f>
        <v/>
      </c>
    </row>
    <row r="2679">
      <c r="A2679">
        <f>IFERROR(IF(AND(BASELINE!I2679&lt;&gt;"",INT(IF(CALC!$F$1&gt;0,IF(N(INDEX(BASELINE!$A2679:$ZZ2679,CALC!$F$1))&gt;0,N(INDEX(BASELINE!$A2679:$ZZ2679,CALC!$F$1)),N(BASELINE!E2679)),N(BASELINE!E2679)))=INT(SIMOPS!$D$3),IFERROR(UPPER(TRIM(BASELINE!D2679&amp;"")),"")&lt;&gt;"ENCERRADA"),1,0),0)</f>
        <v/>
      </c>
      <c r="B2679">
        <f>B2678+A2679</f>
        <v/>
      </c>
    </row>
    <row r="2680">
      <c r="A2680">
        <f>IFERROR(IF(AND(BASELINE!I2680&lt;&gt;"",INT(IF(CALC!$F$1&gt;0,IF(N(INDEX(BASELINE!$A2680:$ZZ2680,CALC!$F$1))&gt;0,N(INDEX(BASELINE!$A2680:$ZZ2680,CALC!$F$1)),N(BASELINE!E2680)),N(BASELINE!E2680)))=INT(SIMOPS!$D$3),IFERROR(UPPER(TRIM(BASELINE!D2680&amp;"")),"")&lt;&gt;"ENCERRADA"),1,0),0)</f>
        <v/>
      </c>
      <c r="B2680">
        <f>B2679+A2680</f>
        <v/>
      </c>
    </row>
    <row r="2681">
      <c r="A2681">
        <f>IFERROR(IF(AND(BASELINE!I2681&lt;&gt;"",INT(IF(CALC!$F$1&gt;0,IF(N(INDEX(BASELINE!$A2681:$ZZ2681,CALC!$F$1))&gt;0,N(INDEX(BASELINE!$A2681:$ZZ2681,CALC!$F$1)),N(BASELINE!E2681)),N(BASELINE!E2681)))=INT(SIMOPS!$D$3),IFERROR(UPPER(TRIM(BASELINE!D2681&amp;"")),"")&lt;&gt;"ENCERRADA"),1,0),0)</f>
        <v/>
      </c>
      <c r="B2681">
        <f>B2680+A2681</f>
        <v/>
      </c>
    </row>
    <row r="2682">
      <c r="A2682">
        <f>IFERROR(IF(AND(BASELINE!I2682&lt;&gt;"",INT(IF(CALC!$F$1&gt;0,IF(N(INDEX(BASELINE!$A2682:$ZZ2682,CALC!$F$1))&gt;0,N(INDEX(BASELINE!$A2682:$ZZ2682,CALC!$F$1)),N(BASELINE!E2682)),N(BASELINE!E2682)))=INT(SIMOPS!$D$3),IFERROR(UPPER(TRIM(BASELINE!D2682&amp;"")),"")&lt;&gt;"ENCERRADA"),1,0),0)</f>
        <v/>
      </c>
      <c r="B2682">
        <f>B2681+A2682</f>
        <v/>
      </c>
    </row>
    <row r="2683">
      <c r="A2683">
        <f>IFERROR(IF(AND(BASELINE!I2683&lt;&gt;"",INT(IF(CALC!$F$1&gt;0,IF(N(INDEX(BASELINE!$A2683:$ZZ2683,CALC!$F$1))&gt;0,N(INDEX(BASELINE!$A2683:$ZZ2683,CALC!$F$1)),N(BASELINE!E2683)),N(BASELINE!E2683)))=INT(SIMOPS!$D$3),IFERROR(UPPER(TRIM(BASELINE!D2683&amp;"")),"")&lt;&gt;"ENCERRADA"),1,0),0)</f>
        <v/>
      </c>
      <c r="B2683">
        <f>B2682+A2683</f>
        <v/>
      </c>
    </row>
    <row r="2684">
      <c r="A2684">
        <f>IFERROR(IF(AND(BASELINE!I2684&lt;&gt;"",INT(IF(CALC!$F$1&gt;0,IF(N(INDEX(BASELINE!$A2684:$ZZ2684,CALC!$F$1))&gt;0,N(INDEX(BASELINE!$A2684:$ZZ2684,CALC!$F$1)),N(BASELINE!E2684)),N(BASELINE!E2684)))=INT(SIMOPS!$D$3),IFERROR(UPPER(TRIM(BASELINE!D2684&amp;"")),"")&lt;&gt;"ENCERRADA"),1,0),0)</f>
        <v/>
      </c>
      <c r="B2684">
        <f>B2683+A2684</f>
        <v/>
      </c>
    </row>
    <row r="2685">
      <c r="A2685">
        <f>IFERROR(IF(AND(BASELINE!I2685&lt;&gt;"",INT(IF(CALC!$F$1&gt;0,IF(N(INDEX(BASELINE!$A2685:$ZZ2685,CALC!$F$1))&gt;0,N(INDEX(BASELINE!$A2685:$ZZ2685,CALC!$F$1)),N(BASELINE!E2685)),N(BASELINE!E2685)))=INT(SIMOPS!$D$3),IFERROR(UPPER(TRIM(BASELINE!D2685&amp;"")),"")&lt;&gt;"ENCERRADA"),1,0),0)</f>
        <v/>
      </c>
      <c r="B2685">
        <f>B2684+A2685</f>
        <v/>
      </c>
    </row>
    <row r="2686">
      <c r="A2686">
        <f>IFERROR(IF(AND(BASELINE!I2686&lt;&gt;"",INT(IF(CALC!$F$1&gt;0,IF(N(INDEX(BASELINE!$A2686:$ZZ2686,CALC!$F$1))&gt;0,N(INDEX(BASELINE!$A2686:$ZZ2686,CALC!$F$1)),N(BASELINE!E2686)),N(BASELINE!E2686)))=INT(SIMOPS!$D$3),IFERROR(UPPER(TRIM(BASELINE!D2686&amp;"")),"")&lt;&gt;"ENCERRADA"),1,0),0)</f>
        <v/>
      </c>
      <c r="B2686">
        <f>B2685+A2686</f>
        <v/>
      </c>
    </row>
    <row r="2687">
      <c r="A2687">
        <f>IFERROR(IF(AND(BASELINE!I2687&lt;&gt;"",INT(IF(CALC!$F$1&gt;0,IF(N(INDEX(BASELINE!$A2687:$ZZ2687,CALC!$F$1))&gt;0,N(INDEX(BASELINE!$A2687:$ZZ2687,CALC!$F$1)),N(BASELINE!E2687)),N(BASELINE!E2687)))=INT(SIMOPS!$D$3),IFERROR(UPPER(TRIM(BASELINE!D2687&amp;"")),"")&lt;&gt;"ENCERRADA"),1,0),0)</f>
        <v/>
      </c>
      <c r="B2687">
        <f>B2686+A2687</f>
        <v/>
      </c>
    </row>
    <row r="2688">
      <c r="A2688">
        <f>IFERROR(IF(AND(BASELINE!I2688&lt;&gt;"",INT(IF(CALC!$F$1&gt;0,IF(N(INDEX(BASELINE!$A2688:$ZZ2688,CALC!$F$1))&gt;0,N(INDEX(BASELINE!$A2688:$ZZ2688,CALC!$F$1)),N(BASELINE!E2688)),N(BASELINE!E2688)))=INT(SIMOPS!$D$3),IFERROR(UPPER(TRIM(BASELINE!D2688&amp;"")),"")&lt;&gt;"ENCERRADA"),1,0),0)</f>
        <v/>
      </c>
      <c r="B2688">
        <f>B2687+A2688</f>
        <v/>
      </c>
    </row>
    <row r="2689">
      <c r="A2689">
        <f>IFERROR(IF(AND(BASELINE!I2689&lt;&gt;"",INT(IF(CALC!$F$1&gt;0,IF(N(INDEX(BASELINE!$A2689:$ZZ2689,CALC!$F$1))&gt;0,N(INDEX(BASELINE!$A2689:$ZZ2689,CALC!$F$1)),N(BASELINE!E2689)),N(BASELINE!E2689)))=INT(SIMOPS!$D$3),IFERROR(UPPER(TRIM(BASELINE!D2689&amp;"")),"")&lt;&gt;"ENCERRADA"),1,0),0)</f>
        <v/>
      </c>
      <c r="B2689">
        <f>B2688+A2689</f>
        <v/>
      </c>
    </row>
    <row r="2690">
      <c r="A2690">
        <f>IFERROR(IF(AND(BASELINE!I2690&lt;&gt;"",INT(IF(CALC!$F$1&gt;0,IF(N(INDEX(BASELINE!$A2690:$ZZ2690,CALC!$F$1))&gt;0,N(INDEX(BASELINE!$A2690:$ZZ2690,CALC!$F$1)),N(BASELINE!E2690)),N(BASELINE!E2690)))=INT(SIMOPS!$D$3),IFERROR(UPPER(TRIM(BASELINE!D2690&amp;"")),"")&lt;&gt;"ENCERRADA"),1,0),0)</f>
        <v/>
      </c>
      <c r="B2690">
        <f>B2689+A2690</f>
        <v/>
      </c>
    </row>
    <row r="2691">
      <c r="A2691">
        <f>IFERROR(IF(AND(BASELINE!I2691&lt;&gt;"",INT(IF(CALC!$F$1&gt;0,IF(N(INDEX(BASELINE!$A2691:$ZZ2691,CALC!$F$1))&gt;0,N(INDEX(BASELINE!$A2691:$ZZ2691,CALC!$F$1)),N(BASELINE!E2691)),N(BASELINE!E2691)))=INT(SIMOPS!$D$3),IFERROR(UPPER(TRIM(BASELINE!D2691&amp;"")),"")&lt;&gt;"ENCERRADA"),1,0),0)</f>
        <v/>
      </c>
      <c r="B2691">
        <f>B2690+A2691</f>
        <v/>
      </c>
    </row>
    <row r="2692">
      <c r="A2692">
        <f>IFERROR(IF(AND(BASELINE!I2692&lt;&gt;"",INT(IF(CALC!$F$1&gt;0,IF(N(INDEX(BASELINE!$A2692:$ZZ2692,CALC!$F$1))&gt;0,N(INDEX(BASELINE!$A2692:$ZZ2692,CALC!$F$1)),N(BASELINE!E2692)),N(BASELINE!E2692)))=INT(SIMOPS!$D$3),IFERROR(UPPER(TRIM(BASELINE!D2692&amp;"")),"")&lt;&gt;"ENCERRADA"),1,0),0)</f>
        <v/>
      </c>
      <c r="B2692">
        <f>B2691+A2692</f>
        <v/>
      </c>
    </row>
    <row r="2693">
      <c r="A2693">
        <f>IFERROR(IF(AND(BASELINE!I2693&lt;&gt;"",INT(IF(CALC!$F$1&gt;0,IF(N(INDEX(BASELINE!$A2693:$ZZ2693,CALC!$F$1))&gt;0,N(INDEX(BASELINE!$A2693:$ZZ2693,CALC!$F$1)),N(BASELINE!E2693)),N(BASELINE!E2693)))=INT(SIMOPS!$D$3),IFERROR(UPPER(TRIM(BASELINE!D2693&amp;"")),"")&lt;&gt;"ENCERRADA"),1,0),0)</f>
        <v/>
      </c>
      <c r="B2693">
        <f>B2692+A2693</f>
        <v/>
      </c>
    </row>
    <row r="2694">
      <c r="A2694">
        <f>IFERROR(IF(AND(BASELINE!I2694&lt;&gt;"",INT(IF(CALC!$F$1&gt;0,IF(N(INDEX(BASELINE!$A2694:$ZZ2694,CALC!$F$1))&gt;0,N(INDEX(BASELINE!$A2694:$ZZ2694,CALC!$F$1)),N(BASELINE!E2694)),N(BASELINE!E2694)))=INT(SIMOPS!$D$3),IFERROR(UPPER(TRIM(BASELINE!D2694&amp;"")),"")&lt;&gt;"ENCERRADA"),1,0),0)</f>
        <v/>
      </c>
      <c r="B2694">
        <f>B2693+A2694</f>
        <v/>
      </c>
    </row>
    <row r="2695">
      <c r="A2695">
        <f>IFERROR(IF(AND(BASELINE!I2695&lt;&gt;"",INT(IF(CALC!$F$1&gt;0,IF(N(INDEX(BASELINE!$A2695:$ZZ2695,CALC!$F$1))&gt;0,N(INDEX(BASELINE!$A2695:$ZZ2695,CALC!$F$1)),N(BASELINE!E2695)),N(BASELINE!E2695)))=INT(SIMOPS!$D$3),IFERROR(UPPER(TRIM(BASELINE!D2695&amp;"")),"")&lt;&gt;"ENCERRADA"),1,0),0)</f>
        <v/>
      </c>
      <c r="B2695">
        <f>B2694+A2695</f>
        <v/>
      </c>
    </row>
    <row r="2696">
      <c r="A2696">
        <f>IFERROR(IF(AND(BASELINE!I2696&lt;&gt;"",INT(IF(CALC!$F$1&gt;0,IF(N(INDEX(BASELINE!$A2696:$ZZ2696,CALC!$F$1))&gt;0,N(INDEX(BASELINE!$A2696:$ZZ2696,CALC!$F$1)),N(BASELINE!E2696)),N(BASELINE!E2696)))=INT(SIMOPS!$D$3),IFERROR(UPPER(TRIM(BASELINE!D2696&amp;"")),"")&lt;&gt;"ENCERRADA"),1,0),0)</f>
        <v/>
      </c>
      <c r="B2696">
        <f>B2695+A2696</f>
        <v/>
      </c>
    </row>
    <row r="2697">
      <c r="A2697">
        <f>IFERROR(IF(AND(BASELINE!I2697&lt;&gt;"",INT(IF(CALC!$F$1&gt;0,IF(N(INDEX(BASELINE!$A2697:$ZZ2697,CALC!$F$1))&gt;0,N(INDEX(BASELINE!$A2697:$ZZ2697,CALC!$F$1)),N(BASELINE!E2697)),N(BASELINE!E2697)))=INT(SIMOPS!$D$3),IFERROR(UPPER(TRIM(BASELINE!D2697&amp;"")),"")&lt;&gt;"ENCERRADA"),1,0),0)</f>
        <v/>
      </c>
      <c r="B2697">
        <f>B2696+A2697</f>
        <v/>
      </c>
    </row>
    <row r="2698">
      <c r="A2698">
        <f>IFERROR(IF(AND(BASELINE!I2698&lt;&gt;"",INT(IF(CALC!$F$1&gt;0,IF(N(INDEX(BASELINE!$A2698:$ZZ2698,CALC!$F$1))&gt;0,N(INDEX(BASELINE!$A2698:$ZZ2698,CALC!$F$1)),N(BASELINE!E2698)),N(BASELINE!E2698)))=INT(SIMOPS!$D$3),IFERROR(UPPER(TRIM(BASELINE!D2698&amp;"")),"")&lt;&gt;"ENCERRADA"),1,0),0)</f>
        <v/>
      </c>
      <c r="B2698">
        <f>B2697+A2698</f>
        <v/>
      </c>
    </row>
    <row r="2699">
      <c r="A2699">
        <f>IFERROR(IF(AND(BASELINE!I2699&lt;&gt;"",INT(IF(CALC!$F$1&gt;0,IF(N(INDEX(BASELINE!$A2699:$ZZ2699,CALC!$F$1))&gt;0,N(INDEX(BASELINE!$A2699:$ZZ2699,CALC!$F$1)),N(BASELINE!E2699)),N(BASELINE!E2699)))=INT(SIMOPS!$D$3),IFERROR(UPPER(TRIM(BASELINE!D2699&amp;"")),"")&lt;&gt;"ENCERRADA"),1,0),0)</f>
        <v/>
      </c>
      <c r="B2699">
        <f>B2698+A2699</f>
        <v/>
      </c>
    </row>
    <row r="2700">
      <c r="A2700">
        <f>IFERROR(IF(AND(BASELINE!I2700&lt;&gt;"",INT(IF(CALC!$F$1&gt;0,IF(N(INDEX(BASELINE!$A2700:$ZZ2700,CALC!$F$1))&gt;0,N(INDEX(BASELINE!$A2700:$ZZ2700,CALC!$F$1)),N(BASELINE!E2700)),N(BASELINE!E2700)))=INT(SIMOPS!$D$3),IFERROR(UPPER(TRIM(BASELINE!D2700&amp;"")),"")&lt;&gt;"ENCERRADA"),1,0),0)</f>
        <v/>
      </c>
      <c r="B2700">
        <f>B2699+A2700</f>
        <v/>
      </c>
    </row>
    <row r="2701">
      <c r="A2701">
        <f>IFERROR(IF(AND(BASELINE!I2701&lt;&gt;"",INT(IF(CALC!$F$1&gt;0,IF(N(INDEX(BASELINE!$A2701:$ZZ2701,CALC!$F$1))&gt;0,N(INDEX(BASELINE!$A2701:$ZZ2701,CALC!$F$1)),N(BASELINE!E2701)),N(BASELINE!E2701)))=INT(SIMOPS!$D$3),IFERROR(UPPER(TRIM(BASELINE!D2701&amp;"")),"")&lt;&gt;"ENCERRADA"),1,0),0)</f>
        <v/>
      </c>
      <c r="B2701">
        <f>B2700+A2701</f>
        <v/>
      </c>
    </row>
    <row r="2702">
      <c r="A2702">
        <f>IFERROR(IF(AND(BASELINE!I2702&lt;&gt;"",INT(IF(CALC!$F$1&gt;0,IF(N(INDEX(BASELINE!$A2702:$ZZ2702,CALC!$F$1))&gt;0,N(INDEX(BASELINE!$A2702:$ZZ2702,CALC!$F$1)),N(BASELINE!E2702)),N(BASELINE!E2702)))=INT(SIMOPS!$D$3),IFERROR(UPPER(TRIM(BASELINE!D2702&amp;"")),"")&lt;&gt;"ENCERRADA"),1,0),0)</f>
        <v/>
      </c>
      <c r="B2702">
        <f>B2701+A2702</f>
        <v/>
      </c>
    </row>
    <row r="2703">
      <c r="A2703">
        <f>IFERROR(IF(AND(BASELINE!I2703&lt;&gt;"",INT(IF(CALC!$F$1&gt;0,IF(N(INDEX(BASELINE!$A2703:$ZZ2703,CALC!$F$1))&gt;0,N(INDEX(BASELINE!$A2703:$ZZ2703,CALC!$F$1)),N(BASELINE!E2703)),N(BASELINE!E2703)))=INT(SIMOPS!$D$3),IFERROR(UPPER(TRIM(BASELINE!D2703&amp;"")),"")&lt;&gt;"ENCERRADA"),1,0),0)</f>
        <v/>
      </c>
      <c r="B2703">
        <f>B2702+A2703</f>
        <v/>
      </c>
    </row>
    <row r="2704">
      <c r="A2704">
        <f>IFERROR(IF(AND(BASELINE!I2704&lt;&gt;"",INT(IF(CALC!$F$1&gt;0,IF(N(INDEX(BASELINE!$A2704:$ZZ2704,CALC!$F$1))&gt;0,N(INDEX(BASELINE!$A2704:$ZZ2704,CALC!$F$1)),N(BASELINE!E2704)),N(BASELINE!E2704)))=INT(SIMOPS!$D$3),IFERROR(UPPER(TRIM(BASELINE!D2704&amp;"")),"")&lt;&gt;"ENCERRADA"),1,0),0)</f>
        <v/>
      </c>
      <c r="B2704">
        <f>B2703+A2704</f>
        <v/>
      </c>
    </row>
    <row r="2705">
      <c r="A2705">
        <f>IFERROR(IF(AND(BASELINE!I2705&lt;&gt;"",INT(IF(CALC!$F$1&gt;0,IF(N(INDEX(BASELINE!$A2705:$ZZ2705,CALC!$F$1))&gt;0,N(INDEX(BASELINE!$A2705:$ZZ2705,CALC!$F$1)),N(BASELINE!E2705)),N(BASELINE!E2705)))=INT(SIMOPS!$D$3),IFERROR(UPPER(TRIM(BASELINE!D2705&amp;"")),"")&lt;&gt;"ENCERRADA"),1,0),0)</f>
        <v/>
      </c>
      <c r="B2705">
        <f>B2704+A2705</f>
        <v/>
      </c>
    </row>
    <row r="2706">
      <c r="A2706">
        <f>IFERROR(IF(AND(BASELINE!I2706&lt;&gt;"",INT(IF(CALC!$F$1&gt;0,IF(N(INDEX(BASELINE!$A2706:$ZZ2706,CALC!$F$1))&gt;0,N(INDEX(BASELINE!$A2706:$ZZ2706,CALC!$F$1)),N(BASELINE!E2706)),N(BASELINE!E2706)))=INT(SIMOPS!$D$3),IFERROR(UPPER(TRIM(BASELINE!D2706&amp;"")),"")&lt;&gt;"ENCERRADA"),1,0),0)</f>
        <v/>
      </c>
      <c r="B2706">
        <f>B2705+A2706</f>
        <v/>
      </c>
    </row>
    <row r="2707">
      <c r="A2707">
        <f>IFERROR(IF(AND(BASELINE!I2707&lt;&gt;"",INT(IF(CALC!$F$1&gt;0,IF(N(INDEX(BASELINE!$A2707:$ZZ2707,CALC!$F$1))&gt;0,N(INDEX(BASELINE!$A2707:$ZZ2707,CALC!$F$1)),N(BASELINE!E2707)),N(BASELINE!E2707)))=INT(SIMOPS!$D$3),IFERROR(UPPER(TRIM(BASELINE!D2707&amp;"")),"")&lt;&gt;"ENCERRADA"),1,0),0)</f>
        <v/>
      </c>
      <c r="B2707">
        <f>B2706+A2707</f>
        <v/>
      </c>
    </row>
    <row r="2708">
      <c r="A2708">
        <f>IFERROR(IF(AND(BASELINE!I2708&lt;&gt;"",INT(IF(CALC!$F$1&gt;0,IF(N(INDEX(BASELINE!$A2708:$ZZ2708,CALC!$F$1))&gt;0,N(INDEX(BASELINE!$A2708:$ZZ2708,CALC!$F$1)),N(BASELINE!E2708)),N(BASELINE!E2708)))=INT(SIMOPS!$D$3),IFERROR(UPPER(TRIM(BASELINE!D2708&amp;"")),"")&lt;&gt;"ENCERRADA"),1,0),0)</f>
        <v/>
      </c>
      <c r="B2708">
        <f>B2707+A2708</f>
        <v/>
      </c>
    </row>
    <row r="2709">
      <c r="A2709">
        <f>IFERROR(IF(AND(BASELINE!I2709&lt;&gt;"",INT(IF(CALC!$F$1&gt;0,IF(N(INDEX(BASELINE!$A2709:$ZZ2709,CALC!$F$1))&gt;0,N(INDEX(BASELINE!$A2709:$ZZ2709,CALC!$F$1)),N(BASELINE!E2709)),N(BASELINE!E2709)))=INT(SIMOPS!$D$3),IFERROR(UPPER(TRIM(BASELINE!D2709&amp;"")),"")&lt;&gt;"ENCERRADA"),1,0),0)</f>
        <v/>
      </c>
      <c r="B2709">
        <f>B2708+A2709</f>
        <v/>
      </c>
    </row>
    <row r="2710">
      <c r="A2710">
        <f>IFERROR(IF(AND(BASELINE!I2710&lt;&gt;"",INT(IF(CALC!$F$1&gt;0,IF(N(INDEX(BASELINE!$A2710:$ZZ2710,CALC!$F$1))&gt;0,N(INDEX(BASELINE!$A2710:$ZZ2710,CALC!$F$1)),N(BASELINE!E2710)),N(BASELINE!E2710)))=INT(SIMOPS!$D$3),IFERROR(UPPER(TRIM(BASELINE!D2710&amp;"")),"")&lt;&gt;"ENCERRADA"),1,0),0)</f>
        <v/>
      </c>
      <c r="B2710">
        <f>B2709+A2710</f>
        <v/>
      </c>
    </row>
    <row r="2711">
      <c r="A2711">
        <f>IFERROR(IF(AND(BASELINE!I2711&lt;&gt;"",INT(IF(CALC!$F$1&gt;0,IF(N(INDEX(BASELINE!$A2711:$ZZ2711,CALC!$F$1))&gt;0,N(INDEX(BASELINE!$A2711:$ZZ2711,CALC!$F$1)),N(BASELINE!E2711)),N(BASELINE!E2711)))=INT(SIMOPS!$D$3),IFERROR(UPPER(TRIM(BASELINE!D2711&amp;"")),"")&lt;&gt;"ENCERRADA"),1,0),0)</f>
        <v/>
      </c>
      <c r="B2711">
        <f>B2710+A2711</f>
        <v/>
      </c>
    </row>
    <row r="2712">
      <c r="A2712">
        <f>IFERROR(IF(AND(BASELINE!I2712&lt;&gt;"",INT(IF(CALC!$F$1&gt;0,IF(N(INDEX(BASELINE!$A2712:$ZZ2712,CALC!$F$1))&gt;0,N(INDEX(BASELINE!$A2712:$ZZ2712,CALC!$F$1)),N(BASELINE!E2712)),N(BASELINE!E2712)))=INT(SIMOPS!$D$3),IFERROR(UPPER(TRIM(BASELINE!D2712&amp;"")),"")&lt;&gt;"ENCERRADA"),1,0),0)</f>
        <v/>
      </c>
      <c r="B2712">
        <f>B2711+A2712</f>
        <v/>
      </c>
    </row>
    <row r="2713">
      <c r="A2713">
        <f>IFERROR(IF(AND(BASELINE!I2713&lt;&gt;"",INT(IF(CALC!$F$1&gt;0,IF(N(INDEX(BASELINE!$A2713:$ZZ2713,CALC!$F$1))&gt;0,N(INDEX(BASELINE!$A2713:$ZZ2713,CALC!$F$1)),N(BASELINE!E2713)),N(BASELINE!E2713)))=INT(SIMOPS!$D$3),IFERROR(UPPER(TRIM(BASELINE!D2713&amp;"")),"")&lt;&gt;"ENCERRADA"),1,0),0)</f>
        <v/>
      </c>
      <c r="B2713">
        <f>B2712+A2713</f>
        <v/>
      </c>
    </row>
    <row r="2714">
      <c r="A2714">
        <f>IFERROR(IF(AND(BASELINE!I2714&lt;&gt;"",INT(IF(CALC!$F$1&gt;0,IF(N(INDEX(BASELINE!$A2714:$ZZ2714,CALC!$F$1))&gt;0,N(INDEX(BASELINE!$A2714:$ZZ2714,CALC!$F$1)),N(BASELINE!E2714)),N(BASELINE!E2714)))=INT(SIMOPS!$D$3),IFERROR(UPPER(TRIM(BASELINE!D2714&amp;"")),"")&lt;&gt;"ENCERRADA"),1,0),0)</f>
        <v/>
      </c>
      <c r="B2714">
        <f>B2713+A2714</f>
        <v/>
      </c>
    </row>
    <row r="2715">
      <c r="A2715">
        <f>IFERROR(IF(AND(BASELINE!I2715&lt;&gt;"",INT(IF(CALC!$F$1&gt;0,IF(N(INDEX(BASELINE!$A2715:$ZZ2715,CALC!$F$1))&gt;0,N(INDEX(BASELINE!$A2715:$ZZ2715,CALC!$F$1)),N(BASELINE!E2715)),N(BASELINE!E2715)))=INT(SIMOPS!$D$3),IFERROR(UPPER(TRIM(BASELINE!D2715&amp;"")),"")&lt;&gt;"ENCERRADA"),1,0),0)</f>
        <v/>
      </c>
      <c r="B2715">
        <f>B2714+A2715</f>
        <v/>
      </c>
    </row>
    <row r="2716">
      <c r="A2716">
        <f>IFERROR(IF(AND(BASELINE!I2716&lt;&gt;"",INT(IF(CALC!$F$1&gt;0,IF(N(INDEX(BASELINE!$A2716:$ZZ2716,CALC!$F$1))&gt;0,N(INDEX(BASELINE!$A2716:$ZZ2716,CALC!$F$1)),N(BASELINE!E2716)),N(BASELINE!E2716)))=INT(SIMOPS!$D$3),IFERROR(UPPER(TRIM(BASELINE!D2716&amp;"")),"")&lt;&gt;"ENCERRADA"),1,0),0)</f>
        <v/>
      </c>
      <c r="B2716">
        <f>B2715+A2716</f>
        <v/>
      </c>
    </row>
    <row r="2717">
      <c r="A2717">
        <f>IFERROR(IF(AND(BASELINE!I2717&lt;&gt;"",INT(IF(CALC!$F$1&gt;0,IF(N(INDEX(BASELINE!$A2717:$ZZ2717,CALC!$F$1))&gt;0,N(INDEX(BASELINE!$A2717:$ZZ2717,CALC!$F$1)),N(BASELINE!E2717)),N(BASELINE!E2717)))=INT(SIMOPS!$D$3),IFERROR(UPPER(TRIM(BASELINE!D2717&amp;"")),"")&lt;&gt;"ENCERRADA"),1,0),0)</f>
        <v/>
      </c>
      <c r="B2717">
        <f>B2716+A2717</f>
        <v/>
      </c>
    </row>
    <row r="2718">
      <c r="A2718">
        <f>IFERROR(IF(AND(BASELINE!I2718&lt;&gt;"",INT(IF(CALC!$F$1&gt;0,IF(N(INDEX(BASELINE!$A2718:$ZZ2718,CALC!$F$1))&gt;0,N(INDEX(BASELINE!$A2718:$ZZ2718,CALC!$F$1)),N(BASELINE!E2718)),N(BASELINE!E2718)))=INT(SIMOPS!$D$3),IFERROR(UPPER(TRIM(BASELINE!D2718&amp;"")),"")&lt;&gt;"ENCERRADA"),1,0),0)</f>
        <v/>
      </c>
      <c r="B2718">
        <f>B2717+A2718</f>
        <v/>
      </c>
    </row>
    <row r="2719">
      <c r="A2719">
        <f>IFERROR(IF(AND(BASELINE!I2719&lt;&gt;"",INT(IF(CALC!$F$1&gt;0,IF(N(INDEX(BASELINE!$A2719:$ZZ2719,CALC!$F$1))&gt;0,N(INDEX(BASELINE!$A2719:$ZZ2719,CALC!$F$1)),N(BASELINE!E2719)),N(BASELINE!E2719)))=INT(SIMOPS!$D$3),IFERROR(UPPER(TRIM(BASELINE!D2719&amp;"")),"")&lt;&gt;"ENCERRADA"),1,0),0)</f>
        <v/>
      </c>
      <c r="B2719">
        <f>B2718+A2719</f>
        <v/>
      </c>
    </row>
    <row r="2720">
      <c r="A2720">
        <f>IFERROR(IF(AND(BASELINE!I2720&lt;&gt;"",INT(IF(CALC!$F$1&gt;0,IF(N(INDEX(BASELINE!$A2720:$ZZ2720,CALC!$F$1))&gt;0,N(INDEX(BASELINE!$A2720:$ZZ2720,CALC!$F$1)),N(BASELINE!E2720)),N(BASELINE!E2720)))=INT(SIMOPS!$D$3),IFERROR(UPPER(TRIM(BASELINE!D2720&amp;"")),"")&lt;&gt;"ENCERRADA"),1,0),0)</f>
        <v/>
      </c>
      <c r="B2720">
        <f>B2719+A2720</f>
        <v/>
      </c>
    </row>
    <row r="2721">
      <c r="A2721">
        <f>IFERROR(IF(AND(BASELINE!I2721&lt;&gt;"",INT(IF(CALC!$F$1&gt;0,IF(N(INDEX(BASELINE!$A2721:$ZZ2721,CALC!$F$1))&gt;0,N(INDEX(BASELINE!$A2721:$ZZ2721,CALC!$F$1)),N(BASELINE!E2721)),N(BASELINE!E2721)))=INT(SIMOPS!$D$3),IFERROR(UPPER(TRIM(BASELINE!D2721&amp;"")),"")&lt;&gt;"ENCERRADA"),1,0),0)</f>
        <v/>
      </c>
      <c r="B2721">
        <f>B2720+A2721</f>
        <v/>
      </c>
    </row>
    <row r="2722">
      <c r="A2722">
        <f>IFERROR(IF(AND(BASELINE!I2722&lt;&gt;"",INT(IF(CALC!$F$1&gt;0,IF(N(INDEX(BASELINE!$A2722:$ZZ2722,CALC!$F$1))&gt;0,N(INDEX(BASELINE!$A2722:$ZZ2722,CALC!$F$1)),N(BASELINE!E2722)),N(BASELINE!E2722)))=INT(SIMOPS!$D$3),IFERROR(UPPER(TRIM(BASELINE!D2722&amp;"")),"")&lt;&gt;"ENCERRADA"),1,0),0)</f>
        <v/>
      </c>
      <c r="B2722">
        <f>B2721+A2722</f>
        <v/>
      </c>
    </row>
    <row r="2723">
      <c r="A2723">
        <f>IFERROR(IF(AND(BASELINE!I2723&lt;&gt;"",INT(IF(CALC!$F$1&gt;0,IF(N(INDEX(BASELINE!$A2723:$ZZ2723,CALC!$F$1))&gt;0,N(INDEX(BASELINE!$A2723:$ZZ2723,CALC!$F$1)),N(BASELINE!E2723)),N(BASELINE!E2723)))=INT(SIMOPS!$D$3),IFERROR(UPPER(TRIM(BASELINE!D2723&amp;"")),"")&lt;&gt;"ENCERRADA"),1,0),0)</f>
        <v/>
      </c>
      <c r="B2723">
        <f>B2722+A2723</f>
        <v/>
      </c>
    </row>
    <row r="2724">
      <c r="A2724">
        <f>IFERROR(IF(AND(BASELINE!I2724&lt;&gt;"",INT(IF(CALC!$F$1&gt;0,IF(N(INDEX(BASELINE!$A2724:$ZZ2724,CALC!$F$1))&gt;0,N(INDEX(BASELINE!$A2724:$ZZ2724,CALC!$F$1)),N(BASELINE!E2724)),N(BASELINE!E2724)))=INT(SIMOPS!$D$3),IFERROR(UPPER(TRIM(BASELINE!D2724&amp;"")),"")&lt;&gt;"ENCERRADA"),1,0),0)</f>
        <v/>
      </c>
      <c r="B2724">
        <f>B2723+A2724</f>
        <v/>
      </c>
    </row>
    <row r="2725">
      <c r="A2725">
        <f>IFERROR(IF(AND(BASELINE!I2725&lt;&gt;"",INT(IF(CALC!$F$1&gt;0,IF(N(INDEX(BASELINE!$A2725:$ZZ2725,CALC!$F$1))&gt;0,N(INDEX(BASELINE!$A2725:$ZZ2725,CALC!$F$1)),N(BASELINE!E2725)),N(BASELINE!E2725)))=INT(SIMOPS!$D$3),IFERROR(UPPER(TRIM(BASELINE!D2725&amp;"")),"")&lt;&gt;"ENCERRADA"),1,0),0)</f>
        <v/>
      </c>
      <c r="B2725">
        <f>B2724+A2725</f>
        <v/>
      </c>
    </row>
    <row r="2726">
      <c r="A2726">
        <f>IFERROR(IF(AND(BASELINE!I2726&lt;&gt;"",INT(IF(CALC!$F$1&gt;0,IF(N(INDEX(BASELINE!$A2726:$ZZ2726,CALC!$F$1))&gt;0,N(INDEX(BASELINE!$A2726:$ZZ2726,CALC!$F$1)),N(BASELINE!E2726)),N(BASELINE!E2726)))=INT(SIMOPS!$D$3),IFERROR(UPPER(TRIM(BASELINE!D2726&amp;"")),"")&lt;&gt;"ENCERRADA"),1,0),0)</f>
        <v/>
      </c>
      <c r="B2726">
        <f>B2725+A2726</f>
        <v/>
      </c>
    </row>
    <row r="2727">
      <c r="A2727">
        <f>IFERROR(IF(AND(BASELINE!I2727&lt;&gt;"",INT(IF(CALC!$F$1&gt;0,IF(N(INDEX(BASELINE!$A2727:$ZZ2727,CALC!$F$1))&gt;0,N(INDEX(BASELINE!$A2727:$ZZ2727,CALC!$F$1)),N(BASELINE!E2727)),N(BASELINE!E2727)))=INT(SIMOPS!$D$3),IFERROR(UPPER(TRIM(BASELINE!D2727&amp;"")),"")&lt;&gt;"ENCERRADA"),1,0),0)</f>
        <v/>
      </c>
      <c r="B2727">
        <f>B2726+A2727</f>
        <v/>
      </c>
    </row>
    <row r="2728">
      <c r="A2728">
        <f>IFERROR(IF(AND(BASELINE!I2728&lt;&gt;"",INT(IF(CALC!$F$1&gt;0,IF(N(INDEX(BASELINE!$A2728:$ZZ2728,CALC!$F$1))&gt;0,N(INDEX(BASELINE!$A2728:$ZZ2728,CALC!$F$1)),N(BASELINE!E2728)),N(BASELINE!E2728)))=INT(SIMOPS!$D$3),IFERROR(UPPER(TRIM(BASELINE!D2728&amp;"")),"")&lt;&gt;"ENCERRADA"),1,0),0)</f>
        <v/>
      </c>
      <c r="B2728">
        <f>B2727+A2728</f>
        <v/>
      </c>
    </row>
    <row r="2729">
      <c r="A2729">
        <f>IFERROR(IF(AND(BASELINE!I2729&lt;&gt;"",INT(IF(CALC!$F$1&gt;0,IF(N(INDEX(BASELINE!$A2729:$ZZ2729,CALC!$F$1))&gt;0,N(INDEX(BASELINE!$A2729:$ZZ2729,CALC!$F$1)),N(BASELINE!E2729)),N(BASELINE!E2729)))=INT(SIMOPS!$D$3),IFERROR(UPPER(TRIM(BASELINE!D2729&amp;"")),"")&lt;&gt;"ENCERRADA"),1,0),0)</f>
        <v/>
      </c>
      <c r="B2729">
        <f>B2728+A2729</f>
        <v/>
      </c>
    </row>
    <row r="2730">
      <c r="A2730">
        <f>IFERROR(IF(AND(BASELINE!I2730&lt;&gt;"",INT(IF(CALC!$F$1&gt;0,IF(N(INDEX(BASELINE!$A2730:$ZZ2730,CALC!$F$1))&gt;0,N(INDEX(BASELINE!$A2730:$ZZ2730,CALC!$F$1)),N(BASELINE!E2730)),N(BASELINE!E2730)))=INT(SIMOPS!$D$3),IFERROR(UPPER(TRIM(BASELINE!D2730&amp;"")),"")&lt;&gt;"ENCERRADA"),1,0),0)</f>
        <v/>
      </c>
      <c r="B2730">
        <f>B2729+A2730</f>
        <v/>
      </c>
    </row>
    <row r="2731">
      <c r="A2731">
        <f>IFERROR(IF(AND(BASELINE!I2731&lt;&gt;"",INT(IF(CALC!$F$1&gt;0,IF(N(INDEX(BASELINE!$A2731:$ZZ2731,CALC!$F$1))&gt;0,N(INDEX(BASELINE!$A2731:$ZZ2731,CALC!$F$1)),N(BASELINE!E2731)),N(BASELINE!E2731)))=INT(SIMOPS!$D$3),IFERROR(UPPER(TRIM(BASELINE!D2731&amp;"")),"")&lt;&gt;"ENCERRADA"),1,0),0)</f>
        <v/>
      </c>
      <c r="B2731">
        <f>B2730+A2731</f>
        <v/>
      </c>
    </row>
    <row r="2732">
      <c r="A2732">
        <f>IFERROR(IF(AND(BASELINE!I2732&lt;&gt;"",INT(IF(CALC!$F$1&gt;0,IF(N(INDEX(BASELINE!$A2732:$ZZ2732,CALC!$F$1))&gt;0,N(INDEX(BASELINE!$A2732:$ZZ2732,CALC!$F$1)),N(BASELINE!E2732)),N(BASELINE!E2732)))=INT(SIMOPS!$D$3),IFERROR(UPPER(TRIM(BASELINE!D2732&amp;"")),"")&lt;&gt;"ENCERRADA"),1,0),0)</f>
        <v/>
      </c>
      <c r="B2732">
        <f>B2731+A2732</f>
        <v/>
      </c>
    </row>
    <row r="2733">
      <c r="A2733">
        <f>IFERROR(IF(AND(BASELINE!I2733&lt;&gt;"",INT(IF(CALC!$F$1&gt;0,IF(N(INDEX(BASELINE!$A2733:$ZZ2733,CALC!$F$1))&gt;0,N(INDEX(BASELINE!$A2733:$ZZ2733,CALC!$F$1)),N(BASELINE!E2733)),N(BASELINE!E2733)))=INT(SIMOPS!$D$3),IFERROR(UPPER(TRIM(BASELINE!D2733&amp;"")),"")&lt;&gt;"ENCERRADA"),1,0),0)</f>
        <v/>
      </c>
      <c r="B2733">
        <f>B2732+A2733</f>
        <v/>
      </c>
    </row>
    <row r="2734">
      <c r="A2734">
        <f>IFERROR(IF(AND(BASELINE!I2734&lt;&gt;"",INT(IF(CALC!$F$1&gt;0,IF(N(INDEX(BASELINE!$A2734:$ZZ2734,CALC!$F$1))&gt;0,N(INDEX(BASELINE!$A2734:$ZZ2734,CALC!$F$1)),N(BASELINE!E2734)),N(BASELINE!E2734)))=INT(SIMOPS!$D$3),IFERROR(UPPER(TRIM(BASELINE!D2734&amp;"")),"")&lt;&gt;"ENCERRADA"),1,0),0)</f>
        <v/>
      </c>
      <c r="B2734">
        <f>B2733+A2734</f>
        <v/>
      </c>
    </row>
    <row r="2735">
      <c r="A2735">
        <f>IFERROR(IF(AND(BASELINE!I2735&lt;&gt;"",INT(IF(CALC!$F$1&gt;0,IF(N(INDEX(BASELINE!$A2735:$ZZ2735,CALC!$F$1))&gt;0,N(INDEX(BASELINE!$A2735:$ZZ2735,CALC!$F$1)),N(BASELINE!E2735)),N(BASELINE!E2735)))=INT(SIMOPS!$D$3),IFERROR(UPPER(TRIM(BASELINE!D2735&amp;"")),"")&lt;&gt;"ENCERRADA"),1,0),0)</f>
        <v/>
      </c>
      <c r="B2735">
        <f>B2734+A2735</f>
        <v/>
      </c>
    </row>
    <row r="2736">
      <c r="A2736">
        <f>IFERROR(IF(AND(BASELINE!I2736&lt;&gt;"",INT(IF(CALC!$F$1&gt;0,IF(N(INDEX(BASELINE!$A2736:$ZZ2736,CALC!$F$1))&gt;0,N(INDEX(BASELINE!$A2736:$ZZ2736,CALC!$F$1)),N(BASELINE!E2736)),N(BASELINE!E2736)))=INT(SIMOPS!$D$3),IFERROR(UPPER(TRIM(BASELINE!D2736&amp;"")),"")&lt;&gt;"ENCERRADA"),1,0),0)</f>
        <v/>
      </c>
      <c r="B2736">
        <f>B2735+A2736</f>
        <v/>
      </c>
    </row>
    <row r="2737">
      <c r="A2737">
        <f>IFERROR(IF(AND(BASELINE!I2737&lt;&gt;"",INT(IF(CALC!$F$1&gt;0,IF(N(INDEX(BASELINE!$A2737:$ZZ2737,CALC!$F$1))&gt;0,N(INDEX(BASELINE!$A2737:$ZZ2737,CALC!$F$1)),N(BASELINE!E2737)),N(BASELINE!E2737)))=INT(SIMOPS!$D$3),IFERROR(UPPER(TRIM(BASELINE!D2737&amp;"")),"")&lt;&gt;"ENCERRADA"),1,0),0)</f>
        <v/>
      </c>
      <c r="B2737">
        <f>B2736+A2737</f>
        <v/>
      </c>
    </row>
    <row r="2738">
      <c r="A2738">
        <f>IFERROR(IF(AND(BASELINE!I2738&lt;&gt;"",INT(IF(CALC!$F$1&gt;0,IF(N(INDEX(BASELINE!$A2738:$ZZ2738,CALC!$F$1))&gt;0,N(INDEX(BASELINE!$A2738:$ZZ2738,CALC!$F$1)),N(BASELINE!E2738)),N(BASELINE!E2738)))=INT(SIMOPS!$D$3),IFERROR(UPPER(TRIM(BASELINE!D2738&amp;"")),"")&lt;&gt;"ENCERRADA"),1,0),0)</f>
        <v/>
      </c>
      <c r="B2738">
        <f>B2737+A2738</f>
        <v/>
      </c>
    </row>
    <row r="2739">
      <c r="A2739">
        <f>IFERROR(IF(AND(BASELINE!I2739&lt;&gt;"",INT(IF(CALC!$F$1&gt;0,IF(N(INDEX(BASELINE!$A2739:$ZZ2739,CALC!$F$1))&gt;0,N(INDEX(BASELINE!$A2739:$ZZ2739,CALC!$F$1)),N(BASELINE!E2739)),N(BASELINE!E2739)))=INT(SIMOPS!$D$3),IFERROR(UPPER(TRIM(BASELINE!D2739&amp;"")),"")&lt;&gt;"ENCERRADA"),1,0),0)</f>
        <v/>
      </c>
      <c r="B2739">
        <f>B2738+A2739</f>
        <v/>
      </c>
    </row>
    <row r="2740">
      <c r="A2740">
        <f>IFERROR(IF(AND(BASELINE!I2740&lt;&gt;"",INT(IF(CALC!$F$1&gt;0,IF(N(INDEX(BASELINE!$A2740:$ZZ2740,CALC!$F$1))&gt;0,N(INDEX(BASELINE!$A2740:$ZZ2740,CALC!$F$1)),N(BASELINE!E2740)),N(BASELINE!E2740)))=INT(SIMOPS!$D$3),IFERROR(UPPER(TRIM(BASELINE!D2740&amp;"")),"")&lt;&gt;"ENCERRADA"),1,0),0)</f>
        <v/>
      </c>
      <c r="B2740">
        <f>B2739+A2740</f>
        <v/>
      </c>
    </row>
    <row r="2741">
      <c r="A2741">
        <f>IFERROR(IF(AND(BASELINE!I2741&lt;&gt;"",INT(IF(CALC!$F$1&gt;0,IF(N(INDEX(BASELINE!$A2741:$ZZ2741,CALC!$F$1))&gt;0,N(INDEX(BASELINE!$A2741:$ZZ2741,CALC!$F$1)),N(BASELINE!E2741)),N(BASELINE!E2741)))=INT(SIMOPS!$D$3),IFERROR(UPPER(TRIM(BASELINE!D2741&amp;"")),"")&lt;&gt;"ENCERRADA"),1,0),0)</f>
        <v/>
      </c>
      <c r="B2741">
        <f>B2740+A2741</f>
        <v/>
      </c>
    </row>
    <row r="2742">
      <c r="A2742">
        <f>IFERROR(IF(AND(BASELINE!I2742&lt;&gt;"",INT(IF(CALC!$F$1&gt;0,IF(N(INDEX(BASELINE!$A2742:$ZZ2742,CALC!$F$1))&gt;0,N(INDEX(BASELINE!$A2742:$ZZ2742,CALC!$F$1)),N(BASELINE!E2742)),N(BASELINE!E2742)))=INT(SIMOPS!$D$3),IFERROR(UPPER(TRIM(BASELINE!D2742&amp;"")),"")&lt;&gt;"ENCERRADA"),1,0),0)</f>
        <v/>
      </c>
      <c r="B2742">
        <f>B2741+A2742</f>
        <v/>
      </c>
    </row>
    <row r="2743">
      <c r="A2743">
        <f>IFERROR(IF(AND(BASELINE!I2743&lt;&gt;"",INT(IF(CALC!$F$1&gt;0,IF(N(INDEX(BASELINE!$A2743:$ZZ2743,CALC!$F$1))&gt;0,N(INDEX(BASELINE!$A2743:$ZZ2743,CALC!$F$1)),N(BASELINE!E2743)),N(BASELINE!E2743)))=INT(SIMOPS!$D$3),IFERROR(UPPER(TRIM(BASELINE!D2743&amp;"")),"")&lt;&gt;"ENCERRADA"),1,0),0)</f>
        <v/>
      </c>
      <c r="B2743">
        <f>B2742+A2743</f>
        <v/>
      </c>
    </row>
    <row r="2744">
      <c r="A2744">
        <f>IFERROR(IF(AND(BASELINE!I2744&lt;&gt;"",INT(IF(CALC!$F$1&gt;0,IF(N(INDEX(BASELINE!$A2744:$ZZ2744,CALC!$F$1))&gt;0,N(INDEX(BASELINE!$A2744:$ZZ2744,CALC!$F$1)),N(BASELINE!E2744)),N(BASELINE!E2744)))=INT(SIMOPS!$D$3),IFERROR(UPPER(TRIM(BASELINE!D2744&amp;"")),"")&lt;&gt;"ENCERRADA"),1,0),0)</f>
        <v/>
      </c>
      <c r="B2744">
        <f>B2743+A2744</f>
        <v/>
      </c>
    </row>
    <row r="2745">
      <c r="A2745">
        <f>IFERROR(IF(AND(BASELINE!I2745&lt;&gt;"",INT(IF(CALC!$F$1&gt;0,IF(N(INDEX(BASELINE!$A2745:$ZZ2745,CALC!$F$1))&gt;0,N(INDEX(BASELINE!$A2745:$ZZ2745,CALC!$F$1)),N(BASELINE!E2745)),N(BASELINE!E2745)))=INT(SIMOPS!$D$3),IFERROR(UPPER(TRIM(BASELINE!D2745&amp;"")),"")&lt;&gt;"ENCERRADA"),1,0),0)</f>
        <v/>
      </c>
      <c r="B2745">
        <f>B2744+A2745</f>
        <v/>
      </c>
    </row>
    <row r="2746">
      <c r="A2746">
        <f>IFERROR(IF(AND(BASELINE!I2746&lt;&gt;"",INT(IF(CALC!$F$1&gt;0,IF(N(INDEX(BASELINE!$A2746:$ZZ2746,CALC!$F$1))&gt;0,N(INDEX(BASELINE!$A2746:$ZZ2746,CALC!$F$1)),N(BASELINE!E2746)),N(BASELINE!E2746)))=INT(SIMOPS!$D$3),IFERROR(UPPER(TRIM(BASELINE!D2746&amp;"")),"")&lt;&gt;"ENCERRADA"),1,0),0)</f>
        <v/>
      </c>
      <c r="B2746">
        <f>B2745+A2746</f>
        <v/>
      </c>
    </row>
    <row r="2747">
      <c r="A2747">
        <f>IFERROR(IF(AND(BASELINE!I2747&lt;&gt;"",INT(IF(CALC!$F$1&gt;0,IF(N(INDEX(BASELINE!$A2747:$ZZ2747,CALC!$F$1))&gt;0,N(INDEX(BASELINE!$A2747:$ZZ2747,CALC!$F$1)),N(BASELINE!E2747)),N(BASELINE!E2747)))=INT(SIMOPS!$D$3),IFERROR(UPPER(TRIM(BASELINE!D2747&amp;"")),"")&lt;&gt;"ENCERRADA"),1,0),0)</f>
        <v/>
      </c>
      <c r="B2747">
        <f>B2746+A2747</f>
        <v/>
      </c>
    </row>
    <row r="2748">
      <c r="A2748">
        <f>IFERROR(IF(AND(BASELINE!I2748&lt;&gt;"",INT(IF(CALC!$F$1&gt;0,IF(N(INDEX(BASELINE!$A2748:$ZZ2748,CALC!$F$1))&gt;0,N(INDEX(BASELINE!$A2748:$ZZ2748,CALC!$F$1)),N(BASELINE!E2748)),N(BASELINE!E2748)))=INT(SIMOPS!$D$3),IFERROR(UPPER(TRIM(BASELINE!D2748&amp;"")),"")&lt;&gt;"ENCERRADA"),1,0),0)</f>
        <v/>
      </c>
      <c r="B2748">
        <f>B2747+A2748</f>
        <v/>
      </c>
    </row>
    <row r="2749">
      <c r="A2749">
        <f>IFERROR(IF(AND(BASELINE!I2749&lt;&gt;"",INT(IF(CALC!$F$1&gt;0,IF(N(INDEX(BASELINE!$A2749:$ZZ2749,CALC!$F$1))&gt;0,N(INDEX(BASELINE!$A2749:$ZZ2749,CALC!$F$1)),N(BASELINE!E2749)),N(BASELINE!E2749)))=INT(SIMOPS!$D$3),IFERROR(UPPER(TRIM(BASELINE!D2749&amp;"")),"")&lt;&gt;"ENCERRADA"),1,0),0)</f>
        <v/>
      </c>
      <c r="B2749">
        <f>B2748+A2749</f>
        <v/>
      </c>
    </row>
    <row r="2750">
      <c r="A2750">
        <f>IFERROR(IF(AND(BASELINE!I2750&lt;&gt;"",INT(IF(CALC!$F$1&gt;0,IF(N(INDEX(BASELINE!$A2750:$ZZ2750,CALC!$F$1))&gt;0,N(INDEX(BASELINE!$A2750:$ZZ2750,CALC!$F$1)),N(BASELINE!E2750)),N(BASELINE!E2750)))=INT(SIMOPS!$D$3),IFERROR(UPPER(TRIM(BASELINE!D2750&amp;"")),"")&lt;&gt;"ENCERRADA"),1,0),0)</f>
        <v/>
      </c>
      <c r="B2750">
        <f>B2749+A2750</f>
        <v/>
      </c>
    </row>
    <row r="2751">
      <c r="A2751">
        <f>IFERROR(IF(AND(BASELINE!I2751&lt;&gt;"",INT(IF(CALC!$F$1&gt;0,IF(N(INDEX(BASELINE!$A2751:$ZZ2751,CALC!$F$1))&gt;0,N(INDEX(BASELINE!$A2751:$ZZ2751,CALC!$F$1)),N(BASELINE!E2751)),N(BASELINE!E2751)))=INT(SIMOPS!$D$3),IFERROR(UPPER(TRIM(BASELINE!D2751&amp;"")),"")&lt;&gt;"ENCERRADA"),1,0),0)</f>
        <v/>
      </c>
      <c r="B2751">
        <f>B2750+A2751</f>
        <v/>
      </c>
    </row>
    <row r="2752">
      <c r="A2752">
        <f>IFERROR(IF(AND(BASELINE!I2752&lt;&gt;"",INT(IF(CALC!$F$1&gt;0,IF(N(INDEX(BASELINE!$A2752:$ZZ2752,CALC!$F$1))&gt;0,N(INDEX(BASELINE!$A2752:$ZZ2752,CALC!$F$1)),N(BASELINE!E2752)),N(BASELINE!E2752)))=INT(SIMOPS!$D$3),IFERROR(UPPER(TRIM(BASELINE!D2752&amp;"")),"")&lt;&gt;"ENCERRADA"),1,0),0)</f>
        <v/>
      </c>
      <c r="B2752">
        <f>B2751+A2752</f>
        <v/>
      </c>
    </row>
    <row r="2753">
      <c r="A2753">
        <f>IFERROR(IF(AND(BASELINE!I2753&lt;&gt;"",INT(IF(CALC!$F$1&gt;0,IF(N(INDEX(BASELINE!$A2753:$ZZ2753,CALC!$F$1))&gt;0,N(INDEX(BASELINE!$A2753:$ZZ2753,CALC!$F$1)),N(BASELINE!E2753)),N(BASELINE!E2753)))=INT(SIMOPS!$D$3),IFERROR(UPPER(TRIM(BASELINE!D2753&amp;"")),"")&lt;&gt;"ENCERRADA"),1,0),0)</f>
        <v/>
      </c>
      <c r="B2753">
        <f>B2752+A2753</f>
        <v/>
      </c>
    </row>
    <row r="2754">
      <c r="A2754">
        <f>IFERROR(IF(AND(BASELINE!I2754&lt;&gt;"",INT(IF(CALC!$F$1&gt;0,IF(N(INDEX(BASELINE!$A2754:$ZZ2754,CALC!$F$1))&gt;0,N(INDEX(BASELINE!$A2754:$ZZ2754,CALC!$F$1)),N(BASELINE!E2754)),N(BASELINE!E2754)))=INT(SIMOPS!$D$3),IFERROR(UPPER(TRIM(BASELINE!D2754&amp;"")),"")&lt;&gt;"ENCERRADA"),1,0),0)</f>
        <v/>
      </c>
      <c r="B2754">
        <f>B2753+A2754</f>
        <v/>
      </c>
    </row>
    <row r="2755">
      <c r="A2755">
        <f>IFERROR(IF(AND(BASELINE!I2755&lt;&gt;"",INT(IF(CALC!$F$1&gt;0,IF(N(INDEX(BASELINE!$A2755:$ZZ2755,CALC!$F$1))&gt;0,N(INDEX(BASELINE!$A2755:$ZZ2755,CALC!$F$1)),N(BASELINE!E2755)),N(BASELINE!E2755)))=INT(SIMOPS!$D$3),IFERROR(UPPER(TRIM(BASELINE!D2755&amp;"")),"")&lt;&gt;"ENCERRADA"),1,0),0)</f>
        <v/>
      </c>
      <c r="B2755">
        <f>B2754+A2755</f>
        <v/>
      </c>
    </row>
    <row r="2756">
      <c r="A2756">
        <f>IFERROR(IF(AND(BASELINE!I2756&lt;&gt;"",INT(IF(CALC!$F$1&gt;0,IF(N(INDEX(BASELINE!$A2756:$ZZ2756,CALC!$F$1))&gt;0,N(INDEX(BASELINE!$A2756:$ZZ2756,CALC!$F$1)),N(BASELINE!E2756)),N(BASELINE!E2756)))=INT(SIMOPS!$D$3),IFERROR(UPPER(TRIM(BASELINE!D2756&amp;"")),"")&lt;&gt;"ENCERRADA"),1,0),0)</f>
        <v/>
      </c>
      <c r="B2756">
        <f>B2755+A2756</f>
        <v/>
      </c>
    </row>
    <row r="2757">
      <c r="A2757">
        <f>IFERROR(IF(AND(BASELINE!I2757&lt;&gt;"",INT(IF(CALC!$F$1&gt;0,IF(N(INDEX(BASELINE!$A2757:$ZZ2757,CALC!$F$1))&gt;0,N(INDEX(BASELINE!$A2757:$ZZ2757,CALC!$F$1)),N(BASELINE!E2757)),N(BASELINE!E2757)))=INT(SIMOPS!$D$3),IFERROR(UPPER(TRIM(BASELINE!D2757&amp;"")),"")&lt;&gt;"ENCERRADA"),1,0),0)</f>
        <v/>
      </c>
      <c r="B2757">
        <f>B2756+A2757</f>
        <v/>
      </c>
    </row>
    <row r="2758">
      <c r="A2758">
        <f>IFERROR(IF(AND(BASELINE!I2758&lt;&gt;"",INT(IF(CALC!$F$1&gt;0,IF(N(INDEX(BASELINE!$A2758:$ZZ2758,CALC!$F$1))&gt;0,N(INDEX(BASELINE!$A2758:$ZZ2758,CALC!$F$1)),N(BASELINE!E2758)),N(BASELINE!E2758)))=INT(SIMOPS!$D$3),IFERROR(UPPER(TRIM(BASELINE!D2758&amp;"")),"")&lt;&gt;"ENCERRADA"),1,0),0)</f>
        <v/>
      </c>
      <c r="B2758">
        <f>B2757+A2758</f>
        <v/>
      </c>
    </row>
    <row r="2759">
      <c r="A2759">
        <f>IFERROR(IF(AND(BASELINE!I2759&lt;&gt;"",INT(IF(CALC!$F$1&gt;0,IF(N(INDEX(BASELINE!$A2759:$ZZ2759,CALC!$F$1))&gt;0,N(INDEX(BASELINE!$A2759:$ZZ2759,CALC!$F$1)),N(BASELINE!E2759)),N(BASELINE!E2759)))=INT(SIMOPS!$D$3),IFERROR(UPPER(TRIM(BASELINE!D2759&amp;"")),"")&lt;&gt;"ENCERRADA"),1,0),0)</f>
        <v/>
      </c>
      <c r="B2759">
        <f>B2758+A2759</f>
        <v/>
      </c>
    </row>
    <row r="2760">
      <c r="A2760">
        <f>IFERROR(IF(AND(BASELINE!I2760&lt;&gt;"",INT(IF(CALC!$F$1&gt;0,IF(N(INDEX(BASELINE!$A2760:$ZZ2760,CALC!$F$1))&gt;0,N(INDEX(BASELINE!$A2760:$ZZ2760,CALC!$F$1)),N(BASELINE!E2760)),N(BASELINE!E2760)))=INT(SIMOPS!$D$3),IFERROR(UPPER(TRIM(BASELINE!D2760&amp;"")),"")&lt;&gt;"ENCERRADA"),1,0),0)</f>
        <v/>
      </c>
      <c r="B2760">
        <f>B2759+A2760</f>
        <v/>
      </c>
    </row>
    <row r="2761">
      <c r="A2761">
        <f>IFERROR(IF(AND(BASELINE!I2761&lt;&gt;"",INT(IF(CALC!$F$1&gt;0,IF(N(INDEX(BASELINE!$A2761:$ZZ2761,CALC!$F$1))&gt;0,N(INDEX(BASELINE!$A2761:$ZZ2761,CALC!$F$1)),N(BASELINE!E2761)),N(BASELINE!E2761)))=INT(SIMOPS!$D$3),IFERROR(UPPER(TRIM(BASELINE!D2761&amp;"")),"")&lt;&gt;"ENCERRADA"),1,0),0)</f>
        <v/>
      </c>
      <c r="B2761">
        <f>B2760+A2761</f>
        <v/>
      </c>
    </row>
    <row r="2762">
      <c r="A2762">
        <f>IFERROR(IF(AND(BASELINE!I2762&lt;&gt;"",INT(IF(CALC!$F$1&gt;0,IF(N(INDEX(BASELINE!$A2762:$ZZ2762,CALC!$F$1))&gt;0,N(INDEX(BASELINE!$A2762:$ZZ2762,CALC!$F$1)),N(BASELINE!E2762)),N(BASELINE!E2762)))=INT(SIMOPS!$D$3),IFERROR(UPPER(TRIM(BASELINE!D2762&amp;"")),"")&lt;&gt;"ENCERRADA"),1,0),0)</f>
        <v/>
      </c>
      <c r="B2762">
        <f>B2761+A2762</f>
        <v/>
      </c>
    </row>
    <row r="2763">
      <c r="A2763">
        <f>IFERROR(IF(AND(BASELINE!I2763&lt;&gt;"",INT(IF(CALC!$F$1&gt;0,IF(N(INDEX(BASELINE!$A2763:$ZZ2763,CALC!$F$1))&gt;0,N(INDEX(BASELINE!$A2763:$ZZ2763,CALC!$F$1)),N(BASELINE!E2763)),N(BASELINE!E2763)))=INT(SIMOPS!$D$3),IFERROR(UPPER(TRIM(BASELINE!D2763&amp;"")),"")&lt;&gt;"ENCERRADA"),1,0),0)</f>
        <v/>
      </c>
      <c r="B2763">
        <f>B2762+A2763</f>
        <v/>
      </c>
    </row>
    <row r="2764">
      <c r="A2764">
        <f>IFERROR(IF(AND(BASELINE!I2764&lt;&gt;"",INT(IF(CALC!$F$1&gt;0,IF(N(INDEX(BASELINE!$A2764:$ZZ2764,CALC!$F$1))&gt;0,N(INDEX(BASELINE!$A2764:$ZZ2764,CALC!$F$1)),N(BASELINE!E2764)),N(BASELINE!E2764)))=INT(SIMOPS!$D$3),IFERROR(UPPER(TRIM(BASELINE!D2764&amp;"")),"")&lt;&gt;"ENCERRADA"),1,0),0)</f>
        <v/>
      </c>
      <c r="B2764">
        <f>B2763+A2764</f>
        <v/>
      </c>
    </row>
    <row r="2765">
      <c r="A2765">
        <f>IFERROR(IF(AND(BASELINE!I2765&lt;&gt;"",INT(IF(CALC!$F$1&gt;0,IF(N(INDEX(BASELINE!$A2765:$ZZ2765,CALC!$F$1))&gt;0,N(INDEX(BASELINE!$A2765:$ZZ2765,CALC!$F$1)),N(BASELINE!E2765)),N(BASELINE!E2765)))=INT(SIMOPS!$D$3),IFERROR(UPPER(TRIM(BASELINE!D2765&amp;"")),"")&lt;&gt;"ENCERRADA"),1,0),0)</f>
        <v/>
      </c>
      <c r="B2765">
        <f>B2764+A2765</f>
        <v/>
      </c>
    </row>
    <row r="2766">
      <c r="A2766">
        <f>IFERROR(IF(AND(BASELINE!I2766&lt;&gt;"",INT(IF(CALC!$F$1&gt;0,IF(N(INDEX(BASELINE!$A2766:$ZZ2766,CALC!$F$1))&gt;0,N(INDEX(BASELINE!$A2766:$ZZ2766,CALC!$F$1)),N(BASELINE!E2766)),N(BASELINE!E2766)))=INT(SIMOPS!$D$3),IFERROR(UPPER(TRIM(BASELINE!D2766&amp;"")),"")&lt;&gt;"ENCERRADA"),1,0),0)</f>
        <v/>
      </c>
      <c r="B2766">
        <f>B2765+A2766</f>
        <v/>
      </c>
    </row>
    <row r="2767">
      <c r="A2767">
        <f>IFERROR(IF(AND(BASELINE!I2767&lt;&gt;"",INT(IF(CALC!$F$1&gt;0,IF(N(INDEX(BASELINE!$A2767:$ZZ2767,CALC!$F$1))&gt;0,N(INDEX(BASELINE!$A2767:$ZZ2767,CALC!$F$1)),N(BASELINE!E2767)),N(BASELINE!E2767)))=INT(SIMOPS!$D$3),IFERROR(UPPER(TRIM(BASELINE!D2767&amp;"")),"")&lt;&gt;"ENCERRADA"),1,0),0)</f>
        <v/>
      </c>
      <c r="B2767">
        <f>B2766+A2767</f>
        <v/>
      </c>
    </row>
    <row r="2768">
      <c r="A2768">
        <f>IFERROR(IF(AND(BASELINE!I2768&lt;&gt;"",INT(IF(CALC!$F$1&gt;0,IF(N(INDEX(BASELINE!$A2768:$ZZ2768,CALC!$F$1))&gt;0,N(INDEX(BASELINE!$A2768:$ZZ2768,CALC!$F$1)),N(BASELINE!E2768)),N(BASELINE!E2768)))=INT(SIMOPS!$D$3),IFERROR(UPPER(TRIM(BASELINE!D2768&amp;"")),"")&lt;&gt;"ENCERRADA"),1,0),0)</f>
        <v/>
      </c>
      <c r="B2768">
        <f>B2767+A2768</f>
        <v/>
      </c>
    </row>
    <row r="2769">
      <c r="A2769">
        <f>IFERROR(IF(AND(BASELINE!I2769&lt;&gt;"",INT(IF(CALC!$F$1&gt;0,IF(N(INDEX(BASELINE!$A2769:$ZZ2769,CALC!$F$1))&gt;0,N(INDEX(BASELINE!$A2769:$ZZ2769,CALC!$F$1)),N(BASELINE!E2769)),N(BASELINE!E2769)))=INT(SIMOPS!$D$3),IFERROR(UPPER(TRIM(BASELINE!D2769&amp;"")),"")&lt;&gt;"ENCERRADA"),1,0),0)</f>
        <v/>
      </c>
      <c r="B2769">
        <f>B2768+A2769</f>
        <v/>
      </c>
    </row>
    <row r="2770">
      <c r="A2770">
        <f>IFERROR(IF(AND(BASELINE!I2770&lt;&gt;"",INT(IF(CALC!$F$1&gt;0,IF(N(INDEX(BASELINE!$A2770:$ZZ2770,CALC!$F$1))&gt;0,N(INDEX(BASELINE!$A2770:$ZZ2770,CALC!$F$1)),N(BASELINE!E2770)),N(BASELINE!E2770)))=INT(SIMOPS!$D$3),IFERROR(UPPER(TRIM(BASELINE!D2770&amp;"")),"")&lt;&gt;"ENCERRADA"),1,0),0)</f>
        <v/>
      </c>
      <c r="B2770">
        <f>B2769+A2770</f>
        <v/>
      </c>
    </row>
    <row r="2771">
      <c r="A2771">
        <f>IFERROR(IF(AND(BASELINE!I2771&lt;&gt;"",INT(IF(CALC!$F$1&gt;0,IF(N(INDEX(BASELINE!$A2771:$ZZ2771,CALC!$F$1))&gt;0,N(INDEX(BASELINE!$A2771:$ZZ2771,CALC!$F$1)),N(BASELINE!E2771)),N(BASELINE!E2771)))=INT(SIMOPS!$D$3),IFERROR(UPPER(TRIM(BASELINE!D2771&amp;"")),"")&lt;&gt;"ENCERRADA"),1,0),0)</f>
        <v/>
      </c>
      <c r="B2771">
        <f>B2770+A2771</f>
        <v/>
      </c>
    </row>
    <row r="2772">
      <c r="A2772">
        <f>IFERROR(IF(AND(BASELINE!I2772&lt;&gt;"",INT(IF(CALC!$F$1&gt;0,IF(N(INDEX(BASELINE!$A2772:$ZZ2772,CALC!$F$1))&gt;0,N(INDEX(BASELINE!$A2772:$ZZ2772,CALC!$F$1)),N(BASELINE!E2772)),N(BASELINE!E2772)))=INT(SIMOPS!$D$3),IFERROR(UPPER(TRIM(BASELINE!D2772&amp;"")),"")&lt;&gt;"ENCERRADA"),1,0),0)</f>
        <v/>
      </c>
      <c r="B2772">
        <f>B2771+A2772</f>
        <v/>
      </c>
    </row>
    <row r="2773">
      <c r="A2773">
        <f>IFERROR(IF(AND(BASELINE!I2773&lt;&gt;"",INT(IF(CALC!$F$1&gt;0,IF(N(INDEX(BASELINE!$A2773:$ZZ2773,CALC!$F$1))&gt;0,N(INDEX(BASELINE!$A2773:$ZZ2773,CALC!$F$1)),N(BASELINE!E2773)),N(BASELINE!E2773)))=INT(SIMOPS!$D$3),IFERROR(UPPER(TRIM(BASELINE!D2773&amp;"")),"")&lt;&gt;"ENCERRADA"),1,0),0)</f>
        <v/>
      </c>
      <c r="B2773">
        <f>B2772+A2773</f>
        <v/>
      </c>
    </row>
    <row r="2774">
      <c r="A2774">
        <f>IFERROR(IF(AND(BASELINE!I2774&lt;&gt;"",INT(IF(CALC!$F$1&gt;0,IF(N(INDEX(BASELINE!$A2774:$ZZ2774,CALC!$F$1))&gt;0,N(INDEX(BASELINE!$A2774:$ZZ2774,CALC!$F$1)),N(BASELINE!E2774)),N(BASELINE!E2774)))=INT(SIMOPS!$D$3),IFERROR(UPPER(TRIM(BASELINE!D2774&amp;"")),"")&lt;&gt;"ENCERRADA"),1,0),0)</f>
        <v/>
      </c>
      <c r="B2774">
        <f>B2773+A2774</f>
        <v/>
      </c>
    </row>
    <row r="2775">
      <c r="A2775">
        <f>IFERROR(IF(AND(BASELINE!I2775&lt;&gt;"",INT(IF(CALC!$F$1&gt;0,IF(N(INDEX(BASELINE!$A2775:$ZZ2775,CALC!$F$1))&gt;0,N(INDEX(BASELINE!$A2775:$ZZ2775,CALC!$F$1)),N(BASELINE!E2775)),N(BASELINE!E2775)))=INT(SIMOPS!$D$3),IFERROR(UPPER(TRIM(BASELINE!D2775&amp;"")),"")&lt;&gt;"ENCERRADA"),1,0),0)</f>
        <v/>
      </c>
      <c r="B2775">
        <f>B2774+A2775</f>
        <v/>
      </c>
    </row>
    <row r="2776">
      <c r="A2776">
        <f>IFERROR(IF(AND(BASELINE!I2776&lt;&gt;"",INT(IF(CALC!$F$1&gt;0,IF(N(INDEX(BASELINE!$A2776:$ZZ2776,CALC!$F$1))&gt;0,N(INDEX(BASELINE!$A2776:$ZZ2776,CALC!$F$1)),N(BASELINE!E2776)),N(BASELINE!E2776)))=INT(SIMOPS!$D$3),IFERROR(UPPER(TRIM(BASELINE!D2776&amp;"")),"")&lt;&gt;"ENCERRADA"),1,0),0)</f>
        <v/>
      </c>
      <c r="B2776">
        <f>B2775+A2776</f>
        <v/>
      </c>
    </row>
    <row r="2777">
      <c r="A2777">
        <f>IFERROR(IF(AND(BASELINE!I2777&lt;&gt;"",INT(IF(CALC!$F$1&gt;0,IF(N(INDEX(BASELINE!$A2777:$ZZ2777,CALC!$F$1))&gt;0,N(INDEX(BASELINE!$A2777:$ZZ2777,CALC!$F$1)),N(BASELINE!E2777)),N(BASELINE!E2777)))=INT(SIMOPS!$D$3),IFERROR(UPPER(TRIM(BASELINE!D2777&amp;"")),"")&lt;&gt;"ENCERRADA"),1,0),0)</f>
        <v/>
      </c>
      <c r="B2777">
        <f>B2776+A2777</f>
        <v/>
      </c>
    </row>
    <row r="2778">
      <c r="A2778">
        <f>IFERROR(IF(AND(BASELINE!I2778&lt;&gt;"",INT(IF(CALC!$F$1&gt;0,IF(N(INDEX(BASELINE!$A2778:$ZZ2778,CALC!$F$1))&gt;0,N(INDEX(BASELINE!$A2778:$ZZ2778,CALC!$F$1)),N(BASELINE!E2778)),N(BASELINE!E2778)))=INT(SIMOPS!$D$3),IFERROR(UPPER(TRIM(BASELINE!D2778&amp;"")),"")&lt;&gt;"ENCERRADA"),1,0),0)</f>
        <v/>
      </c>
      <c r="B2778">
        <f>B2777+A2778</f>
        <v/>
      </c>
    </row>
    <row r="2779">
      <c r="A2779">
        <f>IFERROR(IF(AND(BASELINE!I2779&lt;&gt;"",INT(IF(CALC!$F$1&gt;0,IF(N(INDEX(BASELINE!$A2779:$ZZ2779,CALC!$F$1))&gt;0,N(INDEX(BASELINE!$A2779:$ZZ2779,CALC!$F$1)),N(BASELINE!E2779)),N(BASELINE!E2779)))=INT(SIMOPS!$D$3),IFERROR(UPPER(TRIM(BASELINE!D2779&amp;"")),"")&lt;&gt;"ENCERRADA"),1,0),0)</f>
        <v/>
      </c>
      <c r="B2779">
        <f>B2778+A2779</f>
        <v/>
      </c>
    </row>
    <row r="2780">
      <c r="A2780">
        <f>IFERROR(IF(AND(BASELINE!I2780&lt;&gt;"",INT(IF(CALC!$F$1&gt;0,IF(N(INDEX(BASELINE!$A2780:$ZZ2780,CALC!$F$1))&gt;0,N(INDEX(BASELINE!$A2780:$ZZ2780,CALC!$F$1)),N(BASELINE!E2780)),N(BASELINE!E2780)))=INT(SIMOPS!$D$3),IFERROR(UPPER(TRIM(BASELINE!D2780&amp;"")),"")&lt;&gt;"ENCERRADA"),1,0),0)</f>
        <v/>
      </c>
      <c r="B2780">
        <f>B2779+A2780</f>
        <v/>
      </c>
    </row>
    <row r="2781">
      <c r="A2781">
        <f>IFERROR(IF(AND(BASELINE!I2781&lt;&gt;"",INT(IF(CALC!$F$1&gt;0,IF(N(INDEX(BASELINE!$A2781:$ZZ2781,CALC!$F$1))&gt;0,N(INDEX(BASELINE!$A2781:$ZZ2781,CALC!$F$1)),N(BASELINE!E2781)),N(BASELINE!E2781)))=INT(SIMOPS!$D$3),IFERROR(UPPER(TRIM(BASELINE!D2781&amp;"")),"")&lt;&gt;"ENCERRADA"),1,0),0)</f>
        <v/>
      </c>
      <c r="B2781">
        <f>B2780+A2781</f>
        <v/>
      </c>
    </row>
    <row r="2782">
      <c r="A2782">
        <f>IFERROR(IF(AND(BASELINE!I2782&lt;&gt;"",INT(IF(CALC!$F$1&gt;0,IF(N(INDEX(BASELINE!$A2782:$ZZ2782,CALC!$F$1))&gt;0,N(INDEX(BASELINE!$A2782:$ZZ2782,CALC!$F$1)),N(BASELINE!E2782)),N(BASELINE!E2782)))=INT(SIMOPS!$D$3),IFERROR(UPPER(TRIM(BASELINE!D2782&amp;"")),"")&lt;&gt;"ENCERRADA"),1,0),0)</f>
        <v/>
      </c>
      <c r="B2782">
        <f>B2781+A2782</f>
        <v/>
      </c>
    </row>
    <row r="2783">
      <c r="A2783">
        <f>IFERROR(IF(AND(BASELINE!I2783&lt;&gt;"",INT(IF(CALC!$F$1&gt;0,IF(N(INDEX(BASELINE!$A2783:$ZZ2783,CALC!$F$1))&gt;0,N(INDEX(BASELINE!$A2783:$ZZ2783,CALC!$F$1)),N(BASELINE!E2783)),N(BASELINE!E2783)))=INT(SIMOPS!$D$3),IFERROR(UPPER(TRIM(BASELINE!D2783&amp;"")),"")&lt;&gt;"ENCERRADA"),1,0),0)</f>
        <v/>
      </c>
      <c r="B2783">
        <f>B2782+A2783</f>
        <v/>
      </c>
    </row>
    <row r="2784">
      <c r="A2784">
        <f>IFERROR(IF(AND(BASELINE!I2784&lt;&gt;"",INT(IF(CALC!$F$1&gt;0,IF(N(INDEX(BASELINE!$A2784:$ZZ2784,CALC!$F$1))&gt;0,N(INDEX(BASELINE!$A2784:$ZZ2784,CALC!$F$1)),N(BASELINE!E2784)),N(BASELINE!E2784)))=INT(SIMOPS!$D$3),IFERROR(UPPER(TRIM(BASELINE!D2784&amp;"")),"")&lt;&gt;"ENCERRADA"),1,0),0)</f>
        <v/>
      </c>
      <c r="B2784">
        <f>B2783+A2784</f>
        <v/>
      </c>
    </row>
    <row r="2785">
      <c r="A2785">
        <f>IFERROR(IF(AND(BASELINE!I2785&lt;&gt;"",INT(IF(CALC!$F$1&gt;0,IF(N(INDEX(BASELINE!$A2785:$ZZ2785,CALC!$F$1))&gt;0,N(INDEX(BASELINE!$A2785:$ZZ2785,CALC!$F$1)),N(BASELINE!E2785)),N(BASELINE!E2785)))=INT(SIMOPS!$D$3),IFERROR(UPPER(TRIM(BASELINE!D2785&amp;"")),"")&lt;&gt;"ENCERRADA"),1,0),0)</f>
        <v/>
      </c>
      <c r="B2785">
        <f>B2784+A2785</f>
        <v/>
      </c>
    </row>
    <row r="2786">
      <c r="A2786">
        <f>IFERROR(IF(AND(BASELINE!I2786&lt;&gt;"",INT(IF(CALC!$F$1&gt;0,IF(N(INDEX(BASELINE!$A2786:$ZZ2786,CALC!$F$1))&gt;0,N(INDEX(BASELINE!$A2786:$ZZ2786,CALC!$F$1)),N(BASELINE!E2786)),N(BASELINE!E2786)))=INT(SIMOPS!$D$3),IFERROR(UPPER(TRIM(BASELINE!D2786&amp;"")),"")&lt;&gt;"ENCERRADA"),1,0),0)</f>
        <v/>
      </c>
      <c r="B2786">
        <f>B2785+A2786</f>
        <v/>
      </c>
    </row>
    <row r="2787">
      <c r="A2787">
        <f>IFERROR(IF(AND(BASELINE!I2787&lt;&gt;"",INT(IF(CALC!$F$1&gt;0,IF(N(INDEX(BASELINE!$A2787:$ZZ2787,CALC!$F$1))&gt;0,N(INDEX(BASELINE!$A2787:$ZZ2787,CALC!$F$1)),N(BASELINE!E2787)),N(BASELINE!E2787)))=INT(SIMOPS!$D$3),IFERROR(UPPER(TRIM(BASELINE!D2787&amp;"")),"")&lt;&gt;"ENCERRADA"),1,0),0)</f>
        <v/>
      </c>
      <c r="B2787">
        <f>B2786+A2787</f>
        <v/>
      </c>
    </row>
    <row r="2788">
      <c r="A2788">
        <f>IFERROR(IF(AND(BASELINE!I2788&lt;&gt;"",INT(IF(CALC!$F$1&gt;0,IF(N(INDEX(BASELINE!$A2788:$ZZ2788,CALC!$F$1))&gt;0,N(INDEX(BASELINE!$A2788:$ZZ2788,CALC!$F$1)),N(BASELINE!E2788)),N(BASELINE!E2788)))=INT(SIMOPS!$D$3),IFERROR(UPPER(TRIM(BASELINE!D2788&amp;"")),"")&lt;&gt;"ENCERRADA"),1,0),0)</f>
        <v/>
      </c>
      <c r="B2788">
        <f>B2787+A2788</f>
        <v/>
      </c>
    </row>
    <row r="2789">
      <c r="A2789">
        <f>IFERROR(IF(AND(BASELINE!I2789&lt;&gt;"",INT(IF(CALC!$F$1&gt;0,IF(N(INDEX(BASELINE!$A2789:$ZZ2789,CALC!$F$1))&gt;0,N(INDEX(BASELINE!$A2789:$ZZ2789,CALC!$F$1)),N(BASELINE!E2789)),N(BASELINE!E2789)))=INT(SIMOPS!$D$3),IFERROR(UPPER(TRIM(BASELINE!D2789&amp;"")),"")&lt;&gt;"ENCERRADA"),1,0),0)</f>
        <v/>
      </c>
      <c r="B2789">
        <f>B2788+A2789</f>
        <v/>
      </c>
    </row>
    <row r="2790">
      <c r="A2790">
        <f>IFERROR(IF(AND(BASELINE!I2790&lt;&gt;"",INT(IF(CALC!$F$1&gt;0,IF(N(INDEX(BASELINE!$A2790:$ZZ2790,CALC!$F$1))&gt;0,N(INDEX(BASELINE!$A2790:$ZZ2790,CALC!$F$1)),N(BASELINE!E2790)),N(BASELINE!E2790)))=INT(SIMOPS!$D$3),IFERROR(UPPER(TRIM(BASELINE!D2790&amp;"")),"")&lt;&gt;"ENCERRADA"),1,0),0)</f>
        <v/>
      </c>
      <c r="B2790">
        <f>B2789+A2790</f>
        <v/>
      </c>
    </row>
    <row r="2791">
      <c r="A2791">
        <f>IFERROR(IF(AND(BASELINE!I2791&lt;&gt;"",INT(IF(CALC!$F$1&gt;0,IF(N(INDEX(BASELINE!$A2791:$ZZ2791,CALC!$F$1))&gt;0,N(INDEX(BASELINE!$A2791:$ZZ2791,CALC!$F$1)),N(BASELINE!E2791)),N(BASELINE!E2791)))=INT(SIMOPS!$D$3),IFERROR(UPPER(TRIM(BASELINE!D2791&amp;"")),"")&lt;&gt;"ENCERRADA"),1,0),0)</f>
        <v/>
      </c>
      <c r="B2791">
        <f>B2790+A2791</f>
        <v/>
      </c>
    </row>
    <row r="2792">
      <c r="A2792">
        <f>IFERROR(IF(AND(BASELINE!I2792&lt;&gt;"",INT(IF(CALC!$F$1&gt;0,IF(N(INDEX(BASELINE!$A2792:$ZZ2792,CALC!$F$1))&gt;0,N(INDEX(BASELINE!$A2792:$ZZ2792,CALC!$F$1)),N(BASELINE!E2792)),N(BASELINE!E2792)))=INT(SIMOPS!$D$3),IFERROR(UPPER(TRIM(BASELINE!D2792&amp;"")),"")&lt;&gt;"ENCERRADA"),1,0),0)</f>
        <v/>
      </c>
      <c r="B2792">
        <f>B2791+A2792</f>
        <v/>
      </c>
    </row>
    <row r="2793">
      <c r="A2793">
        <f>IFERROR(IF(AND(BASELINE!I2793&lt;&gt;"",INT(IF(CALC!$F$1&gt;0,IF(N(INDEX(BASELINE!$A2793:$ZZ2793,CALC!$F$1))&gt;0,N(INDEX(BASELINE!$A2793:$ZZ2793,CALC!$F$1)),N(BASELINE!E2793)),N(BASELINE!E2793)))=INT(SIMOPS!$D$3),IFERROR(UPPER(TRIM(BASELINE!D2793&amp;"")),"")&lt;&gt;"ENCERRADA"),1,0),0)</f>
        <v/>
      </c>
      <c r="B2793">
        <f>B2792+A2793</f>
        <v/>
      </c>
    </row>
    <row r="2794">
      <c r="A2794">
        <f>IFERROR(IF(AND(BASELINE!I2794&lt;&gt;"",INT(IF(CALC!$F$1&gt;0,IF(N(INDEX(BASELINE!$A2794:$ZZ2794,CALC!$F$1))&gt;0,N(INDEX(BASELINE!$A2794:$ZZ2794,CALC!$F$1)),N(BASELINE!E2794)),N(BASELINE!E2794)))=INT(SIMOPS!$D$3),IFERROR(UPPER(TRIM(BASELINE!D2794&amp;"")),"")&lt;&gt;"ENCERRADA"),1,0),0)</f>
        <v/>
      </c>
      <c r="B2794">
        <f>B2793+A2794</f>
        <v/>
      </c>
    </row>
    <row r="2795">
      <c r="A2795">
        <f>IFERROR(IF(AND(BASELINE!I2795&lt;&gt;"",INT(IF(CALC!$F$1&gt;0,IF(N(INDEX(BASELINE!$A2795:$ZZ2795,CALC!$F$1))&gt;0,N(INDEX(BASELINE!$A2795:$ZZ2795,CALC!$F$1)),N(BASELINE!E2795)),N(BASELINE!E2795)))=INT(SIMOPS!$D$3),IFERROR(UPPER(TRIM(BASELINE!D2795&amp;"")),"")&lt;&gt;"ENCERRADA"),1,0),0)</f>
        <v/>
      </c>
      <c r="B2795">
        <f>B2794+A2795</f>
        <v/>
      </c>
    </row>
    <row r="2796">
      <c r="A2796">
        <f>IFERROR(IF(AND(BASELINE!I2796&lt;&gt;"",INT(IF(CALC!$F$1&gt;0,IF(N(INDEX(BASELINE!$A2796:$ZZ2796,CALC!$F$1))&gt;0,N(INDEX(BASELINE!$A2796:$ZZ2796,CALC!$F$1)),N(BASELINE!E2796)),N(BASELINE!E2796)))=INT(SIMOPS!$D$3),IFERROR(UPPER(TRIM(BASELINE!D2796&amp;"")),"")&lt;&gt;"ENCERRADA"),1,0),0)</f>
        <v/>
      </c>
      <c r="B2796">
        <f>B2795+A2796</f>
        <v/>
      </c>
    </row>
    <row r="2797">
      <c r="A2797">
        <f>IFERROR(IF(AND(BASELINE!I2797&lt;&gt;"",INT(IF(CALC!$F$1&gt;0,IF(N(INDEX(BASELINE!$A2797:$ZZ2797,CALC!$F$1))&gt;0,N(INDEX(BASELINE!$A2797:$ZZ2797,CALC!$F$1)),N(BASELINE!E2797)),N(BASELINE!E2797)))=INT(SIMOPS!$D$3),IFERROR(UPPER(TRIM(BASELINE!D2797&amp;"")),"")&lt;&gt;"ENCERRADA"),1,0),0)</f>
        <v/>
      </c>
      <c r="B2797">
        <f>B2796+A2797</f>
        <v/>
      </c>
    </row>
    <row r="2798">
      <c r="A2798">
        <f>IFERROR(IF(AND(BASELINE!I2798&lt;&gt;"",INT(IF(CALC!$F$1&gt;0,IF(N(INDEX(BASELINE!$A2798:$ZZ2798,CALC!$F$1))&gt;0,N(INDEX(BASELINE!$A2798:$ZZ2798,CALC!$F$1)),N(BASELINE!E2798)),N(BASELINE!E2798)))=INT(SIMOPS!$D$3),IFERROR(UPPER(TRIM(BASELINE!D2798&amp;"")),"")&lt;&gt;"ENCERRADA"),1,0),0)</f>
        <v/>
      </c>
      <c r="B2798">
        <f>B2797+A2798</f>
        <v/>
      </c>
    </row>
    <row r="2799">
      <c r="A2799">
        <f>IFERROR(IF(AND(BASELINE!I2799&lt;&gt;"",INT(IF(CALC!$F$1&gt;0,IF(N(INDEX(BASELINE!$A2799:$ZZ2799,CALC!$F$1))&gt;0,N(INDEX(BASELINE!$A2799:$ZZ2799,CALC!$F$1)),N(BASELINE!E2799)),N(BASELINE!E2799)))=INT(SIMOPS!$D$3),IFERROR(UPPER(TRIM(BASELINE!D2799&amp;"")),"")&lt;&gt;"ENCERRADA"),1,0),0)</f>
        <v/>
      </c>
      <c r="B2799">
        <f>B2798+A2799</f>
        <v/>
      </c>
    </row>
    <row r="2800">
      <c r="A2800">
        <f>IFERROR(IF(AND(BASELINE!I2800&lt;&gt;"",INT(IF(CALC!$F$1&gt;0,IF(N(INDEX(BASELINE!$A2800:$ZZ2800,CALC!$F$1))&gt;0,N(INDEX(BASELINE!$A2800:$ZZ2800,CALC!$F$1)),N(BASELINE!E2800)),N(BASELINE!E2800)))=INT(SIMOPS!$D$3),IFERROR(UPPER(TRIM(BASELINE!D2800&amp;"")),"")&lt;&gt;"ENCERRADA"),1,0),0)</f>
        <v/>
      </c>
      <c r="B2800">
        <f>B2799+A2800</f>
        <v/>
      </c>
    </row>
    <row r="2801">
      <c r="A2801">
        <f>IFERROR(IF(AND(BASELINE!I2801&lt;&gt;"",INT(IF(CALC!$F$1&gt;0,IF(N(INDEX(BASELINE!$A2801:$ZZ2801,CALC!$F$1))&gt;0,N(INDEX(BASELINE!$A2801:$ZZ2801,CALC!$F$1)),N(BASELINE!E2801)),N(BASELINE!E2801)))=INT(SIMOPS!$D$3),IFERROR(UPPER(TRIM(BASELINE!D2801&amp;"")),"")&lt;&gt;"ENCERRADA"),1,0),0)</f>
        <v/>
      </c>
      <c r="B2801">
        <f>B2800+A2801</f>
        <v/>
      </c>
    </row>
    <row r="2802">
      <c r="A2802">
        <f>IFERROR(IF(AND(BASELINE!I2802&lt;&gt;"",INT(IF(CALC!$F$1&gt;0,IF(N(INDEX(BASELINE!$A2802:$ZZ2802,CALC!$F$1))&gt;0,N(INDEX(BASELINE!$A2802:$ZZ2802,CALC!$F$1)),N(BASELINE!E2802)),N(BASELINE!E2802)))=INT(SIMOPS!$D$3),IFERROR(UPPER(TRIM(BASELINE!D2802&amp;"")),"")&lt;&gt;"ENCERRADA"),1,0),0)</f>
        <v/>
      </c>
      <c r="B2802">
        <f>B2801+A2802</f>
        <v/>
      </c>
    </row>
    <row r="2803">
      <c r="A2803">
        <f>IFERROR(IF(AND(BASELINE!I2803&lt;&gt;"",INT(IF(CALC!$F$1&gt;0,IF(N(INDEX(BASELINE!$A2803:$ZZ2803,CALC!$F$1))&gt;0,N(INDEX(BASELINE!$A2803:$ZZ2803,CALC!$F$1)),N(BASELINE!E2803)),N(BASELINE!E2803)))=INT(SIMOPS!$D$3),IFERROR(UPPER(TRIM(BASELINE!D2803&amp;"")),"")&lt;&gt;"ENCERRADA"),1,0),0)</f>
        <v/>
      </c>
      <c r="B2803">
        <f>B2802+A2803</f>
        <v/>
      </c>
    </row>
    <row r="2804">
      <c r="A2804">
        <f>IFERROR(IF(AND(BASELINE!I2804&lt;&gt;"",INT(IF(CALC!$F$1&gt;0,IF(N(INDEX(BASELINE!$A2804:$ZZ2804,CALC!$F$1))&gt;0,N(INDEX(BASELINE!$A2804:$ZZ2804,CALC!$F$1)),N(BASELINE!E2804)),N(BASELINE!E2804)))=INT(SIMOPS!$D$3),IFERROR(UPPER(TRIM(BASELINE!D2804&amp;"")),"")&lt;&gt;"ENCERRADA"),1,0),0)</f>
        <v/>
      </c>
      <c r="B2804">
        <f>B2803+A2804</f>
        <v/>
      </c>
    </row>
    <row r="2805">
      <c r="A2805">
        <f>IFERROR(IF(AND(BASELINE!I2805&lt;&gt;"",INT(IF(CALC!$F$1&gt;0,IF(N(INDEX(BASELINE!$A2805:$ZZ2805,CALC!$F$1))&gt;0,N(INDEX(BASELINE!$A2805:$ZZ2805,CALC!$F$1)),N(BASELINE!E2805)),N(BASELINE!E2805)))=INT(SIMOPS!$D$3),IFERROR(UPPER(TRIM(BASELINE!D2805&amp;"")),"")&lt;&gt;"ENCERRADA"),1,0),0)</f>
        <v/>
      </c>
      <c r="B2805">
        <f>B2804+A2805</f>
        <v/>
      </c>
    </row>
    <row r="2806">
      <c r="A2806">
        <f>IFERROR(IF(AND(BASELINE!I2806&lt;&gt;"",INT(IF(CALC!$F$1&gt;0,IF(N(INDEX(BASELINE!$A2806:$ZZ2806,CALC!$F$1))&gt;0,N(INDEX(BASELINE!$A2806:$ZZ2806,CALC!$F$1)),N(BASELINE!E2806)),N(BASELINE!E2806)))=INT(SIMOPS!$D$3),IFERROR(UPPER(TRIM(BASELINE!D2806&amp;"")),"")&lt;&gt;"ENCERRADA"),1,0),0)</f>
        <v/>
      </c>
      <c r="B2806">
        <f>B2805+A2806</f>
        <v/>
      </c>
    </row>
    <row r="2807">
      <c r="A2807">
        <f>IFERROR(IF(AND(BASELINE!I2807&lt;&gt;"",INT(IF(CALC!$F$1&gt;0,IF(N(INDEX(BASELINE!$A2807:$ZZ2807,CALC!$F$1))&gt;0,N(INDEX(BASELINE!$A2807:$ZZ2807,CALC!$F$1)),N(BASELINE!E2807)),N(BASELINE!E2807)))=INT(SIMOPS!$D$3),IFERROR(UPPER(TRIM(BASELINE!D2807&amp;"")),"")&lt;&gt;"ENCERRADA"),1,0),0)</f>
        <v/>
      </c>
      <c r="B2807">
        <f>B2806+A2807</f>
        <v/>
      </c>
    </row>
    <row r="2808">
      <c r="A2808">
        <f>IFERROR(IF(AND(BASELINE!I2808&lt;&gt;"",INT(IF(CALC!$F$1&gt;0,IF(N(INDEX(BASELINE!$A2808:$ZZ2808,CALC!$F$1))&gt;0,N(INDEX(BASELINE!$A2808:$ZZ2808,CALC!$F$1)),N(BASELINE!E2808)),N(BASELINE!E2808)))=INT(SIMOPS!$D$3),IFERROR(UPPER(TRIM(BASELINE!D2808&amp;"")),"")&lt;&gt;"ENCERRADA"),1,0),0)</f>
        <v/>
      </c>
      <c r="B2808">
        <f>B2807+A2808</f>
        <v/>
      </c>
    </row>
    <row r="2809">
      <c r="A2809">
        <f>IFERROR(IF(AND(BASELINE!I2809&lt;&gt;"",INT(IF(CALC!$F$1&gt;0,IF(N(INDEX(BASELINE!$A2809:$ZZ2809,CALC!$F$1))&gt;0,N(INDEX(BASELINE!$A2809:$ZZ2809,CALC!$F$1)),N(BASELINE!E2809)),N(BASELINE!E2809)))=INT(SIMOPS!$D$3),IFERROR(UPPER(TRIM(BASELINE!D2809&amp;"")),"")&lt;&gt;"ENCERRADA"),1,0),0)</f>
        <v/>
      </c>
      <c r="B2809">
        <f>B2808+A2809</f>
        <v/>
      </c>
    </row>
    <row r="2810">
      <c r="A2810">
        <f>IFERROR(IF(AND(BASELINE!I2810&lt;&gt;"",INT(IF(CALC!$F$1&gt;0,IF(N(INDEX(BASELINE!$A2810:$ZZ2810,CALC!$F$1))&gt;0,N(INDEX(BASELINE!$A2810:$ZZ2810,CALC!$F$1)),N(BASELINE!E2810)),N(BASELINE!E2810)))=INT(SIMOPS!$D$3),IFERROR(UPPER(TRIM(BASELINE!D2810&amp;"")),"")&lt;&gt;"ENCERRADA"),1,0),0)</f>
        <v/>
      </c>
      <c r="B2810">
        <f>B2809+A2810</f>
        <v/>
      </c>
    </row>
    <row r="2811">
      <c r="A2811">
        <f>IFERROR(IF(AND(BASELINE!I2811&lt;&gt;"",INT(IF(CALC!$F$1&gt;0,IF(N(INDEX(BASELINE!$A2811:$ZZ2811,CALC!$F$1))&gt;0,N(INDEX(BASELINE!$A2811:$ZZ2811,CALC!$F$1)),N(BASELINE!E2811)),N(BASELINE!E2811)))=INT(SIMOPS!$D$3),IFERROR(UPPER(TRIM(BASELINE!D2811&amp;"")),"")&lt;&gt;"ENCERRADA"),1,0),0)</f>
        <v/>
      </c>
      <c r="B2811">
        <f>B2810+A2811</f>
        <v/>
      </c>
    </row>
    <row r="2812">
      <c r="A2812">
        <f>IFERROR(IF(AND(BASELINE!I2812&lt;&gt;"",INT(IF(CALC!$F$1&gt;0,IF(N(INDEX(BASELINE!$A2812:$ZZ2812,CALC!$F$1))&gt;0,N(INDEX(BASELINE!$A2812:$ZZ2812,CALC!$F$1)),N(BASELINE!E2812)),N(BASELINE!E2812)))=INT(SIMOPS!$D$3),IFERROR(UPPER(TRIM(BASELINE!D2812&amp;"")),"")&lt;&gt;"ENCERRADA"),1,0),0)</f>
        <v/>
      </c>
      <c r="B2812">
        <f>B2811+A2812</f>
        <v/>
      </c>
    </row>
    <row r="2813">
      <c r="A2813">
        <f>IFERROR(IF(AND(BASELINE!I2813&lt;&gt;"",INT(IF(CALC!$F$1&gt;0,IF(N(INDEX(BASELINE!$A2813:$ZZ2813,CALC!$F$1))&gt;0,N(INDEX(BASELINE!$A2813:$ZZ2813,CALC!$F$1)),N(BASELINE!E2813)),N(BASELINE!E2813)))=INT(SIMOPS!$D$3),IFERROR(UPPER(TRIM(BASELINE!D2813&amp;"")),"")&lt;&gt;"ENCERRADA"),1,0),0)</f>
        <v/>
      </c>
      <c r="B2813">
        <f>B2812+A2813</f>
        <v/>
      </c>
    </row>
    <row r="2814">
      <c r="A2814">
        <f>IFERROR(IF(AND(BASELINE!I2814&lt;&gt;"",INT(IF(CALC!$F$1&gt;0,IF(N(INDEX(BASELINE!$A2814:$ZZ2814,CALC!$F$1))&gt;0,N(INDEX(BASELINE!$A2814:$ZZ2814,CALC!$F$1)),N(BASELINE!E2814)),N(BASELINE!E2814)))=INT(SIMOPS!$D$3),IFERROR(UPPER(TRIM(BASELINE!D2814&amp;"")),"")&lt;&gt;"ENCERRADA"),1,0),0)</f>
        <v/>
      </c>
      <c r="B2814">
        <f>B2813+A2814</f>
        <v/>
      </c>
    </row>
    <row r="2815">
      <c r="A2815">
        <f>IFERROR(IF(AND(BASELINE!I2815&lt;&gt;"",INT(IF(CALC!$F$1&gt;0,IF(N(INDEX(BASELINE!$A2815:$ZZ2815,CALC!$F$1))&gt;0,N(INDEX(BASELINE!$A2815:$ZZ2815,CALC!$F$1)),N(BASELINE!E2815)),N(BASELINE!E2815)))=INT(SIMOPS!$D$3),IFERROR(UPPER(TRIM(BASELINE!D2815&amp;"")),"")&lt;&gt;"ENCERRADA"),1,0),0)</f>
        <v/>
      </c>
      <c r="B2815">
        <f>B2814+A2815</f>
        <v/>
      </c>
    </row>
    <row r="2816">
      <c r="A2816">
        <f>IFERROR(IF(AND(BASELINE!I2816&lt;&gt;"",INT(IF(CALC!$F$1&gt;0,IF(N(INDEX(BASELINE!$A2816:$ZZ2816,CALC!$F$1))&gt;0,N(INDEX(BASELINE!$A2816:$ZZ2816,CALC!$F$1)),N(BASELINE!E2816)),N(BASELINE!E2816)))=INT(SIMOPS!$D$3),IFERROR(UPPER(TRIM(BASELINE!D2816&amp;"")),"")&lt;&gt;"ENCERRADA"),1,0),0)</f>
        <v/>
      </c>
      <c r="B2816">
        <f>B2815+A2816</f>
        <v/>
      </c>
    </row>
    <row r="2817">
      <c r="A2817">
        <f>IFERROR(IF(AND(BASELINE!I2817&lt;&gt;"",INT(IF(CALC!$F$1&gt;0,IF(N(INDEX(BASELINE!$A2817:$ZZ2817,CALC!$F$1))&gt;0,N(INDEX(BASELINE!$A2817:$ZZ2817,CALC!$F$1)),N(BASELINE!E2817)),N(BASELINE!E2817)))=INT(SIMOPS!$D$3),IFERROR(UPPER(TRIM(BASELINE!D2817&amp;"")),"")&lt;&gt;"ENCERRADA"),1,0),0)</f>
        <v/>
      </c>
      <c r="B2817">
        <f>B2816+A2817</f>
        <v/>
      </c>
    </row>
    <row r="2818">
      <c r="A2818">
        <f>IFERROR(IF(AND(BASELINE!I2818&lt;&gt;"",INT(IF(CALC!$F$1&gt;0,IF(N(INDEX(BASELINE!$A2818:$ZZ2818,CALC!$F$1))&gt;0,N(INDEX(BASELINE!$A2818:$ZZ2818,CALC!$F$1)),N(BASELINE!E2818)),N(BASELINE!E2818)))=INT(SIMOPS!$D$3),IFERROR(UPPER(TRIM(BASELINE!D2818&amp;"")),"")&lt;&gt;"ENCERRADA"),1,0),0)</f>
        <v/>
      </c>
      <c r="B2818">
        <f>B2817+A2818</f>
        <v/>
      </c>
    </row>
    <row r="2819">
      <c r="A2819">
        <f>IFERROR(IF(AND(BASELINE!I2819&lt;&gt;"",INT(IF(CALC!$F$1&gt;0,IF(N(INDEX(BASELINE!$A2819:$ZZ2819,CALC!$F$1))&gt;0,N(INDEX(BASELINE!$A2819:$ZZ2819,CALC!$F$1)),N(BASELINE!E2819)),N(BASELINE!E2819)))=INT(SIMOPS!$D$3),IFERROR(UPPER(TRIM(BASELINE!D2819&amp;"")),"")&lt;&gt;"ENCERRADA"),1,0),0)</f>
        <v/>
      </c>
      <c r="B2819">
        <f>B2818+A2819</f>
        <v/>
      </c>
    </row>
    <row r="2820">
      <c r="A2820">
        <f>IFERROR(IF(AND(BASELINE!I2820&lt;&gt;"",INT(IF(CALC!$F$1&gt;0,IF(N(INDEX(BASELINE!$A2820:$ZZ2820,CALC!$F$1))&gt;0,N(INDEX(BASELINE!$A2820:$ZZ2820,CALC!$F$1)),N(BASELINE!E2820)),N(BASELINE!E2820)))=INT(SIMOPS!$D$3),IFERROR(UPPER(TRIM(BASELINE!D2820&amp;"")),"")&lt;&gt;"ENCERRADA"),1,0),0)</f>
        <v/>
      </c>
      <c r="B2820">
        <f>B2819+A2820</f>
        <v/>
      </c>
    </row>
    <row r="2821">
      <c r="A2821">
        <f>IFERROR(IF(AND(BASELINE!I2821&lt;&gt;"",INT(IF(CALC!$F$1&gt;0,IF(N(INDEX(BASELINE!$A2821:$ZZ2821,CALC!$F$1))&gt;0,N(INDEX(BASELINE!$A2821:$ZZ2821,CALC!$F$1)),N(BASELINE!E2821)),N(BASELINE!E2821)))=INT(SIMOPS!$D$3),IFERROR(UPPER(TRIM(BASELINE!D2821&amp;"")),"")&lt;&gt;"ENCERRADA"),1,0),0)</f>
        <v/>
      </c>
      <c r="B2821">
        <f>B2820+A2821</f>
        <v/>
      </c>
    </row>
    <row r="2822">
      <c r="A2822">
        <f>IFERROR(IF(AND(BASELINE!I2822&lt;&gt;"",INT(IF(CALC!$F$1&gt;0,IF(N(INDEX(BASELINE!$A2822:$ZZ2822,CALC!$F$1))&gt;0,N(INDEX(BASELINE!$A2822:$ZZ2822,CALC!$F$1)),N(BASELINE!E2822)),N(BASELINE!E2822)))=INT(SIMOPS!$D$3),IFERROR(UPPER(TRIM(BASELINE!D2822&amp;"")),"")&lt;&gt;"ENCERRADA"),1,0),0)</f>
        <v/>
      </c>
      <c r="B2822">
        <f>B2821+A2822</f>
        <v/>
      </c>
    </row>
    <row r="2823">
      <c r="A2823">
        <f>IFERROR(IF(AND(BASELINE!I2823&lt;&gt;"",INT(IF(CALC!$F$1&gt;0,IF(N(INDEX(BASELINE!$A2823:$ZZ2823,CALC!$F$1))&gt;0,N(INDEX(BASELINE!$A2823:$ZZ2823,CALC!$F$1)),N(BASELINE!E2823)),N(BASELINE!E2823)))=INT(SIMOPS!$D$3),IFERROR(UPPER(TRIM(BASELINE!D2823&amp;"")),"")&lt;&gt;"ENCERRADA"),1,0),0)</f>
        <v/>
      </c>
      <c r="B2823">
        <f>B2822+A2823</f>
        <v/>
      </c>
    </row>
    <row r="2824">
      <c r="A2824">
        <f>IFERROR(IF(AND(BASELINE!I2824&lt;&gt;"",INT(IF(CALC!$F$1&gt;0,IF(N(INDEX(BASELINE!$A2824:$ZZ2824,CALC!$F$1))&gt;0,N(INDEX(BASELINE!$A2824:$ZZ2824,CALC!$F$1)),N(BASELINE!E2824)),N(BASELINE!E2824)))=INT(SIMOPS!$D$3),IFERROR(UPPER(TRIM(BASELINE!D2824&amp;"")),"")&lt;&gt;"ENCERRADA"),1,0),0)</f>
        <v/>
      </c>
      <c r="B2824">
        <f>B2823+A2824</f>
        <v/>
      </c>
    </row>
    <row r="2825">
      <c r="A2825">
        <f>IFERROR(IF(AND(BASELINE!I2825&lt;&gt;"",INT(IF(CALC!$F$1&gt;0,IF(N(INDEX(BASELINE!$A2825:$ZZ2825,CALC!$F$1))&gt;0,N(INDEX(BASELINE!$A2825:$ZZ2825,CALC!$F$1)),N(BASELINE!E2825)),N(BASELINE!E2825)))=INT(SIMOPS!$D$3),IFERROR(UPPER(TRIM(BASELINE!D2825&amp;"")),"")&lt;&gt;"ENCERRADA"),1,0),0)</f>
        <v/>
      </c>
      <c r="B2825">
        <f>B2824+A2825</f>
        <v/>
      </c>
    </row>
    <row r="2826">
      <c r="A2826">
        <f>IFERROR(IF(AND(BASELINE!I2826&lt;&gt;"",INT(IF(CALC!$F$1&gt;0,IF(N(INDEX(BASELINE!$A2826:$ZZ2826,CALC!$F$1))&gt;0,N(INDEX(BASELINE!$A2826:$ZZ2826,CALC!$F$1)),N(BASELINE!E2826)),N(BASELINE!E2826)))=INT(SIMOPS!$D$3),IFERROR(UPPER(TRIM(BASELINE!D2826&amp;"")),"")&lt;&gt;"ENCERRADA"),1,0),0)</f>
        <v/>
      </c>
      <c r="B2826">
        <f>B2825+A2826</f>
        <v/>
      </c>
    </row>
    <row r="2827">
      <c r="A2827">
        <f>IFERROR(IF(AND(BASELINE!I2827&lt;&gt;"",INT(IF(CALC!$F$1&gt;0,IF(N(INDEX(BASELINE!$A2827:$ZZ2827,CALC!$F$1))&gt;0,N(INDEX(BASELINE!$A2827:$ZZ2827,CALC!$F$1)),N(BASELINE!E2827)),N(BASELINE!E2827)))=INT(SIMOPS!$D$3),IFERROR(UPPER(TRIM(BASELINE!D2827&amp;"")),"")&lt;&gt;"ENCERRADA"),1,0),0)</f>
        <v/>
      </c>
      <c r="B2827">
        <f>B2826+A2827</f>
        <v/>
      </c>
    </row>
    <row r="2828">
      <c r="A2828">
        <f>IFERROR(IF(AND(BASELINE!I2828&lt;&gt;"",INT(IF(CALC!$F$1&gt;0,IF(N(INDEX(BASELINE!$A2828:$ZZ2828,CALC!$F$1))&gt;0,N(INDEX(BASELINE!$A2828:$ZZ2828,CALC!$F$1)),N(BASELINE!E2828)),N(BASELINE!E2828)))=INT(SIMOPS!$D$3),IFERROR(UPPER(TRIM(BASELINE!D2828&amp;"")),"")&lt;&gt;"ENCERRADA"),1,0),0)</f>
        <v/>
      </c>
      <c r="B2828">
        <f>B2827+A2828</f>
        <v/>
      </c>
    </row>
    <row r="2829">
      <c r="A2829">
        <f>IFERROR(IF(AND(BASELINE!I2829&lt;&gt;"",INT(IF(CALC!$F$1&gt;0,IF(N(INDEX(BASELINE!$A2829:$ZZ2829,CALC!$F$1))&gt;0,N(INDEX(BASELINE!$A2829:$ZZ2829,CALC!$F$1)),N(BASELINE!E2829)),N(BASELINE!E2829)))=INT(SIMOPS!$D$3),IFERROR(UPPER(TRIM(BASELINE!D2829&amp;"")),"")&lt;&gt;"ENCERRADA"),1,0),0)</f>
        <v/>
      </c>
      <c r="B2829">
        <f>B2828+A2829</f>
        <v/>
      </c>
    </row>
    <row r="2830">
      <c r="A2830">
        <f>IFERROR(IF(AND(BASELINE!I2830&lt;&gt;"",INT(IF(CALC!$F$1&gt;0,IF(N(INDEX(BASELINE!$A2830:$ZZ2830,CALC!$F$1))&gt;0,N(INDEX(BASELINE!$A2830:$ZZ2830,CALC!$F$1)),N(BASELINE!E2830)),N(BASELINE!E2830)))=INT(SIMOPS!$D$3),IFERROR(UPPER(TRIM(BASELINE!D2830&amp;"")),"")&lt;&gt;"ENCERRADA"),1,0),0)</f>
        <v/>
      </c>
      <c r="B2830">
        <f>B2829+A2830</f>
        <v/>
      </c>
    </row>
    <row r="2831">
      <c r="A2831">
        <f>IFERROR(IF(AND(BASELINE!I2831&lt;&gt;"",INT(IF(CALC!$F$1&gt;0,IF(N(INDEX(BASELINE!$A2831:$ZZ2831,CALC!$F$1))&gt;0,N(INDEX(BASELINE!$A2831:$ZZ2831,CALC!$F$1)),N(BASELINE!E2831)),N(BASELINE!E2831)))=INT(SIMOPS!$D$3),IFERROR(UPPER(TRIM(BASELINE!D2831&amp;"")),"")&lt;&gt;"ENCERRADA"),1,0),0)</f>
        <v/>
      </c>
      <c r="B2831">
        <f>B2830+A2831</f>
        <v/>
      </c>
    </row>
    <row r="2832">
      <c r="A2832">
        <f>IFERROR(IF(AND(BASELINE!I2832&lt;&gt;"",INT(IF(CALC!$F$1&gt;0,IF(N(INDEX(BASELINE!$A2832:$ZZ2832,CALC!$F$1))&gt;0,N(INDEX(BASELINE!$A2832:$ZZ2832,CALC!$F$1)),N(BASELINE!E2832)),N(BASELINE!E2832)))=INT(SIMOPS!$D$3),IFERROR(UPPER(TRIM(BASELINE!D2832&amp;"")),"")&lt;&gt;"ENCERRADA"),1,0),0)</f>
        <v/>
      </c>
      <c r="B2832">
        <f>B2831+A2832</f>
        <v/>
      </c>
    </row>
    <row r="2833">
      <c r="A2833">
        <f>IFERROR(IF(AND(BASELINE!I2833&lt;&gt;"",INT(IF(CALC!$F$1&gt;0,IF(N(INDEX(BASELINE!$A2833:$ZZ2833,CALC!$F$1))&gt;0,N(INDEX(BASELINE!$A2833:$ZZ2833,CALC!$F$1)),N(BASELINE!E2833)),N(BASELINE!E2833)))=INT(SIMOPS!$D$3),IFERROR(UPPER(TRIM(BASELINE!D2833&amp;"")),"")&lt;&gt;"ENCERRADA"),1,0),0)</f>
        <v/>
      </c>
      <c r="B2833">
        <f>B2832+A2833</f>
        <v/>
      </c>
    </row>
    <row r="2834">
      <c r="A2834">
        <f>IFERROR(IF(AND(BASELINE!I2834&lt;&gt;"",INT(IF(CALC!$F$1&gt;0,IF(N(INDEX(BASELINE!$A2834:$ZZ2834,CALC!$F$1))&gt;0,N(INDEX(BASELINE!$A2834:$ZZ2834,CALC!$F$1)),N(BASELINE!E2834)),N(BASELINE!E2834)))=INT(SIMOPS!$D$3),IFERROR(UPPER(TRIM(BASELINE!D2834&amp;"")),"")&lt;&gt;"ENCERRADA"),1,0),0)</f>
        <v/>
      </c>
      <c r="B2834">
        <f>B2833+A2834</f>
        <v/>
      </c>
    </row>
    <row r="2835">
      <c r="A2835">
        <f>IFERROR(IF(AND(BASELINE!I2835&lt;&gt;"",INT(IF(CALC!$F$1&gt;0,IF(N(INDEX(BASELINE!$A2835:$ZZ2835,CALC!$F$1))&gt;0,N(INDEX(BASELINE!$A2835:$ZZ2835,CALC!$F$1)),N(BASELINE!E2835)),N(BASELINE!E2835)))=INT(SIMOPS!$D$3),IFERROR(UPPER(TRIM(BASELINE!D2835&amp;"")),"")&lt;&gt;"ENCERRADA"),1,0),0)</f>
        <v/>
      </c>
      <c r="B2835">
        <f>B2834+A2835</f>
        <v/>
      </c>
    </row>
    <row r="2836">
      <c r="A2836">
        <f>IFERROR(IF(AND(BASELINE!I2836&lt;&gt;"",INT(IF(CALC!$F$1&gt;0,IF(N(INDEX(BASELINE!$A2836:$ZZ2836,CALC!$F$1))&gt;0,N(INDEX(BASELINE!$A2836:$ZZ2836,CALC!$F$1)),N(BASELINE!E2836)),N(BASELINE!E2836)))=INT(SIMOPS!$D$3),IFERROR(UPPER(TRIM(BASELINE!D2836&amp;"")),"")&lt;&gt;"ENCERRADA"),1,0),0)</f>
        <v/>
      </c>
      <c r="B2836">
        <f>B2835+A2836</f>
        <v/>
      </c>
    </row>
    <row r="2837">
      <c r="A2837">
        <f>IFERROR(IF(AND(BASELINE!I2837&lt;&gt;"",INT(IF(CALC!$F$1&gt;0,IF(N(INDEX(BASELINE!$A2837:$ZZ2837,CALC!$F$1))&gt;0,N(INDEX(BASELINE!$A2837:$ZZ2837,CALC!$F$1)),N(BASELINE!E2837)),N(BASELINE!E2837)))=INT(SIMOPS!$D$3),IFERROR(UPPER(TRIM(BASELINE!D2837&amp;"")),"")&lt;&gt;"ENCERRADA"),1,0),0)</f>
        <v/>
      </c>
      <c r="B2837">
        <f>B2836+A2837</f>
        <v/>
      </c>
    </row>
    <row r="2838">
      <c r="A2838">
        <f>IFERROR(IF(AND(BASELINE!I2838&lt;&gt;"",INT(IF(CALC!$F$1&gt;0,IF(N(INDEX(BASELINE!$A2838:$ZZ2838,CALC!$F$1))&gt;0,N(INDEX(BASELINE!$A2838:$ZZ2838,CALC!$F$1)),N(BASELINE!E2838)),N(BASELINE!E2838)))=INT(SIMOPS!$D$3),IFERROR(UPPER(TRIM(BASELINE!D2838&amp;"")),"")&lt;&gt;"ENCERRADA"),1,0),0)</f>
        <v/>
      </c>
      <c r="B2838">
        <f>B2837+A2838</f>
        <v/>
      </c>
    </row>
    <row r="2839">
      <c r="A2839">
        <f>IFERROR(IF(AND(BASELINE!I2839&lt;&gt;"",INT(IF(CALC!$F$1&gt;0,IF(N(INDEX(BASELINE!$A2839:$ZZ2839,CALC!$F$1))&gt;0,N(INDEX(BASELINE!$A2839:$ZZ2839,CALC!$F$1)),N(BASELINE!E2839)),N(BASELINE!E2839)))=INT(SIMOPS!$D$3),IFERROR(UPPER(TRIM(BASELINE!D2839&amp;"")),"")&lt;&gt;"ENCERRADA"),1,0),0)</f>
        <v/>
      </c>
      <c r="B2839">
        <f>B2838+A2839</f>
        <v/>
      </c>
    </row>
    <row r="2840">
      <c r="A2840">
        <f>IFERROR(IF(AND(BASELINE!I2840&lt;&gt;"",INT(IF(CALC!$F$1&gt;0,IF(N(INDEX(BASELINE!$A2840:$ZZ2840,CALC!$F$1))&gt;0,N(INDEX(BASELINE!$A2840:$ZZ2840,CALC!$F$1)),N(BASELINE!E2840)),N(BASELINE!E2840)))=INT(SIMOPS!$D$3),IFERROR(UPPER(TRIM(BASELINE!D2840&amp;"")),"")&lt;&gt;"ENCERRADA"),1,0),0)</f>
        <v/>
      </c>
      <c r="B2840">
        <f>B2839+A2840</f>
        <v/>
      </c>
    </row>
    <row r="2841">
      <c r="A2841">
        <f>IFERROR(IF(AND(BASELINE!I2841&lt;&gt;"",INT(IF(CALC!$F$1&gt;0,IF(N(INDEX(BASELINE!$A2841:$ZZ2841,CALC!$F$1))&gt;0,N(INDEX(BASELINE!$A2841:$ZZ2841,CALC!$F$1)),N(BASELINE!E2841)),N(BASELINE!E2841)))=INT(SIMOPS!$D$3),IFERROR(UPPER(TRIM(BASELINE!D2841&amp;"")),"")&lt;&gt;"ENCERRADA"),1,0),0)</f>
        <v/>
      </c>
      <c r="B2841">
        <f>B2840+A2841</f>
        <v/>
      </c>
    </row>
    <row r="2842">
      <c r="A2842">
        <f>IFERROR(IF(AND(BASELINE!I2842&lt;&gt;"",INT(IF(CALC!$F$1&gt;0,IF(N(INDEX(BASELINE!$A2842:$ZZ2842,CALC!$F$1))&gt;0,N(INDEX(BASELINE!$A2842:$ZZ2842,CALC!$F$1)),N(BASELINE!E2842)),N(BASELINE!E2842)))=INT(SIMOPS!$D$3),IFERROR(UPPER(TRIM(BASELINE!D2842&amp;"")),"")&lt;&gt;"ENCERRADA"),1,0),0)</f>
        <v/>
      </c>
      <c r="B2842">
        <f>B2841+A2842</f>
        <v/>
      </c>
    </row>
    <row r="2843">
      <c r="A2843">
        <f>IFERROR(IF(AND(BASELINE!I2843&lt;&gt;"",INT(IF(CALC!$F$1&gt;0,IF(N(INDEX(BASELINE!$A2843:$ZZ2843,CALC!$F$1))&gt;0,N(INDEX(BASELINE!$A2843:$ZZ2843,CALC!$F$1)),N(BASELINE!E2843)),N(BASELINE!E2843)))=INT(SIMOPS!$D$3),IFERROR(UPPER(TRIM(BASELINE!D2843&amp;"")),"")&lt;&gt;"ENCERRADA"),1,0),0)</f>
        <v/>
      </c>
      <c r="B2843">
        <f>B2842+A2843</f>
        <v/>
      </c>
    </row>
    <row r="2844">
      <c r="A2844">
        <f>IFERROR(IF(AND(BASELINE!I2844&lt;&gt;"",INT(IF(CALC!$F$1&gt;0,IF(N(INDEX(BASELINE!$A2844:$ZZ2844,CALC!$F$1))&gt;0,N(INDEX(BASELINE!$A2844:$ZZ2844,CALC!$F$1)),N(BASELINE!E2844)),N(BASELINE!E2844)))=INT(SIMOPS!$D$3),IFERROR(UPPER(TRIM(BASELINE!D2844&amp;"")),"")&lt;&gt;"ENCERRADA"),1,0),0)</f>
        <v/>
      </c>
      <c r="B2844">
        <f>B2843+A2844</f>
        <v/>
      </c>
    </row>
    <row r="2845">
      <c r="A2845">
        <f>IFERROR(IF(AND(BASELINE!I2845&lt;&gt;"",INT(IF(CALC!$F$1&gt;0,IF(N(INDEX(BASELINE!$A2845:$ZZ2845,CALC!$F$1))&gt;0,N(INDEX(BASELINE!$A2845:$ZZ2845,CALC!$F$1)),N(BASELINE!E2845)),N(BASELINE!E2845)))=INT(SIMOPS!$D$3),IFERROR(UPPER(TRIM(BASELINE!D2845&amp;"")),"")&lt;&gt;"ENCERRADA"),1,0),0)</f>
        <v/>
      </c>
      <c r="B2845">
        <f>B2844+A2845</f>
        <v/>
      </c>
    </row>
    <row r="2846">
      <c r="A2846">
        <f>IFERROR(IF(AND(BASELINE!I2846&lt;&gt;"",INT(IF(CALC!$F$1&gt;0,IF(N(INDEX(BASELINE!$A2846:$ZZ2846,CALC!$F$1))&gt;0,N(INDEX(BASELINE!$A2846:$ZZ2846,CALC!$F$1)),N(BASELINE!E2846)),N(BASELINE!E2846)))=INT(SIMOPS!$D$3),IFERROR(UPPER(TRIM(BASELINE!D2846&amp;"")),"")&lt;&gt;"ENCERRADA"),1,0),0)</f>
        <v/>
      </c>
      <c r="B2846">
        <f>B2845+A2846</f>
        <v/>
      </c>
    </row>
    <row r="2847">
      <c r="A2847">
        <f>IFERROR(IF(AND(BASELINE!I2847&lt;&gt;"",INT(IF(CALC!$F$1&gt;0,IF(N(INDEX(BASELINE!$A2847:$ZZ2847,CALC!$F$1))&gt;0,N(INDEX(BASELINE!$A2847:$ZZ2847,CALC!$F$1)),N(BASELINE!E2847)),N(BASELINE!E2847)))=INT(SIMOPS!$D$3),IFERROR(UPPER(TRIM(BASELINE!D2847&amp;"")),"")&lt;&gt;"ENCERRADA"),1,0),0)</f>
        <v/>
      </c>
      <c r="B2847">
        <f>B2846+A2847</f>
        <v/>
      </c>
    </row>
    <row r="2848">
      <c r="A2848">
        <f>IFERROR(IF(AND(BASELINE!I2848&lt;&gt;"",INT(IF(CALC!$F$1&gt;0,IF(N(INDEX(BASELINE!$A2848:$ZZ2848,CALC!$F$1))&gt;0,N(INDEX(BASELINE!$A2848:$ZZ2848,CALC!$F$1)),N(BASELINE!E2848)),N(BASELINE!E2848)))=INT(SIMOPS!$D$3),IFERROR(UPPER(TRIM(BASELINE!D2848&amp;"")),"")&lt;&gt;"ENCERRADA"),1,0),0)</f>
        <v/>
      </c>
      <c r="B2848">
        <f>B2847+A2848</f>
        <v/>
      </c>
    </row>
    <row r="2849">
      <c r="A2849">
        <f>IFERROR(IF(AND(BASELINE!I2849&lt;&gt;"",INT(IF(CALC!$F$1&gt;0,IF(N(INDEX(BASELINE!$A2849:$ZZ2849,CALC!$F$1))&gt;0,N(INDEX(BASELINE!$A2849:$ZZ2849,CALC!$F$1)),N(BASELINE!E2849)),N(BASELINE!E2849)))=INT(SIMOPS!$D$3),IFERROR(UPPER(TRIM(BASELINE!D2849&amp;"")),"")&lt;&gt;"ENCERRADA"),1,0),0)</f>
        <v/>
      </c>
      <c r="B2849">
        <f>B2848+A2849</f>
        <v/>
      </c>
    </row>
    <row r="2850">
      <c r="A2850">
        <f>IFERROR(IF(AND(BASELINE!I2850&lt;&gt;"",INT(IF(CALC!$F$1&gt;0,IF(N(INDEX(BASELINE!$A2850:$ZZ2850,CALC!$F$1))&gt;0,N(INDEX(BASELINE!$A2850:$ZZ2850,CALC!$F$1)),N(BASELINE!E2850)),N(BASELINE!E2850)))=INT(SIMOPS!$D$3),IFERROR(UPPER(TRIM(BASELINE!D2850&amp;"")),"")&lt;&gt;"ENCERRADA"),1,0),0)</f>
        <v/>
      </c>
      <c r="B2850">
        <f>B2849+A2850</f>
        <v/>
      </c>
    </row>
    <row r="2851">
      <c r="A2851">
        <f>IFERROR(IF(AND(BASELINE!I2851&lt;&gt;"",INT(IF(CALC!$F$1&gt;0,IF(N(INDEX(BASELINE!$A2851:$ZZ2851,CALC!$F$1))&gt;0,N(INDEX(BASELINE!$A2851:$ZZ2851,CALC!$F$1)),N(BASELINE!E2851)),N(BASELINE!E2851)))=INT(SIMOPS!$D$3),IFERROR(UPPER(TRIM(BASELINE!D2851&amp;"")),"")&lt;&gt;"ENCERRADA"),1,0),0)</f>
        <v/>
      </c>
      <c r="B2851">
        <f>B2850+A2851</f>
        <v/>
      </c>
    </row>
    <row r="2852">
      <c r="A2852">
        <f>IFERROR(IF(AND(BASELINE!I2852&lt;&gt;"",INT(IF(CALC!$F$1&gt;0,IF(N(INDEX(BASELINE!$A2852:$ZZ2852,CALC!$F$1))&gt;0,N(INDEX(BASELINE!$A2852:$ZZ2852,CALC!$F$1)),N(BASELINE!E2852)),N(BASELINE!E2852)))=INT(SIMOPS!$D$3),IFERROR(UPPER(TRIM(BASELINE!D2852&amp;"")),"")&lt;&gt;"ENCERRADA"),1,0),0)</f>
        <v/>
      </c>
      <c r="B2852">
        <f>B2851+A2852</f>
        <v/>
      </c>
    </row>
    <row r="2853">
      <c r="A2853">
        <f>IFERROR(IF(AND(BASELINE!I2853&lt;&gt;"",INT(IF(CALC!$F$1&gt;0,IF(N(INDEX(BASELINE!$A2853:$ZZ2853,CALC!$F$1))&gt;0,N(INDEX(BASELINE!$A2853:$ZZ2853,CALC!$F$1)),N(BASELINE!E2853)),N(BASELINE!E2853)))=INT(SIMOPS!$D$3),IFERROR(UPPER(TRIM(BASELINE!D2853&amp;"")),"")&lt;&gt;"ENCERRADA"),1,0),0)</f>
        <v/>
      </c>
      <c r="B2853">
        <f>B2852+A2853</f>
        <v/>
      </c>
    </row>
    <row r="2854">
      <c r="A2854">
        <f>IFERROR(IF(AND(BASELINE!I2854&lt;&gt;"",INT(IF(CALC!$F$1&gt;0,IF(N(INDEX(BASELINE!$A2854:$ZZ2854,CALC!$F$1))&gt;0,N(INDEX(BASELINE!$A2854:$ZZ2854,CALC!$F$1)),N(BASELINE!E2854)),N(BASELINE!E2854)))=INT(SIMOPS!$D$3),IFERROR(UPPER(TRIM(BASELINE!D2854&amp;"")),"")&lt;&gt;"ENCERRADA"),1,0),0)</f>
        <v/>
      </c>
      <c r="B2854">
        <f>B2853+A2854</f>
        <v/>
      </c>
    </row>
    <row r="2855">
      <c r="A2855">
        <f>IFERROR(IF(AND(BASELINE!I2855&lt;&gt;"",INT(IF(CALC!$F$1&gt;0,IF(N(INDEX(BASELINE!$A2855:$ZZ2855,CALC!$F$1))&gt;0,N(INDEX(BASELINE!$A2855:$ZZ2855,CALC!$F$1)),N(BASELINE!E2855)),N(BASELINE!E2855)))=INT(SIMOPS!$D$3),IFERROR(UPPER(TRIM(BASELINE!D2855&amp;"")),"")&lt;&gt;"ENCERRADA"),1,0),0)</f>
        <v/>
      </c>
      <c r="B2855">
        <f>B2854+A2855</f>
        <v/>
      </c>
    </row>
    <row r="2856">
      <c r="A2856">
        <f>IFERROR(IF(AND(BASELINE!I2856&lt;&gt;"",INT(IF(CALC!$F$1&gt;0,IF(N(INDEX(BASELINE!$A2856:$ZZ2856,CALC!$F$1))&gt;0,N(INDEX(BASELINE!$A2856:$ZZ2856,CALC!$F$1)),N(BASELINE!E2856)),N(BASELINE!E2856)))=INT(SIMOPS!$D$3),IFERROR(UPPER(TRIM(BASELINE!D2856&amp;"")),"")&lt;&gt;"ENCERRADA"),1,0),0)</f>
        <v/>
      </c>
      <c r="B2856">
        <f>B2855+A2856</f>
        <v/>
      </c>
    </row>
    <row r="2857">
      <c r="A2857">
        <f>IFERROR(IF(AND(BASELINE!I2857&lt;&gt;"",INT(IF(CALC!$F$1&gt;0,IF(N(INDEX(BASELINE!$A2857:$ZZ2857,CALC!$F$1))&gt;0,N(INDEX(BASELINE!$A2857:$ZZ2857,CALC!$F$1)),N(BASELINE!E2857)),N(BASELINE!E2857)))=INT(SIMOPS!$D$3),IFERROR(UPPER(TRIM(BASELINE!D2857&amp;"")),"")&lt;&gt;"ENCERRADA"),1,0),0)</f>
        <v/>
      </c>
      <c r="B2857">
        <f>B2856+A2857</f>
        <v/>
      </c>
    </row>
    <row r="2858">
      <c r="A2858">
        <f>IFERROR(IF(AND(BASELINE!I2858&lt;&gt;"",INT(IF(CALC!$F$1&gt;0,IF(N(INDEX(BASELINE!$A2858:$ZZ2858,CALC!$F$1))&gt;0,N(INDEX(BASELINE!$A2858:$ZZ2858,CALC!$F$1)),N(BASELINE!E2858)),N(BASELINE!E2858)))=INT(SIMOPS!$D$3),IFERROR(UPPER(TRIM(BASELINE!D2858&amp;"")),"")&lt;&gt;"ENCERRADA"),1,0),0)</f>
        <v/>
      </c>
      <c r="B2858">
        <f>B2857+A2858</f>
        <v/>
      </c>
    </row>
    <row r="2859">
      <c r="A2859">
        <f>IFERROR(IF(AND(BASELINE!I2859&lt;&gt;"",INT(IF(CALC!$F$1&gt;0,IF(N(INDEX(BASELINE!$A2859:$ZZ2859,CALC!$F$1))&gt;0,N(INDEX(BASELINE!$A2859:$ZZ2859,CALC!$F$1)),N(BASELINE!E2859)),N(BASELINE!E2859)))=INT(SIMOPS!$D$3),IFERROR(UPPER(TRIM(BASELINE!D2859&amp;"")),"")&lt;&gt;"ENCERRADA"),1,0),0)</f>
        <v/>
      </c>
      <c r="B2859">
        <f>B2858+A2859</f>
        <v/>
      </c>
    </row>
    <row r="2860">
      <c r="A2860">
        <f>IFERROR(IF(AND(BASELINE!I2860&lt;&gt;"",INT(IF(CALC!$F$1&gt;0,IF(N(INDEX(BASELINE!$A2860:$ZZ2860,CALC!$F$1))&gt;0,N(INDEX(BASELINE!$A2860:$ZZ2860,CALC!$F$1)),N(BASELINE!E2860)),N(BASELINE!E2860)))=INT(SIMOPS!$D$3),IFERROR(UPPER(TRIM(BASELINE!D2860&amp;"")),"")&lt;&gt;"ENCERRADA"),1,0),0)</f>
        <v/>
      </c>
      <c r="B2860">
        <f>B2859+A2860</f>
        <v/>
      </c>
    </row>
    <row r="2861">
      <c r="A2861">
        <f>IFERROR(IF(AND(BASELINE!I2861&lt;&gt;"",INT(IF(CALC!$F$1&gt;0,IF(N(INDEX(BASELINE!$A2861:$ZZ2861,CALC!$F$1))&gt;0,N(INDEX(BASELINE!$A2861:$ZZ2861,CALC!$F$1)),N(BASELINE!E2861)),N(BASELINE!E2861)))=INT(SIMOPS!$D$3),IFERROR(UPPER(TRIM(BASELINE!D2861&amp;"")),"")&lt;&gt;"ENCERRADA"),1,0),0)</f>
        <v/>
      </c>
      <c r="B2861">
        <f>B2860+A2861</f>
        <v/>
      </c>
    </row>
    <row r="2862">
      <c r="A2862">
        <f>IFERROR(IF(AND(BASELINE!I2862&lt;&gt;"",INT(IF(CALC!$F$1&gt;0,IF(N(INDEX(BASELINE!$A2862:$ZZ2862,CALC!$F$1))&gt;0,N(INDEX(BASELINE!$A2862:$ZZ2862,CALC!$F$1)),N(BASELINE!E2862)),N(BASELINE!E2862)))=INT(SIMOPS!$D$3),IFERROR(UPPER(TRIM(BASELINE!D2862&amp;"")),"")&lt;&gt;"ENCERRADA"),1,0),0)</f>
        <v/>
      </c>
      <c r="B2862">
        <f>B2861+A2862</f>
        <v/>
      </c>
    </row>
    <row r="2863">
      <c r="A2863">
        <f>IFERROR(IF(AND(BASELINE!I2863&lt;&gt;"",INT(IF(CALC!$F$1&gt;0,IF(N(INDEX(BASELINE!$A2863:$ZZ2863,CALC!$F$1))&gt;0,N(INDEX(BASELINE!$A2863:$ZZ2863,CALC!$F$1)),N(BASELINE!E2863)),N(BASELINE!E2863)))=INT(SIMOPS!$D$3),IFERROR(UPPER(TRIM(BASELINE!D2863&amp;"")),"")&lt;&gt;"ENCERRADA"),1,0),0)</f>
        <v/>
      </c>
      <c r="B2863">
        <f>B2862+A2863</f>
        <v/>
      </c>
    </row>
    <row r="2864">
      <c r="A2864">
        <f>IFERROR(IF(AND(BASELINE!I2864&lt;&gt;"",INT(IF(CALC!$F$1&gt;0,IF(N(INDEX(BASELINE!$A2864:$ZZ2864,CALC!$F$1))&gt;0,N(INDEX(BASELINE!$A2864:$ZZ2864,CALC!$F$1)),N(BASELINE!E2864)),N(BASELINE!E2864)))=INT(SIMOPS!$D$3),IFERROR(UPPER(TRIM(BASELINE!D2864&amp;"")),"")&lt;&gt;"ENCERRADA"),1,0),0)</f>
        <v/>
      </c>
      <c r="B2864">
        <f>B2863+A2864</f>
        <v/>
      </c>
    </row>
    <row r="2865">
      <c r="A2865">
        <f>IFERROR(IF(AND(BASELINE!I2865&lt;&gt;"",INT(IF(CALC!$F$1&gt;0,IF(N(INDEX(BASELINE!$A2865:$ZZ2865,CALC!$F$1))&gt;0,N(INDEX(BASELINE!$A2865:$ZZ2865,CALC!$F$1)),N(BASELINE!E2865)),N(BASELINE!E2865)))=INT(SIMOPS!$D$3),IFERROR(UPPER(TRIM(BASELINE!D2865&amp;"")),"")&lt;&gt;"ENCERRADA"),1,0),0)</f>
        <v/>
      </c>
      <c r="B2865">
        <f>B2864+A2865</f>
        <v/>
      </c>
    </row>
    <row r="2866">
      <c r="A2866">
        <f>IFERROR(IF(AND(BASELINE!I2866&lt;&gt;"",INT(IF(CALC!$F$1&gt;0,IF(N(INDEX(BASELINE!$A2866:$ZZ2866,CALC!$F$1))&gt;0,N(INDEX(BASELINE!$A2866:$ZZ2866,CALC!$F$1)),N(BASELINE!E2866)),N(BASELINE!E2866)))=INT(SIMOPS!$D$3),IFERROR(UPPER(TRIM(BASELINE!D2866&amp;"")),"")&lt;&gt;"ENCERRADA"),1,0),0)</f>
        <v/>
      </c>
      <c r="B2866">
        <f>B2865+A2866</f>
        <v/>
      </c>
    </row>
    <row r="2867">
      <c r="A2867">
        <f>IFERROR(IF(AND(BASELINE!I2867&lt;&gt;"",INT(IF(CALC!$F$1&gt;0,IF(N(INDEX(BASELINE!$A2867:$ZZ2867,CALC!$F$1))&gt;0,N(INDEX(BASELINE!$A2867:$ZZ2867,CALC!$F$1)),N(BASELINE!E2867)),N(BASELINE!E2867)))=INT(SIMOPS!$D$3),IFERROR(UPPER(TRIM(BASELINE!D2867&amp;"")),"")&lt;&gt;"ENCERRADA"),1,0),0)</f>
        <v/>
      </c>
      <c r="B2867">
        <f>B2866+A2867</f>
        <v/>
      </c>
    </row>
    <row r="2868">
      <c r="A2868">
        <f>IFERROR(IF(AND(BASELINE!I2868&lt;&gt;"",INT(IF(CALC!$F$1&gt;0,IF(N(INDEX(BASELINE!$A2868:$ZZ2868,CALC!$F$1))&gt;0,N(INDEX(BASELINE!$A2868:$ZZ2868,CALC!$F$1)),N(BASELINE!E2868)),N(BASELINE!E2868)))=INT(SIMOPS!$D$3),IFERROR(UPPER(TRIM(BASELINE!D2868&amp;"")),"")&lt;&gt;"ENCERRADA"),1,0),0)</f>
        <v/>
      </c>
      <c r="B2868">
        <f>B2867+A2868</f>
        <v/>
      </c>
    </row>
    <row r="2869">
      <c r="A2869">
        <f>IFERROR(IF(AND(BASELINE!I2869&lt;&gt;"",INT(IF(CALC!$F$1&gt;0,IF(N(INDEX(BASELINE!$A2869:$ZZ2869,CALC!$F$1))&gt;0,N(INDEX(BASELINE!$A2869:$ZZ2869,CALC!$F$1)),N(BASELINE!E2869)),N(BASELINE!E2869)))=INT(SIMOPS!$D$3),IFERROR(UPPER(TRIM(BASELINE!D2869&amp;"")),"")&lt;&gt;"ENCERRADA"),1,0),0)</f>
        <v/>
      </c>
      <c r="B2869">
        <f>B2868+A2869</f>
        <v/>
      </c>
    </row>
    <row r="2870">
      <c r="A2870">
        <f>IFERROR(IF(AND(BASELINE!I2870&lt;&gt;"",INT(IF(CALC!$F$1&gt;0,IF(N(INDEX(BASELINE!$A2870:$ZZ2870,CALC!$F$1))&gt;0,N(INDEX(BASELINE!$A2870:$ZZ2870,CALC!$F$1)),N(BASELINE!E2870)),N(BASELINE!E2870)))=INT(SIMOPS!$D$3),IFERROR(UPPER(TRIM(BASELINE!D2870&amp;"")),"")&lt;&gt;"ENCERRADA"),1,0),0)</f>
        <v/>
      </c>
      <c r="B2870">
        <f>B2869+A2870</f>
        <v/>
      </c>
    </row>
    <row r="2871">
      <c r="A2871">
        <f>IFERROR(IF(AND(BASELINE!I2871&lt;&gt;"",INT(IF(CALC!$F$1&gt;0,IF(N(INDEX(BASELINE!$A2871:$ZZ2871,CALC!$F$1))&gt;0,N(INDEX(BASELINE!$A2871:$ZZ2871,CALC!$F$1)),N(BASELINE!E2871)),N(BASELINE!E2871)))=INT(SIMOPS!$D$3),IFERROR(UPPER(TRIM(BASELINE!D2871&amp;"")),"")&lt;&gt;"ENCERRADA"),1,0),0)</f>
        <v/>
      </c>
      <c r="B2871">
        <f>B2870+A2871</f>
        <v/>
      </c>
    </row>
    <row r="2872">
      <c r="A2872">
        <f>IFERROR(IF(AND(BASELINE!I2872&lt;&gt;"",INT(IF(CALC!$F$1&gt;0,IF(N(INDEX(BASELINE!$A2872:$ZZ2872,CALC!$F$1))&gt;0,N(INDEX(BASELINE!$A2872:$ZZ2872,CALC!$F$1)),N(BASELINE!E2872)),N(BASELINE!E2872)))=INT(SIMOPS!$D$3),IFERROR(UPPER(TRIM(BASELINE!D2872&amp;"")),"")&lt;&gt;"ENCERRADA"),1,0),0)</f>
        <v/>
      </c>
      <c r="B2872">
        <f>B2871+A2872</f>
        <v/>
      </c>
    </row>
    <row r="2873">
      <c r="A2873">
        <f>IFERROR(IF(AND(BASELINE!I2873&lt;&gt;"",INT(IF(CALC!$F$1&gt;0,IF(N(INDEX(BASELINE!$A2873:$ZZ2873,CALC!$F$1))&gt;0,N(INDEX(BASELINE!$A2873:$ZZ2873,CALC!$F$1)),N(BASELINE!E2873)),N(BASELINE!E2873)))=INT(SIMOPS!$D$3),IFERROR(UPPER(TRIM(BASELINE!D2873&amp;"")),"")&lt;&gt;"ENCERRADA"),1,0),0)</f>
        <v/>
      </c>
      <c r="B2873">
        <f>B2872+A2873</f>
        <v/>
      </c>
    </row>
    <row r="2874">
      <c r="A2874">
        <f>IFERROR(IF(AND(BASELINE!I2874&lt;&gt;"",INT(IF(CALC!$F$1&gt;0,IF(N(INDEX(BASELINE!$A2874:$ZZ2874,CALC!$F$1))&gt;0,N(INDEX(BASELINE!$A2874:$ZZ2874,CALC!$F$1)),N(BASELINE!E2874)),N(BASELINE!E2874)))=INT(SIMOPS!$D$3),IFERROR(UPPER(TRIM(BASELINE!D2874&amp;"")),"")&lt;&gt;"ENCERRADA"),1,0),0)</f>
        <v/>
      </c>
      <c r="B2874">
        <f>B2873+A2874</f>
        <v/>
      </c>
    </row>
    <row r="2875">
      <c r="A2875">
        <f>IFERROR(IF(AND(BASELINE!I2875&lt;&gt;"",INT(IF(CALC!$F$1&gt;0,IF(N(INDEX(BASELINE!$A2875:$ZZ2875,CALC!$F$1))&gt;0,N(INDEX(BASELINE!$A2875:$ZZ2875,CALC!$F$1)),N(BASELINE!E2875)),N(BASELINE!E2875)))=INT(SIMOPS!$D$3),IFERROR(UPPER(TRIM(BASELINE!D2875&amp;"")),"")&lt;&gt;"ENCERRADA"),1,0),0)</f>
        <v/>
      </c>
      <c r="B2875">
        <f>B2874+A2875</f>
        <v/>
      </c>
    </row>
    <row r="2876">
      <c r="A2876">
        <f>IFERROR(IF(AND(BASELINE!I2876&lt;&gt;"",INT(IF(CALC!$F$1&gt;0,IF(N(INDEX(BASELINE!$A2876:$ZZ2876,CALC!$F$1))&gt;0,N(INDEX(BASELINE!$A2876:$ZZ2876,CALC!$F$1)),N(BASELINE!E2876)),N(BASELINE!E2876)))=INT(SIMOPS!$D$3),IFERROR(UPPER(TRIM(BASELINE!D2876&amp;"")),"")&lt;&gt;"ENCERRADA"),1,0),0)</f>
        <v/>
      </c>
      <c r="B2876">
        <f>B2875+A2876</f>
        <v/>
      </c>
    </row>
    <row r="2877">
      <c r="A2877">
        <f>IFERROR(IF(AND(BASELINE!I2877&lt;&gt;"",INT(IF(CALC!$F$1&gt;0,IF(N(INDEX(BASELINE!$A2877:$ZZ2877,CALC!$F$1))&gt;0,N(INDEX(BASELINE!$A2877:$ZZ2877,CALC!$F$1)),N(BASELINE!E2877)),N(BASELINE!E2877)))=INT(SIMOPS!$D$3),IFERROR(UPPER(TRIM(BASELINE!D2877&amp;"")),"")&lt;&gt;"ENCERRADA"),1,0),0)</f>
        <v/>
      </c>
      <c r="B2877">
        <f>B2876+A2877</f>
        <v/>
      </c>
    </row>
    <row r="2878">
      <c r="A2878">
        <f>IFERROR(IF(AND(BASELINE!I2878&lt;&gt;"",INT(IF(CALC!$F$1&gt;0,IF(N(INDEX(BASELINE!$A2878:$ZZ2878,CALC!$F$1))&gt;0,N(INDEX(BASELINE!$A2878:$ZZ2878,CALC!$F$1)),N(BASELINE!E2878)),N(BASELINE!E2878)))=INT(SIMOPS!$D$3),IFERROR(UPPER(TRIM(BASELINE!D2878&amp;"")),"")&lt;&gt;"ENCERRADA"),1,0),0)</f>
        <v/>
      </c>
      <c r="B2878">
        <f>B2877+A2878</f>
        <v/>
      </c>
    </row>
    <row r="2879">
      <c r="A2879">
        <f>IFERROR(IF(AND(BASELINE!I2879&lt;&gt;"",INT(IF(CALC!$F$1&gt;0,IF(N(INDEX(BASELINE!$A2879:$ZZ2879,CALC!$F$1))&gt;0,N(INDEX(BASELINE!$A2879:$ZZ2879,CALC!$F$1)),N(BASELINE!E2879)),N(BASELINE!E2879)))=INT(SIMOPS!$D$3),IFERROR(UPPER(TRIM(BASELINE!D2879&amp;"")),"")&lt;&gt;"ENCERRADA"),1,0),0)</f>
        <v/>
      </c>
      <c r="B2879">
        <f>B2878+A2879</f>
        <v/>
      </c>
    </row>
    <row r="2880">
      <c r="A2880">
        <f>IFERROR(IF(AND(BASELINE!I2880&lt;&gt;"",INT(IF(CALC!$F$1&gt;0,IF(N(INDEX(BASELINE!$A2880:$ZZ2880,CALC!$F$1))&gt;0,N(INDEX(BASELINE!$A2880:$ZZ2880,CALC!$F$1)),N(BASELINE!E2880)),N(BASELINE!E2880)))=INT(SIMOPS!$D$3),IFERROR(UPPER(TRIM(BASELINE!D2880&amp;"")),"")&lt;&gt;"ENCERRADA"),1,0),0)</f>
        <v/>
      </c>
      <c r="B2880">
        <f>B2879+A2880</f>
        <v/>
      </c>
    </row>
    <row r="2881">
      <c r="A2881">
        <f>IFERROR(IF(AND(BASELINE!I2881&lt;&gt;"",INT(IF(CALC!$F$1&gt;0,IF(N(INDEX(BASELINE!$A2881:$ZZ2881,CALC!$F$1))&gt;0,N(INDEX(BASELINE!$A2881:$ZZ2881,CALC!$F$1)),N(BASELINE!E2881)),N(BASELINE!E2881)))=INT(SIMOPS!$D$3),IFERROR(UPPER(TRIM(BASELINE!D2881&amp;"")),"")&lt;&gt;"ENCERRADA"),1,0),0)</f>
        <v/>
      </c>
      <c r="B2881">
        <f>B2880+A2881</f>
        <v/>
      </c>
    </row>
    <row r="2882">
      <c r="A2882">
        <f>IFERROR(IF(AND(BASELINE!I2882&lt;&gt;"",INT(IF(CALC!$F$1&gt;0,IF(N(INDEX(BASELINE!$A2882:$ZZ2882,CALC!$F$1))&gt;0,N(INDEX(BASELINE!$A2882:$ZZ2882,CALC!$F$1)),N(BASELINE!E2882)),N(BASELINE!E2882)))=INT(SIMOPS!$D$3),IFERROR(UPPER(TRIM(BASELINE!D2882&amp;"")),"")&lt;&gt;"ENCERRADA"),1,0),0)</f>
        <v/>
      </c>
      <c r="B2882">
        <f>B2881+A2882</f>
        <v/>
      </c>
    </row>
    <row r="2883">
      <c r="A2883">
        <f>IFERROR(IF(AND(BASELINE!I2883&lt;&gt;"",INT(IF(CALC!$F$1&gt;0,IF(N(INDEX(BASELINE!$A2883:$ZZ2883,CALC!$F$1))&gt;0,N(INDEX(BASELINE!$A2883:$ZZ2883,CALC!$F$1)),N(BASELINE!E2883)),N(BASELINE!E2883)))=INT(SIMOPS!$D$3),IFERROR(UPPER(TRIM(BASELINE!D2883&amp;"")),"")&lt;&gt;"ENCERRADA"),1,0),0)</f>
        <v/>
      </c>
      <c r="B2883">
        <f>B2882+A2883</f>
        <v/>
      </c>
    </row>
    <row r="2884">
      <c r="A2884">
        <f>IFERROR(IF(AND(BASELINE!I2884&lt;&gt;"",INT(IF(CALC!$F$1&gt;0,IF(N(INDEX(BASELINE!$A2884:$ZZ2884,CALC!$F$1))&gt;0,N(INDEX(BASELINE!$A2884:$ZZ2884,CALC!$F$1)),N(BASELINE!E2884)),N(BASELINE!E2884)))=INT(SIMOPS!$D$3),IFERROR(UPPER(TRIM(BASELINE!D2884&amp;"")),"")&lt;&gt;"ENCERRADA"),1,0),0)</f>
        <v/>
      </c>
      <c r="B2884">
        <f>B2883+A2884</f>
        <v/>
      </c>
    </row>
    <row r="2885">
      <c r="A2885">
        <f>IFERROR(IF(AND(BASELINE!I2885&lt;&gt;"",INT(IF(CALC!$F$1&gt;0,IF(N(INDEX(BASELINE!$A2885:$ZZ2885,CALC!$F$1))&gt;0,N(INDEX(BASELINE!$A2885:$ZZ2885,CALC!$F$1)),N(BASELINE!E2885)),N(BASELINE!E2885)))=INT(SIMOPS!$D$3),IFERROR(UPPER(TRIM(BASELINE!D2885&amp;"")),"")&lt;&gt;"ENCERRADA"),1,0),0)</f>
        <v/>
      </c>
      <c r="B2885">
        <f>B2884+A2885</f>
        <v/>
      </c>
    </row>
    <row r="2886">
      <c r="A2886">
        <f>IFERROR(IF(AND(BASELINE!I2886&lt;&gt;"",INT(IF(CALC!$F$1&gt;0,IF(N(INDEX(BASELINE!$A2886:$ZZ2886,CALC!$F$1))&gt;0,N(INDEX(BASELINE!$A2886:$ZZ2886,CALC!$F$1)),N(BASELINE!E2886)),N(BASELINE!E2886)))=INT(SIMOPS!$D$3),IFERROR(UPPER(TRIM(BASELINE!D2886&amp;"")),"")&lt;&gt;"ENCERRADA"),1,0),0)</f>
        <v/>
      </c>
      <c r="B2886">
        <f>B2885+A2886</f>
        <v/>
      </c>
    </row>
    <row r="2887">
      <c r="A2887">
        <f>IFERROR(IF(AND(BASELINE!I2887&lt;&gt;"",INT(IF(CALC!$F$1&gt;0,IF(N(INDEX(BASELINE!$A2887:$ZZ2887,CALC!$F$1))&gt;0,N(INDEX(BASELINE!$A2887:$ZZ2887,CALC!$F$1)),N(BASELINE!E2887)),N(BASELINE!E2887)))=INT(SIMOPS!$D$3),IFERROR(UPPER(TRIM(BASELINE!D2887&amp;"")),"")&lt;&gt;"ENCERRADA"),1,0),0)</f>
        <v/>
      </c>
      <c r="B2887">
        <f>B2886+A2887</f>
        <v/>
      </c>
    </row>
    <row r="2888">
      <c r="A2888">
        <f>IFERROR(IF(AND(BASELINE!I2888&lt;&gt;"",INT(IF(CALC!$F$1&gt;0,IF(N(INDEX(BASELINE!$A2888:$ZZ2888,CALC!$F$1))&gt;0,N(INDEX(BASELINE!$A2888:$ZZ2888,CALC!$F$1)),N(BASELINE!E2888)),N(BASELINE!E2888)))=INT(SIMOPS!$D$3),IFERROR(UPPER(TRIM(BASELINE!D2888&amp;"")),"")&lt;&gt;"ENCERRADA"),1,0),0)</f>
        <v/>
      </c>
      <c r="B2888">
        <f>B2887+A2888</f>
        <v/>
      </c>
    </row>
    <row r="2889">
      <c r="A2889">
        <f>IFERROR(IF(AND(BASELINE!I2889&lt;&gt;"",INT(IF(CALC!$F$1&gt;0,IF(N(INDEX(BASELINE!$A2889:$ZZ2889,CALC!$F$1))&gt;0,N(INDEX(BASELINE!$A2889:$ZZ2889,CALC!$F$1)),N(BASELINE!E2889)),N(BASELINE!E2889)))=INT(SIMOPS!$D$3),IFERROR(UPPER(TRIM(BASELINE!D2889&amp;"")),"")&lt;&gt;"ENCERRADA"),1,0),0)</f>
        <v/>
      </c>
      <c r="B2889">
        <f>B2888+A2889</f>
        <v/>
      </c>
    </row>
    <row r="2890">
      <c r="A2890">
        <f>IFERROR(IF(AND(BASELINE!I2890&lt;&gt;"",INT(IF(CALC!$F$1&gt;0,IF(N(INDEX(BASELINE!$A2890:$ZZ2890,CALC!$F$1))&gt;0,N(INDEX(BASELINE!$A2890:$ZZ2890,CALC!$F$1)),N(BASELINE!E2890)),N(BASELINE!E2890)))=INT(SIMOPS!$D$3),IFERROR(UPPER(TRIM(BASELINE!D2890&amp;"")),"")&lt;&gt;"ENCERRADA"),1,0),0)</f>
        <v/>
      </c>
      <c r="B2890">
        <f>B2889+A2890</f>
        <v/>
      </c>
    </row>
    <row r="2891">
      <c r="A2891">
        <f>IFERROR(IF(AND(BASELINE!I2891&lt;&gt;"",INT(IF(CALC!$F$1&gt;0,IF(N(INDEX(BASELINE!$A2891:$ZZ2891,CALC!$F$1))&gt;0,N(INDEX(BASELINE!$A2891:$ZZ2891,CALC!$F$1)),N(BASELINE!E2891)),N(BASELINE!E2891)))=INT(SIMOPS!$D$3),IFERROR(UPPER(TRIM(BASELINE!D2891&amp;"")),"")&lt;&gt;"ENCERRADA"),1,0),0)</f>
        <v/>
      </c>
      <c r="B2891">
        <f>B2890+A2891</f>
        <v/>
      </c>
    </row>
    <row r="2892">
      <c r="A2892">
        <f>IFERROR(IF(AND(BASELINE!I2892&lt;&gt;"",INT(IF(CALC!$F$1&gt;0,IF(N(INDEX(BASELINE!$A2892:$ZZ2892,CALC!$F$1))&gt;0,N(INDEX(BASELINE!$A2892:$ZZ2892,CALC!$F$1)),N(BASELINE!E2892)),N(BASELINE!E2892)))=INT(SIMOPS!$D$3),IFERROR(UPPER(TRIM(BASELINE!D2892&amp;"")),"")&lt;&gt;"ENCERRADA"),1,0),0)</f>
        <v/>
      </c>
      <c r="B2892">
        <f>B2891+A2892</f>
        <v/>
      </c>
    </row>
    <row r="2893">
      <c r="A2893">
        <f>IFERROR(IF(AND(BASELINE!I2893&lt;&gt;"",INT(IF(CALC!$F$1&gt;0,IF(N(INDEX(BASELINE!$A2893:$ZZ2893,CALC!$F$1))&gt;0,N(INDEX(BASELINE!$A2893:$ZZ2893,CALC!$F$1)),N(BASELINE!E2893)),N(BASELINE!E2893)))=INT(SIMOPS!$D$3),IFERROR(UPPER(TRIM(BASELINE!D2893&amp;"")),"")&lt;&gt;"ENCERRADA"),1,0),0)</f>
        <v/>
      </c>
      <c r="B2893">
        <f>B2892+A2893</f>
        <v/>
      </c>
    </row>
    <row r="2894">
      <c r="A2894">
        <f>IFERROR(IF(AND(BASELINE!I2894&lt;&gt;"",INT(IF(CALC!$F$1&gt;0,IF(N(INDEX(BASELINE!$A2894:$ZZ2894,CALC!$F$1))&gt;0,N(INDEX(BASELINE!$A2894:$ZZ2894,CALC!$F$1)),N(BASELINE!E2894)),N(BASELINE!E2894)))=INT(SIMOPS!$D$3),IFERROR(UPPER(TRIM(BASELINE!D2894&amp;"")),"")&lt;&gt;"ENCERRADA"),1,0),0)</f>
        <v/>
      </c>
      <c r="B2894">
        <f>B2893+A2894</f>
        <v/>
      </c>
    </row>
    <row r="2895">
      <c r="A2895">
        <f>IFERROR(IF(AND(BASELINE!I2895&lt;&gt;"",INT(IF(CALC!$F$1&gt;0,IF(N(INDEX(BASELINE!$A2895:$ZZ2895,CALC!$F$1))&gt;0,N(INDEX(BASELINE!$A2895:$ZZ2895,CALC!$F$1)),N(BASELINE!E2895)),N(BASELINE!E2895)))=INT(SIMOPS!$D$3),IFERROR(UPPER(TRIM(BASELINE!D2895&amp;"")),"")&lt;&gt;"ENCERRADA"),1,0),0)</f>
        <v/>
      </c>
      <c r="B2895">
        <f>B2894+A2895</f>
        <v/>
      </c>
    </row>
    <row r="2896">
      <c r="A2896">
        <f>IFERROR(IF(AND(BASELINE!I2896&lt;&gt;"",INT(IF(CALC!$F$1&gt;0,IF(N(INDEX(BASELINE!$A2896:$ZZ2896,CALC!$F$1))&gt;0,N(INDEX(BASELINE!$A2896:$ZZ2896,CALC!$F$1)),N(BASELINE!E2896)),N(BASELINE!E2896)))=INT(SIMOPS!$D$3),IFERROR(UPPER(TRIM(BASELINE!D2896&amp;"")),"")&lt;&gt;"ENCERRADA"),1,0),0)</f>
        <v/>
      </c>
      <c r="B2896">
        <f>B2895+A2896</f>
        <v/>
      </c>
    </row>
    <row r="2897">
      <c r="A2897">
        <f>IFERROR(IF(AND(BASELINE!I2897&lt;&gt;"",INT(IF(CALC!$F$1&gt;0,IF(N(INDEX(BASELINE!$A2897:$ZZ2897,CALC!$F$1))&gt;0,N(INDEX(BASELINE!$A2897:$ZZ2897,CALC!$F$1)),N(BASELINE!E2897)),N(BASELINE!E2897)))=INT(SIMOPS!$D$3),IFERROR(UPPER(TRIM(BASELINE!D2897&amp;"")),"")&lt;&gt;"ENCERRADA"),1,0),0)</f>
        <v/>
      </c>
      <c r="B2897">
        <f>B2896+A2897</f>
        <v/>
      </c>
    </row>
    <row r="2898">
      <c r="A2898">
        <f>IFERROR(IF(AND(BASELINE!I2898&lt;&gt;"",INT(IF(CALC!$F$1&gt;0,IF(N(INDEX(BASELINE!$A2898:$ZZ2898,CALC!$F$1))&gt;0,N(INDEX(BASELINE!$A2898:$ZZ2898,CALC!$F$1)),N(BASELINE!E2898)),N(BASELINE!E2898)))=INT(SIMOPS!$D$3),IFERROR(UPPER(TRIM(BASELINE!D2898&amp;"")),"")&lt;&gt;"ENCERRADA"),1,0),0)</f>
        <v/>
      </c>
      <c r="B2898">
        <f>B2897+A2898</f>
        <v/>
      </c>
    </row>
    <row r="2899">
      <c r="A2899">
        <f>IFERROR(IF(AND(BASELINE!I2899&lt;&gt;"",INT(IF(CALC!$F$1&gt;0,IF(N(INDEX(BASELINE!$A2899:$ZZ2899,CALC!$F$1))&gt;0,N(INDEX(BASELINE!$A2899:$ZZ2899,CALC!$F$1)),N(BASELINE!E2899)),N(BASELINE!E2899)))=INT(SIMOPS!$D$3),IFERROR(UPPER(TRIM(BASELINE!D2899&amp;"")),"")&lt;&gt;"ENCERRADA"),1,0),0)</f>
        <v/>
      </c>
      <c r="B2899">
        <f>B2898+A2899</f>
        <v/>
      </c>
    </row>
    <row r="2900">
      <c r="A2900">
        <f>IFERROR(IF(AND(BASELINE!I2900&lt;&gt;"",INT(IF(CALC!$F$1&gt;0,IF(N(INDEX(BASELINE!$A2900:$ZZ2900,CALC!$F$1))&gt;0,N(INDEX(BASELINE!$A2900:$ZZ2900,CALC!$F$1)),N(BASELINE!E2900)),N(BASELINE!E2900)))=INT(SIMOPS!$D$3),IFERROR(UPPER(TRIM(BASELINE!D2900&amp;"")),"")&lt;&gt;"ENCERRADA"),1,0),0)</f>
        <v/>
      </c>
      <c r="B2900">
        <f>B2899+A2900</f>
        <v/>
      </c>
    </row>
    <row r="2901">
      <c r="A2901">
        <f>IFERROR(IF(AND(BASELINE!I2901&lt;&gt;"",INT(IF(CALC!$F$1&gt;0,IF(N(INDEX(BASELINE!$A2901:$ZZ2901,CALC!$F$1))&gt;0,N(INDEX(BASELINE!$A2901:$ZZ2901,CALC!$F$1)),N(BASELINE!E2901)),N(BASELINE!E2901)))=INT(SIMOPS!$D$3),IFERROR(UPPER(TRIM(BASELINE!D2901&amp;"")),"")&lt;&gt;"ENCERRADA"),1,0),0)</f>
        <v/>
      </c>
      <c r="B2901">
        <f>B2900+A2901</f>
        <v/>
      </c>
    </row>
    <row r="2902">
      <c r="A2902">
        <f>IFERROR(IF(AND(BASELINE!I2902&lt;&gt;"",INT(IF(CALC!$F$1&gt;0,IF(N(INDEX(BASELINE!$A2902:$ZZ2902,CALC!$F$1))&gt;0,N(INDEX(BASELINE!$A2902:$ZZ2902,CALC!$F$1)),N(BASELINE!E2902)),N(BASELINE!E2902)))=INT(SIMOPS!$D$3),IFERROR(UPPER(TRIM(BASELINE!D2902&amp;"")),"")&lt;&gt;"ENCERRADA"),1,0),0)</f>
        <v/>
      </c>
      <c r="B2902">
        <f>B2901+A2902</f>
        <v/>
      </c>
    </row>
    <row r="2903">
      <c r="A2903">
        <f>IFERROR(IF(AND(BASELINE!I2903&lt;&gt;"",INT(IF(CALC!$F$1&gt;0,IF(N(INDEX(BASELINE!$A2903:$ZZ2903,CALC!$F$1))&gt;0,N(INDEX(BASELINE!$A2903:$ZZ2903,CALC!$F$1)),N(BASELINE!E2903)),N(BASELINE!E2903)))=INT(SIMOPS!$D$3),IFERROR(UPPER(TRIM(BASELINE!D2903&amp;"")),"")&lt;&gt;"ENCERRADA"),1,0),0)</f>
        <v/>
      </c>
      <c r="B2903">
        <f>B2902+A2903</f>
        <v/>
      </c>
    </row>
    <row r="2904">
      <c r="A2904">
        <f>IFERROR(IF(AND(BASELINE!I2904&lt;&gt;"",INT(IF(CALC!$F$1&gt;0,IF(N(INDEX(BASELINE!$A2904:$ZZ2904,CALC!$F$1))&gt;0,N(INDEX(BASELINE!$A2904:$ZZ2904,CALC!$F$1)),N(BASELINE!E2904)),N(BASELINE!E2904)))=INT(SIMOPS!$D$3),IFERROR(UPPER(TRIM(BASELINE!D2904&amp;"")),"")&lt;&gt;"ENCERRADA"),1,0),0)</f>
        <v/>
      </c>
      <c r="B2904">
        <f>B2903+A2904</f>
        <v/>
      </c>
    </row>
    <row r="2905">
      <c r="A2905">
        <f>IFERROR(IF(AND(BASELINE!I2905&lt;&gt;"",INT(IF(CALC!$F$1&gt;0,IF(N(INDEX(BASELINE!$A2905:$ZZ2905,CALC!$F$1))&gt;0,N(INDEX(BASELINE!$A2905:$ZZ2905,CALC!$F$1)),N(BASELINE!E2905)),N(BASELINE!E2905)))=INT(SIMOPS!$D$3),IFERROR(UPPER(TRIM(BASELINE!D2905&amp;"")),"")&lt;&gt;"ENCERRADA"),1,0),0)</f>
        <v/>
      </c>
      <c r="B2905">
        <f>B2904+A2905</f>
        <v/>
      </c>
    </row>
    <row r="2906">
      <c r="A2906">
        <f>IFERROR(IF(AND(BASELINE!I2906&lt;&gt;"",INT(IF(CALC!$F$1&gt;0,IF(N(INDEX(BASELINE!$A2906:$ZZ2906,CALC!$F$1))&gt;0,N(INDEX(BASELINE!$A2906:$ZZ2906,CALC!$F$1)),N(BASELINE!E2906)),N(BASELINE!E2906)))=INT(SIMOPS!$D$3),IFERROR(UPPER(TRIM(BASELINE!D2906&amp;"")),"")&lt;&gt;"ENCERRADA"),1,0),0)</f>
        <v/>
      </c>
      <c r="B2906">
        <f>B2905+A2906</f>
        <v/>
      </c>
    </row>
    <row r="2907">
      <c r="A2907">
        <f>IFERROR(IF(AND(BASELINE!I2907&lt;&gt;"",INT(IF(CALC!$F$1&gt;0,IF(N(INDEX(BASELINE!$A2907:$ZZ2907,CALC!$F$1))&gt;0,N(INDEX(BASELINE!$A2907:$ZZ2907,CALC!$F$1)),N(BASELINE!E2907)),N(BASELINE!E2907)))=INT(SIMOPS!$D$3),IFERROR(UPPER(TRIM(BASELINE!D2907&amp;"")),"")&lt;&gt;"ENCERRADA"),1,0),0)</f>
        <v/>
      </c>
      <c r="B2907">
        <f>B2906+A2907</f>
        <v/>
      </c>
    </row>
    <row r="2908">
      <c r="A2908">
        <f>IFERROR(IF(AND(BASELINE!I2908&lt;&gt;"",INT(IF(CALC!$F$1&gt;0,IF(N(INDEX(BASELINE!$A2908:$ZZ2908,CALC!$F$1))&gt;0,N(INDEX(BASELINE!$A2908:$ZZ2908,CALC!$F$1)),N(BASELINE!E2908)),N(BASELINE!E2908)))=INT(SIMOPS!$D$3),IFERROR(UPPER(TRIM(BASELINE!D2908&amp;"")),"")&lt;&gt;"ENCERRADA"),1,0),0)</f>
        <v/>
      </c>
      <c r="B2908">
        <f>B2907+A2908</f>
        <v/>
      </c>
    </row>
    <row r="2909">
      <c r="A2909">
        <f>IFERROR(IF(AND(BASELINE!I2909&lt;&gt;"",INT(IF(CALC!$F$1&gt;0,IF(N(INDEX(BASELINE!$A2909:$ZZ2909,CALC!$F$1))&gt;0,N(INDEX(BASELINE!$A2909:$ZZ2909,CALC!$F$1)),N(BASELINE!E2909)),N(BASELINE!E2909)))=INT(SIMOPS!$D$3),IFERROR(UPPER(TRIM(BASELINE!D2909&amp;"")),"")&lt;&gt;"ENCERRADA"),1,0),0)</f>
        <v/>
      </c>
      <c r="B2909">
        <f>B2908+A2909</f>
        <v/>
      </c>
    </row>
    <row r="2910">
      <c r="A2910">
        <f>IFERROR(IF(AND(BASELINE!I2910&lt;&gt;"",INT(IF(CALC!$F$1&gt;0,IF(N(INDEX(BASELINE!$A2910:$ZZ2910,CALC!$F$1))&gt;0,N(INDEX(BASELINE!$A2910:$ZZ2910,CALC!$F$1)),N(BASELINE!E2910)),N(BASELINE!E2910)))=INT(SIMOPS!$D$3),IFERROR(UPPER(TRIM(BASELINE!D2910&amp;"")),"")&lt;&gt;"ENCERRADA"),1,0),0)</f>
        <v/>
      </c>
      <c r="B2910">
        <f>B2909+A2910</f>
        <v/>
      </c>
    </row>
    <row r="2911">
      <c r="A2911">
        <f>IFERROR(IF(AND(BASELINE!I2911&lt;&gt;"",INT(IF(CALC!$F$1&gt;0,IF(N(INDEX(BASELINE!$A2911:$ZZ2911,CALC!$F$1))&gt;0,N(INDEX(BASELINE!$A2911:$ZZ2911,CALC!$F$1)),N(BASELINE!E2911)),N(BASELINE!E2911)))=INT(SIMOPS!$D$3),IFERROR(UPPER(TRIM(BASELINE!D2911&amp;"")),"")&lt;&gt;"ENCERRADA"),1,0),0)</f>
        <v/>
      </c>
      <c r="B2911">
        <f>B2910+A2911</f>
        <v/>
      </c>
    </row>
    <row r="2912">
      <c r="A2912">
        <f>IFERROR(IF(AND(BASELINE!I2912&lt;&gt;"",INT(IF(CALC!$F$1&gt;0,IF(N(INDEX(BASELINE!$A2912:$ZZ2912,CALC!$F$1))&gt;0,N(INDEX(BASELINE!$A2912:$ZZ2912,CALC!$F$1)),N(BASELINE!E2912)),N(BASELINE!E2912)))=INT(SIMOPS!$D$3),IFERROR(UPPER(TRIM(BASELINE!D2912&amp;"")),"")&lt;&gt;"ENCERRADA"),1,0),0)</f>
        <v/>
      </c>
      <c r="B2912">
        <f>B2911+A2912</f>
        <v/>
      </c>
    </row>
    <row r="2913">
      <c r="A2913">
        <f>IFERROR(IF(AND(BASELINE!I2913&lt;&gt;"",INT(IF(CALC!$F$1&gt;0,IF(N(INDEX(BASELINE!$A2913:$ZZ2913,CALC!$F$1))&gt;0,N(INDEX(BASELINE!$A2913:$ZZ2913,CALC!$F$1)),N(BASELINE!E2913)),N(BASELINE!E2913)))=INT(SIMOPS!$D$3),IFERROR(UPPER(TRIM(BASELINE!D2913&amp;"")),"")&lt;&gt;"ENCERRADA"),1,0),0)</f>
        <v/>
      </c>
      <c r="B2913">
        <f>B2912+A2913</f>
        <v/>
      </c>
    </row>
    <row r="2914">
      <c r="A2914">
        <f>IFERROR(IF(AND(BASELINE!I2914&lt;&gt;"",INT(IF(CALC!$F$1&gt;0,IF(N(INDEX(BASELINE!$A2914:$ZZ2914,CALC!$F$1))&gt;0,N(INDEX(BASELINE!$A2914:$ZZ2914,CALC!$F$1)),N(BASELINE!E2914)),N(BASELINE!E2914)))=INT(SIMOPS!$D$3),IFERROR(UPPER(TRIM(BASELINE!D2914&amp;"")),"")&lt;&gt;"ENCERRADA"),1,0),0)</f>
        <v/>
      </c>
      <c r="B2914">
        <f>B2913+A2914</f>
        <v/>
      </c>
    </row>
    <row r="2915">
      <c r="A2915">
        <f>IFERROR(IF(AND(BASELINE!I2915&lt;&gt;"",INT(IF(CALC!$F$1&gt;0,IF(N(INDEX(BASELINE!$A2915:$ZZ2915,CALC!$F$1))&gt;0,N(INDEX(BASELINE!$A2915:$ZZ2915,CALC!$F$1)),N(BASELINE!E2915)),N(BASELINE!E2915)))=INT(SIMOPS!$D$3),IFERROR(UPPER(TRIM(BASELINE!D2915&amp;"")),"")&lt;&gt;"ENCERRADA"),1,0),0)</f>
        <v/>
      </c>
      <c r="B2915">
        <f>B2914+A2915</f>
        <v/>
      </c>
    </row>
    <row r="2916">
      <c r="A2916">
        <f>IFERROR(IF(AND(BASELINE!I2916&lt;&gt;"",INT(IF(CALC!$F$1&gt;0,IF(N(INDEX(BASELINE!$A2916:$ZZ2916,CALC!$F$1))&gt;0,N(INDEX(BASELINE!$A2916:$ZZ2916,CALC!$F$1)),N(BASELINE!E2916)),N(BASELINE!E2916)))=INT(SIMOPS!$D$3),IFERROR(UPPER(TRIM(BASELINE!D2916&amp;"")),"")&lt;&gt;"ENCERRADA"),1,0),0)</f>
        <v/>
      </c>
      <c r="B2916">
        <f>B2915+A2916</f>
        <v/>
      </c>
    </row>
    <row r="2917">
      <c r="A2917">
        <f>IFERROR(IF(AND(BASELINE!I2917&lt;&gt;"",INT(IF(CALC!$F$1&gt;0,IF(N(INDEX(BASELINE!$A2917:$ZZ2917,CALC!$F$1))&gt;0,N(INDEX(BASELINE!$A2917:$ZZ2917,CALC!$F$1)),N(BASELINE!E2917)),N(BASELINE!E2917)))=INT(SIMOPS!$D$3),IFERROR(UPPER(TRIM(BASELINE!D2917&amp;"")),"")&lt;&gt;"ENCERRADA"),1,0),0)</f>
        <v/>
      </c>
      <c r="B2917">
        <f>B2916+A2917</f>
        <v/>
      </c>
    </row>
    <row r="2918">
      <c r="A2918">
        <f>IFERROR(IF(AND(BASELINE!I2918&lt;&gt;"",INT(IF(CALC!$F$1&gt;0,IF(N(INDEX(BASELINE!$A2918:$ZZ2918,CALC!$F$1))&gt;0,N(INDEX(BASELINE!$A2918:$ZZ2918,CALC!$F$1)),N(BASELINE!E2918)),N(BASELINE!E2918)))=INT(SIMOPS!$D$3),IFERROR(UPPER(TRIM(BASELINE!D2918&amp;"")),"")&lt;&gt;"ENCERRADA"),1,0),0)</f>
        <v/>
      </c>
      <c r="B2918">
        <f>B2917+A2918</f>
        <v/>
      </c>
    </row>
    <row r="2919">
      <c r="A2919">
        <f>IFERROR(IF(AND(BASELINE!I2919&lt;&gt;"",INT(IF(CALC!$F$1&gt;0,IF(N(INDEX(BASELINE!$A2919:$ZZ2919,CALC!$F$1))&gt;0,N(INDEX(BASELINE!$A2919:$ZZ2919,CALC!$F$1)),N(BASELINE!E2919)),N(BASELINE!E2919)))=INT(SIMOPS!$D$3),IFERROR(UPPER(TRIM(BASELINE!D2919&amp;"")),"")&lt;&gt;"ENCERRADA"),1,0),0)</f>
        <v/>
      </c>
      <c r="B2919">
        <f>B2918+A2919</f>
        <v/>
      </c>
    </row>
    <row r="2920">
      <c r="A2920">
        <f>IFERROR(IF(AND(BASELINE!I2920&lt;&gt;"",INT(IF(CALC!$F$1&gt;0,IF(N(INDEX(BASELINE!$A2920:$ZZ2920,CALC!$F$1))&gt;0,N(INDEX(BASELINE!$A2920:$ZZ2920,CALC!$F$1)),N(BASELINE!E2920)),N(BASELINE!E2920)))=INT(SIMOPS!$D$3),IFERROR(UPPER(TRIM(BASELINE!D2920&amp;"")),"")&lt;&gt;"ENCERRADA"),1,0),0)</f>
        <v/>
      </c>
      <c r="B2920">
        <f>B2919+A2920</f>
        <v/>
      </c>
    </row>
    <row r="2921">
      <c r="A2921">
        <f>IFERROR(IF(AND(BASELINE!I2921&lt;&gt;"",INT(IF(CALC!$F$1&gt;0,IF(N(INDEX(BASELINE!$A2921:$ZZ2921,CALC!$F$1))&gt;0,N(INDEX(BASELINE!$A2921:$ZZ2921,CALC!$F$1)),N(BASELINE!E2921)),N(BASELINE!E2921)))=INT(SIMOPS!$D$3),IFERROR(UPPER(TRIM(BASELINE!D2921&amp;"")),"")&lt;&gt;"ENCERRADA"),1,0),0)</f>
        <v/>
      </c>
      <c r="B2921">
        <f>B2920+A2921</f>
        <v/>
      </c>
    </row>
    <row r="2922">
      <c r="A2922">
        <f>IFERROR(IF(AND(BASELINE!I2922&lt;&gt;"",INT(IF(CALC!$F$1&gt;0,IF(N(INDEX(BASELINE!$A2922:$ZZ2922,CALC!$F$1))&gt;0,N(INDEX(BASELINE!$A2922:$ZZ2922,CALC!$F$1)),N(BASELINE!E2922)),N(BASELINE!E2922)))=INT(SIMOPS!$D$3),IFERROR(UPPER(TRIM(BASELINE!D2922&amp;"")),"")&lt;&gt;"ENCERRADA"),1,0),0)</f>
        <v/>
      </c>
      <c r="B2922">
        <f>B2921+A2922</f>
        <v/>
      </c>
    </row>
    <row r="2923">
      <c r="A2923">
        <f>IFERROR(IF(AND(BASELINE!I2923&lt;&gt;"",INT(IF(CALC!$F$1&gt;0,IF(N(INDEX(BASELINE!$A2923:$ZZ2923,CALC!$F$1))&gt;0,N(INDEX(BASELINE!$A2923:$ZZ2923,CALC!$F$1)),N(BASELINE!E2923)),N(BASELINE!E2923)))=INT(SIMOPS!$D$3),IFERROR(UPPER(TRIM(BASELINE!D2923&amp;"")),"")&lt;&gt;"ENCERRADA"),1,0),0)</f>
        <v/>
      </c>
      <c r="B2923">
        <f>B2922+A2923</f>
        <v/>
      </c>
    </row>
    <row r="2924">
      <c r="A2924">
        <f>IFERROR(IF(AND(BASELINE!I2924&lt;&gt;"",INT(IF(CALC!$F$1&gt;0,IF(N(INDEX(BASELINE!$A2924:$ZZ2924,CALC!$F$1))&gt;0,N(INDEX(BASELINE!$A2924:$ZZ2924,CALC!$F$1)),N(BASELINE!E2924)),N(BASELINE!E2924)))=INT(SIMOPS!$D$3),IFERROR(UPPER(TRIM(BASELINE!D2924&amp;"")),"")&lt;&gt;"ENCERRADA"),1,0),0)</f>
        <v/>
      </c>
      <c r="B2924">
        <f>B2923+A2924</f>
        <v/>
      </c>
    </row>
    <row r="2925">
      <c r="A2925">
        <f>IFERROR(IF(AND(BASELINE!I2925&lt;&gt;"",INT(IF(CALC!$F$1&gt;0,IF(N(INDEX(BASELINE!$A2925:$ZZ2925,CALC!$F$1))&gt;0,N(INDEX(BASELINE!$A2925:$ZZ2925,CALC!$F$1)),N(BASELINE!E2925)),N(BASELINE!E2925)))=INT(SIMOPS!$D$3),IFERROR(UPPER(TRIM(BASELINE!D2925&amp;"")),"")&lt;&gt;"ENCERRADA"),1,0),0)</f>
        <v/>
      </c>
      <c r="B2925">
        <f>B2924+A2925</f>
        <v/>
      </c>
    </row>
    <row r="2926">
      <c r="A2926">
        <f>IFERROR(IF(AND(BASELINE!I2926&lt;&gt;"",INT(IF(CALC!$F$1&gt;0,IF(N(INDEX(BASELINE!$A2926:$ZZ2926,CALC!$F$1))&gt;0,N(INDEX(BASELINE!$A2926:$ZZ2926,CALC!$F$1)),N(BASELINE!E2926)),N(BASELINE!E2926)))=INT(SIMOPS!$D$3),IFERROR(UPPER(TRIM(BASELINE!D2926&amp;"")),"")&lt;&gt;"ENCERRADA"),1,0),0)</f>
        <v/>
      </c>
      <c r="B2926">
        <f>B2925+A2926</f>
        <v/>
      </c>
    </row>
    <row r="2927">
      <c r="A2927">
        <f>IFERROR(IF(AND(BASELINE!I2927&lt;&gt;"",INT(IF(CALC!$F$1&gt;0,IF(N(INDEX(BASELINE!$A2927:$ZZ2927,CALC!$F$1))&gt;0,N(INDEX(BASELINE!$A2927:$ZZ2927,CALC!$F$1)),N(BASELINE!E2927)),N(BASELINE!E2927)))=INT(SIMOPS!$D$3),IFERROR(UPPER(TRIM(BASELINE!D2927&amp;"")),"")&lt;&gt;"ENCERRADA"),1,0),0)</f>
        <v/>
      </c>
      <c r="B2927">
        <f>B2926+A2927</f>
        <v/>
      </c>
    </row>
    <row r="2928">
      <c r="A2928">
        <f>IFERROR(IF(AND(BASELINE!I2928&lt;&gt;"",INT(IF(CALC!$F$1&gt;0,IF(N(INDEX(BASELINE!$A2928:$ZZ2928,CALC!$F$1))&gt;0,N(INDEX(BASELINE!$A2928:$ZZ2928,CALC!$F$1)),N(BASELINE!E2928)),N(BASELINE!E2928)))=INT(SIMOPS!$D$3),IFERROR(UPPER(TRIM(BASELINE!D2928&amp;"")),"")&lt;&gt;"ENCERRADA"),1,0),0)</f>
        <v/>
      </c>
      <c r="B2928">
        <f>B2927+A2928</f>
        <v/>
      </c>
    </row>
    <row r="2929">
      <c r="A2929">
        <f>IFERROR(IF(AND(BASELINE!I2929&lt;&gt;"",INT(IF(CALC!$F$1&gt;0,IF(N(INDEX(BASELINE!$A2929:$ZZ2929,CALC!$F$1))&gt;0,N(INDEX(BASELINE!$A2929:$ZZ2929,CALC!$F$1)),N(BASELINE!E2929)),N(BASELINE!E2929)))=INT(SIMOPS!$D$3),IFERROR(UPPER(TRIM(BASELINE!D2929&amp;"")),"")&lt;&gt;"ENCERRADA"),1,0),0)</f>
        <v/>
      </c>
      <c r="B2929">
        <f>B2928+A2929</f>
        <v/>
      </c>
    </row>
    <row r="2930">
      <c r="A2930">
        <f>IFERROR(IF(AND(BASELINE!I2930&lt;&gt;"",INT(IF(CALC!$F$1&gt;0,IF(N(INDEX(BASELINE!$A2930:$ZZ2930,CALC!$F$1))&gt;0,N(INDEX(BASELINE!$A2930:$ZZ2930,CALC!$F$1)),N(BASELINE!E2930)),N(BASELINE!E2930)))=INT(SIMOPS!$D$3),IFERROR(UPPER(TRIM(BASELINE!D2930&amp;"")),"")&lt;&gt;"ENCERRADA"),1,0),0)</f>
        <v/>
      </c>
      <c r="B2930">
        <f>B2929+A2930</f>
        <v/>
      </c>
    </row>
    <row r="2931">
      <c r="A2931">
        <f>IFERROR(IF(AND(BASELINE!I2931&lt;&gt;"",INT(IF(CALC!$F$1&gt;0,IF(N(INDEX(BASELINE!$A2931:$ZZ2931,CALC!$F$1))&gt;0,N(INDEX(BASELINE!$A2931:$ZZ2931,CALC!$F$1)),N(BASELINE!E2931)),N(BASELINE!E2931)))=INT(SIMOPS!$D$3),IFERROR(UPPER(TRIM(BASELINE!D2931&amp;"")),"")&lt;&gt;"ENCERRADA"),1,0),0)</f>
        <v/>
      </c>
      <c r="B2931">
        <f>B2930+A2931</f>
        <v/>
      </c>
    </row>
    <row r="2932">
      <c r="A2932">
        <f>IFERROR(IF(AND(BASELINE!I2932&lt;&gt;"",INT(IF(CALC!$F$1&gt;0,IF(N(INDEX(BASELINE!$A2932:$ZZ2932,CALC!$F$1))&gt;0,N(INDEX(BASELINE!$A2932:$ZZ2932,CALC!$F$1)),N(BASELINE!E2932)),N(BASELINE!E2932)))=INT(SIMOPS!$D$3),IFERROR(UPPER(TRIM(BASELINE!D2932&amp;"")),"")&lt;&gt;"ENCERRADA"),1,0),0)</f>
        <v/>
      </c>
      <c r="B2932">
        <f>B2931+A2932</f>
        <v/>
      </c>
    </row>
    <row r="2933">
      <c r="A2933">
        <f>IFERROR(IF(AND(BASELINE!I2933&lt;&gt;"",INT(IF(CALC!$F$1&gt;0,IF(N(INDEX(BASELINE!$A2933:$ZZ2933,CALC!$F$1))&gt;0,N(INDEX(BASELINE!$A2933:$ZZ2933,CALC!$F$1)),N(BASELINE!E2933)),N(BASELINE!E2933)))=INT(SIMOPS!$D$3),IFERROR(UPPER(TRIM(BASELINE!D2933&amp;"")),"")&lt;&gt;"ENCERRADA"),1,0),0)</f>
        <v/>
      </c>
      <c r="B2933">
        <f>B2932+A2933</f>
        <v/>
      </c>
    </row>
    <row r="2934">
      <c r="A2934">
        <f>IFERROR(IF(AND(BASELINE!I2934&lt;&gt;"",INT(IF(CALC!$F$1&gt;0,IF(N(INDEX(BASELINE!$A2934:$ZZ2934,CALC!$F$1))&gt;0,N(INDEX(BASELINE!$A2934:$ZZ2934,CALC!$F$1)),N(BASELINE!E2934)),N(BASELINE!E2934)))=INT(SIMOPS!$D$3),IFERROR(UPPER(TRIM(BASELINE!D2934&amp;"")),"")&lt;&gt;"ENCERRADA"),1,0),0)</f>
        <v/>
      </c>
      <c r="B2934">
        <f>B2933+A2934</f>
        <v/>
      </c>
    </row>
    <row r="2935">
      <c r="A2935">
        <f>IFERROR(IF(AND(BASELINE!I2935&lt;&gt;"",INT(IF(CALC!$F$1&gt;0,IF(N(INDEX(BASELINE!$A2935:$ZZ2935,CALC!$F$1))&gt;0,N(INDEX(BASELINE!$A2935:$ZZ2935,CALC!$F$1)),N(BASELINE!E2935)),N(BASELINE!E2935)))=INT(SIMOPS!$D$3),IFERROR(UPPER(TRIM(BASELINE!D2935&amp;"")),"")&lt;&gt;"ENCERRADA"),1,0),0)</f>
        <v/>
      </c>
      <c r="B2935">
        <f>B2934+A2935</f>
        <v/>
      </c>
    </row>
    <row r="2936">
      <c r="A2936">
        <f>IFERROR(IF(AND(BASELINE!I2936&lt;&gt;"",INT(IF(CALC!$F$1&gt;0,IF(N(INDEX(BASELINE!$A2936:$ZZ2936,CALC!$F$1))&gt;0,N(INDEX(BASELINE!$A2936:$ZZ2936,CALC!$F$1)),N(BASELINE!E2936)),N(BASELINE!E2936)))=INT(SIMOPS!$D$3),IFERROR(UPPER(TRIM(BASELINE!D2936&amp;"")),"")&lt;&gt;"ENCERRADA"),1,0),0)</f>
        <v/>
      </c>
      <c r="B2936">
        <f>B2935+A2936</f>
        <v/>
      </c>
    </row>
    <row r="2937">
      <c r="A2937">
        <f>IFERROR(IF(AND(BASELINE!I2937&lt;&gt;"",INT(IF(CALC!$F$1&gt;0,IF(N(INDEX(BASELINE!$A2937:$ZZ2937,CALC!$F$1))&gt;0,N(INDEX(BASELINE!$A2937:$ZZ2937,CALC!$F$1)),N(BASELINE!E2937)),N(BASELINE!E2937)))=INT(SIMOPS!$D$3),IFERROR(UPPER(TRIM(BASELINE!D2937&amp;"")),"")&lt;&gt;"ENCERRADA"),1,0),0)</f>
        <v/>
      </c>
      <c r="B2937">
        <f>B2936+A2937</f>
        <v/>
      </c>
    </row>
    <row r="2938">
      <c r="A2938">
        <f>IFERROR(IF(AND(BASELINE!I2938&lt;&gt;"",INT(IF(CALC!$F$1&gt;0,IF(N(INDEX(BASELINE!$A2938:$ZZ2938,CALC!$F$1))&gt;0,N(INDEX(BASELINE!$A2938:$ZZ2938,CALC!$F$1)),N(BASELINE!E2938)),N(BASELINE!E2938)))=INT(SIMOPS!$D$3),IFERROR(UPPER(TRIM(BASELINE!D2938&amp;"")),"")&lt;&gt;"ENCERRADA"),1,0),0)</f>
        <v/>
      </c>
      <c r="B2938">
        <f>B2937+A2938</f>
        <v/>
      </c>
    </row>
    <row r="2939">
      <c r="A2939">
        <f>IFERROR(IF(AND(BASELINE!I2939&lt;&gt;"",INT(IF(CALC!$F$1&gt;0,IF(N(INDEX(BASELINE!$A2939:$ZZ2939,CALC!$F$1))&gt;0,N(INDEX(BASELINE!$A2939:$ZZ2939,CALC!$F$1)),N(BASELINE!E2939)),N(BASELINE!E2939)))=INT(SIMOPS!$D$3),IFERROR(UPPER(TRIM(BASELINE!D2939&amp;"")),"")&lt;&gt;"ENCERRADA"),1,0),0)</f>
        <v/>
      </c>
      <c r="B2939">
        <f>B2938+A2939</f>
        <v/>
      </c>
    </row>
    <row r="2940">
      <c r="A2940">
        <f>IFERROR(IF(AND(BASELINE!I2940&lt;&gt;"",INT(IF(CALC!$F$1&gt;0,IF(N(INDEX(BASELINE!$A2940:$ZZ2940,CALC!$F$1))&gt;0,N(INDEX(BASELINE!$A2940:$ZZ2940,CALC!$F$1)),N(BASELINE!E2940)),N(BASELINE!E2940)))=INT(SIMOPS!$D$3),IFERROR(UPPER(TRIM(BASELINE!D2940&amp;"")),"")&lt;&gt;"ENCERRADA"),1,0),0)</f>
        <v/>
      </c>
      <c r="B2940">
        <f>B2939+A2940</f>
        <v/>
      </c>
    </row>
    <row r="2941">
      <c r="A2941">
        <f>IFERROR(IF(AND(BASELINE!I2941&lt;&gt;"",INT(IF(CALC!$F$1&gt;0,IF(N(INDEX(BASELINE!$A2941:$ZZ2941,CALC!$F$1))&gt;0,N(INDEX(BASELINE!$A2941:$ZZ2941,CALC!$F$1)),N(BASELINE!E2941)),N(BASELINE!E2941)))=INT(SIMOPS!$D$3),IFERROR(UPPER(TRIM(BASELINE!D2941&amp;"")),"")&lt;&gt;"ENCERRADA"),1,0),0)</f>
        <v/>
      </c>
      <c r="B2941">
        <f>B2940+A2941</f>
        <v/>
      </c>
    </row>
    <row r="2942">
      <c r="A2942">
        <f>IFERROR(IF(AND(BASELINE!I2942&lt;&gt;"",INT(IF(CALC!$F$1&gt;0,IF(N(INDEX(BASELINE!$A2942:$ZZ2942,CALC!$F$1))&gt;0,N(INDEX(BASELINE!$A2942:$ZZ2942,CALC!$F$1)),N(BASELINE!E2942)),N(BASELINE!E2942)))=INT(SIMOPS!$D$3),IFERROR(UPPER(TRIM(BASELINE!D2942&amp;"")),"")&lt;&gt;"ENCERRADA"),1,0),0)</f>
        <v/>
      </c>
      <c r="B2942">
        <f>B2941+A2942</f>
        <v/>
      </c>
    </row>
    <row r="2943">
      <c r="A2943">
        <f>IFERROR(IF(AND(BASELINE!I2943&lt;&gt;"",INT(IF(CALC!$F$1&gt;0,IF(N(INDEX(BASELINE!$A2943:$ZZ2943,CALC!$F$1))&gt;0,N(INDEX(BASELINE!$A2943:$ZZ2943,CALC!$F$1)),N(BASELINE!E2943)),N(BASELINE!E2943)))=INT(SIMOPS!$D$3),IFERROR(UPPER(TRIM(BASELINE!D2943&amp;"")),"")&lt;&gt;"ENCERRADA"),1,0),0)</f>
        <v/>
      </c>
      <c r="B2943">
        <f>B2942+A2943</f>
        <v/>
      </c>
    </row>
    <row r="2944">
      <c r="A2944">
        <f>IFERROR(IF(AND(BASELINE!I2944&lt;&gt;"",INT(IF(CALC!$F$1&gt;0,IF(N(INDEX(BASELINE!$A2944:$ZZ2944,CALC!$F$1))&gt;0,N(INDEX(BASELINE!$A2944:$ZZ2944,CALC!$F$1)),N(BASELINE!E2944)),N(BASELINE!E2944)))=INT(SIMOPS!$D$3),IFERROR(UPPER(TRIM(BASELINE!D2944&amp;"")),"")&lt;&gt;"ENCERRADA"),1,0),0)</f>
        <v/>
      </c>
      <c r="B2944">
        <f>B2943+A2944</f>
        <v/>
      </c>
    </row>
    <row r="2945">
      <c r="A2945">
        <f>IFERROR(IF(AND(BASELINE!I2945&lt;&gt;"",INT(IF(CALC!$F$1&gt;0,IF(N(INDEX(BASELINE!$A2945:$ZZ2945,CALC!$F$1))&gt;0,N(INDEX(BASELINE!$A2945:$ZZ2945,CALC!$F$1)),N(BASELINE!E2945)),N(BASELINE!E2945)))=INT(SIMOPS!$D$3),IFERROR(UPPER(TRIM(BASELINE!D2945&amp;"")),"")&lt;&gt;"ENCERRADA"),1,0),0)</f>
        <v/>
      </c>
      <c r="B2945">
        <f>B2944+A2945</f>
        <v/>
      </c>
    </row>
    <row r="2946">
      <c r="A2946">
        <f>IFERROR(IF(AND(BASELINE!I2946&lt;&gt;"",INT(IF(CALC!$F$1&gt;0,IF(N(INDEX(BASELINE!$A2946:$ZZ2946,CALC!$F$1))&gt;0,N(INDEX(BASELINE!$A2946:$ZZ2946,CALC!$F$1)),N(BASELINE!E2946)),N(BASELINE!E2946)))=INT(SIMOPS!$D$3),IFERROR(UPPER(TRIM(BASELINE!D2946&amp;"")),"")&lt;&gt;"ENCERRADA"),1,0),0)</f>
        <v/>
      </c>
      <c r="B2946">
        <f>B2945+A2946</f>
        <v/>
      </c>
    </row>
    <row r="2947">
      <c r="A2947">
        <f>IFERROR(IF(AND(BASELINE!I2947&lt;&gt;"",INT(IF(CALC!$F$1&gt;0,IF(N(INDEX(BASELINE!$A2947:$ZZ2947,CALC!$F$1))&gt;0,N(INDEX(BASELINE!$A2947:$ZZ2947,CALC!$F$1)),N(BASELINE!E2947)),N(BASELINE!E2947)))=INT(SIMOPS!$D$3),IFERROR(UPPER(TRIM(BASELINE!D2947&amp;"")),"")&lt;&gt;"ENCERRADA"),1,0),0)</f>
        <v/>
      </c>
      <c r="B2947">
        <f>B2946+A2947</f>
        <v/>
      </c>
    </row>
    <row r="2948">
      <c r="A2948">
        <f>IFERROR(IF(AND(BASELINE!I2948&lt;&gt;"",INT(IF(CALC!$F$1&gt;0,IF(N(INDEX(BASELINE!$A2948:$ZZ2948,CALC!$F$1))&gt;0,N(INDEX(BASELINE!$A2948:$ZZ2948,CALC!$F$1)),N(BASELINE!E2948)),N(BASELINE!E2948)))=INT(SIMOPS!$D$3),IFERROR(UPPER(TRIM(BASELINE!D2948&amp;"")),"")&lt;&gt;"ENCERRADA"),1,0),0)</f>
        <v/>
      </c>
      <c r="B2948">
        <f>B2947+A2948</f>
        <v/>
      </c>
    </row>
    <row r="2949">
      <c r="A2949">
        <f>IFERROR(IF(AND(BASELINE!I2949&lt;&gt;"",INT(IF(CALC!$F$1&gt;0,IF(N(INDEX(BASELINE!$A2949:$ZZ2949,CALC!$F$1))&gt;0,N(INDEX(BASELINE!$A2949:$ZZ2949,CALC!$F$1)),N(BASELINE!E2949)),N(BASELINE!E2949)))=INT(SIMOPS!$D$3),IFERROR(UPPER(TRIM(BASELINE!D2949&amp;"")),"")&lt;&gt;"ENCERRADA"),1,0),0)</f>
        <v/>
      </c>
      <c r="B2949">
        <f>B2948+A2949</f>
        <v/>
      </c>
    </row>
    <row r="2950">
      <c r="A2950">
        <f>IFERROR(IF(AND(BASELINE!I2950&lt;&gt;"",INT(IF(CALC!$F$1&gt;0,IF(N(INDEX(BASELINE!$A2950:$ZZ2950,CALC!$F$1))&gt;0,N(INDEX(BASELINE!$A2950:$ZZ2950,CALC!$F$1)),N(BASELINE!E2950)),N(BASELINE!E2950)))=INT(SIMOPS!$D$3),IFERROR(UPPER(TRIM(BASELINE!D2950&amp;"")),"")&lt;&gt;"ENCERRADA"),1,0),0)</f>
        <v/>
      </c>
      <c r="B2950">
        <f>B2949+A2950</f>
        <v/>
      </c>
    </row>
    <row r="2951">
      <c r="A2951">
        <f>IFERROR(IF(AND(BASELINE!I2951&lt;&gt;"",INT(IF(CALC!$F$1&gt;0,IF(N(INDEX(BASELINE!$A2951:$ZZ2951,CALC!$F$1))&gt;0,N(INDEX(BASELINE!$A2951:$ZZ2951,CALC!$F$1)),N(BASELINE!E2951)),N(BASELINE!E2951)))=INT(SIMOPS!$D$3),IFERROR(UPPER(TRIM(BASELINE!D2951&amp;"")),"")&lt;&gt;"ENCERRADA"),1,0),0)</f>
        <v/>
      </c>
      <c r="B2951">
        <f>B2950+A2951</f>
        <v/>
      </c>
    </row>
    <row r="2952">
      <c r="A2952">
        <f>IFERROR(IF(AND(BASELINE!I2952&lt;&gt;"",INT(IF(CALC!$F$1&gt;0,IF(N(INDEX(BASELINE!$A2952:$ZZ2952,CALC!$F$1))&gt;0,N(INDEX(BASELINE!$A2952:$ZZ2952,CALC!$F$1)),N(BASELINE!E2952)),N(BASELINE!E2952)))=INT(SIMOPS!$D$3),IFERROR(UPPER(TRIM(BASELINE!D2952&amp;"")),"")&lt;&gt;"ENCERRADA"),1,0),0)</f>
        <v/>
      </c>
      <c r="B2952">
        <f>B2951+A2952</f>
        <v/>
      </c>
    </row>
    <row r="2953">
      <c r="A2953">
        <f>IFERROR(IF(AND(BASELINE!I2953&lt;&gt;"",INT(IF(CALC!$F$1&gt;0,IF(N(INDEX(BASELINE!$A2953:$ZZ2953,CALC!$F$1))&gt;0,N(INDEX(BASELINE!$A2953:$ZZ2953,CALC!$F$1)),N(BASELINE!E2953)),N(BASELINE!E2953)))=INT(SIMOPS!$D$3),IFERROR(UPPER(TRIM(BASELINE!D2953&amp;"")),"")&lt;&gt;"ENCERRADA"),1,0),0)</f>
        <v/>
      </c>
      <c r="B2953">
        <f>B2952+A2953</f>
        <v/>
      </c>
    </row>
    <row r="2954">
      <c r="A2954">
        <f>IFERROR(IF(AND(BASELINE!I2954&lt;&gt;"",INT(IF(CALC!$F$1&gt;0,IF(N(INDEX(BASELINE!$A2954:$ZZ2954,CALC!$F$1))&gt;0,N(INDEX(BASELINE!$A2954:$ZZ2954,CALC!$F$1)),N(BASELINE!E2954)),N(BASELINE!E2954)))=INT(SIMOPS!$D$3),IFERROR(UPPER(TRIM(BASELINE!D2954&amp;"")),"")&lt;&gt;"ENCERRADA"),1,0),0)</f>
        <v/>
      </c>
      <c r="B2954">
        <f>B2953+A2954</f>
        <v/>
      </c>
    </row>
    <row r="2955">
      <c r="A2955">
        <f>IFERROR(IF(AND(BASELINE!I2955&lt;&gt;"",INT(IF(CALC!$F$1&gt;0,IF(N(INDEX(BASELINE!$A2955:$ZZ2955,CALC!$F$1))&gt;0,N(INDEX(BASELINE!$A2955:$ZZ2955,CALC!$F$1)),N(BASELINE!E2955)),N(BASELINE!E2955)))=INT(SIMOPS!$D$3),IFERROR(UPPER(TRIM(BASELINE!D2955&amp;"")),"")&lt;&gt;"ENCERRADA"),1,0),0)</f>
        <v/>
      </c>
      <c r="B2955">
        <f>B2954+A2955</f>
        <v/>
      </c>
    </row>
    <row r="2956">
      <c r="A2956">
        <f>IFERROR(IF(AND(BASELINE!I2956&lt;&gt;"",INT(IF(CALC!$F$1&gt;0,IF(N(INDEX(BASELINE!$A2956:$ZZ2956,CALC!$F$1))&gt;0,N(INDEX(BASELINE!$A2956:$ZZ2956,CALC!$F$1)),N(BASELINE!E2956)),N(BASELINE!E2956)))=INT(SIMOPS!$D$3),IFERROR(UPPER(TRIM(BASELINE!D2956&amp;"")),"")&lt;&gt;"ENCERRADA"),1,0),0)</f>
        <v/>
      </c>
      <c r="B2956">
        <f>B2955+A2956</f>
        <v/>
      </c>
    </row>
    <row r="2957">
      <c r="A2957">
        <f>IFERROR(IF(AND(BASELINE!I2957&lt;&gt;"",INT(IF(CALC!$F$1&gt;0,IF(N(INDEX(BASELINE!$A2957:$ZZ2957,CALC!$F$1))&gt;0,N(INDEX(BASELINE!$A2957:$ZZ2957,CALC!$F$1)),N(BASELINE!E2957)),N(BASELINE!E2957)))=INT(SIMOPS!$D$3),IFERROR(UPPER(TRIM(BASELINE!D2957&amp;"")),"")&lt;&gt;"ENCERRADA"),1,0),0)</f>
        <v/>
      </c>
      <c r="B2957">
        <f>B2956+A2957</f>
        <v/>
      </c>
    </row>
    <row r="2958">
      <c r="A2958">
        <f>IFERROR(IF(AND(BASELINE!I2958&lt;&gt;"",INT(IF(CALC!$F$1&gt;0,IF(N(INDEX(BASELINE!$A2958:$ZZ2958,CALC!$F$1))&gt;0,N(INDEX(BASELINE!$A2958:$ZZ2958,CALC!$F$1)),N(BASELINE!E2958)),N(BASELINE!E2958)))=INT(SIMOPS!$D$3),IFERROR(UPPER(TRIM(BASELINE!D2958&amp;"")),"")&lt;&gt;"ENCERRADA"),1,0),0)</f>
        <v/>
      </c>
      <c r="B2958">
        <f>B2957+A2958</f>
        <v/>
      </c>
    </row>
    <row r="2959">
      <c r="A2959">
        <f>IFERROR(IF(AND(BASELINE!I2959&lt;&gt;"",INT(IF(CALC!$F$1&gt;0,IF(N(INDEX(BASELINE!$A2959:$ZZ2959,CALC!$F$1))&gt;0,N(INDEX(BASELINE!$A2959:$ZZ2959,CALC!$F$1)),N(BASELINE!E2959)),N(BASELINE!E2959)))=INT(SIMOPS!$D$3),IFERROR(UPPER(TRIM(BASELINE!D2959&amp;"")),"")&lt;&gt;"ENCERRADA"),1,0),0)</f>
        <v/>
      </c>
      <c r="B2959">
        <f>B2958+A2959</f>
        <v/>
      </c>
    </row>
    <row r="2960">
      <c r="A2960">
        <f>IFERROR(IF(AND(BASELINE!I2960&lt;&gt;"",INT(IF(CALC!$F$1&gt;0,IF(N(INDEX(BASELINE!$A2960:$ZZ2960,CALC!$F$1))&gt;0,N(INDEX(BASELINE!$A2960:$ZZ2960,CALC!$F$1)),N(BASELINE!E2960)),N(BASELINE!E2960)))=INT(SIMOPS!$D$3),IFERROR(UPPER(TRIM(BASELINE!D2960&amp;"")),"")&lt;&gt;"ENCERRADA"),1,0),0)</f>
        <v/>
      </c>
      <c r="B2960">
        <f>B2959+A2960</f>
        <v/>
      </c>
    </row>
    <row r="2961">
      <c r="A2961">
        <f>IFERROR(IF(AND(BASELINE!I2961&lt;&gt;"",INT(IF(CALC!$F$1&gt;0,IF(N(INDEX(BASELINE!$A2961:$ZZ2961,CALC!$F$1))&gt;0,N(INDEX(BASELINE!$A2961:$ZZ2961,CALC!$F$1)),N(BASELINE!E2961)),N(BASELINE!E2961)))=INT(SIMOPS!$D$3),IFERROR(UPPER(TRIM(BASELINE!D2961&amp;"")),"")&lt;&gt;"ENCERRADA"),1,0),0)</f>
        <v/>
      </c>
      <c r="B2961">
        <f>B2960+A2961</f>
        <v/>
      </c>
    </row>
    <row r="2962">
      <c r="A2962">
        <f>IFERROR(IF(AND(BASELINE!I2962&lt;&gt;"",INT(IF(CALC!$F$1&gt;0,IF(N(INDEX(BASELINE!$A2962:$ZZ2962,CALC!$F$1))&gt;0,N(INDEX(BASELINE!$A2962:$ZZ2962,CALC!$F$1)),N(BASELINE!E2962)),N(BASELINE!E2962)))=INT(SIMOPS!$D$3),IFERROR(UPPER(TRIM(BASELINE!D2962&amp;"")),"")&lt;&gt;"ENCERRADA"),1,0),0)</f>
        <v/>
      </c>
      <c r="B2962">
        <f>B2961+A2962</f>
        <v/>
      </c>
    </row>
    <row r="2963">
      <c r="A2963">
        <f>IFERROR(IF(AND(BASELINE!I2963&lt;&gt;"",INT(IF(CALC!$F$1&gt;0,IF(N(INDEX(BASELINE!$A2963:$ZZ2963,CALC!$F$1))&gt;0,N(INDEX(BASELINE!$A2963:$ZZ2963,CALC!$F$1)),N(BASELINE!E2963)),N(BASELINE!E2963)))=INT(SIMOPS!$D$3),IFERROR(UPPER(TRIM(BASELINE!D2963&amp;"")),"")&lt;&gt;"ENCERRADA"),1,0),0)</f>
        <v/>
      </c>
      <c r="B2963">
        <f>B2962+A2963</f>
        <v/>
      </c>
    </row>
    <row r="2964">
      <c r="A2964">
        <f>IFERROR(IF(AND(BASELINE!I2964&lt;&gt;"",INT(IF(CALC!$F$1&gt;0,IF(N(INDEX(BASELINE!$A2964:$ZZ2964,CALC!$F$1))&gt;0,N(INDEX(BASELINE!$A2964:$ZZ2964,CALC!$F$1)),N(BASELINE!E2964)),N(BASELINE!E2964)))=INT(SIMOPS!$D$3),IFERROR(UPPER(TRIM(BASELINE!D2964&amp;"")),"")&lt;&gt;"ENCERRADA"),1,0),0)</f>
        <v/>
      </c>
      <c r="B2964">
        <f>B2963+A2964</f>
        <v/>
      </c>
    </row>
    <row r="2965">
      <c r="A2965">
        <f>IFERROR(IF(AND(BASELINE!I2965&lt;&gt;"",INT(IF(CALC!$F$1&gt;0,IF(N(INDEX(BASELINE!$A2965:$ZZ2965,CALC!$F$1))&gt;0,N(INDEX(BASELINE!$A2965:$ZZ2965,CALC!$F$1)),N(BASELINE!E2965)),N(BASELINE!E2965)))=INT(SIMOPS!$D$3),IFERROR(UPPER(TRIM(BASELINE!D2965&amp;"")),"")&lt;&gt;"ENCERRADA"),1,0),0)</f>
        <v/>
      </c>
      <c r="B2965">
        <f>B2964+A2965</f>
        <v/>
      </c>
    </row>
    <row r="2966">
      <c r="A2966">
        <f>IFERROR(IF(AND(BASELINE!I2966&lt;&gt;"",INT(IF(CALC!$F$1&gt;0,IF(N(INDEX(BASELINE!$A2966:$ZZ2966,CALC!$F$1))&gt;0,N(INDEX(BASELINE!$A2966:$ZZ2966,CALC!$F$1)),N(BASELINE!E2966)),N(BASELINE!E2966)))=INT(SIMOPS!$D$3),IFERROR(UPPER(TRIM(BASELINE!D2966&amp;"")),"")&lt;&gt;"ENCERRADA"),1,0),0)</f>
        <v/>
      </c>
      <c r="B2966">
        <f>B2965+A2966</f>
        <v/>
      </c>
    </row>
    <row r="2967">
      <c r="A2967">
        <f>IFERROR(IF(AND(BASELINE!I2967&lt;&gt;"",INT(IF(CALC!$F$1&gt;0,IF(N(INDEX(BASELINE!$A2967:$ZZ2967,CALC!$F$1))&gt;0,N(INDEX(BASELINE!$A2967:$ZZ2967,CALC!$F$1)),N(BASELINE!E2967)),N(BASELINE!E2967)))=INT(SIMOPS!$D$3),IFERROR(UPPER(TRIM(BASELINE!D2967&amp;"")),"")&lt;&gt;"ENCERRADA"),1,0),0)</f>
        <v/>
      </c>
      <c r="B2967">
        <f>B2966+A2967</f>
        <v/>
      </c>
    </row>
    <row r="2968">
      <c r="A2968">
        <f>IFERROR(IF(AND(BASELINE!I2968&lt;&gt;"",INT(IF(CALC!$F$1&gt;0,IF(N(INDEX(BASELINE!$A2968:$ZZ2968,CALC!$F$1))&gt;0,N(INDEX(BASELINE!$A2968:$ZZ2968,CALC!$F$1)),N(BASELINE!E2968)),N(BASELINE!E2968)))=INT(SIMOPS!$D$3),IFERROR(UPPER(TRIM(BASELINE!D2968&amp;"")),"")&lt;&gt;"ENCERRADA"),1,0),0)</f>
        <v/>
      </c>
      <c r="B2968">
        <f>B2967+A2968</f>
        <v/>
      </c>
    </row>
    <row r="2969">
      <c r="A2969">
        <f>IFERROR(IF(AND(BASELINE!I2969&lt;&gt;"",INT(IF(CALC!$F$1&gt;0,IF(N(INDEX(BASELINE!$A2969:$ZZ2969,CALC!$F$1))&gt;0,N(INDEX(BASELINE!$A2969:$ZZ2969,CALC!$F$1)),N(BASELINE!E2969)),N(BASELINE!E2969)))=INT(SIMOPS!$D$3),IFERROR(UPPER(TRIM(BASELINE!D2969&amp;"")),"")&lt;&gt;"ENCERRADA"),1,0),0)</f>
        <v/>
      </c>
      <c r="B2969">
        <f>B2968+A2969</f>
        <v/>
      </c>
    </row>
    <row r="2970">
      <c r="A2970">
        <f>IFERROR(IF(AND(BASELINE!I2970&lt;&gt;"",INT(IF(CALC!$F$1&gt;0,IF(N(INDEX(BASELINE!$A2970:$ZZ2970,CALC!$F$1))&gt;0,N(INDEX(BASELINE!$A2970:$ZZ2970,CALC!$F$1)),N(BASELINE!E2970)),N(BASELINE!E2970)))=INT(SIMOPS!$D$3),IFERROR(UPPER(TRIM(BASELINE!D2970&amp;"")),"")&lt;&gt;"ENCERRADA"),1,0),0)</f>
        <v/>
      </c>
      <c r="B2970">
        <f>B2969+A2970</f>
        <v/>
      </c>
    </row>
    <row r="2971">
      <c r="A2971">
        <f>IFERROR(IF(AND(BASELINE!I2971&lt;&gt;"",INT(IF(CALC!$F$1&gt;0,IF(N(INDEX(BASELINE!$A2971:$ZZ2971,CALC!$F$1))&gt;0,N(INDEX(BASELINE!$A2971:$ZZ2971,CALC!$F$1)),N(BASELINE!E2971)),N(BASELINE!E2971)))=INT(SIMOPS!$D$3),IFERROR(UPPER(TRIM(BASELINE!D2971&amp;"")),"")&lt;&gt;"ENCERRADA"),1,0),0)</f>
        <v/>
      </c>
      <c r="B2971">
        <f>B2970+A2971</f>
        <v/>
      </c>
    </row>
    <row r="2972">
      <c r="A2972">
        <f>IFERROR(IF(AND(BASELINE!I2972&lt;&gt;"",INT(IF(CALC!$F$1&gt;0,IF(N(INDEX(BASELINE!$A2972:$ZZ2972,CALC!$F$1))&gt;0,N(INDEX(BASELINE!$A2972:$ZZ2972,CALC!$F$1)),N(BASELINE!E2972)),N(BASELINE!E2972)))=INT(SIMOPS!$D$3),IFERROR(UPPER(TRIM(BASELINE!D2972&amp;"")),"")&lt;&gt;"ENCERRADA"),1,0),0)</f>
        <v/>
      </c>
      <c r="B2972">
        <f>B2971+A2972</f>
        <v/>
      </c>
    </row>
    <row r="2973">
      <c r="A2973">
        <f>IFERROR(IF(AND(BASELINE!I2973&lt;&gt;"",INT(IF(CALC!$F$1&gt;0,IF(N(INDEX(BASELINE!$A2973:$ZZ2973,CALC!$F$1))&gt;0,N(INDEX(BASELINE!$A2973:$ZZ2973,CALC!$F$1)),N(BASELINE!E2973)),N(BASELINE!E2973)))=INT(SIMOPS!$D$3),IFERROR(UPPER(TRIM(BASELINE!D2973&amp;"")),"")&lt;&gt;"ENCERRADA"),1,0),0)</f>
        <v/>
      </c>
      <c r="B2973">
        <f>B2972+A2973</f>
        <v/>
      </c>
    </row>
    <row r="2974">
      <c r="A2974">
        <f>IFERROR(IF(AND(BASELINE!I2974&lt;&gt;"",INT(IF(CALC!$F$1&gt;0,IF(N(INDEX(BASELINE!$A2974:$ZZ2974,CALC!$F$1))&gt;0,N(INDEX(BASELINE!$A2974:$ZZ2974,CALC!$F$1)),N(BASELINE!E2974)),N(BASELINE!E2974)))=INT(SIMOPS!$D$3),IFERROR(UPPER(TRIM(BASELINE!D2974&amp;"")),"")&lt;&gt;"ENCERRADA"),1,0),0)</f>
        <v/>
      </c>
      <c r="B2974">
        <f>B2973+A2974</f>
        <v/>
      </c>
    </row>
    <row r="2975">
      <c r="A2975">
        <f>IFERROR(IF(AND(BASELINE!I2975&lt;&gt;"",INT(IF(CALC!$F$1&gt;0,IF(N(INDEX(BASELINE!$A2975:$ZZ2975,CALC!$F$1))&gt;0,N(INDEX(BASELINE!$A2975:$ZZ2975,CALC!$F$1)),N(BASELINE!E2975)),N(BASELINE!E2975)))=INT(SIMOPS!$D$3),IFERROR(UPPER(TRIM(BASELINE!D2975&amp;"")),"")&lt;&gt;"ENCERRADA"),1,0),0)</f>
        <v/>
      </c>
      <c r="B2975">
        <f>B2974+A2975</f>
        <v/>
      </c>
    </row>
    <row r="2976">
      <c r="A2976">
        <f>IFERROR(IF(AND(BASELINE!I2976&lt;&gt;"",INT(IF(CALC!$F$1&gt;0,IF(N(INDEX(BASELINE!$A2976:$ZZ2976,CALC!$F$1))&gt;0,N(INDEX(BASELINE!$A2976:$ZZ2976,CALC!$F$1)),N(BASELINE!E2976)),N(BASELINE!E2976)))=INT(SIMOPS!$D$3),IFERROR(UPPER(TRIM(BASELINE!D2976&amp;"")),"")&lt;&gt;"ENCERRADA"),1,0),0)</f>
        <v/>
      </c>
      <c r="B2976">
        <f>B2975+A2976</f>
        <v/>
      </c>
    </row>
    <row r="2977">
      <c r="A2977">
        <f>IFERROR(IF(AND(BASELINE!I2977&lt;&gt;"",INT(IF(CALC!$F$1&gt;0,IF(N(INDEX(BASELINE!$A2977:$ZZ2977,CALC!$F$1))&gt;0,N(INDEX(BASELINE!$A2977:$ZZ2977,CALC!$F$1)),N(BASELINE!E2977)),N(BASELINE!E2977)))=INT(SIMOPS!$D$3),IFERROR(UPPER(TRIM(BASELINE!D2977&amp;"")),"")&lt;&gt;"ENCERRADA"),1,0),0)</f>
        <v/>
      </c>
      <c r="B2977">
        <f>B2976+A2977</f>
        <v/>
      </c>
    </row>
    <row r="2978">
      <c r="A2978">
        <f>IFERROR(IF(AND(BASELINE!I2978&lt;&gt;"",INT(IF(CALC!$F$1&gt;0,IF(N(INDEX(BASELINE!$A2978:$ZZ2978,CALC!$F$1))&gt;0,N(INDEX(BASELINE!$A2978:$ZZ2978,CALC!$F$1)),N(BASELINE!E2978)),N(BASELINE!E2978)))=INT(SIMOPS!$D$3),IFERROR(UPPER(TRIM(BASELINE!D2978&amp;"")),"")&lt;&gt;"ENCERRADA"),1,0),0)</f>
        <v/>
      </c>
      <c r="B2978">
        <f>B2977+A2978</f>
        <v/>
      </c>
    </row>
    <row r="2979">
      <c r="A2979">
        <f>IFERROR(IF(AND(BASELINE!I2979&lt;&gt;"",INT(IF(CALC!$F$1&gt;0,IF(N(INDEX(BASELINE!$A2979:$ZZ2979,CALC!$F$1))&gt;0,N(INDEX(BASELINE!$A2979:$ZZ2979,CALC!$F$1)),N(BASELINE!E2979)),N(BASELINE!E2979)))=INT(SIMOPS!$D$3),IFERROR(UPPER(TRIM(BASELINE!D2979&amp;"")),"")&lt;&gt;"ENCERRADA"),1,0),0)</f>
        <v/>
      </c>
      <c r="B2979">
        <f>B2978+A2979</f>
        <v/>
      </c>
    </row>
    <row r="2980">
      <c r="A2980">
        <f>IFERROR(IF(AND(BASELINE!I2980&lt;&gt;"",INT(IF(CALC!$F$1&gt;0,IF(N(INDEX(BASELINE!$A2980:$ZZ2980,CALC!$F$1))&gt;0,N(INDEX(BASELINE!$A2980:$ZZ2980,CALC!$F$1)),N(BASELINE!E2980)),N(BASELINE!E2980)))=INT(SIMOPS!$D$3),IFERROR(UPPER(TRIM(BASELINE!D2980&amp;"")),"")&lt;&gt;"ENCERRADA"),1,0),0)</f>
        <v/>
      </c>
      <c r="B2980">
        <f>B2979+A2980</f>
        <v/>
      </c>
    </row>
    <row r="2981">
      <c r="A2981">
        <f>IFERROR(IF(AND(BASELINE!I2981&lt;&gt;"",INT(IF(CALC!$F$1&gt;0,IF(N(INDEX(BASELINE!$A2981:$ZZ2981,CALC!$F$1))&gt;0,N(INDEX(BASELINE!$A2981:$ZZ2981,CALC!$F$1)),N(BASELINE!E2981)),N(BASELINE!E2981)))=INT(SIMOPS!$D$3),IFERROR(UPPER(TRIM(BASELINE!D2981&amp;"")),"")&lt;&gt;"ENCERRADA"),1,0),0)</f>
        <v/>
      </c>
      <c r="B2981">
        <f>B2980+A2981</f>
        <v/>
      </c>
    </row>
    <row r="2982">
      <c r="A2982">
        <f>IFERROR(IF(AND(BASELINE!I2982&lt;&gt;"",INT(IF(CALC!$F$1&gt;0,IF(N(INDEX(BASELINE!$A2982:$ZZ2982,CALC!$F$1))&gt;0,N(INDEX(BASELINE!$A2982:$ZZ2982,CALC!$F$1)),N(BASELINE!E2982)),N(BASELINE!E2982)))=INT(SIMOPS!$D$3),IFERROR(UPPER(TRIM(BASELINE!D2982&amp;"")),"")&lt;&gt;"ENCERRADA"),1,0),0)</f>
        <v/>
      </c>
      <c r="B2982">
        <f>B2981+A2982</f>
        <v/>
      </c>
    </row>
    <row r="2983">
      <c r="A2983">
        <f>IFERROR(IF(AND(BASELINE!I2983&lt;&gt;"",INT(IF(CALC!$F$1&gt;0,IF(N(INDEX(BASELINE!$A2983:$ZZ2983,CALC!$F$1))&gt;0,N(INDEX(BASELINE!$A2983:$ZZ2983,CALC!$F$1)),N(BASELINE!E2983)),N(BASELINE!E2983)))=INT(SIMOPS!$D$3),IFERROR(UPPER(TRIM(BASELINE!D2983&amp;"")),"")&lt;&gt;"ENCERRADA"),1,0),0)</f>
        <v/>
      </c>
      <c r="B2983">
        <f>B2982+A2983</f>
        <v/>
      </c>
    </row>
    <row r="2984">
      <c r="A2984">
        <f>IFERROR(IF(AND(BASELINE!I2984&lt;&gt;"",INT(IF(CALC!$F$1&gt;0,IF(N(INDEX(BASELINE!$A2984:$ZZ2984,CALC!$F$1))&gt;0,N(INDEX(BASELINE!$A2984:$ZZ2984,CALC!$F$1)),N(BASELINE!E2984)),N(BASELINE!E2984)))=INT(SIMOPS!$D$3),IFERROR(UPPER(TRIM(BASELINE!D2984&amp;"")),"")&lt;&gt;"ENCERRADA"),1,0),0)</f>
        <v/>
      </c>
      <c r="B2984">
        <f>B2983+A2984</f>
        <v/>
      </c>
    </row>
    <row r="2985">
      <c r="A2985">
        <f>IFERROR(IF(AND(BASELINE!I2985&lt;&gt;"",INT(IF(CALC!$F$1&gt;0,IF(N(INDEX(BASELINE!$A2985:$ZZ2985,CALC!$F$1))&gt;0,N(INDEX(BASELINE!$A2985:$ZZ2985,CALC!$F$1)),N(BASELINE!E2985)),N(BASELINE!E2985)))=INT(SIMOPS!$D$3),IFERROR(UPPER(TRIM(BASELINE!D2985&amp;"")),"")&lt;&gt;"ENCERRADA"),1,0),0)</f>
        <v/>
      </c>
      <c r="B2985">
        <f>B2984+A2985</f>
        <v/>
      </c>
    </row>
    <row r="2986">
      <c r="A2986">
        <f>IFERROR(IF(AND(BASELINE!I2986&lt;&gt;"",INT(IF(CALC!$F$1&gt;0,IF(N(INDEX(BASELINE!$A2986:$ZZ2986,CALC!$F$1))&gt;0,N(INDEX(BASELINE!$A2986:$ZZ2986,CALC!$F$1)),N(BASELINE!E2986)),N(BASELINE!E2986)))=INT(SIMOPS!$D$3),IFERROR(UPPER(TRIM(BASELINE!D2986&amp;"")),"")&lt;&gt;"ENCERRADA"),1,0),0)</f>
        <v/>
      </c>
      <c r="B2986">
        <f>B2985+A2986</f>
        <v/>
      </c>
    </row>
    <row r="2987">
      <c r="A2987">
        <f>IFERROR(IF(AND(BASELINE!I2987&lt;&gt;"",INT(IF(CALC!$F$1&gt;0,IF(N(INDEX(BASELINE!$A2987:$ZZ2987,CALC!$F$1))&gt;0,N(INDEX(BASELINE!$A2987:$ZZ2987,CALC!$F$1)),N(BASELINE!E2987)),N(BASELINE!E2987)))=INT(SIMOPS!$D$3),IFERROR(UPPER(TRIM(BASELINE!D2987&amp;"")),"")&lt;&gt;"ENCERRADA"),1,0),0)</f>
        <v/>
      </c>
      <c r="B2987">
        <f>B2986+A2987</f>
        <v/>
      </c>
    </row>
    <row r="2988">
      <c r="A2988">
        <f>IFERROR(IF(AND(BASELINE!I2988&lt;&gt;"",INT(IF(CALC!$F$1&gt;0,IF(N(INDEX(BASELINE!$A2988:$ZZ2988,CALC!$F$1))&gt;0,N(INDEX(BASELINE!$A2988:$ZZ2988,CALC!$F$1)),N(BASELINE!E2988)),N(BASELINE!E2988)))=INT(SIMOPS!$D$3),IFERROR(UPPER(TRIM(BASELINE!D2988&amp;"")),"")&lt;&gt;"ENCERRADA"),1,0),0)</f>
        <v/>
      </c>
      <c r="B2988">
        <f>B2987+A2988</f>
        <v/>
      </c>
    </row>
    <row r="2989">
      <c r="A2989">
        <f>IFERROR(IF(AND(BASELINE!I2989&lt;&gt;"",INT(IF(CALC!$F$1&gt;0,IF(N(INDEX(BASELINE!$A2989:$ZZ2989,CALC!$F$1))&gt;0,N(INDEX(BASELINE!$A2989:$ZZ2989,CALC!$F$1)),N(BASELINE!E2989)),N(BASELINE!E2989)))=INT(SIMOPS!$D$3),IFERROR(UPPER(TRIM(BASELINE!D2989&amp;"")),"")&lt;&gt;"ENCERRADA"),1,0),0)</f>
        <v/>
      </c>
      <c r="B2989">
        <f>B2988+A2989</f>
        <v/>
      </c>
    </row>
    <row r="2990">
      <c r="A2990">
        <f>IFERROR(IF(AND(BASELINE!I2990&lt;&gt;"",INT(IF(CALC!$F$1&gt;0,IF(N(INDEX(BASELINE!$A2990:$ZZ2990,CALC!$F$1))&gt;0,N(INDEX(BASELINE!$A2990:$ZZ2990,CALC!$F$1)),N(BASELINE!E2990)),N(BASELINE!E2990)))=INT(SIMOPS!$D$3),IFERROR(UPPER(TRIM(BASELINE!D2990&amp;"")),"")&lt;&gt;"ENCERRADA"),1,0),0)</f>
        <v/>
      </c>
      <c r="B2990">
        <f>B2989+A2990</f>
        <v/>
      </c>
    </row>
    <row r="2991">
      <c r="A2991">
        <f>IFERROR(IF(AND(BASELINE!I2991&lt;&gt;"",INT(IF(CALC!$F$1&gt;0,IF(N(INDEX(BASELINE!$A2991:$ZZ2991,CALC!$F$1))&gt;0,N(INDEX(BASELINE!$A2991:$ZZ2991,CALC!$F$1)),N(BASELINE!E2991)),N(BASELINE!E2991)))=INT(SIMOPS!$D$3),IFERROR(UPPER(TRIM(BASELINE!D2991&amp;"")),"")&lt;&gt;"ENCERRADA"),1,0),0)</f>
        <v/>
      </c>
      <c r="B2991">
        <f>B2990+A2991</f>
        <v/>
      </c>
    </row>
    <row r="2992">
      <c r="A2992">
        <f>IFERROR(IF(AND(BASELINE!I2992&lt;&gt;"",INT(IF(CALC!$F$1&gt;0,IF(N(INDEX(BASELINE!$A2992:$ZZ2992,CALC!$F$1))&gt;0,N(INDEX(BASELINE!$A2992:$ZZ2992,CALC!$F$1)),N(BASELINE!E2992)),N(BASELINE!E2992)))=INT(SIMOPS!$D$3),IFERROR(UPPER(TRIM(BASELINE!D2992&amp;"")),"")&lt;&gt;"ENCERRADA"),1,0),0)</f>
        <v/>
      </c>
      <c r="B2992">
        <f>B2991+A2992</f>
        <v/>
      </c>
    </row>
    <row r="2993">
      <c r="A2993">
        <f>IFERROR(IF(AND(BASELINE!I2993&lt;&gt;"",INT(IF(CALC!$F$1&gt;0,IF(N(INDEX(BASELINE!$A2993:$ZZ2993,CALC!$F$1))&gt;0,N(INDEX(BASELINE!$A2993:$ZZ2993,CALC!$F$1)),N(BASELINE!E2993)),N(BASELINE!E2993)))=INT(SIMOPS!$D$3),IFERROR(UPPER(TRIM(BASELINE!D2993&amp;"")),"")&lt;&gt;"ENCERRADA"),1,0),0)</f>
        <v/>
      </c>
      <c r="B2993">
        <f>B2992+A2993</f>
        <v/>
      </c>
    </row>
    <row r="2994">
      <c r="A2994">
        <f>IFERROR(IF(AND(BASELINE!I2994&lt;&gt;"",INT(IF(CALC!$F$1&gt;0,IF(N(INDEX(BASELINE!$A2994:$ZZ2994,CALC!$F$1))&gt;0,N(INDEX(BASELINE!$A2994:$ZZ2994,CALC!$F$1)),N(BASELINE!E2994)),N(BASELINE!E2994)))=INT(SIMOPS!$D$3),IFERROR(UPPER(TRIM(BASELINE!D2994&amp;"")),"")&lt;&gt;"ENCERRADA"),1,0),0)</f>
        <v/>
      </c>
      <c r="B2994">
        <f>B2993+A2994</f>
        <v/>
      </c>
    </row>
    <row r="2995">
      <c r="A2995">
        <f>IFERROR(IF(AND(BASELINE!I2995&lt;&gt;"",INT(IF(CALC!$F$1&gt;0,IF(N(INDEX(BASELINE!$A2995:$ZZ2995,CALC!$F$1))&gt;0,N(INDEX(BASELINE!$A2995:$ZZ2995,CALC!$F$1)),N(BASELINE!E2995)),N(BASELINE!E2995)))=INT(SIMOPS!$D$3),IFERROR(UPPER(TRIM(BASELINE!D2995&amp;"")),"")&lt;&gt;"ENCERRADA"),1,0),0)</f>
        <v/>
      </c>
      <c r="B2995">
        <f>B2994+A2995</f>
        <v/>
      </c>
    </row>
    <row r="2996">
      <c r="A2996">
        <f>IFERROR(IF(AND(BASELINE!I2996&lt;&gt;"",INT(IF(CALC!$F$1&gt;0,IF(N(INDEX(BASELINE!$A2996:$ZZ2996,CALC!$F$1))&gt;0,N(INDEX(BASELINE!$A2996:$ZZ2996,CALC!$F$1)),N(BASELINE!E2996)),N(BASELINE!E2996)))=INT(SIMOPS!$D$3),IFERROR(UPPER(TRIM(BASELINE!D2996&amp;"")),"")&lt;&gt;"ENCERRADA"),1,0),0)</f>
        <v/>
      </c>
      <c r="B2996">
        <f>B2995+A2996</f>
        <v/>
      </c>
    </row>
    <row r="2997">
      <c r="A2997">
        <f>IFERROR(IF(AND(BASELINE!I2997&lt;&gt;"",INT(IF(CALC!$F$1&gt;0,IF(N(INDEX(BASELINE!$A2997:$ZZ2997,CALC!$F$1))&gt;0,N(INDEX(BASELINE!$A2997:$ZZ2997,CALC!$F$1)),N(BASELINE!E2997)),N(BASELINE!E2997)))=INT(SIMOPS!$D$3),IFERROR(UPPER(TRIM(BASELINE!D2997&amp;"")),"")&lt;&gt;"ENCERRADA"),1,0),0)</f>
        <v/>
      </c>
      <c r="B2997">
        <f>B2996+A2997</f>
        <v/>
      </c>
    </row>
    <row r="2998">
      <c r="A2998">
        <f>IFERROR(IF(AND(BASELINE!I2998&lt;&gt;"",INT(IF(CALC!$F$1&gt;0,IF(N(INDEX(BASELINE!$A2998:$ZZ2998,CALC!$F$1))&gt;0,N(INDEX(BASELINE!$A2998:$ZZ2998,CALC!$F$1)),N(BASELINE!E2998)),N(BASELINE!E2998)))=INT(SIMOPS!$D$3),IFERROR(UPPER(TRIM(BASELINE!D2998&amp;"")),"")&lt;&gt;"ENCERRADA"),1,0),0)</f>
        <v/>
      </c>
      <c r="B2998">
        <f>B2997+A2998</f>
        <v/>
      </c>
    </row>
    <row r="2999">
      <c r="A2999">
        <f>IFERROR(IF(AND(BASELINE!I2999&lt;&gt;"",INT(IF(CALC!$F$1&gt;0,IF(N(INDEX(BASELINE!$A2999:$ZZ2999,CALC!$F$1))&gt;0,N(INDEX(BASELINE!$A2999:$ZZ2999,CALC!$F$1)),N(BASELINE!E2999)),N(BASELINE!E2999)))=INT(SIMOPS!$D$3),IFERROR(UPPER(TRIM(BASELINE!D2999&amp;"")),"")&lt;&gt;"ENCERRADA"),1,0),0)</f>
        <v/>
      </c>
      <c r="B2999">
        <f>B2998+A2999</f>
        <v/>
      </c>
    </row>
    <row r="3000">
      <c r="A3000">
        <f>IFERROR(IF(AND(BASELINE!I3000&lt;&gt;"",INT(IF(CALC!$F$1&gt;0,IF(N(INDEX(BASELINE!$A3000:$ZZ3000,CALC!$F$1))&gt;0,N(INDEX(BASELINE!$A3000:$ZZ3000,CALC!$F$1)),N(BASELINE!E3000)),N(BASELINE!E3000)))=INT(SIMOPS!$D$3),IFERROR(UPPER(TRIM(BASELINE!D3000&amp;"")),"")&lt;&gt;"ENCERRADA"),1,0),0)</f>
        <v/>
      </c>
      <c r="B3000">
        <f>B2999+A3000</f>
        <v/>
      </c>
    </row>
    <row r="3001">
      <c r="A3001">
        <f>IFERROR(IF(AND(BASELINE!I3001&lt;&gt;"",INT(IF(CALC!$F$1&gt;0,IF(N(INDEX(BASELINE!$A3001:$ZZ3001,CALC!$F$1))&gt;0,N(INDEX(BASELINE!$A3001:$ZZ3001,CALC!$F$1)),N(BASELINE!E3001)),N(BASELINE!E3001)))=INT(SIMOPS!$D$3),IFERROR(UPPER(TRIM(BASELINE!D3001&amp;"")),"")&lt;&gt;"ENCERRADA"),1,0),0)</f>
        <v/>
      </c>
      <c r="B3001">
        <f>B3000+A3001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2026-10-27T19:00:32Z</dcterms:created>
  <dcterms:modified xmlns:dcterms="http://purl.org/dc/terms/" xmlns:xsi="http://www.w3.org/2001/XMLSchema-instance" xsi:type="dcterms:W3CDTF">2026-10-27T19:00:33Z</dcterms:modified>
</cp:coreProperties>
</file>